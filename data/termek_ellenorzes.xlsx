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tmutató" sheetId="1" state="visible" r:id="rId1"/>
    <sheet name="Beszállítók" sheetId="2" state="visible" r:id="rId2"/>
    <sheet name="Termékek" sheetId="3" state="visible" r:id="rId3"/>
  </sheets>
  <definedNames>
    <definedName name="_xlnm._FilterDatabase" localSheetId="1" hidden="1">'Beszállítók'!$A$1:$J$66</definedName>
    <definedName name="_xlnm._FilterDatabase" localSheetId="2" hidden="1">'Termékek'!$A$1:$S$1984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000000"/>
      <sz val="10"/>
    </font>
    <font>
      <name val="Arial"/>
      <b val="1"/>
      <color rgb="001F3864"/>
      <sz val="10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BF8F00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5" fillId="3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6" fillId="2" borderId="1" applyAlignment="1" pivotButton="0" quotePrefix="0" xfId="0">
      <alignment horizontal="center" vertical="top"/>
    </xf>
    <xf numFmtId="0" fontId="6" fillId="2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CE4D6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ont>
        <strike val="1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ebsite-9ib.pages.dev/termek/s-1-5x1500x3000mm-feher-festett-lemez-ral9010/" TargetMode="External" Id="rId1" /><Relationship Type="http://schemas.openxmlformats.org/officeDocument/2006/relationships/hyperlink" Target="https://website-9ib.pages.dev/termek/s-1x1250-mm-ff-ral9016-szalag-h42/" TargetMode="External" Id="rId2" /><Relationship Type="http://schemas.openxmlformats.org/officeDocument/2006/relationships/hyperlink" Target="https://website-9ib.pages.dev/termek/s-2x1250x2500mm-feher-festett-lemez-ral9016/" TargetMode="External" Id="rId3" /><Relationship Type="http://schemas.openxmlformats.org/officeDocument/2006/relationships/hyperlink" Target="https://website-9ib.pages.dev/termek/s-2x1500x3000-mm-elox-alu-lemez-en-aw-5005-h12-h14-h24/" TargetMode="External" Id="rId4" /><Relationship Type="http://schemas.openxmlformats.org/officeDocument/2006/relationships/hyperlink" Target="https://website-9ib.pages.dev/termek/s-3x1000x2000-mm-elox-alu-lemez-en-aw-5002/" TargetMode="External" Id="rId5" /><Relationship Type="http://schemas.openxmlformats.org/officeDocument/2006/relationships/hyperlink" Target="https://website-9ib.pages.dev/termek/s-3x1250x3200-mm-alu-lemez-en-aw-1050a-h14-h24/" TargetMode="External" Id="rId6" /><Relationship Type="http://schemas.openxmlformats.org/officeDocument/2006/relationships/hyperlink" Target="https://website-9ib.pages.dev/termek/s-3x1250x5000-mm-alu-lemez-en-aw-1050a-h14-h24/" TargetMode="External" Id="rId7" /><Relationship Type="http://schemas.openxmlformats.org/officeDocument/2006/relationships/hyperlink" Target="https://website-9ib.pages.dev/termek/s-3x1250x6000-mm-alu-lemez-en-aw-1050a-h14-h24/" TargetMode="External" Id="rId8" /><Relationship Type="http://schemas.openxmlformats.org/officeDocument/2006/relationships/hyperlink" Target="https://website-9ib.pages.dev/termek/s-3x1500x3200-mm-alu-lemez-en-aw-1050a-h14-h24/" TargetMode="External" Id="rId9" /><Relationship Type="http://schemas.openxmlformats.org/officeDocument/2006/relationships/hyperlink" Target="https://website-9ib.pages.dev/termek/s-3x1500x5000-mm-alu-lemez-en-aw-1050a-h14-h24/" TargetMode="External" Id="rId10" /><Relationship Type="http://schemas.openxmlformats.org/officeDocument/2006/relationships/hyperlink" Target="https://website-9ib.pages.dev/termek/s-3x1500x6000-mm-alu-lemez-en-aw-1050a-h14-h24/" TargetMode="External" Id="rId11" /><Relationship Type="http://schemas.openxmlformats.org/officeDocument/2006/relationships/hyperlink" Target="https://website-9ib.pages.dev/termek/s-3x2000x5000-mm-alu-lemez-en-573-3-al-mg-1-h14-h24/" TargetMode="External" Id="rId12" /><Relationship Type="http://schemas.openxmlformats.org/officeDocument/2006/relationships/hyperlink" Target="https://website-9ib.pages.dev/termek/351704-bill-rakonca-500-mm-elso-j-b/" TargetMode="External" Id="rId13" /><Relationship Type="http://schemas.openxmlformats.org/officeDocument/2006/relationships/hyperlink" Target="https://website-9ib.pages.dev/termek/351707-bill-rakonca-500-mm-hatso-j-b/" TargetMode="External" Id="rId14" /><Relationship Type="http://schemas.openxmlformats.org/officeDocument/2006/relationships/hyperlink" Target="https://website-9ib.pages.dev/termek/351706-bill-rakonca-500-mm-kozepso/" TargetMode="External" Id="rId15" /><Relationship Type="http://schemas.openxmlformats.org/officeDocument/2006/relationships/hyperlink" Target="https://www.ital-accessori.sk/katalog/book/KOMP/53/" TargetMode="External" Id="rId16" /><Relationship Type="http://schemas.openxmlformats.org/officeDocument/2006/relationships/hyperlink" Target="https://website-9ib.pages.dev/termek/35880-max-800-elso-rakonca-j-b/" TargetMode="External" Id="rId17" /><Relationship Type="http://schemas.openxmlformats.org/officeDocument/2006/relationships/hyperlink" Target="https://www.ital-accessori.sk/katalog/book/KOMP/53/" TargetMode="External" Id="rId18" /><Relationship Type="http://schemas.openxmlformats.org/officeDocument/2006/relationships/hyperlink" Target="https://website-9ib.pages.dev/termek/35800-max-800-koztes-rakonca/" TargetMode="External" Id="rId19" /><Relationship Type="http://schemas.openxmlformats.org/officeDocument/2006/relationships/hyperlink" Target="https://www.ital-accessori.sk/katalog/book/KOMP/348/" TargetMode="External" Id="rId20" /><Relationship Type="http://schemas.openxmlformats.org/officeDocument/2006/relationships/hyperlink" Target="https://website-9ib.pages.dev/termek/5023-munkahenger-05x1240x112-5t/" TargetMode="External" Id="rId21" /><Relationship Type="http://schemas.openxmlformats.org/officeDocument/2006/relationships/hyperlink" Target="https://www.ital-accessori.sk/katalog/book/KOMP/354/" TargetMode="External" Id="rId22" /><Relationship Type="http://schemas.openxmlformats.org/officeDocument/2006/relationships/hyperlink" Target="https://website-9ib.pages.dev/termek/6004-munkahenger-6t-06x1245x124/" TargetMode="External" Id="rId23" /><Relationship Type="http://schemas.openxmlformats.org/officeDocument/2006/relationships/hyperlink" Target="https://www.ital-accessori.sk/katalog/book/KOMP/349/" TargetMode="External" Id="rId24" /><Relationship Type="http://schemas.openxmlformats.org/officeDocument/2006/relationships/hyperlink" Target="https://website-9ib.pages.dev/termek/3093-munkahenger-8t-05x1190x124/" TargetMode="External" Id="rId25" /><Relationship Type="http://schemas.openxmlformats.org/officeDocument/2006/relationships/hyperlink" Target="https://www.ital-accessori.sk/katalog/book/KOMP/355/" TargetMode="External" Id="rId26" /><Relationship Type="http://schemas.openxmlformats.org/officeDocument/2006/relationships/hyperlink" Target="https://website-9ib.pages.dev/termek/6008-munkahenger-9t-06x1470x152/" TargetMode="External" Id="rId27" /><Relationship Type="http://schemas.openxmlformats.org/officeDocument/2006/relationships/hyperlink" Target="https://website-9ib.pages.dev/termek/147443-st-perforal-acel-keret-27-mm-vallal-l-7500/" TargetMode="External" Id="rId28" /><Relationship Type="http://schemas.openxmlformats.org/officeDocument/2006/relationships/hyperlink" Target="https://website-9ib.pages.dev/termek/3510206-sp-41-billencs-kozepso-rakonca-400-120-mm/" TargetMode="External" Id="rId29" /><Relationship Type="http://schemas.openxmlformats.org/officeDocument/2006/relationships/hyperlink" Target="https://website-9ib.pages.dev/termek/3510204-sp-41-billencs-elso-rakonca-400-85-mm-b/" TargetMode="External" Id="rId30" /><Relationship Type="http://schemas.openxmlformats.org/officeDocument/2006/relationships/hyperlink" Target="https://website-9ib.pages.dev/termek/3510204-sp-41-billencs-elso-rakonca-400-85-mm-j/" TargetMode="External" Id="rId31" /><Relationship Type="http://schemas.openxmlformats.org/officeDocument/2006/relationships/hyperlink" Target="https://website-9ib.pages.dev/termek/3510207-sp-41-billencs-hatso-rakonca-400-120-mm-b/" TargetMode="External" Id="rId32" /><Relationship Type="http://schemas.openxmlformats.org/officeDocument/2006/relationships/hyperlink" Target="https://website-9ib.pages.dev/termek/3510207-sp-41-billencs-hatso-rakonca-400-120-mm-j/" TargetMode="External" Id="rId33" /><Relationship Type="http://schemas.openxmlformats.org/officeDocument/2006/relationships/hyperlink" Target="https://www.ital-accessori.sk/katalog/book/KOMP/321/" TargetMode="External" Id="rId34" /><Relationship Type="http://schemas.openxmlformats.org/officeDocument/2006/relationships/hyperlink" Target="https://website-9ib.pages.dev/termek/352571-sp33-600-mm-bill-hatso-rakonca-j-b/" TargetMode="External" Id="rId35" /><Relationship Type="http://schemas.openxmlformats.org/officeDocument/2006/relationships/hyperlink" Target="https://www.ital-accessori.sk/katalog/book/KOMP/321/" TargetMode="External" Id="rId36" /><Relationship Type="http://schemas.openxmlformats.org/officeDocument/2006/relationships/hyperlink" Target="https://website-9ib.pages.dev/termek/352578-sp36-600-mm-bill-elso-rakonca-j-b/" TargetMode="External" Id="rId37" /><Relationship Type="http://schemas.openxmlformats.org/officeDocument/2006/relationships/hyperlink" Target="https://www.ital-accessori.sk/katalog/book/KOMP/321/" TargetMode="External" Id="rId38" /><Relationship Type="http://schemas.openxmlformats.org/officeDocument/2006/relationships/hyperlink" Target="https://website-9ib.pages.dev/termek/352572-sp36-600-mm-bill-kozepso-rakonca/" TargetMode="External" Id="rId39" /><Relationship Type="http://schemas.openxmlformats.org/officeDocument/2006/relationships/hyperlink" Target="https://website-9ib.pages.dev/termek/l-12x1500x2500-mm-retegelt-lemez-fenolos/" TargetMode="External" Id="rId40" /><Relationship Type="http://schemas.openxmlformats.org/officeDocument/2006/relationships/hyperlink" Target="https://website-9ib.pages.dev/termek/l-12x1500x3000-mm-retegelt-lemez-fenolos/" TargetMode="External" Id="rId41" /><Relationship Type="http://schemas.openxmlformats.org/officeDocument/2006/relationships/hyperlink" Target="https://website-9ib.pages.dev/termek/l-15x2130x1250-retegelt-lemez-fenolos/" TargetMode="External" Id="rId42" /><Relationship Type="http://schemas.openxmlformats.org/officeDocument/2006/relationships/hyperlink" Target="https://website-9ib.pages.dev/termek/l-18x1500x3000-retegelt-lemez-fenolos/" TargetMode="External" Id="rId43" /><Relationship Type="http://schemas.openxmlformats.org/officeDocument/2006/relationships/hyperlink" Target="https://website-9ib.pages.dev/termek/l-24x1500x2500-retegelt-lemez-fenolos/" TargetMode="External" Id="rId44" /><Relationship Type="http://schemas.openxmlformats.org/officeDocument/2006/relationships/hyperlink" Target="https://website-9ib.pages.dev/termek/l-30x1500x2500-retegelt-lemez-fenolos/" TargetMode="External" Id="rId45" /><Relationship Type="http://schemas.openxmlformats.org/officeDocument/2006/relationships/hyperlink" Target="https://website-9ib.pages.dev/termek/l-4x1250x2500-mm-film-film-retegelt-lemez/" TargetMode="External" Id="rId46" /><Relationship Type="http://schemas.openxmlformats.org/officeDocument/2006/relationships/hyperlink" Target="https://website-9ib.pages.dev/termek/l-6-5x1500x3000-mm-retegelt-lemez-fenol-bevonattal/" TargetMode="External" Id="rId47" /><Relationship Type="http://schemas.openxmlformats.org/officeDocument/2006/relationships/hyperlink" Target="https://website-9ib.pages.dev/termek/l-9x1500x2500-retegelt-lemez-fenolos/" TargetMode="External" Id="rId48" /><Relationship Type="http://schemas.openxmlformats.org/officeDocument/2006/relationships/hyperlink" Target="https://website-9ib.pages.dev/termek/l-9x1500x3000-retegelt-lemez-fenolos/" TargetMode="External" Id="rId49" /><Relationship Type="http://schemas.openxmlformats.org/officeDocument/2006/relationships/hyperlink" Target="https://website-9ib.pages.dev/termek/l-mdf-6x2800x2070-mm/" TargetMode="External" Id="rId50" /><Relationship Type="http://schemas.openxmlformats.org/officeDocument/2006/relationships/hyperlink" Target="https://website-9ib.pages.dev/termek/g-10x1000-soft-gumi/" TargetMode="External" Id="rId51" /><Relationship Type="http://schemas.openxmlformats.org/officeDocument/2006/relationships/hyperlink" Target="https://website-9ib.pages.dev/termek/g-10x1000x2000-soft-gumi-lap/" TargetMode="External" Id="rId52" /><Relationship Type="http://schemas.openxmlformats.org/officeDocument/2006/relationships/hyperlink" Target="https://website-9ib.pages.dev/termek/g-15x1000x2000-soft-gumi-lap/" TargetMode="External" Id="rId53" /><Relationship Type="http://schemas.openxmlformats.org/officeDocument/2006/relationships/hyperlink" Target="https://website-9ib.pages.dev/termek/g-1600x1400-mm-rampaszonyeg/" TargetMode="External" Id="rId54" /><Relationship Type="http://schemas.openxmlformats.org/officeDocument/2006/relationships/hyperlink" Target="https://website-9ib.pages.dev/termek/g-17-1750x1550-mm-rampaszonyeg/" TargetMode="External" Id="rId55" /><Relationship Type="http://schemas.openxmlformats.org/officeDocument/2006/relationships/hyperlink" Target="https://website-9ib.pages.dev/termek/g-1750x1540-mm-rampaszonyeg/" TargetMode="External" Id="rId56" /><Relationship Type="http://schemas.openxmlformats.org/officeDocument/2006/relationships/hyperlink" Target="https://website-9ib.pages.dev/termek/g-1750x1550-mm-rampaszonyeg/" TargetMode="External" Id="rId57" /><Relationship Type="http://schemas.openxmlformats.org/officeDocument/2006/relationships/hyperlink" Target="https://website-9ib.pages.dev/termek/g-17x1830x1220-mm-istallo-szonyeg/" TargetMode="External" Id="rId58" /><Relationship Type="http://schemas.openxmlformats.org/officeDocument/2006/relationships/hyperlink" Target="https://website-9ib.pages.dev/termek/g-17x900x1200-mm-istallo-szonyeg/" TargetMode="External" Id="rId59" /><Relationship Type="http://schemas.openxmlformats.org/officeDocument/2006/relationships/hyperlink" Target="https://website-9ib.pages.dev/termek/g-2000x1400-mm-rampaszonyeg/" TargetMode="External" Id="rId60" /><Relationship Type="http://schemas.openxmlformats.org/officeDocument/2006/relationships/hyperlink" Target="https://website-9ib.pages.dev/termek/g-2000x1600-mm-rampaszonyeg/" TargetMode="External" Id="rId61" /><Relationship Type="http://schemas.openxmlformats.org/officeDocument/2006/relationships/hyperlink" Target="https://website-9ib.pages.dev/termek/g-2400x2000-rampaszonyeg/" TargetMode="External" Id="rId62" /><Relationship Type="http://schemas.openxmlformats.org/officeDocument/2006/relationships/hyperlink" Target="https://website-9ib.pages.dev/termek/g-27-2400x1200-rampaszonyeg/" TargetMode="External" Id="rId63" /><Relationship Type="http://schemas.openxmlformats.org/officeDocument/2006/relationships/hyperlink" Target="https://website-9ib.pages.dev/termek/g-3x1000-mm-pvc-attlatszo-viztiszta-l-20-m/" TargetMode="External" Id="rId64" /><Relationship Type="http://schemas.openxmlformats.org/officeDocument/2006/relationships/hyperlink" Target="https://website-9ib.pages.dev/termek/g-3x1200x10000-mm-amoeba-gumiszonyeg/" TargetMode="External" Id="rId65" /><Relationship Type="http://schemas.openxmlformats.org/officeDocument/2006/relationships/hyperlink" Target="https://website-9ib.pages.dev/termek/g-3x1500x10000-mm-amoeba-gumiszonyeg/" TargetMode="External" Id="rId66" /><Relationship Type="http://schemas.openxmlformats.org/officeDocument/2006/relationships/hyperlink" Target="https://website-9ib.pages.dev/termek/g-3x2200x10000-mm-diamond-mintas-gumi/" TargetMode="External" Id="rId67" /><Relationship Type="http://schemas.openxmlformats.org/officeDocument/2006/relationships/hyperlink" Target="https://website-9ib.pages.dev/termek/g-4x1000-mm-pvc-attlatszo-viztiszta-l-20-m/" TargetMode="External" Id="rId68" /><Relationship Type="http://schemas.openxmlformats.org/officeDocument/2006/relationships/hyperlink" Target="https://website-9ib.pages.dev/termek/g-4x1400x10000-2t-s-s-altalanos-gumiszonyeg/" TargetMode="External" Id="rId69" /><Relationship Type="http://schemas.openxmlformats.org/officeDocument/2006/relationships/hyperlink" Target="https://website-9ib.pages.dev/termek/g-4x1400x10000-s-s-altalanos-gumiszonyeg/" TargetMode="External" Id="rId70" /><Relationship Type="http://schemas.openxmlformats.org/officeDocument/2006/relationships/hyperlink" Target="https://website-9ib.pages.dev/termek/g-4x2000mm-cbr-szonyeg-2-nylon/" TargetMode="External" Id="rId71" /><Relationship Type="http://schemas.openxmlformats.org/officeDocument/2006/relationships/hyperlink" Target="https://website-9ib.pages.dev/termek/g-5x1000-mm-pvc-attlatszo-viztiszta-l-20-m/" TargetMode="External" Id="rId72" /><Relationship Type="http://schemas.openxmlformats.org/officeDocument/2006/relationships/hyperlink" Target="https://website-9ib.pages.dev/termek/g-6x1450mm-cobra-szonyeg-2-nylon/" TargetMode="External" Id="rId73" /><Relationship Type="http://schemas.openxmlformats.org/officeDocument/2006/relationships/hyperlink" Target="https://website-9ib.pages.dev/termek/g-6x1650-mm-istallo-szonyeg-l-10-m-rs/" TargetMode="External" Id="rId74" /><Relationship Type="http://schemas.openxmlformats.org/officeDocument/2006/relationships/hyperlink" Target="https://website-9ib.pages.dev/termek/g-6x2000mm-cobra-szonyeg-2-nylon/" TargetMode="External" Id="rId75" /><Relationship Type="http://schemas.openxmlformats.org/officeDocument/2006/relationships/hyperlink" Target="https://website-9ib.pages.dev/termek/g-6x2000mm-istallo-szonyeg-l-10-m-rs/" TargetMode="External" Id="rId76" /><Relationship Type="http://schemas.openxmlformats.org/officeDocument/2006/relationships/hyperlink" Target="https://website-9ib.pages.dev/termek/g-8x1000-soft-gumi/" TargetMode="External" Id="rId77" /><Relationship Type="http://schemas.openxmlformats.org/officeDocument/2006/relationships/hyperlink" Target="https://website-9ib.pages.dev/termek/g-8x1000x2000-soft-gumi-lap/" TargetMode="External" Id="rId78" /><Relationship Type="http://schemas.openxmlformats.org/officeDocument/2006/relationships/hyperlink" Target="https://website-9ib.pages.dev/termek/g-8x1650-istallo-szonyeg/" TargetMode="External" Id="rId79" /><Relationship Type="http://schemas.openxmlformats.org/officeDocument/2006/relationships/hyperlink" Target="https://website-9ib.pages.dev/termek/g-8x2000-istallo-szonyeg-l-10-m-rs/" TargetMode="External" Id="rId80" /><Relationship Type="http://schemas.openxmlformats.org/officeDocument/2006/relationships/hyperlink" Target="https://website-9ib.pages.dev/termek/g-8x2000mm-cobra-szonyeg-1-nylon/" TargetMode="External" Id="rId81" /><Relationship Type="http://schemas.openxmlformats.org/officeDocument/2006/relationships/hyperlink" Target="https://website-9ib.pages.dev/termek/hatso-ajto-alu-elox/" TargetMode="External" Id="rId82" /><Relationship Type="http://schemas.openxmlformats.org/officeDocument/2006/relationships/hyperlink" Target="https://website-9ib.pages.dev/termek/kit-hutos-doboz/" TargetMode="External" Id="rId83" /><Relationship Type="http://schemas.openxmlformats.org/officeDocument/2006/relationships/hyperlink" Target="https://website-9ib.pages.dev/termek/zartdobozos-felepitmeny-keszlet/" TargetMode="External" Id="rId84" /><Relationship Type="http://schemas.openxmlformats.org/officeDocument/2006/relationships/hyperlink" Target="https://website-9ib.pages.dev/termek/026801-ajtohatarolo-fix-konzol/" TargetMode="External" Id="rId85" /><Relationship Type="http://schemas.openxmlformats.org/officeDocument/2006/relationships/hyperlink" Target="https://website-9ib.pages.dev/termek/026822-gumis-ajtohatarolo-800kg/" TargetMode="External" Id="rId86" /><Relationship Type="http://schemas.openxmlformats.org/officeDocument/2006/relationships/hyperlink" Target="https://website-9ib.pages.dev/termek/052900-muanyag-zartakaro/" TargetMode="External" Id="rId87" /><Relationship Type="http://schemas.openxmlformats.org/officeDocument/2006/relationships/hyperlink" Target="https://www.adaico.com/en/catalogsearch/result/?q=0502031" TargetMode="External" Id="rId88" /><Relationship Type="http://schemas.openxmlformats.org/officeDocument/2006/relationships/hyperlink" Target="https://website-9ib.pages.dev/termek/212031-ada-rakonca-gorgo-t-acel-d24x24-xl/" TargetMode="External" Id="rId89" /><Relationship Type="http://schemas.openxmlformats.org/officeDocument/2006/relationships/hyperlink" Target="https://www.adaico.com/en/downloadcatalogues/download?id=ADAICO_2025_EDS.pdf#page=39" TargetMode="External" Id="rId90" /><Relationship Type="http://schemas.openxmlformats.org/officeDocument/2006/relationships/hyperlink" Target="https://website-9ib.pages.dev/termek/211086-88-ada-tetokiemelo-hp-lift-kit/" TargetMode="External" Id="rId91" /><Relationship Type="http://schemas.openxmlformats.org/officeDocument/2006/relationships/hyperlink" Target="https://www.adaico.com/en/catalogsearch/result/?q=0601088" TargetMode="External" Id="rId92" /><Relationship Type="http://schemas.openxmlformats.org/officeDocument/2006/relationships/hyperlink" Target="https://website-9ib.pages.dev/termek/211088-ada-tetokiemelo-oszlop-keszlet/" TargetMode="External" Id="rId93" /><Relationship Type="http://schemas.openxmlformats.org/officeDocument/2006/relationships/hyperlink" Target="https://www.adaico.com/en/catalogsearch/result/?q=0601086" TargetMode="External" Id="rId94" /><Relationship Type="http://schemas.openxmlformats.org/officeDocument/2006/relationships/hyperlink" Target="https://website-9ib.pages.dev/termek/211086-ada-tetokiemelo-pumpa-hp-lift-450-mm/" TargetMode="External" Id="rId95" /><Relationship Type="http://schemas.openxmlformats.org/officeDocument/2006/relationships/hyperlink" Target="https://www.adaico.com/en/catalogsearch/result/?q=0601089" TargetMode="External" Id="rId96" /><Relationship Type="http://schemas.openxmlformats.org/officeDocument/2006/relationships/hyperlink" Target="https://website-9ib.pages.dev/termek/211089-ada-tetokiemelo-csatlakozo/" TargetMode="External" Id="rId97" /><Relationship Type="http://schemas.openxmlformats.org/officeDocument/2006/relationships/hyperlink" Target="https://www.adaico.com/en/catalogsearch/result/?q=0505014" TargetMode="External" Id="rId98" /><Relationship Type="http://schemas.openxmlformats.org/officeDocument/2006/relationships/hyperlink" Target="https://website-9ib.pages.dev/termek/215014-adaico-rakonca-oszlop-3000-mm/" TargetMode="External" Id="rId99" /><Relationship Type="http://schemas.openxmlformats.org/officeDocument/2006/relationships/hyperlink" Target="https://www.adaico.com/en/catalogsearch/result/?q=0506003" TargetMode="External" Id="rId100" /><Relationship Type="http://schemas.openxmlformats.org/officeDocument/2006/relationships/hyperlink" Target="https://website-9ib.pages.dev/termek/216003-adaico-rakonca-zseb-festett/" TargetMode="External" Id="rId101" /><Relationship Type="http://schemas.openxmlformats.org/officeDocument/2006/relationships/hyperlink" Target="https://www.adaico.com/en/downloadcatalogues/download?id=ADAICO_2025_EDS.pdf#page=35" TargetMode="External" Id="rId102" /><Relationship Type="http://schemas.openxmlformats.org/officeDocument/2006/relationships/hyperlink" Target="https://website-9ib.pages.dev/termek/212002-adaico-rakonca-zseb-nyers/" TargetMode="External" Id="rId103" /><Relationship Type="http://schemas.openxmlformats.org/officeDocument/2006/relationships/hyperlink" Target="https://www.adaico.com/en/catalogsearch/result/?q=1801120" TargetMode="External" Id="rId104" /><Relationship Type="http://schemas.openxmlformats.org/officeDocument/2006/relationships/hyperlink" Target="https://website-9ib.pages.dev/termek/728120-huskampo-fix-c-sinhez/" TargetMode="External" Id="rId105" /><Relationship Type="http://schemas.openxmlformats.org/officeDocument/2006/relationships/hyperlink" Target="https://www.adaico.com/en/downloadcatalogues/download?id=ADAICO_2025_EDS.pdf#page=396" TargetMode="External" Id="rId106" /><Relationship Type="http://schemas.openxmlformats.org/officeDocument/2006/relationships/hyperlink" Target="https://website-9ib.pages.dev/termek/821018-rugos-ajtokitamaszto-horg-540-425-mm-ad/" TargetMode="External" Id="rId107" /><Relationship Type="http://schemas.openxmlformats.org/officeDocument/2006/relationships/hyperlink" Target="https://www.adaico.com/en/downloadcatalogues/download?id=ADAICO_2025_EDS.pdf#page=270" TargetMode="External" Id="rId108" /><Relationship Type="http://schemas.openxmlformats.org/officeDocument/2006/relationships/hyperlink" Target="https://website-9ib.pages.dev/termek/214312-5000mm-50x52-mm-acel-c-sin/" TargetMode="External" Id="rId109" /><Relationship Type="http://schemas.openxmlformats.org/officeDocument/2006/relationships/hyperlink" Target="https://www.adaico.com/en/downloadcatalogues/download?id=ADAICO_2025_EDS.pdf#page=270" TargetMode="External" Id="rId110" /><Relationship Type="http://schemas.openxmlformats.org/officeDocument/2006/relationships/hyperlink" Target="https://website-9ib.pages.dev/termek/214312-6600mm-50x52-mm-acel-c-sin/" TargetMode="External" Id="rId111" /><Relationship Type="http://schemas.openxmlformats.org/officeDocument/2006/relationships/hyperlink" Target="https://www.adaico.com/en/catalogsearch/result/?q=1403012" TargetMode="External" Id="rId112" /><Relationship Type="http://schemas.openxmlformats.org/officeDocument/2006/relationships/hyperlink" Target="https://website-9ib.pages.dev/termek/214312-7800mm-50x52-mm-acel-c-sin/" TargetMode="External" Id="rId113" /><Relationship Type="http://schemas.openxmlformats.org/officeDocument/2006/relationships/hyperlink" Target="https://www.adaico.com/en/catalogsearch/result/?q=1404174" TargetMode="External" Id="rId114" /><Relationship Type="http://schemas.openxmlformats.org/officeDocument/2006/relationships/hyperlink" Target="https://website-9ib.pages.dev/termek/214174-gumitomites-acel-c-sinhez/" TargetMode="External" Id="rId115" /><Relationship Type="http://schemas.openxmlformats.org/officeDocument/2006/relationships/hyperlink" Target="https://www.adaico.com/en/catalogsearch/result/?q=0801110" TargetMode="External" Id="rId116" /><Relationship Type="http://schemas.openxmlformats.org/officeDocument/2006/relationships/hyperlink" Target="https://website-9ib.pages.dev/termek/211110-ponyvagorgo-acel-sinhez/" TargetMode="External" Id="rId117" /><Relationship Type="http://schemas.openxmlformats.org/officeDocument/2006/relationships/hyperlink" Target="https://www.adaico.com" TargetMode="External" Id="rId118" /><Relationship Type="http://schemas.openxmlformats.org/officeDocument/2006/relationships/hyperlink" Target="https://website-9ib.pages.dev/termek/21-ada-slider-teto-rendszer/" TargetMode="External" Id="rId119" /><Relationship Type="http://schemas.openxmlformats.org/officeDocument/2006/relationships/hyperlink" Target="https://www.adaico.com/en/1-04010007.html" TargetMode="External" Id="rId120" /><Relationship Type="http://schemas.openxmlformats.org/officeDocument/2006/relationships/hyperlink" Target="https://website-9ib.pages.dev/termek/212143-ada-ajto-profil-also-gorgo-l/" TargetMode="External" Id="rId121" /><Relationship Type="http://schemas.openxmlformats.org/officeDocument/2006/relationships/hyperlink" Target="https://www.adaico.com/en/1-04010007.html" TargetMode="External" Id="rId122" /><Relationship Type="http://schemas.openxmlformats.org/officeDocument/2006/relationships/hyperlink" Target="https://website-9ib.pages.dev/termek/212153-ada-ajto-profil-also-gorgo-r/" TargetMode="External" Id="rId123" /><Relationship Type="http://schemas.openxmlformats.org/officeDocument/2006/relationships/hyperlink" Target="https://www.adaico.com/en/1-04010005.html" TargetMode="External" Id="rId124" /><Relationship Type="http://schemas.openxmlformats.org/officeDocument/2006/relationships/hyperlink" Target="https://website-9ib.pages.dev/termek/212123-ada-ajto-profil-felso-gorgo/" TargetMode="External" Id="rId125" /><Relationship Type="http://schemas.openxmlformats.org/officeDocument/2006/relationships/hyperlink" Target="https://www.adaico.com/en/1-04010006.html" TargetMode="External" Id="rId126" /><Relationship Type="http://schemas.openxmlformats.org/officeDocument/2006/relationships/hyperlink" Target="https://website-9ib.pages.dev/termek/212133-ada-ponyva-gorgo-also/" TargetMode="External" Id="rId127" /><Relationship Type="http://schemas.openxmlformats.org/officeDocument/2006/relationships/hyperlink" Target="https://www.adaico.com/en/1-04010004.html" TargetMode="External" Id="rId128" /><Relationship Type="http://schemas.openxmlformats.org/officeDocument/2006/relationships/hyperlink" Target="https://website-9ib.pages.dev/termek/212113-ada-ponyva-gorgo-felso/" TargetMode="External" Id="rId129" /><Relationship Type="http://schemas.openxmlformats.org/officeDocument/2006/relationships/hyperlink" Target="https://www.adaico.com/en/1-04010010.html" TargetMode="External" Id="rId130" /><Relationship Type="http://schemas.openxmlformats.org/officeDocument/2006/relationships/hyperlink" Target="https://website-9ib.pages.dev/termek/212064-ada-s-2-m-pvc-tekercs/" TargetMode="External" Id="rId131" /><Relationship Type="http://schemas.openxmlformats.org/officeDocument/2006/relationships/hyperlink" Target="https://www.adaico.com/en/1-04010015.html" TargetMode="External" Id="rId132" /><Relationship Type="http://schemas.openxmlformats.org/officeDocument/2006/relationships/hyperlink" Target="https://website-9ib.pages.dev/termek/212427-ada-s-ajto-profil-2100-mm-elox/" TargetMode="External" Id="rId133" /><Relationship Type="http://schemas.openxmlformats.org/officeDocument/2006/relationships/hyperlink" Target="https://www.adaico.com/en/1-04010015.html" TargetMode="External" Id="rId134" /><Relationship Type="http://schemas.openxmlformats.org/officeDocument/2006/relationships/hyperlink" Target="https://website-9ib.pages.dev/termek/212429-ada-s-ajto-profil-2400-mm-elox/" TargetMode="External" Id="rId135" /><Relationship Type="http://schemas.openxmlformats.org/officeDocument/2006/relationships/hyperlink" Target="https://www.adaico.com/en/1-04010015.html" TargetMode="External" Id="rId136" /><Relationship Type="http://schemas.openxmlformats.org/officeDocument/2006/relationships/hyperlink" Target="https://website-9ib.pages.dev/termek/212431-ada-s-ajto-profil-2800-mm-elox/" TargetMode="External" Id="rId137" /><Relationship Type="http://schemas.openxmlformats.org/officeDocument/2006/relationships/hyperlink" Target="https://www.adaico.com/en/1-04010035.html" TargetMode="External" Id="rId138" /><Relationship Type="http://schemas.openxmlformats.org/officeDocument/2006/relationships/hyperlink" Target="https://website-9ib.pages.dev/termek/212061-ada-s-hajlitott-acel-lemezke/" TargetMode="External" Id="rId139" /><Relationship Type="http://schemas.openxmlformats.org/officeDocument/2006/relationships/hyperlink" Target="https://www.adaico.com/en/1-04010014.html" TargetMode="External" Id="rId140" /><Relationship Type="http://schemas.openxmlformats.org/officeDocument/2006/relationships/hyperlink" Target="https://website-9ib.pages.dev/termek/212410-ada-s-tetosin-4000-mm/" TargetMode="External" Id="rId141" /><Relationship Type="http://schemas.openxmlformats.org/officeDocument/2006/relationships/hyperlink" Target="https://www.adaico.com/en/1-04010014.html" TargetMode="External" Id="rId142" /><Relationship Type="http://schemas.openxmlformats.org/officeDocument/2006/relationships/hyperlink" Target="https://website-9ib.pages.dev/termek/212408-ada-s-tetosin-5000-mm/" TargetMode="External" Id="rId143" /><Relationship Type="http://schemas.openxmlformats.org/officeDocument/2006/relationships/hyperlink" Target="https://www.adaico.com/en/1-04010014.html" TargetMode="External" Id="rId144" /><Relationship Type="http://schemas.openxmlformats.org/officeDocument/2006/relationships/hyperlink" Target="https://website-9ib.pages.dev/termek/212406-ada-s-tetosin-6000-mm/" TargetMode="External" Id="rId145" /><Relationship Type="http://schemas.openxmlformats.org/officeDocument/2006/relationships/hyperlink" Target="https://www.adaico.com/en/1-04010014.html" TargetMode="External" Id="rId146" /><Relationship Type="http://schemas.openxmlformats.org/officeDocument/2006/relationships/hyperlink" Target="https://website-9ib.pages.dev/termek/212404-ada-s-tetosin-7000-mm/" TargetMode="External" Id="rId147" /><Relationship Type="http://schemas.openxmlformats.org/officeDocument/2006/relationships/hyperlink" Target="https://www.adaico.com/en/1-04010013.html" TargetMode="External" Id="rId148" /><Relationship Type="http://schemas.openxmlformats.org/officeDocument/2006/relationships/hyperlink" Target="https://website-9ib.pages.dev/termek/211385-ada-s-zarszerkezet-ellendarab/" TargetMode="External" Id="rId149" /><Relationship Type="http://schemas.openxmlformats.org/officeDocument/2006/relationships/hyperlink" Target="https://www.adaico.com/en/catalogsearch/result/?q=1201372" TargetMode="External" Id="rId150" /><Relationship Type="http://schemas.openxmlformats.org/officeDocument/2006/relationships/hyperlink" Target="https://website-9ib.pages.dev/termek/211372-ada-s-zarszerkezet-italszallito/" TargetMode="External" Id="rId151" /><Relationship Type="http://schemas.openxmlformats.org/officeDocument/2006/relationships/hyperlink" Target="https://www.adaico.com/en/1-04010016.html" TargetMode="External" Id="rId152" /><Relationship Type="http://schemas.openxmlformats.org/officeDocument/2006/relationships/hyperlink" Target="https://website-9ib.pages.dev/termek/214202-ada-s-ajtoprofil-takarogumi-10-m-tekercs/" TargetMode="External" Id="rId153" /><Relationship Type="http://schemas.openxmlformats.org/officeDocument/2006/relationships/hyperlink" Target="https://www.adaico.com/en/1-18020028.html" TargetMode="External" Id="rId154" /><Relationship Type="http://schemas.openxmlformats.org/officeDocument/2006/relationships/hyperlink" Target="https://website-9ib.pages.dev/termek/303005-alafutasgatlo-konzol-700-mm-uj/" TargetMode="External" Id="rId155" /><Relationship Type="http://schemas.openxmlformats.org/officeDocument/2006/relationships/hyperlink" Target="https://www.adaico.com/en/catalogsearch/result/?q=1001196" TargetMode="External" Id="rId156" /><Relationship Type="http://schemas.openxmlformats.org/officeDocument/2006/relationships/hyperlink" Target="https://website-9ib.pages.dev/termek/380196-ada-handy-feszito-kocka-adapterhez-l/" TargetMode="External" Id="rId157" /><Relationship Type="http://schemas.openxmlformats.org/officeDocument/2006/relationships/hyperlink" Target="https://www.adaico.com/en/catalogsearch/result/?q=1001194" TargetMode="External" Id="rId158" /><Relationship Type="http://schemas.openxmlformats.org/officeDocument/2006/relationships/hyperlink" Target="https://website-9ib.pages.dev/termek/380194-ada-handy-feszito-kocka-adapterhez-r/" TargetMode="External" Id="rId159" /><Relationship Type="http://schemas.openxmlformats.org/officeDocument/2006/relationships/hyperlink" Target="https://www.adaico.com/en/catalogsearch/result/?q=1001192" TargetMode="External" Id="rId160" /><Relationship Type="http://schemas.openxmlformats.org/officeDocument/2006/relationships/hyperlink" Target="https://website-9ib.pages.dev/termek/380192-ada-handy-feszito-sliccelt-adapterhez-l/" TargetMode="External" Id="rId161" /><Relationship Type="http://schemas.openxmlformats.org/officeDocument/2006/relationships/hyperlink" Target="https://www.adaico.com/en/catalogsearch/result/?q=1001190" TargetMode="External" Id="rId162" /><Relationship Type="http://schemas.openxmlformats.org/officeDocument/2006/relationships/hyperlink" Target="https://website-9ib.pages.dev/termek/380190-ada-handy-feszito-sliccelt-adapterhez-r/" TargetMode="External" Id="rId163" /><Relationship Type="http://schemas.openxmlformats.org/officeDocument/2006/relationships/hyperlink" Target="https://www.adaico.com/en/catalogsearch/result/?q=1001186" TargetMode="External" Id="rId164" /><Relationship Type="http://schemas.openxmlformats.org/officeDocument/2006/relationships/hyperlink" Target="https://website-9ib.pages.dev/termek/380186-ada-racsnis-feszito-kocka-adapterhez-l/" TargetMode="External" Id="rId165" /><Relationship Type="http://schemas.openxmlformats.org/officeDocument/2006/relationships/hyperlink" Target="https://www.adaico.com/en/catalogsearch/result/?q=1001184" TargetMode="External" Id="rId166" /><Relationship Type="http://schemas.openxmlformats.org/officeDocument/2006/relationships/hyperlink" Target="https://website-9ib.pages.dev/termek/380184-ada-racsnis-feszito-kocka-adapterhez-r/" TargetMode="External" Id="rId167" /><Relationship Type="http://schemas.openxmlformats.org/officeDocument/2006/relationships/hyperlink" Target="https://website-9ib.pages.dev/termek/381072-feszito-kocka-sliccelt-adapterhez/" TargetMode="External" Id="rId168" /><Relationship Type="http://schemas.openxmlformats.org/officeDocument/2006/relationships/hyperlink" Target="https://www.adaico.com/en/catalogsearch/result/?q=1001074" TargetMode="External" Id="rId169" /><Relationship Type="http://schemas.openxmlformats.org/officeDocument/2006/relationships/hyperlink" Target="https://website-9ib.pages.dev/termek/381074-feszito-kocka-szogletes-adap-60x30x30-10/" TargetMode="External" Id="rId170" /><Relationship Type="http://schemas.openxmlformats.org/officeDocument/2006/relationships/hyperlink" Target="https://www.adaico.com/en/1-17030014.html" TargetMode="External" Id="rId171" /><Relationship Type="http://schemas.openxmlformats.org/officeDocument/2006/relationships/hyperlink" Target="https://website-9ib.pages.dev/termek/121172-airline-sin-alu-elox-3000mm/" TargetMode="External" Id="rId172" /><Relationship Type="http://schemas.openxmlformats.org/officeDocument/2006/relationships/hyperlink" Target="https://www.adaico.com/en/catalogsearch/result/?q=2301208" TargetMode="External" Id="rId173" /><Relationship Type="http://schemas.openxmlformats.org/officeDocument/2006/relationships/hyperlink" Target="https://website-9ib.pages.dev/termek/121208-gyurus-rakomanyrogzito-1300-dan/" TargetMode="External" Id="rId174" /><Relationship Type="http://schemas.openxmlformats.org/officeDocument/2006/relationships/hyperlink" Target="https://www.adaico.com/en/downloadcatalogues/download?id=ADAICO_2025_EDS.pdf#page=327" TargetMode="External" Id="rId175" /><Relationship Type="http://schemas.openxmlformats.org/officeDocument/2006/relationships/hyperlink" Target="https://website-9ib.pages.dev/termek/121128-kombi-rakomanyrogzito-sin-acel/" TargetMode="External" Id="rId176" /><Relationship Type="http://schemas.openxmlformats.org/officeDocument/2006/relationships/hyperlink" Target="https://www.adaico.com/en/downloadcatalogues/download?id=ADAICO_2025_EDS.pdf#page=329" TargetMode="External" Id="rId177" /><Relationship Type="http://schemas.openxmlformats.org/officeDocument/2006/relationships/hyperlink" Target="https://website-9ib.pages.dev/termek/121110-kombi-rakomanyrogzito-sin-sully-acel/" TargetMode="External" Id="rId178" /><Relationship Type="http://schemas.openxmlformats.org/officeDocument/2006/relationships/hyperlink" Target="https://website-9ib.pages.dev/termek/202274-u-100x50x50x5-mm-profil/" TargetMode="External" Id="rId179" /><Relationship Type="http://schemas.openxmlformats.org/officeDocument/2006/relationships/hyperlink" Target="https://website-9ib.pages.dev/termek/203548-u-140x60x60x7-mm-profil/" TargetMode="External" Id="rId180" /><Relationship Type="http://schemas.openxmlformats.org/officeDocument/2006/relationships/hyperlink" Target="https://website-9ib.pages.dev/termek/202869-u-160x80x80x8-mm-profil/" TargetMode="External" Id="rId181" /><Relationship Type="http://schemas.openxmlformats.org/officeDocument/2006/relationships/hyperlink" Target="https://website-9ib.pages.dev/termek/205162-u-80x60x5-mm-aluprofil/" TargetMode="External" Id="rId182" /><Relationship Type="http://schemas.openxmlformats.org/officeDocument/2006/relationships/hyperlink" Target="https://website-9ib.pages.dev/termek/203432-u-90x50x50x5-mm-profil/" TargetMode="External" Id="rId183" /><Relationship Type="http://schemas.openxmlformats.org/officeDocument/2006/relationships/hyperlink" Target="https://website-9ib.pages.dev/termek/70605-d60x5-mm-huspalya-cso-elox-6000-mm/" TargetMode="External" Id="rId184" /><Relationship Type="http://schemas.openxmlformats.org/officeDocument/2006/relationships/hyperlink" Target="https://website-9ib.pages.dev/termek/251048-100x10-mm-alu-lapos-profil/" TargetMode="External" Id="rId185" /><Relationship Type="http://schemas.openxmlformats.org/officeDocument/2006/relationships/hyperlink" Target="https://website-9ib.pages.dev/termek/255472-100x100x4-mm-r7-3-alu-zartszelveny/" TargetMode="External" Id="rId186" /><Relationship Type="http://schemas.openxmlformats.org/officeDocument/2006/relationships/hyperlink" Target="https://website-9ib.pages.dev/termek/250503-100x50x3-mm-alu-zartszelveny/" TargetMode="External" Id="rId187" /><Relationship Type="http://schemas.openxmlformats.org/officeDocument/2006/relationships/hyperlink" Target="https://website-9ib.pages.dev/termek/251210-120x10-mm-alu-lapos-profil/" TargetMode="External" Id="rId188" /><Relationship Type="http://schemas.openxmlformats.org/officeDocument/2006/relationships/hyperlink" Target="https://website-9ib.pages.dev/termek/251510-150x10-mm-alu-lapos-profil/" TargetMode="External" Id="rId189" /><Relationship Type="http://schemas.openxmlformats.org/officeDocument/2006/relationships/hyperlink" Target="https://website-9ib.pages.dev/termek/253734-150x25x2-5-r2-alu-zartszelveny/" TargetMode="External" Id="rId190" /><Relationship Type="http://schemas.openxmlformats.org/officeDocument/2006/relationships/hyperlink" Target="https://website-9ib.pages.dev/termek/252798-150x30x3-mm-alu-zartszelveny/" TargetMode="External" Id="rId191" /><Relationship Type="http://schemas.openxmlformats.org/officeDocument/2006/relationships/hyperlink" Target="https://website-9ib.pages.dev/termek/256076-160x90x5-mm-alu-zartszelvany/" TargetMode="External" Id="rId192" /><Relationship Type="http://schemas.openxmlformats.org/officeDocument/2006/relationships/hyperlink" Target="https://website-9ib.pages.dev/termek/251530-18-mm-alu-rud/" TargetMode="External" Id="rId193" /><Relationship Type="http://schemas.openxmlformats.org/officeDocument/2006/relationships/hyperlink" Target="https://website-9ib.pages.dev/termek/251310-18x2-alu-cso/" TargetMode="External" Id="rId194" /><Relationship Type="http://schemas.openxmlformats.org/officeDocument/2006/relationships/hyperlink" Target="https://website-9ib.pages.dev/termek/250202-20x2-alu-cso/" TargetMode="External" Id="rId195" /><Relationship Type="http://schemas.openxmlformats.org/officeDocument/2006/relationships/hyperlink" Target="https://website-9ib.pages.dev/termek/258354-25x25x2-alu-zartszelveny/" TargetMode="External" Id="rId196" /><Relationship Type="http://schemas.openxmlformats.org/officeDocument/2006/relationships/hyperlink" Target="https://website-9ib.pages.dev/termek/250301-30x10-mm-alu-lapos-profil/" TargetMode="External" Id="rId197" /><Relationship Type="http://schemas.openxmlformats.org/officeDocument/2006/relationships/hyperlink" Target="https://website-9ib.pages.dev/termek/251883-30x20x1-5-alu-zartszelveny/" TargetMode="External" Id="rId198" /><Relationship Type="http://schemas.openxmlformats.org/officeDocument/2006/relationships/hyperlink" Target="https://website-9ib.pages.dev/termek/253020-30x20x2-alu-zartszelveny/" TargetMode="External" Id="rId199" /><Relationship Type="http://schemas.openxmlformats.org/officeDocument/2006/relationships/hyperlink" Target="https://website-9ib.pages.dev/termek/253295-30x30x2-alu-zartszelveny/" TargetMode="External" Id="rId200" /><Relationship Type="http://schemas.openxmlformats.org/officeDocument/2006/relationships/hyperlink" Target="https://website-9ib.pages.dev/termek/253030-30x30x3-mm-u-profil/" TargetMode="External" Id="rId201" /><Relationship Type="http://schemas.openxmlformats.org/officeDocument/2006/relationships/hyperlink" Target="https://website-9ib.pages.dev/termek/252417-30x8-mm-alu-lapos-profil/" TargetMode="External" Id="rId202" /><Relationship Type="http://schemas.openxmlformats.org/officeDocument/2006/relationships/hyperlink" Target="https://website-9ib.pages.dev/termek/253535-35x35x3-mm-alu-zartszelveny/" TargetMode="External" Id="rId203" /><Relationship Type="http://schemas.openxmlformats.org/officeDocument/2006/relationships/hyperlink" Target="https://website-9ib.pages.dev/termek/250890-40x20x2-mm-alu-zartszelveny/" TargetMode="External" Id="rId204" /><Relationship Type="http://schemas.openxmlformats.org/officeDocument/2006/relationships/hyperlink" Target="https://website-9ib.pages.dev/termek/252242-40x30x2-alu-zartszelveny/" TargetMode="External" Id="rId205" /><Relationship Type="http://schemas.openxmlformats.org/officeDocument/2006/relationships/hyperlink" Target="https://website-9ib.pages.dev/termek/255340-40x40x3-r2-mm-alu-zartszelveny/" TargetMode="External" Id="rId206" /><Relationship Type="http://schemas.openxmlformats.org/officeDocument/2006/relationships/hyperlink" Target="https://website-9ib.pages.dev/termek/252296-40x8-mm-alu-lapos-profil/" TargetMode="External" Id="rId207" /><Relationship Type="http://schemas.openxmlformats.org/officeDocument/2006/relationships/hyperlink" Target="https://website-9ib.pages.dev/termek/253812-50x30x2-r5-alu-zartszelveny-6000-mm/" TargetMode="External" Id="rId208" /><Relationship Type="http://schemas.openxmlformats.org/officeDocument/2006/relationships/hyperlink" Target="https://website-9ib.pages.dev/termek/251742-50x5-mm-alu-lapos-profil/" TargetMode="External" Id="rId209" /><Relationship Type="http://schemas.openxmlformats.org/officeDocument/2006/relationships/hyperlink" Target="https://website-9ib.pages.dev/termek/258352-50x50x3-alu-zartszelveny/" TargetMode="External" Id="rId210" /><Relationship Type="http://schemas.openxmlformats.org/officeDocument/2006/relationships/hyperlink" Target="https://website-9ib.pages.dev/termek/250297-50x50x5-alu-l-profil/" TargetMode="External" Id="rId211" /><Relationship Type="http://schemas.openxmlformats.org/officeDocument/2006/relationships/hyperlink" Target="https://website-9ib.pages.dev/termek/255610-60x30x2-5-r2-5-mm-alu-zartszelveny/" TargetMode="External" Id="rId212" /><Relationship Type="http://schemas.openxmlformats.org/officeDocument/2006/relationships/hyperlink" Target="https://website-9ib.pages.dev/termek/255070-60x30x3-mm-alu-zartszelveny/" TargetMode="External" Id="rId213" /><Relationship Type="http://schemas.openxmlformats.org/officeDocument/2006/relationships/hyperlink" Target="https://website-9ib.pages.dev/termek/252444-60x40x2-5-mm-alu-zartszelveny/" TargetMode="External" Id="rId214" /><Relationship Type="http://schemas.openxmlformats.org/officeDocument/2006/relationships/hyperlink" Target="https://website-9ib.pages.dev/termek/252687-60x40x4-alu-zartszelveny/" TargetMode="External" Id="rId215" /><Relationship Type="http://schemas.openxmlformats.org/officeDocument/2006/relationships/hyperlink" Target="https://website-9ib.pages.dev/termek/256468-60x40x4-mm-r4-2-alu-zartszelveny/" TargetMode="External" Id="rId216" /><Relationship Type="http://schemas.openxmlformats.org/officeDocument/2006/relationships/hyperlink" Target="https://website-9ib.pages.dev/termek/254979-60x50x50x5-mm-u-profil/" TargetMode="External" Id="rId217" /><Relationship Type="http://schemas.openxmlformats.org/officeDocument/2006/relationships/hyperlink" Target="https://website-9ib.pages.dev/termek/252672-80x20x2-alu-zartszelveny/" TargetMode="External" Id="rId218" /><Relationship Type="http://schemas.openxmlformats.org/officeDocument/2006/relationships/hyperlink" Target="https://website-9ib.pages.dev/termek/252763-80x40x3-alu-zartszelveny/" TargetMode="External" Id="rId219" /><Relationship Type="http://schemas.openxmlformats.org/officeDocument/2006/relationships/hyperlink" Target="https://website-9ib.pages.dev/termek/255207-80x40x3-mm-r5-alu-zartszelveny/" TargetMode="External" Id="rId220" /><Relationship Type="http://schemas.openxmlformats.org/officeDocument/2006/relationships/hyperlink" Target="https://website-9ib.pages.dev/termek/252764-80x40x4-alu-zartszelveny/" TargetMode="External" Id="rId221" /><Relationship Type="http://schemas.openxmlformats.org/officeDocument/2006/relationships/hyperlink" Target="https://website-9ib.pages.dev/termek/258418-80x50x4-mm-r3-alu-zartszelveny/" TargetMode="External" Id="rId222" /><Relationship Type="http://schemas.openxmlformats.org/officeDocument/2006/relationships/hyperlink" Target="https://website-9ib.pages.dev/termek/255473-80x80x4-mm-alu-zartszelveny/" TargetMode="External" Id="rId223" /><Relationship Type="http://schemas.openxmlformats.org/officeDocument/2006/relationships/hyperlink" Target="https://website-9ib.pages.dev/termek/227576-zartszelveny-60x30x2-mm-or3-ir1-elox/" TargetMode="External" Id="rId224" /><Relationship Type="http://schemas.openxmlformats.org/officeDocument/2006/relationships/hyperlink" Target="https://website-9ib.pages.dev/termek/222923-60x1-5-mm-ponyvacso/" TargetMode="External" Id="rId225" /><Relationship Type="http://schemas.openxmlformats.org/officeDocument/2006/relationships/hyperlink" Target="https://website-9ib.pages.dev/termek/222985-d50-mm-alu-cso/" TargetMode="External" Id="rId226" /><Relationship Type="http://schemas.openxmlformats.org/officeDocument/2006/relationships/hyperlink" Target="https://website-9ib.pages.dev/termek/237798-specialis-35-also-keret-profil-ec/" TargetMode="External" Id="rId227" /><Relationship Type="http://schemas.openxmlformats.org/officeDocument/2006/relationships/hyperlink" Target="https://website-9ib.pages.dev/termek/237797-specialis-teto-profil-ec/" TargetMode="External" Id="rId228" /><Relationship Type="http://schemas.openxmlformats.org/officeDocument/2006/relationships/hyperlink" Target="https://website-9ib.pages.dev/termek/222139-n-h-szego-25-mm/" TargetMode="External" Id="rId229" /><Relationship Type="http://schemas.openxmlformats.org/officeDocument/2006/relationships/hyperlink" Target="https://website-9ib.pages.dev/termek/222139-h-szego-25-mm-elox/" TargetMode="External" Id="rId230" /><Relationship Type="http://schemas.openxmlformats.org/officeDocument/2006/relationships/hyperlink" Target="https://website-9ib.pages.dev/termek/222137-n-u-25-mm-szego-profil/" TargetMode="External" Id="rId231" /><Relationship Type="http://schemas.openxmlformats.org/officeDocument/2006/relationships/hyperlink" Target="https://website-9ib.pages.dev/termek/222137-u-25-mm-szego-profil-elox/" TargetMode="External" Id="rId232" /><Relationship Type="http://schemas.openxmlformats.org/officeDocument/2006/relationships/hyperlink" Target="https://website-9ib.pages.dev/termek/226115-also-tomiteses-200-mm-elox-profil/" TargetMode="External" Id="rId233" /><Relationship Type="http://schemas.openxmlformats.org/officeDocument/2006/relationships/hyperlink" Target="https://website-9ib.pages.dev/termek/388005-ponyvabeakaszto-alu-profil-70-mm-elox/" TargetMode="External" Id="rId234" /><Relationship Type="http://schemas.openxmlformats.org/officeDocument/2006/relationships/hyperlink" Target="https://website-9ib.pages.dev/termek/231309-an-h-ajtoszego-30-mm-elox/" TargetMode="External" Id="rId235" /><Relationship Type="http://schemas.openxmlformats.org/officeDocument/2006/relationships/hyperlink" Target="https://website-9ib.pages.dev/termek/231308-an-tomiteses-ajtoszego-30-mm-elox/" TargetMode="External" Id="rId236" /><Relationship Type="http://schemas.openxmlformats.org/officeDocument/2006/relationships/hyperlink" Target="https://website-9ib.pages.dev/termek/238066-cs-tomiteses-ajtoszego-25-mm-elox/" TargetMode="External" Id="rId237" /><Relationship Type="http://schemas.openxmlformats.org/officeDocument/2006/relationships/hyperlink" Target="https://website-9ib.pages.dev/termek/238067-tomites-a-szego-profilhoz/" TargetMode="External" Id="rId238" /><Relationship Type="http://schemas.openxmlformats.org/officeDocument/2006/relationships/hyperlink" Target="https://www.alu-sv.com/en/goods.ep/4000006_pillars/48000765_middle-pillar-alugrip-400--anod--no-edge" TargetMode="External" Id="rId239" /><Relationship Type="http://schemas.openxmlformats.org/officeDocument/2006/relationships/hyperlink" Target="https://website-9ib.pages.dev/termek/356297b-alu-kozepso-rakonca-400-mm-80-np/" TargetMode="External" Id="rId240" /><Relationship Type="http://schemas.openxmlformats.org/officeDocument/2006/relationships/hyperlink" Target="https://www.alu-sv.com/en/goods.ep/4000006_pillars/910105248_midlle-pillar-alugrip-400--anod." TargetMode="External" Id="rId241" /><Relationship Type="http://schemas.openxmlformats.org/officeDocument/2006/relationships/hyperlink" Target="https://website-9ib.pages.dev/termek/356297-alu-kozepso-rakonca-400-mm-80/" TargetMode="External" Id="rId242" /><Relationship Type="http://schemas.openxmlformats.org/officeDocument/2006/relationships/hyperlink" Target="https://www.alu-sv.com/en/goods.ep/13000002_side-pillars--front-and-rear-al-pillars/910108523_pillar-alugrip-60-cs-with-extension" TargetMode="External" Id="rId243" /><Relationship Type="http://schemas.openxmlformats.org/officeDocument/2006/relationships/hyperlink" Target="https://website-9ib.pages.dev/termek/356287-alu-kozepso-rakonca-400-mm-60-billeno-toldassal/" TargetMode="External" Id="rId244" /><Relationship Type="http://schemas.openxmlformats.org/officeDocument/2006/relationships/hyperlink" Target="https://website-9ib.pages.dev/termek/351155-alu-rakonca-top-kuplung/" TargetMode="External" Id="rId245" /><Relationship Type="http://schemas.openxmlformats.org/officeDocument/2006/relationships/hyperlink" Target="https://website-9ib.pages.dev/termek/351142-alu-rakonca-magasito-elox/" TargetMode="External" Id="rId246" /><Relationship Type="http://schemas.openxmlformats.org/officeDocument/2006/relationships/hyperlink" Target="https://website-9ib.pages.dev/termek/357271-kg-hatso-alu-szegoprofil-elox/" TargetMode="External" Id="rId247" /><Relationship Type="http://schemas.openxmlformats.org/officeDocument/2006/relationships/hyperlink" Target="https://website-9ib.pages.dev/termek/357270-kg-oldalso-alu-szego-profil-elox/" TargetMode="External" Id="rId248" /><Relationship Type="http://schemas.openxmlformats.org/officeDocument/2006/relationships/hyperlink" Target="https://www.alu-sv.com/en/goods.ep/4000043_bumpers-and-buffers/126000004_frame-profile-33x37mm-al" TargetMode="External" Id="rId249" /><Relationship Type="http://schemas.openxmlformats.org/officeDocument/2006/relationships/hyperlink" Target="https://website-9ib.pages.dev/termek/201094-targonca-utkozo-profil/" TargetMode="External" Id="rId250" /><Relationship Type="http://schemas.openxmlformats.org/officeDocument/2006/relationships/hyperlink" Target="https://www.alu-sv.com/en/goods.ep/4000049_aluminium-floors/910099447_edgeprofil-30mm-for-tow-truck" TargetMode="External" Id="rId251" /><Relationship Type="http://schemas.openxmlformats.org/officeDocument/2006/relationships/hyperlink" Target="https://website-9ib.pages.dev/termek/203492-autoszallito-padlo-keret-profil-30-mm/" TargetMode="External" Id="rId252" /><Relationship Type="http://schemas.openxmlformats.org/officeDocument/2006/relationships/hyperlink" Target="https://www.alu-sv.com/en/goods.ep/4000050_aluminium-overruns/70000028_mounting-ramp-side-profile-g-al" TargetMode="External" Id="rId253" /><Relationship Type="http://schemas.openxmlformats.org/officeDocument/2006/relationships/hyperlink" Target="https://website-9ib.pages.dev/termek/222233-rampa-szego-g-profil/" TargetMode="External" Id="rId254" /><Relationship Type="http://schemas.openxmlformats.org/officeDocument/2006/relationships/hyperlink" Target="https://website-9ib.pages.dev/termek/502502-dupla-gorgos-gumiutkozo-222x115/" TargetMode="External" Id="rId255" /><Relationship Type="http://schemas.openxmlformats.org/officeDocument/2006/relationships/hyperlink" Target="https://www.alu-sv.com/en/goods.ep/4000022_closed-body-hinges/103000083_hinge-al-180-anodized-170x48mm" TargetMode="External" Id="rId256" /><Relationship Type="http://schemas.openxmlformats.org/officeDocument/2006/relationships/hyperlink" Target="https://website-9ib.pages.dev/termek/812910-elox-alu-oldalajto-zsaner-lepcsos/" TargetMode="External" Id="rId257" /><Relationship Type="http://schemas.openxmlformats.org/officeDocument/2006/relationships/hyperlink" Target="https://www.alu-sv.com/en/goods.ep/4000027_closed-body-arcal/91000042_box-corner-protector-115x115x115mm-inox" TargetMode="External" Id="rId258" /><Relationship Type="http://schemas.openxmlformats.org/officeDocument/2006/relationships/hyperlink" Target="https://website-9ib.pages.dev/termek/102040-inox-sarokelem-nagy/" TargetMode="External" Id="rId259" /><Relationship Type="http://schemas.openxmlformats.org/officeDocument/2006/relationships/hyperlink" Target="https://website-9ib.pages.dev/termek/502501-szimpla-gorgos-gumiutkozo-d100-118/" TargetMode="External" Id="rId260" /><Relationship Type="http://schemas.openxmlformats.org/officeDocument/2006/relationships/hyperlink" Target="https://www.alu-sv.com/en/goods.ep/4000043_bumpers-and-buffers/99000116_buffer-with-rollers-1-cylinder-120x92mm" TargetMode="External" Id="rId261" /><Relationship Type="http://schemas.openxmlformats.org/officeDocument/2006/relationships/hyperlink" Target="https://website-9ib.pages.dev/termek/502500-szimpla-gorgos-gumiutkozo-d70-85/" TargetMode="External" Id="rId262" /><Relationship Type="http://schemas.openxmlformats.org/officeDocument/2006/relationships/hyperlink" Target="https://website-9ib.pages.dev/termek/103654-ontott-sarokelem/" TargetMode="External" Id="rId263" /><Relationship Type="http://schemas.openxmlformats.org/officeDocument/2006/relationships/hyperlink" Target="https://www.alu-sv.com/en/goods.ep/4000006_pillars/28000322_profile-cs-mini-80x35mm--anodized" TargetMode="External" Id="rId264" /><Relationship Type="http://schemas.openxmlformats.org/officeDocument/2006/relationships/hyperlink" Target="https://website-9ib.pages.dev/termek/66k0800-alu-zartszelveny-80x35-4r-elox/" TargetMode="External" Id="rId265" /><Relationship Type="http://schemas.openxmlformats.org/officeDocument/2006/relationships/hyperlink" Target="https://www.alu-sv.com/en/goods.ep/4000017_edscha-cs/910092718_al-eco-sheet-profile-120mm--anodize" TargetMode="External" Id="rId266" /><Relationship Type="http://schemas.openxmlformats.org/officeDocument/2006/relationships/hyperlink" Target="https://website-9ib.pages.dev/termek/6613366-al-eco-120-mm-kulso-palast-profil-elox/" TargetMode="External" Id="rId267" /><Relationship Type="http://schemas.openxmlformats.org/officeDocument/2006/relationships/hyperlink" Target="https://www.alu-sv.com/en/goods.ep/4000017_edscha-cs/910092720_al-eco-sheet-profile-counterpart" TargetMode="External" Id="rId268" /><Relationship Type="http://schemas.openxmlformats.org/officeDocument/2006/relationships/hyperlink" Target="https://website-9ib.pages.dev/termek/6613365-al-eco-merevito-profil-natur/" TargetMode="External" Id="rId269" /><Relationship Type="http://schemas.openxmlformats.org/officeDocument/2006/relationships/hyperlink" Target="https://www.alu-sv.com/en/goods.ep/4000017_edscha-cs/910111993_front-plate-2550mm--anod" TargetMode="External" Id="rId270" /><Relationship Type="http://schemas.openxmlformats.org/officeDocument/2006/relationships/hyperlink" Target="https://website-9ib.pages.dev/termek/alu-elso-takaro-lemez/" TargetMode="External" Id="rId271" /><Relationship Type="http://schemas.openxmlformats.org/officeDocument/2006/relationships/hyperlink" Target="https://website-9ib.pages.dev/termek/66177147-max-os-elso-elox-oszlop-3000-mm/" TargetMode="External" Id="rId272" /><Relationship Type="http://schemas.openxmlformats.org/officeDocument/2006/relationships/hyperlink" Target="https://website-9ib.pages.dev/termek/66177137-max-os-elso-elox-oszlop-3150-mm/" TargetMode="External" Id="rId273" /><Relationship Type="http://schemas.openxmlformats.org/officeDocument/2006/relationships/hyperlink" Target="https://website-9ib.pages.dev/termek/66177300-max-os-elso-elox-oszlop-3300-mm/" TargetMode="External" Id="rId274" /><Relationship Type="http://schemas.openxmlformats.org/officeDocument/2006/relationships/hyperlink" Target="https://website-9ib.pages.dev/termek/6635245-max-os-hatso-elox-oszlop-3000-mm/" TargetMode="External" Id="rId275" /><Relationship Type="http://schemas.openxmlformats.org/officeDocument/2006/relationships/hyperlink" Target="https://www.alu-sv.com/en/goods.ep/13000002_side-pillars--front-and-rear-al-pillars/10000293_pillar-profile-cs-max-rear--3150mm--anod" TargetMode="External" Id="rId276" /><Relationship Type="http://schemas.openxmlformats.org/officeDocument/2006/relationships/hyperlink" Target="https://website-9ib.pages.dev/termek/6635255-max-os-hatso-elox-oszlop-3150-mm/" TargetMode="External" Id="rId277" /><Relationship Type="http://schemas.openxmlformats.org/officeDocument/2006/relationships/hyperlink" Target="https://website-9ib.pages.dev/termek/6635300-max-os-hatso-elox-oszlop-3300-mm/" TargetMode="External" Id="rId278" /><Relationship Type="http://schemas.openxmlformats.org/officeDocument/2006/relationships/hyperlink" Target="https://www.alu-sv.com/en/goods.ep/13000002_side-pillars--front-and-rear-al-pillars/118000025_pillar-profile-cs-midi-head-on-anod" TargetMode="External" Id="rId279" /><Relationship Type="http://schemas.openxmlformats.org/officeDocument/2006/relationships/hyperlink" Target="https://website-9ib.pages.dev/termek/663980-midi-elso-oszlop-flat-elox-246/" TargetMode="External" Id="rId280" /><Relationship Type="http://schemas.openxmlformats.org/officeDocument/2006/relationships/hyperlink" Target="https://www.alu-sv.com/en/goods.ep/13000002_side-pillars--front-and-rear-al-pillars/910120403_pillar-profile-cs-midi-front-135-anod." TargetMode="External" Id="rId281" /><Relationship Type="http://schemas.openxmlformats.org/officeDocument/2006/relationships/hyperlink" Target="https://website-9ib.pages.dev/termek/661090-midi-elso-oszlop-lift-elox-135/" TargetMode="External" Id="rId282" /><Relationship Type="http://schemas.openxmlformats.org/officeDocument/2006/relationships/hyperlink" Target="https://www.alu-sv.com/en/goods.ep/13000002_side-pillars--front-and-rear-al-pillars/910191452_pillar-profile-cs-midi-rear-2024--anod" TargetMode="External" Id="rId283" /><Relationship Type="http://schemas.openxmlformats.org/officeDocument/2006/relationships/hyperlink" Target="https://website-9ib.pages.dev/termek/6614358-midi-hatso-u-szegos-oszlop-elox/" TargetMode="External" Id="rId284" /><Relationship Type="http://schemas.openxmlformats.org/officeDocument/2006/relationships/hyperlink" Target="https://www.alu-sv.com/en/goods.ep/13000002_side-pillars--front-and-rear-al-pillars/114000054_pillar-profile-cs-midi-rear-lift-anod." TargetMode="External" Id="rId285" /><Relationship Type="http://schemas.openxmlformats.org/officeDocument/2006/relationships/hyperlink" Target="https://website-9ib.pages.dev/termek/662000-midi-hatso-lift-oszlop-elox/" TargetMode="External" Id="rId286" /><Relationship Type="http://schemas.openxmlformats.org/officeDocument/2006/relationships/hyperlink" Target="https://www.alu-sv.com/en/goods.ep/13000002_side-pillars--front-and-rear-al-pillars/910104244_pillar-profile-cs-mini-front70(100)ano." TargetMode="External" Id="rId287" /><Relationship Type="http://schemas.openxmlformats.org/officeDocument/2006/relationships/hyperlink" Target="https://website-9ib.pages.dev/termek/6613575-mini-elso-100-alu-oszlop-elox/" TargetMode="External" Id="rId288" /><Relationship Type="http://schemas.openxmlformats.org/officeDocument/2006/relationships/hyperlink" Target="https://website-9ib.pages.dev/termek/6613576-mini-elso-flat-alu-oszlop-elox/" TargetMode="External" Id="rId289" /><Relationship Type="http://schemas.openxmlformats.org/officeDocument/2006/relationships/hyperlink" Target="https://www.alu-sv.com/en/goods.ep/13000002_side-pillars--front-and-rear-al-pillars/910104243_pillar-profile-cs-minirear110(138)anod" TargetMode="External" Id="rId290" /><Relationship Type="http://schemas.openxmlformats.org/officeDocument/2006/relationships/hyperlink" Target="https://website-9ib.pages.dev/termek/6613555-mini-hatso-oszlop-hn-elox-110-138/" TargetMode="External" Id="rId291" /><Relationship Type="http://schemas.openxmlformats.org/officeDocument/2006/relationships/hyperlink" Target="https://www.alu-sv.com/en/goods.ep/13000002_side-pillars--front-and-rear-al-pillars/910104241_pillar-profile-cs-mini-rear110(166)ano" TargetMode="External" Id="rId292" /><Relationship Type="http://schemas.openxmlformats.org/officeDocument/2006/relationships/hyperlink" Target="https://website-9ib.pages.dev/termek/6613554-mini-hatso-oszlop-elox-110-166/" TargetMode="External" Id="rId293" /><Relationship Type="http://schemas.openxmlformats.org/officeDocument/2006/relationships/hyperlink" Target="https://www.alu-sv.com/en/goods.ep/13000002_side-pillars--front-and-rear-al-pillars/67000056_pillar-profile-cs-mini-rear-111anod" TargetMode="External" Id="rId294" /><Relationship Type="http://schemas.openxmlformats.org/officeDocument/2006/relationships/hyperlink" Target="https://website-9ib.pages.dev/termek/6613553-mini-hatso-oszlop-elox-111-mm/" TargetMode="External" Id="rId295" /><Relationship Type="http://schemas.openxmlformats.org/officeDocument/2006/relationships/hyperlink" Target="https://website-9ib.pages.dev/termek/3515p23-aluminium-zar-ellendarab-uni-elox/" TargetMode="External" Id="rId296" /><Relationship Type="http://schemas.openxmlformats.org/officeDocument/2006/relationships/hyperlink" Target="https://www.alu-sv.com/en/goods.ep/4000041_steps/62000217_folding-step-160x150mm" TargetMode="External" Id="rId297" /><Relationship Type="http://schemas.openxmlformats.org/officeDocument/2006/relationships/hyperlink" Target="https://website-9ib.pages.dev/termek/506116-horganyzott-sullyesztett-fellepo/" TargetMode="External" Id="rId298" /><Relationship Type="http://schemas.openxmlformats.org/officeDocument/2006/relationships/hyperlink" Target="https://www.alu-sv.com/en/goods.ep/4000002_parts-for-aluminium-platforms/1482_clamp-palcom-m10-20-mm" TargetMode="External" Id="rId299" /><Relationship Type="http://schemas.openxmlformats.org/officeDocument/2006/relationships/hyperlink" Target="https://website-9ib.pages.dev/termek/117775-kormos-anya/" TargetMode="External" Id="rId300" /><Relationship Type="http://schemas.openxmlformats.org/officeDocument/2006/relationships/hyperlink" Target="https://www.alu-sv.com/en/goods.ep/4000002_parts-for-aluminium-platforms/1483_clamp-palcom-o10-5-44-mm" TargetMode="External" Id="rId301" /><Relationship Type="http://schemas.openxmlformats.org/officeDocument/2006/relationships/hyperlink" Target="https://website-9ib.pages.dev/termek/117774-kotoelem-apa/" TargetMode="External" Id="rId302" /><Relationship Type="http://schemas.openxmlformats.org/officeDocument/2006/relationships/hyperlink" Target="https://www.alu-sv.com/en/goods.ep/4000002_parts-for-aluminium-platforms/910098750_clamp-palcom-13x44x44-mm" TargetMode="External" Id="rId303" /><Relationship Type="http://schemas.openxmlformats.org/officeDocument/2006/relationships/hyperlink" Target="https://website-9ib.pages.dev/termek/117776-kotoelem-apa-kerethez/" TargetMode="External" Id="rId304" /><Relationship Type="http://schemas.openxmlformats.org/officeDocument/2006/relationships/hyperlink" Target="https://website-9ib.pages.dev/termek/117773-kotoelem-csavar/" TargetMode="External" Id="rId305" /><Relationship Type="http://schemas.openxmlformats.org/officeDocument/2006/relationships/hyperlink" Target="https://www.alu-sv.com/en/goods.ep/4000002_parts-for-aluminium-platforms/28000067_clamp-palcom-high-8mm" TargetMode="External" Id="rId306" /><Relationship Type="http://schemas.openxmlformats.org/officeDocument/2006/relationships/hyperlink" Target="https://website-9ib.pages.dev/termek/117787-kotoelem-garn-8mm/" TargetMode="External" Id="rId307" /><Relationship Type="http://schemas.openxmlformats.org/officeDocument/2006/relationships/hyperlink" Target="https://www.alu-sv.com/en/goods.ep/4000002_parts-for-aluminium-platforms/910098749_clamp-palcom-low-4mm" TargetMode="External" Id="rId308" /><Relationship Type="http://schemas.openxmlformats.org/officeDocument/2006/relationships/hyperlink" Target="https://website-9ib.pages.dev/termek/117777-kotoelem-garn-kerethez/" TargetMode="External" Id="rId309" /><Relationship Type="http://schemas.openxmlformats.org/officeDocument/2006/relationships/hyperlink" Target="https://www.alu-sv.com/en/goods.ep/4000002_parts-for-aluminium-platforms/28000153_set-m12x80-for-elastic-connection" TargetMode="External" Id="rId310" /><Relationship Type="http://schemas.openxmlformats.org/officeDocument/2006/relationships/hyperlink" Target="https://website-9ib.pages.dev/termek/m12x80-rugos-felfuggesztes/" TargetMode="External" Id="rId311" /><Relationship Type="http://schemas.openxmlformats.org/officeDocument/2006/relationships/hyperlink" Target="https://www.alu-sv.com/en/goods.ep/4000002_parts-for-aluminium-platforms/28000154_set-m14x100-for-elastic-connection" TargetMode="External" Id="rId312" /><Relationship Type="http://schemas.openxmlformats.org/officeDocument/2006/relationships/hyperlink" Target="https://website-9ib.pages.dev/termek/m14x100-rugos-felfuggesztes/" TargetMode="External" Id="rId313" /><Relationship Type="http://schemas.openxmlformats.org/officeDocument/2006/relationships/hyperlink" Target="https://www.alu-sv.com/en/goods.ep/4000002_parts-for-aluminium-platforms/910097223_frame-clamp-aluminium-103-mm" TargetMode="External" Id="rId314" /><Relationship Type="http://schemas.openxmlformats.org/officeDocument/2006/relationships/hyperlink" Target="https://website-9ib.pages.dev/termek/117502-nagy-kormos-anya-103-mm/" TargetMode="External" Id="rId315" /><Relationship Type="http://schemas.openxmlformats.org/officeDocument/2006/relationships/hyperlink" Target="https://www.alu-sv.com/en/goods.ep/19000002_dropsides--dropside-profiles/39000532_a-edging-profile-safegrip" TargetMode="External" Id="rId316" /><Relationship Type="http://schemas.openxmlformats.org/officeDocument/2006/relationships/hyperlink" Target="https://website-9ib.pages.dev/termek/222528-u-szego-zartszelveny-erositessel-25-mm-elox/" TargetMode="External" Id="rId317" /><Relationship Type="http://schemas.openxmlformats.org/officeDocument/2006/relationships/hyperlink" Target="https://website-9ib.pages.dev/termek/226915-n-30-mm-u-szego-profil/" TargetMode="External" Id="rId318" /><Relationship Type="http://schemas.openxmlformats.org/officeDocument/2006/relationships/hyperlink" Target="https://www.alu-sv.com/en/goods.ep/4000010_al-dropsides-dropside-prof.-30-40-60-65/38000483_tipper-profile-bottom-200x40-mm" TargetMode="External" Id="rId319" /><Relationship Type="http://schemas.openxmlformats.org/officeDocument/2006/relationships/hyperlink" Target="https://website-9ib.pages.dev/termek/245240-billencs-also-200x40-mm/" TargetMode="External" Id="rId320" /><Relationship Type="http://schemas.openxmlformats.org/officeDocument/2006/relationships/hyperlink" Target="https://www.alu-sv.com/en/goods.ep/4000010_al-dropsides-dropside-prof.-30-40-60-65/31000511_tipper-top-profile-200x40-mm" TargetMode="External" Id="rId321" /><Relationship Type="http://schemas.openxmlformats.org/officeDocument/2006/relationships/hyperlink" Target="https://website-9ib.pages.dev/termek/247243-billencs-felso-200x40-mm/" TargetMode="External" Id="rId322" /><Relationship Type="http://schemas.openxmlformats.org/officeDocument/2006/relationships/hyperlink" Target="https://www.alu-sv.com/en/goods.ep/4000010_al-dropsides-dropside-prof.-30-40-60-65/38000482_tipper-profile-middle-200x40-mm" TargetMode="External" Id="rId323" /><Relationship Type="http://schemas.openxmlformats.org/officeDocument/2006/relationships/hyperlink" Target="https://website-9ib.pages.dev/termek/243240-billencs-kozepso-200x40-mm/" TargetMode="External" Id="rId324" /><Relationship Type="http://schemas.openxmlformats.org/officeDocument/2006/relationships/hyperlink" Target="https://www.alu-sv.com/en/goods.ep/19000002_dropsides--dropside-profiles/15000001_top-profile-eurolock-100mm--anodized" TargetMode="External" Id="rId325" /><Relationship Type="http://schemas.openxmlformats.org/officeDocument/2006/relationships/hyperlink" Target="https://website-9ib.pages.dev/termek/228240-felso-100-mm-elox-profil/" TargetMode="External" Id="rId326" /><Relationship Type="http://schemas.openxmlformats.org/officeDocument/2006/relationships/hyperlink" Target="https://www.alu-sv.com/en/goods.ep/19000002_dropsides--dropside-profiles/1513_middle-profile-eurolock-100mm--anodized" TargetMode="External" Id="rId327" /><Relationship Type="http://schemas.openxmlformats.org/officeDocument/2006/relationships/hyperlink" Target="https://website-9ib.pages.dev/termek/227785-koztes-100-mm-elox-profil/" TargetMode="External" Id="rId328" /><Relationship Type="http://schemas.openxmlformats.org/officeDocument/2006/relationships/hyperlink" Target="https://www.alu-sv.com/en/goods.ep/19000002_dropsides--dropside-profiles/136_gasket-for-lower-profile-eurolock" TargetMode="External" Id="rId329" /><Relationship Type="http://schemas.openxmlformats.org/officeDocument/2006/relationships/hyperlink" Target="https://website-9ib.pages.dev/termek/223563-tomites-also-zaroprofilhoz/" TargetMode="External" Id="rId330" /><Relationship Type="http://schemas.openxmlformats.org/officeDocument/2006/relationships/hyperlink" Target="https://www.alu-sv.com/en/goods.ep/4000018_pevne-plachtove-konstrukce/7000310_holder-of-tarp.-prof.-riveting-black" TargetMode="External" Id="rId331" /><Relationship Type="http://schemas.openxmlformats.org/officeDocument/2006/relationships/hyperlink" Target="https://website-9ib.pages.dev/termek/100021-100x25-mm-festett-szegecselheto-deszkatarto-zseb/" TargetMode="External" Id="rId332" /><Relationship Type="http://schemas.openxmlformats.org/officeDocument/2006/relationships/hyperlink" Target="https://www.alu-sv.com/en/goods.ep/13000002_side-pillars--front-and-rear-al-pillars/306000040_pillar-flange-cs-variomaster-465mm" TargetMode="External" Id="rId333" /><Relationship Type="http://schemas.openxmlformats.org/officeDocument/2006/relationships/hyperlink" Target="https://website-9ib.pages.dev/termek/107409-465x25-mm-festett-szegecselheto-deszkatarto-zseb/" TargetMode="External" Id="rId334" /><Relationship Type="http://schemas.openxmlformats.org/officeDocument/2006/relationships/hyperlink" Target="https://www.alu-sv.com/en/goods.ep/4000018_pevne-plachtove-konstrukce/87000121_stopper-of-tarpaulin-profile--anodized" TargetMode="External" Id="rId335" /><Relationship Type="http://schemas.openxmlformats.org/officeDocument/2006/relationships/hyperlink" Target="https://website-9ib.pages.dev/termek/106107-alu-elox-szeg-deszkatarto-l-25x19x32-mm/" TargetMode="External" Id="rId336" /><Relationship Type="http://schemas.openxmlformats.org/officeDocument/2006/relationships/hyperlink" Target="https://www.alu-sv.com/en/goods.ep/4000043_bumpers-and-buffers/39000629_screw-for-profile-2200071094" TargetMode="External" Id="rId337" /><Relationship Type="http://schemas.openxmlformats.org/officeDocument/2006/relationships/hyperlink" Target="https://website-9ib.pages.dev/termek/106282-targoncautkozo-profil-rogzito-csavar-keszlet/" TargetMode="External" Id="rId338" /><Relationship Type="http://schemas.openxmlformats.org/officeDocument/2006/relationships/hyperlink" Target="https://www.alu-sv.com/en/goods.ep/4000036_lashing-rings/34000390_pivoting-stowing-ring--350kg" TargetMode="External" Id="rId339" /><Relationship Type="http://schemas.openxmlformats.org/officeDocument/2006/relationships/hyperlink" Target="https://website-9ib.pages.dev/termek/127111-3-reszes-rakomanyrogzito-oval-tanyer-kics-350kg/" TargetMode="External" Id="rId340" /><Relationship Type="http://schemas.openxmlformats.org/officeDocument/2006/relationships/hyperlink" Target="https://website-9ib.pages.dev/termek/121206-gyurus-rakomanyrogzito-400-dan-d40/" TargetMode="External" Id="rId341" /><Relationship Type="http://schemas.openxmlformats.org/officeDocument/2006/relationships/hyperlink" Target="https://website-9ib.pages.dev/termek/1263935-kombi-ponyvatarto-rakomanyrogzito-sin-acel/" TargetMode="External" Id="rId342" /><Relationship Type="http://schemas.openxmlformats.org/officeDocument/2006/relationships/hyperlink" Target="https://www.alu-sv.com/en/goods.ep/4000037_cargo-securing-lathes/12000523_lath-end-cap-airline--plastic-50mm" TargetMode="External" Id="rId343" /><Relationship Type="http://schemas.openxmlformats.org/officeDocument/2006/relationships/hyperlink" Target="https://website-9ib.pages.dev/termek/120682-muanyag-vegzar-airline-sinhez/" TargetMode="External" Id="rId344" /><Relationship Type="http://schemas.openxmlformats.org/officeDocument/2006/relationships/hyperlink" Target="https://website-9ib.pages.dev/termek/127159-palcas-rakomanyrogzito-sin-sully-alu-5m/" TargetMode="External" Id="rId345" /><Relationship Type="http://schemas.openxmlformats.org/officeDocument/2006/relationships/hyperlink" Target="https://website-9ib.pages.dev/termek/122000-rakomanyrogzito-kengyel-1000-dan-p/" TargetMode="External" Id="rId346" /><Relationship Type="http://schemas.openxmlformats.org/officeDocument/2006/relationships/hyperlink" Target="https://www.alu-sv.com/en/goods.ep/4000036_lashing-rings/39000650_frame-stowing-ring-m8-1000dan" TargetMode="External" Id="rId347" /><Relationship Type="http://schemas.openxmlformats.org/officeDocument/2006/relationships/hyperlink" Target="https://website-9ib.pages.dev/termek/122850-rakomanyrogzito-kengyel-1000-dan-sv/" TargetMode="External" Id="rId348" /><Relationship Type="http://schemas.openxmlformats.org/officeDocument/2006/relationships/hyperlink" Target="https://website-9ib.pages.dev/termek/122263-sullyesztett-airline-sin-alu-3000mm/" TargetMode="External" Id="rId349" /><Relationship Type="http://schemas.openxmlformats.org/officeDocument/2006/relationships/hyperlink" Target="https://www.alu-sv.com/en/goods.ep/13000005_inter-dropsides-stowing-bar/36000019_.stowing-bar-2400-2700-mm-400dan" TargetMode="External" Id="rId350" /><Relationship Type="http://schemas.openxmlformats.org/officeDocument/2006/relationships/hyperlink" Target="https://website-9ib.pages.dev/termek/123025-terelvalaszto-falzar-2400-2700-mm-400dan/" TargetMode="External" Id="rId351" /><Relationship Type="http://schemas.openxmlformats.org/officeDocument/2006/relationships/hyperlink" Target="https://www.alu-sv.com/en/goods.ep/19000001_closed-body-aluminum-profiles/910189874_dripchannel-profile--anodized" TargetMode="External" Id="rId352" /><Relationship Type="http://schemas.openxmlformats.org/officeDocument/2006/relationships/hyperlink" Target="https://website-9ib.pages.dev/termek/231144-z-esoveto-alu-profil-60-mm/" TargetMode="External" Id="rId353" /><Relationship Type="http://schemas.openxmlformats.org/officeDocument/2006/relationships/hyperlink" Target="https://www.alu-sv.com/en/goods.ep/19000001_closed-body-aluminum-profiles/70000030_profil-l-26x15-3mm--anodized" TargetMode="External" Id="rId354" /><Relationship Type="http://schemas.openxmlformats.org/officeDocument/2006/relationships/hyperlink" Target="https://website-9ib.pages.dev/termek/231791-15-3x26-mm-l-profil-elox/" TargetMode="External" Id="rId355" /><Relationship Type="http://schemas.openxmlformats.org/officeDocument/2006/relationships/hyperlink" Target="https://www.alu-sv.com/en/goods.ep/19000001_closed-body-aluminum-profiles/87000229_inside-profile-l40x40--anodized" TargetMode="External" Id="rId356" /><Relationship Type="http://schemas.openxmlformats.org/officeDocument/2006/relationships/hyperlink" Target="https://website-9ib.pages.dev/termek/237768-40x40x2-5-r-elox-l-profil/" TargetMode="External" Id="rId357" /><Relationship Type="http://schemas.openxmlformats.org/officeDocument/2006/relationships/hyperlink" Target="https://www.alu-sv.com/en/goods.ep/19000001_closed-body-aluminum-profiles/1468_internal-profile-l-60x60mm--al" TargetMode="External" Id="rId358" /><Relationship Type="http://schemas.openxmlformats.org/officeDocument/2006/relationships/hyperlink" Target="https://website-9ib.pages.dev/termek/237767-n-60x60-l-profil/" TargetMode="External" Id="rId359" /><Relationship Type="http://schemas.openxmlformats.org/officeDocument/2006/relationships/hyperlink" Target="https://website-9ib.pages.dev/termek/231726-n-b-tomiteses-ajtoszego-25-mm/" TargetMode="External" Id="rId360" /><Relationship Type="http://schemas.openxmlformats.org/officeDocument/2006/relationships/hyperlink" Target="https://www.alu-sv.com/en/goods.ep/4000022_closed-body-hinges/815_continuous-hinge-155-counterpart-max5-3m" TargetMode="External" Id="rId361" /><Relationship Type="http://schemas.openxmlformats.org/officeDocument/2006/relationships/hyperlink" Target="https://website-9ib.pages.dev/termek/237310-20-dupla-alu-zsaner/" TargetMode="External" Id="rId362" /><Relationship Type="http://schemas.openxmlformats.org/officeDocument/2006/relationships/hyperlink" Target="https://website-9ib.pages.dev/termek/233176-esocsatorna-elox-nagy-7500/" TargetMode="External" Id="rId363" /><Relationship Type="http://schemas.openxmlformats.org/officeDocument/2006/relationships/hyperlink" Target="https://www.alu-sv.com/en/goods.ep/19000001_closed-body-aluminum-profiles/1474_roof-profile-omega-35mm--al" TargetMode="External" Id="rId364" /><Relationship Type="http://schemas.openxmlformats.org/officeDocument/2006/relationships/hyperlink" Target="https://website-9ib.pages.dev/termek/238043-kalap-profil-natur-35-87-mm/" TargetMode="External" Id="rId365" /><Relationship Type="http://schemas.openxmlformats.org/officeDocument/2006/relationships/hyperlink" Target="https://www.alu-sv.com/en/goods.ep/19000001_closed-body-aluminum-profiles/16000141_edge-profile-r50--outdoor" TargetMode="External" Id="rId366" /><Relationship Type="http://schemas.openxmlformats.org/officeDocument/2006/relationships/hyperlink" Target="https://website-9ib.pages.dev/termek/236817-n-r50-ives-felso-profil/" TargetMode="External" Id="rId367" /><Relationship Type="http://schemas.openxmlformats.org/officeDocument/2006/relationships/hyperlink" Target="https://www.alu-sv.com/en/goods.ep/19000001_closed-body-aluminum-profiles/15000175_edge-profile-r50-outside--anodized" TargetMode="External" Id="rId368" /><Relationship Type="http://schemas.openxmlformats.org/officeDocument/2006/relationships/hyperlink" Target="https://website-9ib.pages.dev/termek/236817-r50-ives-felso-profil-elox/" TargetMode="External" Id="rId369" /><Relationship Type="http://schemas.openxmlformats.org/officeDocument/2006/relationships/hyperlink" Target="https://website-9ib.pages.dev/termek/l-12x1250x2500-mm-natur-retegelt-lemez/" TargetMode="External" Id="rId370" /><Relationship Type="http://schemas.openxmlformats.org/officeDocument/2006/relationships/hyperlink" Target="https://website-9ib.pages.dev/termek/l-12x1250x2500-mm-retegelt-lemez-fenolos/" TargetMode="External" Id="rId371" /><Relationship Type="http://schemas.openxmlformats.org/officeDocument/2006/relationships/hyperlink" Target="https://website-9ib.pages.dev/termek/l-15x1500x2500-retegelt-lemez-fenolos/" TargetMode="External" Id="rId372" /><Relationship Type="http://schemas.openxmlformats.org/officeDocument/2006/relationships/hyperlink" Target="https://website-9ib.pages.dev/termek/l-15x1500x3000-retegelt-lemez-fenolos/" TargetMode="External" Id="rId373" /><Relationship Type="http://schemas.openxmlformats.org/officeDocument/2006/relationships/hyperlink" Target="https://website-9ib.pages.dev/termek/l-15x2150x4000-retegelt-lemez-fenolos/" TargetMode="External" Id="rId374" /><Relationship Type="http://schemas.openxmlformats.org/officeDocument/2006/relationships/hyperlink" Target="https://website-9ib.pages.dev/termek/l-21x1500x2500-mm-retegelt-lemez-fenolos/" TargetMode="External" Id="rId375" /><Relationship Type="http://schemas.openxmlformats.org/officeDocument/2006/relationships/hyperlink" Target="https://website-9ib.pages.dev/termek/l-30x1250x2500-retegelt-lemez-fenolos/" TargetMode="External" Id="rId376" /><Relationship Type="http://schemas.openxmlformats.org/officeDocument/2006/relationships/hyperlink" Target="https://website-9ib.pages.dev/termek/l-6-5x1250x2500-mm-natur-retegelt-lemez/" TargetMode="External" Id="rId377" /><Relationship Type="http://schemas.openxmlformats.org/officeDocument/2006/relationships/hyperlink" Target="https://website-9ib.pages.dev/termek/l-6-5x1250x2500-mm-retegelt-lemez-fenolos/" TargetMode="External" Id="rId378" /><Relationship Type="http://schemas.openxmlformats.org/officeDocument/2006/relationships/hyperlink" Target="https://website-9ib.pages.dev/termek/l-6-5x1500x3000-mm-natur-retegelt-lemez/" TargetMode="External" Id="rId379" /><Relationship Type="http://schemas.openxmlformats.org/officeDocument/2006/relationships/hyperlink" Target="https://website-9ib.pages.dev/termek/l-9x1250x2500-retegelt-lemez-fenolos/" TargetMode="External" Id="rId380" /><Relationship Type="http://schemas.openxmlformats.org/officeDocument/2006/relationships/hyperlink" Target="https://website-9ib.pages.dev/termek/l-9x1250x2500mm-natur-retegelt-lemez/" TargetMode="External" Id="rId381" /><Relationship Type="http://schemas.openxmlformats.org/officeDocument/2006/relationships/hyperlink" Target="https://www.bmcflexpar.com/flex-par-c-2/" TargetMode="External" Id="rId382" /><Relationship Type="http://schemas.openxmlformats.org/officeDocument/2006/relationships/hyperlink" Target="https://website-9ib.pages.dev/termek/j50001-ives-sarvedo-1380-880-400/" TargetMode="External" Id="rId383" /><Relationship Type="http://schemas.openxmlformats.org/officeDocument/2006/relationships/hyperlink" Target="https://www.bmcflexpar.com/flex-par-c-2/" TargetMode="External" Id="rId384" /><Relationship Type="http://schemas.openxmlformats.org/officeDocument/2006/relationships/hyperlink" Target="https://website-9ib.pages.dev/termek/j50002-ives-sarvedo-1380-880-450/" TargetMode="External" Id="rId385" /><Relationship Type="http://schemas.openxmlformats.org/officeDocument/2006/relationships/hyperlink" Target="https://www.bmcflexpar.com/flex-par-c-white-line/" TargetMode="External" Id="rId386" /><Relationship Type="http://schemas.openxmlformats.org/officeDocument/2006/relationships/hyperlink" Target="https://website-9ib.pages.dev/termek/j50002-b-ives-sarvedo-feher-csikkal-1380-880-450/" TargetMode="External" Id="rId387" /><Relationship Type="http://schemas.openxmlformats.org/officeDocument/2006/relationships/hyperlink" Target="https://www.bmcflexpar.com/flex-par-c-2/" TargetMode="External" Id="rId388" /><Relationship Type="http://schemas.openxmlformats.org/officeDocument/2006/relationships/hyperlink" Target="https://website-9ib.pages.dev/termek/j50003-ives-sarvedo-1380-880-270/" TargetMode="External" Id="rId389" /><Relationship Type="http://schemas.openxmlformats.org/officeDocument/2006/relationships/hyperlink" Target="https://www.bmcflexpar.com/flex-par-c-white-line/" TargetMode="External" Id="rId390" /><Relationship Type="http://schemas.openxmlformats.org/officeDocument/2006/relationships/hyperlink" Target="https://website-9ib.pages.dev/termek/j50003-b-ives-sarvedo-feher-csikkal-1380-880-270/" TargetMode="External" Id="rId391" /><Relationship Type="http://schemas.openxmlformats.org/officeDocument/2006/relationships/hyperlink" Target="https://www.bmcflexpar.com/flex-par-ft/" TargetMode="External" Id="rId392" /><Relationship Type="http://schemas.openxmlformats.org/officeDocument/2006/relationships/hyperlink" Target="https://website-9ib.pages.dev/termek/j50019-450ft-csapott-teteju-sarvedo/" TargetMode="External" Id="rId393" /><Relationship Type="http://schemas.openxmlformats.org/officeDocument/2006/relationships/hyperlink" Target="https://www.bmcflexpar.com/flex-par-ft/" TargetMode="External" Id="rId394" /><Relationship Type="http://schemas.openxmlformats.org/officeDocument/2006/relationships/hyperlink" Target="https://website-9ib.pages.dev/termek/j50019-b-450ft-csapott-teteju-sarvedo-feher-csikkal/" TargetMode="External" Id="rId395" /><Relationship Type="http://schemas.openxmlformats.org/officeDocument/2006/relationships/hyperlink" Target="https://www.bmcflexpar.com/flex-par-ft/" TargetMode="External" Id="rId396" /><Relationship Type="http://schemas.openxmlformats.org/officeDocument/2006/relationships/hyperlink" Target="https://website-9ib.pages.dev/termek/j50027-280ft-csapott-teteju-sarvedo/" TargetMode="External" Id="rId397" /><Relationship Type="http://schemas.openxmlformats.org/officeDocument/2006/relationships/hyperlink" Target="https://www.bmcflexpar.com/flex-par-ft/" TargetMode="External" Id="rId398" /><Relationship Type="http://schemas.openxmlformats.org/officeDocument/2006/relationships/hyperlink" Target="https://website-9ib.pages.dev/termek/j50027-b-280ft-csapott-teteju-sarvedo-feher-csikkal/" TargetMode="External" Id="rId399" /><Relationship Type="http://schemas.openxmlformats.org/officeDocument/2006/relationships/hyperlink" Target="https://www.bmcflexpar.com/toolbox-evolution/" TargetMode="External" Id="rId400" /><Relationship Type="http://schemas.openxmlformats.org/officeDocument/2006/relationships/hyperlink" Target="https://website-9ib.pages.dev/termek/j504335-szerszamos-lada-500x430x350-mm/" TargetMode="External" Id="rId401" /><Relationship Type="http://schemas.openxmlformats.org/officeDocument/2006/relationships/hyperlink" Target="https://www.bmcflexpar.com/toolbox-evolution/" TargetMode="External" Id="rId402" /><Relationship Type="http://schemas.openxmlformats.org/officeDocument/2006/relationships/hyperlink" Target="https://website-9ib.pages.dev/termek/j605040-szerszamos-lada-600x500x400-mm/" TargetMode="External" Id="rId403" /><Relationship Type="http://schemas.openxmlformats.org/officeDocument/2006/relationships/hyperlink" Target="https://www.bmcflexpar.com/toolbox-pioneer/" TargetMode="External" Id="rId404" /><Relationship Type="http://schemas.openxmlformats.org/officeDocument/2006/relationships/hyperlink" Target="https://website-9ib.pages.dev/termek/j804550-szerszamos-lada-800x450x500-mm/" TargetMode="External" Id="rId405" /><Relationship Type="http://schemas.openxmlformats.org/officeDocument/2006/relationships/hyperlink" Target="https://www.bodega.it" TargetMode="External" Id="rId406" /><Relationship Type="http://schemas.openxmlformats.org/officeDocument/2006/relationships/hyperlink" Target="https://website-9ib.pages.dev/termek/207833-100x30-mm-alafutasgatlo-elox-profil/" TargetMode="External" Id="rId407" /><Relationship Type="http://schemas.openxmlformats.org/officeDocument/2006/relationships/hyperlink" Target="https://website-9ib.pages.dev/termek/2015290-15-mm-keretprofil-elox/" TargetMode="External" Id="rId408" /><Relationship Type="http://schemas.openxmlformats.org/officeDocument/2006/relationships/hyperlink" Target="https://website-9ib.pages.dev/termek/2018290-18-mm-keretprofil-elox/" TargetMode="External" Id="rId409" /><Relationship Type="http://schemas.openxmlformats.org/officeDocument/2006/relationships/hyperlink" Target="https://website-9ib.pages.dev/termek/226821-21-padlo-profil-200-mm/" TargetMode="External" Id="rId410" /><Relationship Type="http://schemas.openxmlformats.org/officeDocument/2006/relationships/hyperlink" Target="https://website-9ib.pages.dev/termek/252981-20x20x3-alu-zartszelveny/" TargetMode="External" Id="rId411" /><Relationship Type="http://schemas.openxmlformats.org/officeDocument/2006/relationships/hyperlink" Target="https://website-9ib.pages.dev/termek/258455-60x40x2-5-r2-alu-zartszelveny/" TargetMode="External" Id="rId412" /><Relationship Type="http://schemas.openxmlformats.org/officeDocument/2006/relationships/hyperlink" Target="https://website-9ib.pages.dev/termek/252535-60x40x3-alu-zartszelveny/" TargetMode="External" Id="rId413" /><Relationship Type="http://schemas.openxmlformats.org/officeDocument/2006/relationships/hyperlink" Target="https://website-9ib.pages.dev/termek/251659-80x50x4-mm-r4-alu-zartszelveny/" TargetMode="External" Id="rId414" /><Relationship Type="http://schemas.openxmlformats.org/officeDocument/2006/relationships/hyperlink" Target="https://www.bodega.it" TargetMode="External" Id="rId415" /><Relationship Type="http://schemas.openxmlformats.org/officeDocument/2006/relationships/hyperlink" Target="https://website-9ib.pages.dev/termek/228153-u-25-mm-szego-profil-elox-b/" TargetMode="External" Id="rId416" /><Relationship Type="http://schemas.openxmlformats.org/officeDocument/2006/relationships/hyperlink" Target="https://website-9ib.pages.dev/termek/225455-n-u-35-mm-szego-profil/" TargetMode="External" Id="rId417" /><Relationship Type="http://schemas.openxmlformats.org/officeDocument/2006/relationships/hyperlink" Target="https://website-9ib.pages.dev/termek/225455-u-35-mm-szego-profil-elox/" TargetMode="External" Id="rId418" /><Relationship Type="http://schemas.openxmlformats.org/officeDocument/2006/relationships/hyperlink" Target="https://website-9ib.pages.dev/termek/226671-400-mm-gumis-oldalfal-elox/" TargetMode="External" Id="rId419" /><Relationship Type="http://schemas.openxmlformats.org/officeDocument/2006/relationships/hyperlink" Target="https://website-9ib.pages.dev/termek/226795-400-mm-peremes-gumis-oldalfal-elox/" TargetMode="External" Id="rId420" /><Relationship Type="http://schemas.openxmlformats.org/officeDocument/2006/relationships/hyperlink" Target="https://www.bodega.it" TargetMode="External" Id="rId421" /><Relationship Type="http://schemas.openxmlformats.org/officeDocument/2006/relationships/hyperlink" Target="https://website-9ib.pages.dev/termek/225549-400-mm-peremes-oldalfal-elox/" TargetMode="External" Id="rId422" /><Relationship Type="http://schemas.openxmlformats.org/officeDocument/2006/relationships/hyperlink" Target="https://website-9ib.pages.dev/termek/226113-felso-200-mm-elox-profil-b/" TargetMode="External" Id="rId423" /><Relationship Type="http://schemas.openxmlformats.org/officeDocument/2006/relationships/hyperlink" Target="https://website-9ib.pages.dev/termek/226114-koztes-200-mm-elox-profil-b/" TargetMode="External" Id="rId424" /><Relationship Type="http://schemas.openxmlformats.org/officeDocument/2006/relationships/hyperlink" Target="https://website-9ib.pages.dev/termek/225040-koztes-250-mm-elox-profil/" TargetMode="External" Id="rId425" /><Relationship Type="http://schemas.openxmlformats.org/officeDocument/2006/relationships/hyperlink" Target="https://website-9ib.pages.dev/termek/225040-n-koztes-250-mm-profil/" TargetMode="External" Id="rId426" /><Relationship Type="http://schemas.openxmlformats.org/officeDocument/2006/relationships/hyperlink" Target="https://website-9ib.pages.dev/termek/226253-koztes-ponyvas-200-mm-elox-profil-b/" TargetMode="External" Id="rId427" /><Relationship Type="http://schemas.openxmlformats.org/officeDocument/2006/relationships/hyperlink" Target="https://website-9ib.pages.dev/termek/223032-spitz-profil-100-mm/" TargetMode="External" Id="rId428" /><Relationship Type="http://schemas.openxmlformats.org/officeDocument/2006/relationships/hyperlink" Target="https://website-9ib.pages.dev/termek/222005-spitz-profil-150-mm-magas-t/" TargetMode="External" Id="rId429" /><Relationship Type="http://schemas.openxmlformats.org/officeDocument/2006/relationships/hyperlink" Target="https://website-9ib.pages.dev/termek/235427-25x35-mm-specialis-teto-profil/" TargetMode="External" Id="rId430" /><Relationship Type="http://schemas.openxmlformats.org/officeDocument/2006/relationships/hyperlink" Target="https://website-9ib.pages.dev/termek/235339-25x35-mm-specialis-teto-profil-elox-ih/" TargetMode="External" Id="rId431" /><Relationship Type="http://schemas.openxmlformats.org/officeDocument/2006/relationships/hyperlink" Target="https://website-9ib.pages.dev/termek/2346457-35x35-mm-specialis-teto-profil-elox-ht/" TargetMode="External" Id="rId432" /><Relationship Type="http://schemas.openxmlformats.org/officeDocument/2006/relationships/hyperlink" Target="https://website-9ib.pages.dev/termek/235426-specialis-h-szego-profil/" TargetMode="External" Id="rId433" /><Relationship Type="http://schemas.openxmlformats.org/officeDocument/2006/relationships/hyperlink" Target="https://www.caralushop.nl/en/catalog/categories/660" TargetMode="External" Id="rId434" /><Relationship Type="http://schemas.openxmlformats.org/officeDocument/2006/relationships/hyperlink" Target="https://website-9ib.pages.dev/termek/7250840-magneses-ajtorogzito-200n/" TargetMode="External" Id="rId435" /><Relationship Type="http://schemas.openxmlformats.org/officeDocument/2006/relationships/hyperlink" Target="https://www.caralushop.nl/en/catalog/categories/710" TargetMode="External" Id="rId436" /><Relationship Type="http://schemas.openxmlformats.org/officeDocument/2006/relationships/hyperlink" Target="https://website-9ib.pages.dev/termek/107045-sarok-elem-25-25-r-profilhoz/" TargetMode="External" Id="rId437" /><Relationship Type="http://schemas.openxmlformats.org/officeDocument/2006/relationships/hyperlink" Target="https://www.caralushop.nl/en/catalog/categories/719" TargetMode="External" Id="rId438" /><Relationship Type="http://schemas.openxmlformats.org/officeDocument/2006/relationships/hyperlink" Target="https://website-9ib.pages.dev/termek/107046-sarokelem-felso-ral9006/" TargetMode="External" Id="rId439" /><Relationship Type="http://schemas.openxmlformats.org/officeDocument/2006/relationships/hyperlink" Target="https://website-9ib.pages.dev/termek/m1-001-c-sin-aluminium/" TargetMode="External" Id="rId440" /><Relationship Type="http://schemas.openxmlformats.org/officeDocument/2006/relationships/hyperlink" Target="https://website-9ib.pages.dev/termek/251316-40x25x4-mm-r-zartszelveny/" TargetMode="External" Id="rId441" /><Relationship Type="http://schemas.openxmlformats.org/officeDocument/2006/relationships/hyperlink" Target="https://website-9ib.pages.dev/termek/221746-h-toldo-szego-profil-elox/" TargetMode="External" Id="rId442" /><Relationship Type="http://schemas.openxmlformats.org/officeDocument/2006/relationships/hyperlink" Target="https://website-9ib.pages.dev/termek/092901-muanyag-lepcsonyito-kicsi/" TargetMode="External" Id="rId443" /><Relationship Type="http://schemas.openxmlformats.org/officeDocument/2006/relationships/hyperlink" Target="https://www.caralushop.nl/en/catalog/categories/660" TargetMode="External" Id="rId444" /><Relationship Type="http://schemas.openxmlformats.org/officeDocument/2006/relationships/hyperlink" Target="https://website-9ib.pages.dev/termek/055960-muanyag-lepcsonyito-nagy/" TargetMode="External" Id="rId445" /><Relationship Type="http://schemas.openxmlformats.org/officeDocument/2006/relationships/hyperlink" Target="https://www.caralushop.nl/en/catalog/categories/1006" TargetMode="External" Id="rId446" /><Relationship Type="http://schemas.openxmlformats.org/officeDocument/2006/relationships/hyperlink" Target="https://website-9ib.pages.dev/termek/q8033-elox-profil-kefehez/" TargetMode="External" Id="rId447" /><Relationship Type="http://schemas.openxmlformats.org/officeDocument/2006/relationships/hyperlink" Target="https://www.caralushop.nl/en/catalog/categories/1006" TargetMode="External" Id="rId448" /><Relationship Type="http://schemas.openxmlformats.org/officeDocument/2006/relationships/hyperlink" Target="https://website-9ib.pages.dev/termek/q8035-25-mm-kefe/" TargetMode="External" Id="rId449" /><Relationship Type="http://schemas.openxmlformats.org/officeDocument/2006/relationships/hyperlink" Target="https://www.caralushop.nl/en/catalog/categories/1006" TargetMode="External" Id="rId450" /><Relationship Type="http://schemas.openxmlformats.org/officeDocument/2006/relationships/hyperlink" Target="https://website-9ib.pages.dev/termek/q8037-kefe-25-mm-elox-profillal/" TargetMode="External" Id="rId451" /><Relationship Type="http://schemas.openxmlformats.org/officeDocument/2006/relationships/hyperlink" Target="https://www.caralushop.nl/en/catalog/categories/1006" TargetMode="External" Id="rId452" /><Relationship Type="http://schemas.openxmlformats.org/officeDocument/2006/relationships/hyperlink" Target="https://website-9ib.pages.dev/termek/q8040-kefe-40-mm-elox-profillal/" TargetMode="External" Id="rId453" /><Relationship Type="http://schemas.openxmlformats.org/officeDocument/2006/relationships/hyperlink" Target="https://website-9ib.pages.dev/termek/617280-zar-ellendarab-ivelt-lemez/" TargetMode="External" Id="rId454" /><Relationship Type="http://schemas.openxmlformats.org/officeDocument/2006/relationships/hyperlink" Target="https://www.caralushop.nl/en/catalog/categories/711" TargetMode="External" Id="rId455" /><Relationship Type="http://schemas.openxmlformats.org/officeDocument/2006/relationships/hyperlink" Target="https://website-9ib.pages.dev/termek/231726-b-tomiteses-ajtoszego-25-mm-elox/" TargetMode="External" Id="rId456" /><Relationship Type="http://schemas.openxmlformats.org/officeDocument/2006/relationships/hyperlink" Target="https://website-9ib.pages.dev/termek/231729-b-front-tomiteses-u-ajtoszego-25-mm-elox/" TargetMode="External" Id="rId457" /><Relationship Type="http://schemas.openxmlformats.org/officeDocument/2006/relationships/hyperlink" Target="https://www.caralushop.nl/en/catalog/categories/711" TargetMode="External" Id="rId458" /><Relationship Type="http://schemas.openxmlformats.org/officeDocument/2006/relationships/hyperlink" Target="https://website-9ib.pages.dev/termek/231725-n-belga-h-szego-25-mm/" TargetMode="External" Id="rId459" /><Relationship Type="http://schemas.openxmlformats.org/officeDocument/2006/relationships/hyperlink" Target="https://www.caralushop.nl/en/catalog/categories/711" TargetMode="External" Id="rId460" /><Relationship Type="http://schemas.openxmlformats.org/officeDocument/2006/relationships/hyperlink" Target="https://website-9ib.pages.dev/termek/231725-belga-h-szego-25-mm-elox/" TargetMode="External" Id="rId461" /><Relationship Type="http://schemas.openxmlformats.org/officeDocument/2006/relationships/hyperlink" Target="https://website-9ib.pages.dev/termek/235215-dobozos-keretprofil-ivelt-elox/" TargetMode="External" Id="rId462" /><Relationship Type="http://schemas.openxmlformats.org/officeDocument/2006/relationships/hyperlink" Target="https://website-9ib.pages.dev/termek/233901-dobozos-ives-also-keretprofil-elox-25-mm-panelhez/" TargetMode="External" Id="rId463" /><Relationship Type="http://schemas.openxmlformats.org/officeDocument/2006/relationships/hyperlink" Target="https://www.caralushop.nl/en/catalog/categories/721" TargetMode="External" Id="rId464" /><Relationship Type="http://schemas.openxmlformats.org/officeDocument/2006/relationships/hyperlink" Target="https://website-9ib.pages.dev/termek/231245-n-esocsatorna-kicsi-5000/" TargetMode="External" Id="rId465" /><Relationship Type="http://schemas.openxmlformats.org/officeDocument/2006/relationships/hyperlink" Target="https://www.caralushop.nl/en/catalog/categories/721" TargetMode="External" Id="rId466" /><Relationship Type="http://schemas.openxmlformats.org/officeDocument/2006/relationships/hyperlink" Target="https://website-9ib.pages.dev/termek/231245-esocsatorna-kicsi-elox-5000/" TargetMode="External" Id="rId467" /><Relationship Type="http://schemas.openxmlformats.org/officeDocument/2006/relationships/hyperlink" Target="https://www.caralushop.nl/en/catalog/categories/721" TargetMode="External" Id="rId468" /><Relationship Type="http://schemas.openxmlformats.org/officeDocument/2006/relationships/hyperlink" Target="https://website-9ib.pages.dev/termek/231305-n-esocsatorna-mini-5000/" TargetMode="External" Id="rId469" /><Relationship Type="http://schemas.openxmlformats.org/officeDocument/2006/relationships/hyperlink" Target="https://www.caralushop.nl/en/catalog/categories/1001" TargetMode="External" Id="rId470" /><Relationship Type="http://schemas.openxmlformats.org/officeDocument/2006/relationships/hyperlink" Target="https://website-9ib.pages.dev/termek/231165-lepcso-sarok-profil-20x20-mm-elox/" TargetMode="External" Id="rId471" /><Relationship Type="http://schemas.openxmlformats.org/officeDocument/2006/relationships/hyperlink" Target="https://www.caralushop.nl/en/catalog/categories/678" TargetMode="External" Id="rId472" /><Relationship Type="http://schemas.openxmlformats.org/officeDocument/2006/relationships/hyperlink" Target="https://website-9ib.pages.dev/termek/232460-tomites-az-u-ajtoszego-profilhoz/" TargetMode="External" Id="rId473" /><Relationship Type="http://schemas.openxmlformats.org/officeDocument/2006/relationships/hyperlink" Target="https://website-9ib.pages.dev/termek/141520-perf-pu00-acel-keret-110-15-2-5100/" TargetMode="External" Id="rId474" /><Relationship Type="http://schemas.openxmlformats.org/officeDocument/2006/relationships/hyperlink" Target="https://website-9ib.pages.dev/termek/141265-acel-hossztarto-120-60-5-mm/" TargetMode="External" Id="rId475" /><Relationship Type="http://schemas.openxmlformats.org/officeDocument/2006/relationships/hyperlink" Target="https://website-9ib.pages.dev/termek/141266-acel-hossztarto-120-60-6-mm/" TargetMode="External" Id="rId476" /><Relationship Type="http://schemas.openxmlformats.org/officeDocument/2006/relationships/hyperlink" Target="https://website-9ib.pages.dev/termek/142730-pf50-acel-keret-140-27-3-2500-sima/" TargetMode="External" Id="rId477" /><Relationship Type="http://schemas.openxmlformats.org/officeDocument/2006/relationships/hyperlink" Target="https://website-9ib.pages.dev/termek/141520-pu00-acel-keret-110-15-2-5000/" TargetMode="External" Id="rId478" /><Relationship Type="http://schemas.openxmlformats.org/officeDocument/2006/relationships/hyperlink" Target="https://website-9ib.pages.dev/termek/141521-pu00-acel-keret-115-21-3-mm/" TargetMode="External" Id="rId479" /><Relationship Type="http://schemas.openxmlformats.org/officeDocument/2006/relationships/hyperlink" Target="https://website-9ib.pages.dev/termek/141527-pu00-acel-keret-115-27-3-7500/" TargetMode="External" Id="rId480" /><Relationship Type="http://schemas.openxmlformats.org/officeDocument/2006/relationships/hyperlink" Target="https://website-9ib.pages.dev/termek/142130-pu00-acel-keret-140-21-3-7500/" TargetMode="External" Id="rId481" /><Relationship Type="http://schemas.openxmlformats.org/officeDocument/2006/relationships/hyperlink" Target="https://website-9ib.pages.dev/termek/142430-pu00-acel-keret-140-24-3-7500/" TargetMode="External" Id="rId482" /><Relationship Type="http://schemas.openxmlformats.org/officeDocument/2006/relationships/hyperlink" Target="https://website-9ib.pages.dev/termek/142730-pu00-acel-keret-140-27-3-7500/" TargetMode="External" Id="rId483" /><Relationship Type="http://schemas.openxmlformats.org/officeDocument/2006/relationships/hyperlink" Target="https://website-9ib.pages.dev/termek/142730-pu00-acel-keret-140-27-3-8000/" TargetMode="External" Id="rId484" /><Relationship Type="http://schemas.openxmlformats.org/officeDocument/2006/relationships/hyperlink" Target="https://website-9ib.pages.dev/termek/141224-pul0-acel-keret-112-24-3-mm/" TargetMode="External" Id="rId485" /><Relationship Type="http://schemas.openxmlformats.org/officeDocument/2006/relationships/hyperlink" Target="https://website-9ib.pages.dev/termek/100001-dugo-perforalt-acel-kerethez/" TargetMode="External" Id="rId486" /><Relationship Type="http://schemas.openxmlformats.org/officeDocument/2006/relationships/hyperlink" Target="https://www.cimaplast.it/en/profiles/profiles-for-refrigerated-body" TargetMode="External" Id="rId487" /><Relationship Type="http://schemas.openxmlformats.org/officeDocument/2006/relationships/hyperlink" Target="https://website-9ib.pages.dev/termek/0156mnh-pvc-saroktakaro-szalag/" TargetMode="External" Id="rId488" /><Relationship Type="http://schemas.openxmlformats.org/officeDocument/2006/relationships/hyperlink" Target="https://www.cimaplast.it/en/profiles/profiles-for-refrigerated-body" TargetMode="External" Id="rId489" /><Relationship Type="http://schemas.openxmlformats.org/officeDocument/2006/relationships/hyperlink" Target="https://website-9ib.pages.dev/termek/0156ne-pvc-saroktakaro-csik-fekete/" TargetMode="External" Id="rId490" /><Relationship Type="http://schemas.openxmlformats.org/officeDocument/2006/relationships/hyperlink" Target="https://website-9ib.pages.dev/termek/0157gr-pvc-saroktakaro-csik-szurke/" TargetMode="External" Id="rId491" /><Relationship Type="http://schemas.openxmlformats.org/officeDocument/2006/relationships/hyperlink" Target="https://www.cimaplast.it/en/profiles/semi-trailer-and-refrigerated-semi-trailer" TargetMode="External" Id="rId492" /><Relationship Type="http://schemas.openxmlformats.org/officeDocument/2006/relationships/hyperlink" Target="https://website-9ib.pages.dev/termek/511127-25-mm-es-pvc-tomites-g/" TargetMode="External" Id="rId493" /><Relationship Type="http://schemas.openxmlformats.org/officeDocument/2006/relationships/hyperlink" Target="https://www.cimaplast.it/en/profiles/semi-trailer-and-refrigerated-semi-trailer" TargetMode="External" Id="rId494" /><Relationship Type="http://schemas.openxmlformats.org/officeDocument/2006/relationships/hyperlink" Target="https://website-9ib.pages.dev/termek/511132-25-mm-es-pvc-tomites-g/" TargetMode="External" Id="rId495" /><Relationship Type="http://schemas.openxmlformats.org/officeDocument/2006/relationships/hyperlink" Target="https://www.cimaplast.it/en/profiles/semi-trailer-and-refrigerated-semi-trailer" TargetMode="External" Id="rId496" /><Relationship Type="http://schemas.openxmlformats.org/officeDocument/2006/relationships/hyperlink" Target="https://website-9ib.pages.dev/termek/511127-25-mm-es-pvc-tomites-w-b/" TargetMode="External" Id="rId497" /><Relationship Type="http://schemas.openxmlformats.org/officeDocument/2006/relationships/hyperlink" Target="https://www.cimaplast.it/en/profiles/semi-trailer-and-refrigerated-semi-trailer" TargetMode="External" Id="rId498" /><Relationship Type="http://schemas.openxmlformats.org/officeDocument/2006/relationships/hyperlink" Target="https://website-9ib.pages.dev/termek/517027-30-mm-es-pvc-tomites-b-w/" TargetMode="External" Id="rId499" /><Relationship Type="http://schemas.openxmlformats.org/officeDocument/2006/relationships/hyperlink" Target="https://www.cimaplast.it/en/profiles/semi-trailer-and-refrigerated-semi-trailer" TargetMode="External" Id="rId500" /><Relationship Type="http://schemas.openxmlformats.org/officeDocument/2006/relationships/hyperlink" Target="https://website-9ib.pages.dev/termek/513627-35-mm-es-pvc-tomites-g/" TargetMode="External" Id="rId501" /><Relationship Type="http://schemas.openxmlformats.org/officeDocument/2006/relationships/hyperlink" Target="https://www.cimaplast.it/en/profiles/semi-trailer-and-refrigerated-semi-trailer" TargetMode="External" Id="rId502" /><Relationship Type="http://schemas.openxmlformats.org/officeDocument/2006/relationships/hyperlink" Target="https://website-9ib.pages.dev/termek/512827-40-mm-pvc-tomites-n-n/" TargetMode="External" Id="rId503" /><Relationship Type="http://schemas.openxmlformats.org/officeDocument/2006/relationships/hyperlink" Target="https://www.cimaplast.it/en/profiles/semi-trailer-and-refrigerated-semi-trailer" TargetMode="External" Id="rId504" /><Relationship Type="http://schemas.openxmlformats.org/officeDocument/2006/relationships/hyperlink" Target="https://website-9ib.pages.dev/termek/512827-40-mm-pvc-tomites-w-b/" TargetMode="External" Id="rId505" /><Relationship Type="http://schemas.openxmlformats.org/officeDocument/2006/relationships/hyperlink" Target="https://www.cimaplast.it/en/profiles/profiles-for-refrigerated-body" TargetMode="External" Id="rId506" /><Relationship Type="http://schemas.openxmlformats.org/officeDocument/2006/relationships/hyperlink" Target="https://website-9ib.pages.dev/termek/514427-44-mm-es-pvc-terelvalaszto-tomites-g/" TargetMode="External" Id="rId507" /><Relationship Type="http://schemas.openxmlformats.org/officeDocument/2006/relationships/hyperlink" Target="https://www.cimaplast.it/en/profiles/semi-trailer-and-refrigerated-semi-trailer" TargetMode="External" Id="rId508" /><Relationship Type="http://schemas.openxmlformats.org/officeDocument/2006/relationships/hyperlink" Target="https://website-9ib.pages.dev/termek/513627c-35-mm-es-pvc-tomites-b-w/" TargetMode="External" Id="rId509" /><Relationship Type="http://schemas.openxmlformats.org/officeDocument/2006/relationships/hyperlink" Target="https://website-9ib.pages.dev/termek/515727-55-mm-es-pvc-tomites-n-n/" TargetMode="External" Id="rId510" /><Relationship Type="http://schemas.openxmlformats.org/officeDocument/2006/relationships/hyperlink" Target="https://www.cimaplast.it/en/profiles/lateral-bumpers" TargetMode="External" Id="rId511" /><Relationship Type="http://schemas.openxmlformats.org/officeDocument/2006/relationships/hyperlink" Target="https://website-9ib.pages.dev/termek/553208-2-5-m-pvc-utkozesvedo-lec-cp/" TargetMode="External" Id="rId512" /><Relationship Type="http://schemas.openxmlformats.org/officeDocument/2006/relationships/hyperlink" Target="https://website-9ib.pages.dev/termek/516550-65-mm-es-pvc-tomites-g/" TargetMode="External" Id="rId513" /><Relationship Type="http://schemas.openxmlformats.org/officeDocument/2006/relationships/hyperlink" Target="https://www.cimaplast.it/en/profiles/profiles-for-refrigerated-body" TargetMode="External" Id="rId514" /><Relationship Type="http://schemas.openxmlformats.org/officeDocument/2006/relationships/hyperlink" Target="https://website-9ib.pages.dev/termek/516245-65-mm-es-pvc-tomites-n-n/" TargetMode="External" Id="rId515" /><Relationship Type="http://schemas.openxmlformats.org/officeDocument/2006/relationships/hyperlink" Target="https://www.cimaplast.it/en/profiles/lateral-bumpers" TargetMode="External" Id="rId516" /><Relationship Type="http://schemas.openxmlformats.org/officeDocument/2006/relationships/hyperlink" Target="https://website-9ib.pages.dev/termek/553208-3-m-pvc-utkozesvedo-lec-cp/" TargetMode="External" Id="rId517" /><Relationship Type="http://schemas.openxmlformats.org/officeDocument/2006/relationships/hyperlink" Target="https://website-9ib.pages.dev/termek/e87370-edscha-takaro-gumi-compact-110/" TargetMode="External" Id="rId518" /><Relationship Type="http://schemas.openxmlformats.org/officeDocument/2006/relationships/hyperlink" Target="https://www.cimaplast.it/en/profiles/profiles-for-semi-trailers" TargetMode="External" Id="rId519" /><Relationship Type="http://schemas.openxmlformats.org/officeDocument/2006/relationships/hyperlink" Target="https://website-9ib.pages.dev/termek/214209-takaro-gumi-acel-c-sinhez-cp/" TargetMode="External" Id="rId520" /><Relationship Type="http://schemas.openxmlformats.org/officeDocument/2006/relationships/hyperlink" Target="https://website-9ib.pages.dev/termek/532200-55-mm-cc-tomites-l-2850-mm/" TargetMode="External" Id="rId521" /><Relationship Type="http://schemas.openxmlformats.org/officeDocument/2006/relationships/hyperlink" Target="https://website-9ib.pages.dev/termek/532231-55-mm-center-profil-l-2850-mm/" TargetMode="External" Id="rId522" /><Relationship Type="http://schemas.openxmlformats.org/officeDocument/2006/relationships/hyperlink" Target="https://website-9ib.pages.dev/termek/532941-85-mm-cc-tomites-l-2850-mm/" TargetMode="External" Id="rId523" /><Relationship Type="http://schemas.openxmlformats.org/officeDocument/2006/relationships/hyperlink" Target="https://website-9ib.pages.dev/termek/532925-85-mm-center-profil-l-2850-mm/" TargetMode="External" Id="rId524" /><Relationship Type="http://schemas.openxmlformats.org/officeDocument/2006/relationships/hyperlink" Target="https://website-9ib.pages.dev/termek/227686-50x35x3-5-mm-r4-oszlop-profil-elox/" TargetMode="External" Id="rId525" /><Relationship Type="http://schemas.openxmlformats.org/officeDocument/2006/relationships/hyperlink" Target="https://website-9ib.pages.dev/termek/202387-i-70-kereszttarto/" TargetMode="External" Id="rId526" /><Relationship Type="http://schemas.openxmlformats.org/officeDocument/2006/relationships/hyperlink" Target="https://www.alu-sv.com/en/goods.ep/4000002_parts-for-aluminium-platforms/1461_crossbar-90mm-al" TargetMode="External" Id="rId527" /><Relationship Type="http://schemas.openxmlformats.org/officeDocument/2006/relationships/hyperlink" Target="https://website-9ib.pages.dev/termek/207319-i-90-kereszttarto/" TargetMode="External" Id="rId528" /><Relationship Type="http://schemas.openxmlformats.org/officeDocument/2006/relationships/hyperlink" Target="https://website-9ib.pages.dev/termek/2073902-i-90-csavarozhato-kereszttarto/" TargetMode="External" Id="rId529" /><Relationship Type="http://schemas.openxmlformats.org/officeDocument/2006/relationships/hyperlink" Target="https://www.alu-sv.com/en/goods.ep/4000002_parts-for-aluminium-platforms/1457_crossbar-108mm-al" TargetMode="External" Id="rId530" /><Relationship Type="http://schemas.openxmlformats.org/officeDocument/2006/relationships/hyperlink" Target="https://website-9ib.pages.dev/termek/207315-i-108-kereszttarto/" TargetMode="External" Id="rId531" /><Relationship Type="http://schemas.openxmlformats.org/officeDocument/2006/relationships/hyperlink" Target="https://www.ital-accessori.sk/katalog/book/KOMP/3/" TargetMode="External" Id="rId532" /><Relationship Type="http://schemas.openxmlformats.org/officeDocument/2006/relationships/hyperlink" Target="https://website-9ib.pages.dev/termek/207317-u-108-hossztarto/" TargetMode="External" Id="rId533" /><Relationship Type="http://schemas.openxmlformats.org/officeDocument/2006/relationships/hyperlink" Target="https://website-9ib.pages.dev/termek/202386-u-130-hossztarto/" TargetMode="External" Id="rId534" /><Relationship Type="http://schemas.openxmlformats.org/officeDocument/2006/relationships/hyperlink" Target="https://www.ital-accessori.sk/katalog/book/KOMP/3/" TargetMode="External" Id="rId535" /><Relationship Type="http://schemas.openxmlformats.org/officeDocument/2006/relationships/hyperlink" Target="https://website-9ib.pages.dev/termek/207316-u-90-hossztarto/" TargetMode="External" Id="rId536" /><Relationship Type="http://schemas.openxmlformats.org/officeDocument/2006/relationships/hyperlink" Target="https://website-9ib.pages.dev/termek/202388-15-70-mm-keretprofil-elox-cd/" TargetMode="External" Id="rId537" /><Relationship Type="http://schemas.openxmlformats.org/officeDocument/2006/relationships/hyperlink" Target="https://website-9ib.pages.dev/termek/2018652-18-mm-keretprofil-erositett-elox/" TargetMode="External" Id="rId538" /><Relationship Type="http://schemas.openxmlformats.org/officeDocument/2006/relationships/hyperlink" Target="https://website-9ib.pages.dev/termek/206941-cd-100x30-mm-alafutasgatlo-elox-profil/" TargetMode="External" Id="rId539" /><Relationship Type="http://schemas.openxmlformats.org/officeDocument/2006/relationships/hyperlink" Target="https://website-9ib.pages.dev/termek/208477-cd2-100x30-mm-alafutasgatlo-elox-profil/" TargetMode="External" Id="rId540" /><Relationship Type="http://schemas.openxmlformats.org/officeDocument/2006/relationships/hyperlink" Target="https://website-9ib.pages.dev/termek/208755-hossztarto-talpas-140-6-magas-120-10-60-8-mm/" TargetMode="External" Id="rId541" /><Relationship Type="http://schemas.openxmlformats.org/officeDocument/2006/relationships/hyperlink" Target="https://www.alu-sv.com/en/goods.ep/4000002_parts-for-aluminium-platforms/1524_frame-profile-90mm-anodized" TargetMode="External" Id="rId542" /><Relationship Type="http://schemas.openxmlformats.org/officeDocument/2006/relationships/hyperlink" Target="https://website-9ib.pages.dev/termek/207318-keret-profil-90-18mm-elox/" TargetMode="External" Id="rId543" /><Relationship Type="http://schemas.openxmlformats.org/officeDocument/2006/relationships/hyperlink" Target="https://website-9ib.pages.dev/termek/227543-30-padlo-profil-200-mm/" TargetMode="External" Id="rId544" /><Relationship Type="http://schemas.openxmlformats.org/officeDocument/2006/relationships/hyperlink" Target="https://website-9ib.pages.dev/termek/227543-30-padlo-profil-200-mm-elox/" TargetMode="External" Id="rId545" /><Relationship Type="http://schemas.openxmlformats.org/officeDocument/2006/relationships/hyperlink" Target="https://website-9ib.pages.dev/termek/6612225-elso-oszlop-90-70-alu-elox-d/" TargetMode="External" Id="rId546" /><Relationship Type="http://schemas.openxmlformats.org/officeDocument/2006/relationships/hyperlink" Target="https://website-9ib.pages.dev/termek/6612226-hatso-oszlop-128-35-alu-elox-d/" TargetMode="External" Id="rId547" /><Relationship Type="http://schemas.openxmlformats.org/officeDocument/2006/relationships/hyperlink" Target="https://website-9ib.pages.dev/termek/222891-zartszelveny-60x30x2-5-r2-5-elox/" TargetMode="External" Id="rId548" /><Relationship Type="http://schemas.openxmlformats.org/officeDocument/2006/relationships/hyperlink" Target="https://www.alu-sv.com/en/goods.ep/19000002_dropsides--dropside-profiles/1515_bottom-profile-eurolock-100mm--anodized" TargetMode="External" Id="rId549" /><Relationship Type="http://schemas.openxmlformats.org/officeDocument/2006/relationships/hyperlink" Target="https://website-9ib.pages.dev/termek/228197-also-szakallas-100-mm-elox-profil/" TargetMode="External" Id="rId550" /><Relationship Type="http://schemas.openxmlformats.org/officeDocument/2006/relationships/hyperlink" Target="https://www.alu-sv.com/en/goods.ep/19000002_dropsides--dropside-profiles/1511_bottom-profile-eurolock-200-mm--anodized" TargetMode="External" Id="rId551" /><Relationship Type="http://schemas.openxmlformats.org/officeDocument/2006/relationships/hyperlink" Target="https://website-9ib.pages.dev/termek/227783-also-szakallas-200-mm-elox-profil/" TargetMode="External" Id="rId552" /><Relationship Type="http://schemas.openxmlformats.org/officeDocument/2006/relationships/hyperlink" Target="https://www.alu-sv.com/en/goods.ep/19000002_dropsides--dropside-profiles/1514_lower-profile-eurolock-100mm--an.--sealing" TargetMode="External" Id="rId553" /><Relationship Type="http://schemas.openxmlformats.org/officeDocument/2006/relationships/hyperlink" Target="https://website-9ib.pages.dev/termek/227948-also-tomiteses-100-mm-elox-profil/" TargetMode="External" Id="rId554" /><Relationship Type="http://schemas.openxmlformats.org/officeDocument/2006/relationships/hyperlink" Target="https://www.alu-sv.com/en/goods.ep/19000002_dropsides--dropside-profiles/1512_bottom-profile-eurolock-200mm--an.--sealin" TargetMode="External" Id="rId555" /><Relationship Type="http://schemas.openxmlformats.org/officeDocument/2006/relationships/hyperlink" Target="https://website-9ib.pages.dev/termek/227784-also-tomiteses-200-mm-elox-profil/" TargetMode="External" Id="rId556" /><Relationship Type="http://schemas.openxmlformats.org/officeDocument/2006/relationships/hyperlink" Target="https://www.alu-sv.com/en/goods.ep/19000002_dropsides--dropside-profiles/8000106_top-profile-eurolock-200-mm--anodized" TargetMode="External" Id="rId557" /><Relationship Type="http://schemas.openxmlformats.org/officeDocument/2006/relationships/hyperlink" Target="https://website-9ib.pages.dev/termek/227047-felso-200-mm-elox-profil/" TargetMode="External" Id="rId558" /><Relationship Type="http://schemas.openxmlformats.org/officeDocument/2006/relationships/hyperlink" Target="https://www.alu-sv.com/en/goods.ep/19000002_dropsides--dropside-profiles/8000248_top-profile-eurolock-200-mm--al" TargetMode="External" Id="rId559" /><Relationship Type="http://schemas.openxmlformats.org/officeDocument/2006/relationships/hyperlink" Target="https://website-9ib.pages.dev/termek/227047-n-felso-200-mm-profil/" TargetMode="External" Id="rId560" /><Relationship Type="http://schemas.openxmlformats.org/officeDocument/2006/relationships/hyperlink" Target="https://www.alu-sv.com/en/goods.ep/19000002_dropsides--dropside-profiles/28000241_middle-profile-eurolock-200-mm--anodized" TargetMode="External" Id="rId561" /><Relationship Type="http://schemas.openxmlformats.org/officeDocument/2006/relationships/hyperlink" Target="https://website-9ib.pages.dev/termek/227046-koztes-200-mm-elox-profil/" TargetMode="External" Id="rId562" /><Relationship Type="http://schemas.openxmlformats.org/officeDocument/2006/relationships/hyperlink" Target="https://website-9ib.pages.dev/termek/227046-ck10-koztes-200-mm-elox-profil/" TargetMode="External" Id="rId563" /><Relationship Type="http://schemas.openxmlformats.org/officeDocument/2006/relationships/hyperlink" Target="https://www.alu-sv.com/en/goods.ep/19000002_dropsides--dropside-profiles/1498_middle-profile-eurolock-200mm--al" TargetMode="External" Id="rId564" /><Relationship Type="http://schemas.openxmlformats.org/officeDocument/2006/relationships/hyperlink" Target="https://website-9ib.pages.dev/termek/227046-n-koztes-200-mm-profil/" TargetMode="External" Id="rId565" /><Relationship Type="http://schemas.openxmlformats.org/officeDocument/2006/relationships/hyperlink" Target="https://website-9ib.pages.dev/termek/224230-koztes-250-mm-elox-profil-cd/" TargetMode="External" Id="rId566" /><Relationship Type="http://schemas.openxmlformats.org/officeDocument/2006/relationships/hyperlink" Target="https://website-9ib.pages.dev/termek/224230-n-koztes-250-mm-profil-cd/" TargetMode="External" Id="rId567" /><Relationship Type="http://schemas.openxmlformats.org/officeDocument/2006/relationships/hyperlink" Target="https://www.alu-sv.com/en/goods.ep/19000002_dropsides--dropside-profiles/1507_tarpaulin-profile-eurolock200mm--anodized" TargetMode="External" Id="rId568" /><Relationship Type="http://schemas.openxmlformats.org/officeDocument/2006/relationships/hyperlink" Target="https://website-9ib.pages.dev/termek/227045-koztes-ponyvas-200-mm-elox-profil/" TargetMode="External" Id="rId569" /><Relationship Type="http://schemas.openxmlformats.org/officeDocument/2006/relationships/hyperlink" Target="https://www.alu-sv.com/en/goods.ep/19000002_dropsides--dropside-profiles/1497_tarpaulin-profile-eurolock-200-mm--al" TargetMode="External" Id="rId570" /><Relationship Type="http://schemas.openxmlformats.org/officeDocument/2006/relationships/hyperlink" Target="https://website-9ib.pages.dev/termek/227045-n-koztes-ponyvas-200-mm-profil/" TargetMode="External" Id="rId571" /><Relationship Type="http://schemas.openxmlformats.org/officeDocument/2006/relationships/hyperlink" Target="https://website-9ib.pages.dev/termek/226900-100x25-mm-ponyvatarto-zartszelveny-d/" TargetMode="External" Id="rId572" /><Relationship Type="http://schemas.openxmlformats.org/officeDocument/2006/relationships/hyperlink" Target="https://website-9ib.pages.dev/termek/237847-n-h-ajtoszego-30-mm-d/" TargetMode="External" Id="rId573" /><Relationship Type="http://schemas.openxmlformats.org/officeDocument/2006/relationships/hyperlink" Target="https://website-9ib.pages.dev/termek/237870-25x25-mm-utanfuto-sarokprofil-elox/" TargetMode="External" Id="rId574" /><Relationship Type="http://schemas.openxmlformats.org/officeDocument/2006/relationships/hyperlink" Target="https://website-9ib.pages.dev/termek/237905-n-25x35-mm-ives-sarokprofil-r50/" TargetMode="External" Id="rId575" /><Relationship Type="http://schemas.openxmlformats.org/officeDocument/2006/relationships/hyperlink" Target="https://www.alu-sv.com/en/goods.ep/19000001_closed-body-aluminum-profiles/19000006_protection-profile-i-260mm--al" TargetMode="External" Id="rId576" /><Relationship Type="http://schemas.openxmlformats.org/officeDocument/2006/relationships/hyperlink" Target="https://website-9ib.pages.dev/termek/237460-n-260-mm-i-koptato-profil/" TargetMode="External" Id="rId577" /><Relationship Type="http://schemas.openxmlformats.org/officeDocument/2006/relationships/hyperlink" Target="https://www.alu-sv.com/en/goods.ep/19000001_closed-body-aluminum-profiles/19000006_protection-profile-i-260mm--al" TargetMode="External" Id="rId578" /><Relationship Type="http://schemas.openxmlformats.org/officeDocument/2006/relationships/hyperlink" Target="https://website-9ib.pages.dev/termek/237460-260-mm-i-koptato-profil-elox/" TargetMode="External" Id="rId579" /><Relationship Type="http://schemas.openxmlformats.org/officeDocument/2006/relationships/hyperlink" Target="https://website-9ib.pages.dev/termek/234235-35x35-mm-ives-sarokprofil-elox-d/" TargetMode="External" Id="rId580" /><Relationship Type="http://schemas.openxmlformats.org/officeDocument/2006/relationships/hyperlink" Target="https://website-9ib.pages.dev/termek/232189-50x170-mm-l-belso-vedoprofil-elox/" TargetMode="External" Id="rId581" /><Relationship Type="http://schemas.openxmlformats.org/officeDocument/2006/relationships/hyperlink" Target="https://website-9ib.pages.dev/termek/237461-n-50x260-mm-l-belso-vedoprofil/" TargetMode="External" Id="rId582" /><Relationship Type="http://schemas.openxmlformats.org/officeDocument/2006/relationships/hyperlink" Target="https://website-9ib.pages.dev/termek/237461-50x260-mm-l-belso-vedoprofil-elox/" TargetMode="External" Id="rId583" /><Relationship Type="http://schemas.openxmlformats.org/officeDocument/2006/relationships/hyperlink" Target="https://website-9ib.pages.dev/termek/237767-60x60-l-profil-elox/" TargetMode="External" Id="rId584" /><Relationship Type="http://schemas.openxmlformats.org/officeDocument/2006/relationships/hyperlink" Target="https://website-9ib.pages.dev/termek/238087-70x110-mm-l-kulso-elox/" TargetMode="External" Id="rId585" /><Relationship Type="http://schemas.openxmlformats.org/officeDocument/2006/relationships/hyperlink" Target="https://website-9ib.pages.dev/termek/236825-80x80-mm-l-profil-elox/" TargetMode="External" Id="rId586" /><Relationship Type="http://schemas.openxmlformats.org/officeDocument/2006/relationships/hyperlink" Target="https://website-9ib.pages.dev/termek/231543-dobozos-keret-elox-134-80/" TargetMode="External" Id="rId587" /><Relationship Type="http://schemas.openxmlformats.org/officeDocument/2006/relationships/hyperlink" Target="https://website-9ib.pages.dev/termek/237971-hutos-keretprofil-nyitott-elox/" TargetMode="External" Id="rId588" /><Relationship Type="http://schemas.openxmlformats.org/officeDocument/2006/relationships/hyperlink" Target="https://website-9ib.pages.dev/termek/238645-kulso-l-profil-140x80mm-elox/" TargetMode="External" Id="rId589" /><Relationship Type="http://schemas.openxmlformats.org/officeDocument/2006/relationships/hyperlink" Target="https://website-9ib.pages.dev/termek/237846-n-tomiteses-ajtoszego-30-mm-d/" TargetMode="External" Id="rId590" /><Relationship Type="http://schemas.openxmlformats.org/officeDocument/2006/relationships/hyperlink" Target="https://www.copar.it" TargetMode="External" Id="rId591" /><Relationship Type="http://schemas.openxmlformats.org/officeDocument/2006/relationships/hyperlink" Target="https://website-9ib.pages.dev/termek/jvr35-mini-box-350x350x350-mm/" TargetMode="External" Id="rId592" /><Relationship Type="http://schemas.openxmlformats.org/officeDocument/2006/relationships/hyperlink" Target="https://www.copar.it" TargetMode="External" Id="rId593" /><Relationship Type="http://schemas.openxmlformats.org/officeDocument/2006/relationships/hyperlink" Target="https://website-9ib.pages.dev/termek/jvr50-nova-box-500x400x350-mm/" TargetMode="External" Id="rId594" /><Relationship Type="http://schemas.openxmlformats.org/officeDocument/2006/relationships/hyperlink" Target="https://website-9ib.pages.dev/termek/614603-b-oldalajto-zarszerkezet-fekete/" TargetMode="External" Id="rId595" /><Relationship Type="http://schemas.openxmlformats.org/officeDocument/2006/relationships/hyperlink" Target="https://website-9ib.pages.dev/termek/614602-j-oldalajto-zarszerkezet/" TargetMode="External" Id="rId596" /><Relationship Type="http://schemas.openxmlformats.org/officeDocument/2006/relationships/hyperlink" Target="https://website-9ib.pages.dev/termek/615003-belsozarszerk-oldalajtohoz-500-mm-kar-b/" TargetMode="External" Id="rId597" /><Relationship Type="http://schemas.openxmlformats.org/officeDocument/2006/relationships/hyperlink" Target="https://website-9ib.pages.dev/termek/700020-kulcs-zarbetet/" TargetMode="External" Id="rId598" /><Relationship Type="http://schemas.openxmlformats.org/officeDocument/2006/relationships/hyperlink" Target="https://website-9ib.pages.dev/termek/615102-kulso-oldalajto-kilincs/" TargetMode="External" Id="rId599" /><Relationship Type="http://schemas.openxmlformats.org/officeDocument/2006/relationships/hyperlink" Target="https://website-9ib.pages.dev/termek/700021-ladaajtozar-zart/" TargetMode="External" Id="rId600" /><Relationship Type="http://schemas.openxmlformats.org/officeDocument/2006/relationships/hyperlink" Target="https://website-9ib.pages.dev/termek/700011-ladaajtozar-zart-nyitott/" TargetMode="External" Id="rId601" /><Relationship Type="http://schemas.openxmlformats.org/officeDocument/2006/relationships/hyperlink" Target="https://website-9ib.pages.dev/termek/615104-oldalajtozar-belso-500-mm-kar-jobb/" TargetMode="External" Id="rId602" /><Relationship Type="http://schemas.openxmlformats.org/officeDocument/2006/relationships/hyperlink" Target="https://website-9ib.pages.dev/termek/615103-oldalajtozar-kompetten-bal/" TargetMode="External" Id="rId603" /><Relationship Type="http://schemas.openxmlformats.org/officeDocument/2006/relationships/hyperlink" Target="https://website-9ib.pages.dev/termek/615501-oldalso-zarszerkezet-ladazarhoz-bal-zarcsappal/" TargetMode="External" Id="rId604" /><Relationship Type="http://schemas.openxmlformats.org/officeDocument/2006/relationships/hyperlink" Target="https://website-9ib.pages.dev/termek/615502-oldalso-zarszerkezet-ladazarhoz-jobb-zarcsappal/" TargetMode="External" Id="rId605" /><Relationship Type="http://schemas.openxmlformats.org/officeDocument/2006/relationships/hyperlink" Target="https://website-9ib.pages.dev/termek/615000-zarcsap/" TargetMode="External" Id="rId606" /><Relationship Type="http://schemas.openxmlformats.org/officeDocument/2006/relationships/hyperlink" Target="https://website-9ib.pages.dev/termek/811400-rm-hatsoajto-zsanerlap-280-4-mm-dm/" TargetMode="External" Id="rId607" /><Relationship Type="http://schemas.openxmlformats.org/officeDocument/2006/relationships/hyperlink" Target="https://website-9ib.pages.dev/termek/351208-dg-top/" TargetMode="External" Id="rId608" /><Relationship Type="http://schemas.openxmlformats.org/officeDocument/2006/relationships/hyperlink" Target="https://website-9ib.pages.dev/termek/352530-31-dg-400-rakonca-kozepso-szego-j-b/" TargetMode="External" Id="rId609" /><Relationship Type="http://schemas.openxmlformats.org/officeDocument/2006/relationships/hyperlink" Target="https://website-9ib.pages.dev/termek/35003-4-dg-500-elso-rakonca-j-b/" TargetMode="External" Id="rId610" /><Relationship Type="http://schemas.openxmlformats.org/officeDocument/2006/relationships/hyperlink" Target="https://website-9ib.pages.dev/termek/35001-2-dg-500-hatso-rakonca-j-b/" TargetMode="External" Id="rId611" /><Relationship Type="http://schemas.openxmlformats.org/officeDocument/2006/relationships/hyperlink" Target="https://website-9ib.pages.dev/termek/35000-dg-500-koztes-rakonca/" TargetMode="External" Id="rId612" /><Relationship Type="http://schemas.openxmlformats.org/officeDocument/2006/relationships/hyperlink" Target="https://website-9ib.pages.dev/termek/352500-10-dg-elso-400-mm-es-rakonca-j-b/" TargetMode="External" Id="rId613" /><Relationship Type="http://schemas.openxmlformats.org/officeDocument/2006/relationships/hyperlink" Target="https://website-9ib.pages.dev/termek/351263-4-dg-elso-600-mm-es-rakonca-j-b/" TargetMode="External" Id="rId614" /><Relationship Type="http://schemas.openxmlformats.org/officeDocument/2006/relationships/hyperlink" Target="https://website-9ib.pages.dev/termek/352532-33-dg-hatso-400-mm-rakonca-szego-j-b/" TargetMode="External" Id="rId615" /><Relationship Type="http://schemas.openxmlformats.org/officeDocument/2006/relationships/hyperlink" Target="https://website-9ib.pages.dev/termek/352550-60-dg-hatso-400-mm-es-rakonca-j-b/" TargetMode="External" Id="rId616" /><Relationship Type="http://schemas.openxmlformats.org/officeDocument/2006/relationships/hyperlink" Target="https://website-9ib.pages.dev/termek/351261-2-dg-hatso-600-mm-es-rakonca-j-b/" TargetMode="External" Id="rId617" /><Relationship Type="http://schemas.openxmlformats.org/officeDocument/2006/relationships/hyperlink" Target="https://website-9ib.pages.dev/termek/352570-dg-top-koztes-400-mm-es-rakonca/" TargetMode="External" Id="rId618" /><Relationship Type="http://schemas.openxmlformats.org/officeDocument/2006/relationships/hyperlink" Target="https://website-9ib.pages.dev/termek/351213-4-dg-elso-1000-mm-es-rakonca-j-b/" TargetMode="External" Id="rId619" /><Relationship Type="http://schemas.openxmlformats.org/officeDocument/2006/relationships/hyperlink" Target="https://website-9ib.pages.dev/termek/351283-4-dg-elso-800-mm-es-rakonca-j-b/" TargetMode="External" Id="rId620" /><Relationship Type="http://schemas.openxmlformats.org/officeDocument/2006/relationships/hyperlink" Target="https://website-9ib.pages.dev/termek/351281-2-dg-hatso-800-mm-es-rakonca-j-b/" TargetMode="External" Id="rId621" /><Relationship Type="http://schemas.openxmlformats.org/officeDocument/2006/relationships/hyperlink" Target="https://website-9ib.pages.dev/termek/351210-dg-koztes-1000-mm-es-rakonca/" TargetMode="External" Id="rId622" /><Relationship Type="http://schemas.openxmlformats.org/officeDocument/2006/relationships/hyperlink" Target="https://website-9ib.pages.dev/termek/352540-nt-dg-koztes-400-mm-es-rakonca/" TargetMode="External" Id="rId623" /><Relationship Type="http://schemas.openxmlformats.org/officeDocument/2006/relationships/hyperlink" Target="https://website-9ib.pages.dev/termek/351260-dg-koztes-600-mm-es-rakonca/" TargetMode="External" Id="rId624" /><Relationship Type="http://schemas.openxmlformats.org/officeDocument/2006/relationships/hyperlink" Target="https://website-9ib.pages.dev/termek/351280-dg-koztes-800-mm-es-rakonca/" TargetMode="External" Id="rId625" /><Relationship Type="http://schemas.openxmlformats.org/officeDocument/2006/relationships/hyperlink" Target="https://website-9ib.pages.dev/termek/351243-4-kdg-elso-400-mm-es-rakonca-j-b/" TargetMode="External" Id="rId626" /><Relationship Type="http://schemas.openxmlformats.org/officeDocument/2006/relationships/hyperlink" Target="https://website-9ib.pages.dev/termek/351241-2-kdg-hatso-400-mm-es-rakonca-j-b/" TargetMode="External" Id="rId627" /><Relationship Type="http://schemas.openxmlformats.org/officeDocument/2006/relationships/hyperlink" Target="https://website-9ib.pages.dev/termek/351240-kdg-koztes-400-mm-es-rakonca-nt/" TargetMode="External" Id="rId628" /><Relationship Type="http://schemas.openxmlformats.org/officeDocument/2006/relationships/hyperlink" Target="https://website-9ib.pages.dev/termek/356511-rakonca-ellendarab-hatso/" TargetMode="External" Id="rId629" /><Relationship Type="http://schemas.openxmlformats.org/officeDocument/2006/relationships/hyperlink" Target="https://website-9ib.pages.dev/termek/356510-rakonca-ellendarab-oldalso/" TargetMode="External" Id="rId630" /><Relationship Type="http://schemas.openxmlformats.org/officeDocument/2006/relationships/hyperlink" Target="https://website-9ib.pages.dev/termek/216516-ponyvagorgo-acel-sinhez-csapagyas/" TargetMode="External" Id="rId631" /><Relationship Type="http://schemas.openxmlformats.org/officeDocument/2006/relationships/hyperlink" Target="https://dostteknik.com/wp-content/uploads/dost-catalog-2024.pdf" TargetMode="External" Id="rId632" /><Relationship Type="http://schemas.openxmlformats.org/officeDocument/2006/relationships/hyperlink" Target="https://website-9ib.pages.dev/termek/211115-ponyvagorgo-acel-sinhez-hajlitott/" TargetMode="External" Id="rId633" /><Relationship Type="http://schemas.openxmlformats.org/officeDocument/2006/relationships/hyperlink" Target="https://dostteknik.com/wp-content/uploads/dost-catalog-2024.pdf" TargetMode="External" Id="rId634" /><Relationship Type="http://schemas.openxmlformats.org/officeDocument/2006/relationships/hyperlink" Target="https://website-9ib.pages.dev/termek/211410-rakonca-kocsi-acel-c-sinhez/" TargetMode="External" Id="rId635" /><Relationship Type="http://schemas.openxmlformats.org/officeDocument/2006/relationships/hyperlink" Target="https://website-9ib.pages.dev/termek/212105a-italszallito-ajto-profil-also-gorgo-r-d/" TargetMode="External" Id="rId636" /><Relationship Type="http://schemas.openxmlformats.org/officeDocument/2006/relationships/hyperlink" Target="https://website-9ib.pages.dev/termek/212105b-italszallito-ajto-profil-also-gorgo-l-d/" TargetMode="External" Id="rId637" /><Relationship Type="http://schemas.openxmlformats.org/officeDocument/2006/relationships/hyperlink" Target="https://website-9ib.pages.dev/termek/211308-italszallito-zarszerkezet-d/" TargetMode="External" Id="rId638" /><Relationship Type="http://schemas.openxmlformats.org/officeDocument/2006/relationships/hyperlink" Target="https://website-9ib.pages.dev/termek/212104-italszallito-ajto-profil-felso-gorgo-d/" TargetMode="External" Id="rId639" /><Relationship Type="http://schemas.openxmlformats.org/officeDocument/2006/relationships/hyperlink" Target="https://website-9ib.pages.dev/termek/212107-italszallito-ponyva-gorgo-also-d/" TargetMode="External" Id="rId640" /><Relationship Type="http://schemas.openxmlformats.org/officeDocument/2006/relationships/hyperlink" Target="https://website-9ib.pages.dev/termek/212106-italszallito-ponyva-gorgo-felso-d/" TargetMode="External" Id="rId641" /><Relationship Type="http://schemas.openxmlformats.org/officeDocument/2006/relationships/hyperlink" Target="https://www.edschats.com/en/products/edscha-ts/commercial-vehicle-roof-systems/curtain-sider-verdecke/compact-neu/" TargetMode="External" Id="rId642" /><Relationship Type="http://schemas.openxmlformats.org/officeDocument/2006/relationships/hyperlink" Target="https://website-9ib.pages.dev/termek/e-compact-cs-toloteto-rendszer/" TargetMode="External" Id="rId643" /><Relationship Type="http://schemas.openxmlformats.org/officeDocument/2006/relationships/hyperlink" Target="https://www.edschats.com/en/products/edscha-ts/commercial-vehicle-roof-systems/curtain-sider-verdecke/compact-neu/" TargetMode="External" Id="rId644" /><Relationship Type="http://schemas.openxmlformats.org/officeDocument/2006/relationships/hyperlink" Target="https://website-9ib.pages.dev/termek/e-compact-fix-teto-rendszer/" TargetMode="External" Id="rId645" /><Relationship Type="http://schemas.openxmlformats.org/officeDocument/2006/relationships/hyperlink" Target="https://www.edschats.com/en/products/edscha-ts/commercial-vehicle-roof-systems/curtain-sider-verdecke/compact-neu/" TargetMode="External" Id="rId646" /><Relationship Type="http://schemas.openxmlformats.org/officeDocument/2006/relationships/hyperlink" Target="https://website-9ib.pages.dev/termek/e-compact-tetoprofil-900407-5000/" TargetMode="External" Id="rId647" /><Relationship Type="http://schemas.openxmlformats.org/officeDocument/2006/relationships/hyperlink" Target="https://www.edschats.com/en/products/edscha-ts/commercial-vehicle-roof-systems/curtain-sider-verdecke/compact-neu/" TargetMode="External" Id="rId648" /><Relationship Type="http://schemas.openxmlformats.org/officeDocument/2006/relationships/hyperlink" Target="https://website-9ib.pages.dev/termek/e-compact-tetoprofil-900407-5600/" TargetMode="External" Id="rId649" /><Relationship Type="http://schemas.openxmlformats.org/officeDocument/2006/relationships/hyperlink" Target="https://www.edschats.com/en/products/edscha-ts/commercial-vehicle-roof-systems/curtain-sider-verdecke/compact-neu/" TargetMode="External" Id="rId650" /><Relationship Type="http://schemas.openxmlformats.org/officeDocument/2006/relationships/hyperlink" Target="https://website-9ib.pages.dev/termek/e-compact-tetoprofil-900407-6600/" TargetMode="External" Id="rId651" /><Relationship Type="http://schemas.openxmlformats.org/officeDocument/2006/relationships/hyperlink" Target="https://www.edschats.com/en/products/edscha-ts/commercial-vehicle-roof-systems/curtain-sider-verdecke/compact-neu/" TargetMode="External" Id="rId652" /><Relationship Type="http://schemas.openxmlformats.org/officeDocument/2006/relationships/hyperlink" Target="https://website-9ib.pages.dev/termek/e-compact-tetoprofil-900407-7800/" TargetMode="External" Id="rId653" /><Relationship Type="http://schemas.openxmlformats.org/officeDocument/2006/relationships/hyperlink" Target="https://www.edschats.com/en/products/edscha-ts/commercial-vehicle-roof-systems/curtain-sider-verdecke/compact-neu/" TargetMode="External" Id="rId654" /><Relationship Type="http://schemas.openxmlformats.org/officeDocument/2006/relationships/hyperlink" Target="https://website-9ib.pages.dev/termek/e-compact-tetoprofil-900407-8000/" TargetMode="External" Id="rId655" /><Relationship Type="http://schemas.openxmlformats.org/officeDocument/2006/relationships/hyperlink" Target="https://website-9ib.pages.dev/termek/e-medium-tetoprofil-9500-mm/" TargetMode="External" Id="rId656" /><Relationship Type="http://schemas.openxmlformats.org/officeDocument/2006/relationships/hyperlink" Target="https://www.edschats.com#page=7" TargetMode="External" Id="rId657" /><Relationship Type="http://schemas.openxmlformats.org/officeDocument/2006/relationships/hyperlink" Target="https://website-9ib.pages.dev/termek/e-ponyvagorgo-85810/" TargetMode="External" Id="rId658" /><Relationship Type="http://schemas.openxmlformats.org/officeDocument/2006/relationships/hyperlink" Target="https://www.edschats.com/en/products/sesam/sesam-cs-slimliner-fix/" TargetMode="External" Id="rId659" /><Relationship Type="http://schemas.openxmlformats.org/officeDocument/2006/relationships/hyperlink" Target="https://website-9ib.pages.dev/termek/e-sesam-fix-volumen-kit/" TargetMode="External" Id="rId660" /><Relationship Type="http://schemas.openxmlformats.org/officeDocument/2006/relationships/hyperlink" Target="https://www.edschats.com/en/products/sesam/sesam-cs-slimliner-fix/" TargetMode="External" Id="rId661" /><Relationship Type="http://schemas.openxmlformats.org/officeDocument/2006/relationships/hyperlink" Target="https://website-9ib.pages.dev/termek/e-small-tetoprofil-6600-mm/" TargetMode="External" Id="rId662" /><Relationship Type="http://schemas.openxmlformats.org/officeDocument/2006/relationships/hyperlink" Target="https://www.edschats.com/en/products/sesam/sesam-cs-slimliner-fix/" TargetMode="External" Id="rId663" /><Relationship Type="http://schemas.openxmlformats.org/officeDocument/2006/relationships/hyperlink" Target="https://website-9ib.pages.dev/termek/e-small-tetoprofil-7800-mm/" TargetMode="External" Id="rId664" /><Relationship Type="http://schemas.openxmlformats.org/officeDocument/2006/relationships/hyperlink" Target="https://www.edschats.com/en/products/sesam/sesam-cs-slimliner-fix/" TargetMode="External" Id="rId665" /><Relationship Type="http://schemas.openxmlformats.org/officeDocument/2006/relationships/hyperlink" Target="https://website-9ib.pages.dev/termek/e-small-tetoprofil-8200-mm/" TargetMode="External" Id="rId666" /><Relationship Type="http://schemas.openxmlformats.org/officeDocument/2006/relationships/hyperlink" Target="https://www.edschats.com/globalassets/documents/pdfs/sesam/new_25/sesam_komponenten-u-ersatzteilkatalog_04-2024.pdf#page=89" TargetMode="External" Id="rId667" /><Relationship Type="http://schemas.openxmlformats.org/officeDocument/2006/relationships/hyperlink" Target="https://website-9ib.pages.dev/termek/e-tailwing-1200-mm/" TargetMode="External" Id="rId668" /><Relationship Type="http://schemas.openxmlformats.org/officeDocument/2006/relationships/hyperlink" Target="https://www.edschats.com/globalassets/documents/pdfs/sesam/new_25/sesam_komponenten-u-ersatzteilkatalog_04-2024.pdf#page=89" TargetMode="External" Id="rId669" /><Relationship Type="http://schemas.openxmlformats.org/officeDocument/2006/relationships/hyperlink" Target="https://website-9ib.pages.dev/termek/e-tailwing-400-900-mm/" TargetMode="External" Id="rId670" /><Relationship Type="http://schemas.openxmlformats.org/officeDocument/2006/relationships/hyperlink" Target="https://www.edschats.com/en/products/sesam/sesam-cs-slimliner-fix/" TargetMode="External" Id="rId671" /><Relationship Type="http://schemas.openxmlformats.org/officeDocument/2006/relationships/hyperlink" Target="https://website-9ib.pages.dev/termek/e-volumen-tetoprofil-900301-10000/" TargetMode="External" Id="rId672" /><Relationship Type="http://schemas.openxmlformats.org/officeDocument/2006/relationships/hyperlink" Target="https://www.edschats.com/en/products/sesam/sesam-cs-slimliner-fix/" TargetMode="External" Id="rId673" /><Relationship Type="http://schemas.openxmlformats.org/officeDocument/2006/relationships/hyperlink" Target="https://website-9ib.pages.dev/termek/e-volumen-tetoprofil-900301-7800/" TargetMode="External" Id="rId674" /><Relationship Type="http://schemas.openxmlformats.org/officeDocument/2006/relationships/hyperlink" Target="https://www.edschats.com/en/products/sesam/sesam-cs-slimliner-fix/" TargetMode="External" Id="rId675" /><Relationship Type="http://schemas.openxmlformats.org/officeDocument/2006/relationships/hyperlink" Target="https://website-9ib.pages.dev/termek/e-volumen-tetoprofil-900301-8500/" TargetMode="External" Id="rId676" /><Relationship Type="http://schemas.openxmlformats.org/officeDocument/2006/relationships/hyperlink" Target="https://www.edschats.com/en/products/sesam/sesam-cs-slimliner-fix/" TargetMode="External" Id="rId677" /><Relationship Type="http://schemas.openxmlformats.org/officeDocument/2006/relationships/hyperlink" Target="https://website-9ib.pages.dev/termek/e-volumen-tetoprofil-900301-9000/" TargetMode="External" Id="rId678" /><Relationship Type="http://schemas.openxmlformats.org/officeDocument/2006/relationships/hyperlink" Target="https://www.edschats.com/en/products/sesam/sesam-cs-slimliner-fix/" TargetMode="External" Id="rId679" /><Relationship Type="http://schemas.openxmlformats.org/officeDocument/2006/relationships/hyperlink" Target="https://website-9ib.pages.dev/termek/e-volumen-tetoprofil-900301-9400/" TargetMode="External" Id="rId680" /><Relationship Type="http://schemas.openxmlformats.org/officeDocument/2006/relationships/hyperlink" Target="https://www.edschats.com/en/products/sesam/sesam-cs-slimliner-fix/" TargetMode="External" Id="rId681" /><Relationship Type="http://schemas.openxmlformats.org/officeDocument/2006/relationships/hyperlink" Target="https://website-9ib.pages.dev/termek/e-volumen-tetoprofil-900301-9600/" TargetMode="External" Id="rId682" /><Relationship Type="http://schemas.openxmlformats.org/officeDocument/2006/relationships/hyperlink" Target="https://website-9ib.pages.dev/termek/e21042-elhuzo-kocsi-2200-mm/" TargetMode="External" Id="rId683" /><Relationship Type="http://schemas.openxmlformats.org/officeDocument/2006/relationships/hyperlink" Target="https://www.edschats.com/globalassets/documents/pdfs/sesam/new_25/sesam_komponenten-u-ersatzteilkatalog_04-2024.pdf#page=78" TargetMode="External" Id="rId684" /><Relationship Type="http://schemas.openxmlformats.org/officeDocument/2006/relationships/hyperlink" Target="https://website-9ib.pages.dev/termek/e210422558-elhuzo-kocsi-2550-mm/" TargetMode="External" Id="rId685" /><Relationship Type="http://schemas.openxmlformats.org/officeDocument/2006/relationships/hyperlink" Target="https://www.edschats.com/globalassets/documents/pdfs/sesam/new_25/sesam_komponenten-u-ersatzteilkatalog_04-2024.pdf#page=80" TargetMode="External" Id="rId686" /><Relationship Type="http://schemas.openxmlformats.org/officeDocument/2006/relationships/hyperlink" Target="https://website-9ib.pages.dev/termek/e235421-szerelo-keszlet/" TargetMode="External" Id="rId687" /><Relationship Type="http://schemas.openxmlformats.org/officeDocument/2006/relationships/hyperlink" Target="https://website-9ib.pages.dev/termek/e38067930-compact-csuklopant-650-mm/" TargetMode="External" Id="rId688" /><Relationship Type="http://schemas.openxmlformats.org/officeDocument/2006/relationships/hyperlink" Target="https://www.edschats.com/globalassets/documents/pdfs/edscha/einzelersatzteilkatalog_international/09_24/edschats_ersatzteilkatalog_de-en_04-2024.pdf#page=18" TargetMode="External" Id="rId689" /><Relationship Type="http://schemas.openxmlformats.org/officeDocument/2006/relationships/hyperlink" Target="https://website-9ib.pages.dev/termek/e4038068710-biztosito-keszlt-compact/" TargetMode="External" Id="rId690" /><Relationship Type="http://schemas.openxmlformats.org/officeDocument/2006/relationships/hyperlink" Target="https://www.edschats.com/globalassets/documents/pdfs/edscha/einzelersatzteilkatalog_international/09_24/edschats_ersatzteilkatalog_de-en_04-2024.pdf#page=227" TargetMode="External" Id="rId691" /><Relationship Type="http://schemas.openxmlformats.org/officeDocument/2006/relationships/hyperlink" Target="https://website-9ib.pages.dev/termek/e4038069900-compact-lezaro-ponyvahoz-2550-mm/" TargetMode="External" Id="rId692" /><Relationship Type="http://schemas.openxmlformats.org/officeDocument/2006/relationships/hyperlink" Target="https://www.edschats.com/globalassets/documents/pdfs/edscha/einzelersatzteilkatalog_international/09_24/edschats_ersatzteilkatalog_de-en_04-2024.pdf#page=572" TargetMode="External" Id="rId693" /><Relationship Type="http://schemas.openxmlformats.org/officeDocument/2006/relationships/hyperlink" Target="https://website-9ib.pages.dev/termek/e4069000940-elhuzo-kocsi-compact-tw-1200-mm/" TargetMode="External" Id="rId694" /><Relationship Type="http://schemas.openxmlformats.org/officeDocument/2006/relationships/hyperlink" Target="https://www.edschats.com#page=9" TargetMode="External" Id="rId695" /><Relationship Type="http://schemas.openxmlformats.org/officeDocument/2006/relationships/hyperlink" Target="https://website-9ib.pages.dev/termek/e4069000940-elhuzo-kocsi-compact-normal-2550-mm/" TargetMode="External" Id="rId696" /><Relationship Type="http://schemas.openxmlformats.org/officeDocument/2006/relationships/hyperlink" Target="https://www.edschats.com#page=9" TargetMode="External" Id="rId697" /><Relationship Type="http://schemas.openxmlformats.org/officeDocument/2006/relationships/hyperlink" Target="https://website-9ib.pages.dev/termek/e4069002960-elhuzo-kocsi-compact-small-2550-mm/" TargetMode="External" Id="rId698" /><Relationship Type="http://schemas.openxmlformats.org/officeDocument/2006/relationships/hyperlink" Target="https://www.edschats.com/globalassets/documents/pdfs/edscha/einzelersatzteilkatalog_international/09_24/edschats_ersatzteilkatalog_de-en_04-2024.pdf#page=631" TargetMode="External" Id="rId699" /><Relationship Type="http://schemas.openxmlformats.org/officeDocument/2006/relationships/hyperlink" Target="https://website-9ib.pages.dev/termek/e4069009030-130-as-compact-normal-lezaro-2550-mm/" TargetMode="External" Id="rId700" /><Relationship Type="http://schemas.openxmlformats.org/officeDocument/2006/relationships/hyperlink" Target="https://www.edschats.com/globalassets/documents/pdfs/edscha/einzelersatzteilkatalog_international/09_24/edschats_ersatzteilkatalog_de-en_04-2024.pdf#page=590" TargetMode="External" Id="rId701" /><Relationship Type="http://schemas.openxmlformats.org/officeDocument/2006/relationships/hyperlink" Target="https://website-9ib.pages.dev/termek/e40696690-inditoprofil-keszlet-compact/" TargetMode="External" Id="rId702" /><Relationship Type="http://schemas.openxmlformats.org/officeDocument/2006/relationships/hyperlink" Target="https://www.edschats.com/globalassets/documents/pdfs/sesam/new_25/sesam_komponenten-u-ersatzteilkatalog_04-2024.pdf#page=77" TargetMode="External" Id="rId703" /><Relationship Type="http://schemas.openxmlformats.org/officeDocument/2006/relationships/hyperlink" Target="https://website-9ib.pages.dev/termek/e422552-tetokereszttarto-2550-mm/" TargetMode="External" Id="rId704" /><Relationship Type="http://schemas.openxmlformats.org/officeDocument/2006/relationships/hyperlink" Target="https://www.edschats.com/globalassets/documents/pdfs/sesam/new_25/sesam_komponenten-u-ersatzteilkatalog_04-2024.pdf#page=77" TargetMode="External" Id="rId705" /><Relationship Type="http://schemas.openxmlformats.org/officeDocument/2006/relationships/hyperlink" Target="https://website-9ib.pages.dev/termek/e422590-csavarozhato-tetokereszttarto-2550/" TargetMode="External" Id="rId706" /><Relationship Type="http://schemas.openxmlformats.org/officeDocument/2006/relationships/hyperlink" Target="https://www.edschats.com/globalassets/documents/pdfs/sesam/new_25/sesam_komponenten-u-ersatzteilkatalog_04-2024.pdf#page=5" TargetMode="External" Id="rId707" /><Relationship Type="http://schemas.openxmlformats.org/officeDocument/2006/relationships/hyperlink" Target="https://website-9ib.pages.dev/termek/e42587-csuklopant-700-mm/" TargetMode="External" Id="rId708" /><Relationship Type="http://schemas.openxmlformats.org/officeDocument/2006/relationships/hyperlink" Target="https://www.edschats.com/globalassets/documents/pdfs/sesam/new_25/sesam_komponenten-u-ersatzteilkatalog_04-2024.pdf#page=14" TargetMode="External" Id="rId709" /><Relationship Type="http://schemas.openxmlformats.org/officeDocument/2006/relationships/hyperlink" Target="https://website-9ib.pages.dev/termek/e50502-edscha-takarogumi-tetoprofilhoz/" TargetMode="External" Id="rId710" /><Relationship Type="http://schemas.openxmlformats.org/officeDocument/2006/relationships/hyperlink" Target="https://www.edschats.com/globalassets/documents/pdfs/sesam/new_25/sesam_komponenten-u-ersatzteilkatalog_04-2024.pdf#page=58" TargetMode="External" Id="rId711" /><Relationship Type="http://schemas.openxmlformats.org/officeDocument/2006/relationships/hyperlink" Target="https://website-9ib.pages.dev/termek/e62430-elhuzo-rud/" TargetMode="External" Id="rId712" /><Relationship Type="http://schemas.openxmlformats.org/officeDocument/2006/relationships/hyperlink" Target="https://www.edschats.com/globalassets/documents/pdfs/sesam/new_25/sesam_komponenten-u-ersatzteilkatalog_04-2024.pdf#page=78" TargetMode="External" Id="rId713" /><Relationship Type="http://schemas.openxmlformats.org/officeDocument/2006/relationships/hyperlink" Target="https://website-9ib.pages.dev/termek/e69000690-130-as-lezaro-2550-mm/" TargetMode="External" Id="rId714" /><Relationship Type="http://schemas.openxmlformats.org/officeDocument/2006/relationships/hyperlink" Target="https://www.edschats.com/globalassets/documents/pdfs/sesam/new_25/sesam_komponenten-u-ersatzteilkatalog_04-2024.pdf#page=79" TargetMode="External" Id="rId715" /><Relationship Type="http://schemas.openxmlformats.org/officeDocument/2006/relationships/hyperlink" Target="https://website-9ib.pages.dev/termek/e69001370-190-es-lezaro-2550-mm/" TargetMode="External" Id="rId716" /><Relationship Type="http://schemas.openxmlformats.org/officeDocument/2006/relationships/hyperlink" Target="https://www.edschats.com#page=12" TargetMode="External" Id="rId717" /><Relationship Type="http://schemas.openxmlformats.org/officeDocument/2006/relationships/hyperlink" Target="https://website-9ib.pages.dev/termek/e69004670-compact-fix-tetokereszttarto-2550-mm/" TargetMode="External" Id="rId718" /><Relationship Type="http://schemas.openxmlformats.org/officeDocument/2006/relationships/hyperlink" Target="https://www.edschats.com/globalassets/documents/pdfs/edscha/einzelersatzteilkatalog_international/09_24/edschats_ersatzteilkatalog_de-en_04-2024.pdf#page=588" TargetMode="External" Id="rId719" /><Relationship Type="http://schemas.openxmlformats.org/officeDocument/2006/relationships/hyperlink" Target="https://website-9ib.pages.dev/termek/e69004740-cs-compact-tetokereszttarto-2550-mm/" TargetMode="External" Id="rId720" /><Relationship Type="http://schemas.openxmlformats.org/officeDocument/2006/relationships/hyperlink" Target="https://website-9ib.pages.dev/termek/e87370-edscha-takaro-gumi-compact-110-szurke-14m/" TargetMode="External" Id="rId721" /><Relationship Type="http://schemas.openxmlformats.org/officeDocument/2006/relationships/hyperlink" Target="https://website-9ib.pages.dev/termek/edscha-toloteto-cs-standard-kit/" TargetMode="External" Id="rId722" /><Relationship Type="http://schemas.openxmlformats.org/officeDocument/2006/relationships/hyperlink" Target="https://website-9ib.pages.dev/termek/edscha-toloteto-cs-volumen-kit/" TargetMode="External" Id="rId723" /><Relationship Type="http://schemas.openxmlformats.org/officeDocument/2006/relationships/hyperlink" Target="https://website-9ib.pages.dev/termek/8bt1mb-rm-hatsoajto-zsanerlap-bak-260-3mm-mp/" TargetMode="External" Id="rId724" /><Relationship Type="http://schemas.openxmlformats.org/officeDocument/2006/relationships/hyperlink" Target="https://website-9ib.pages.dev/termek/mp-cem-inox-feszek/" TargetMode="External" Id="rId725" /><Relationship Type="http://schemas.openxmlformats.org/officeDocument/2006/relationships/hyperlink" Target="https://website-9ib.pages.dev/termek/mp-cem-inox-feszek-mp-lem-kampo-kit/" TargetMode="External" Id="rId726" /><Relationship Type="http://schemas.openxmlformats.org/officeDocument/2006/relationships/hyperlink" Target="https://website-9ib.pages.dev/termek/mp-cfem003-alatet-a-zarhoz/" TargetMode="External" Id="rId727" /><Relationship Type="http://schemas.openxmlformats.org/officeDocument/2006/relationships/hyperlink" Target="https://website-9ib.pages.dev/termek/mp-fem16003-25-sullyesztett-rudzar-inox/" TargetMode="External" Id="rId728" /><Relationship Type="http://schemas.openxmlformats.org/officeDocument/2006/relationships/hyperlink" Target="https://website-9ib.pages.dev/termek/mp-fem16003-29-sullyesztett-rudzar-inox/" TargetMode="External" Id="rId729" /><Relationship Type="http://schemas.openxmlformats.org/officeDocument/2006/relationships/hyperlink" Target="https://website-9ib.pages.dev/termek/mp-fex16-001-nyomolapos-rudzar/" TargetMode="External" Id="rId730" /><Relationship Type="http://schemas.openxmlformats.org/officeDocument/2006/relationships/hyperlink" Target="https://website-9ib.pages.dev/termek/mp-fex16-001-klcex31-kb3a-nyomolapos-rudzar-szett/" TargetMode="External" Id="rId731" /><Relationship Type="http://schemas.openxmlformats.org/officeDocument/2006/relationships/hyperlink" Target="https://website-9ib.pages.dev/termek/mp-fex27-002-klcex11-kb1g-nyomolapos-rudzar-szett/" TargetMode="External" Id="rId732" /><Relationship Type="http://schemas.openxmlformats.org/officeDocument/2006/relationships/hyperlink" Target="https://website-9ib.pages.dev/termek/mp-kb2a-22-mm-omega-lefogato-33-22/" TargetMode="External" Id="rId733" /><Relationship Type="http://schemas.openxmlformats.org/officeDocument/2006/relationships/hyperlink" Target="https://website-9ib.pages.dev/termek/mp-kb2b-22-mm-nagy-omega-130-22/" TargetMode="External" Id="rId734" /><Relationship Type="http://schemas.openxmlformats.org/officeDocument/2006/relationships/hyperlink" Target="https://website-9ib.pages.dev/termek/mp-kb2e-kit-omega-lefogato-22-mm/" TargetMode="External" Id="rId735" /><Relationship Type="http://schemas.openxmlformats.org/officeDocument/2006/relationships/hyperlink" Target="https://website-9ib.pages.dev/termek/mp-kb3a-omega-lefogato-16-mm/" TargetMode="External" Id="rId736" /><Relationship Type="http://schemas.openxmlformats.org/officeDocument/2006/relationships/hyperlink" Target="https://website-9ib.pages.dev/termek/mp-klc-em2-inox-feszek-kampo/" TargetMode="External" Id="rId737" /><Relationship Type="http://schemas.openxmlformats.org/officeDocument/2006/relationships/hyperlink" Target="https://website-9ib.pages.dev/termek/mp-klc-ex31-kit-16-zarkampo-ellendarab/" TargetMode="External" Id="rId738" /><Relationship Type="http://schemas.openxmlformats.org/officeDocument/2006/relationships/hyperlink" Target="https://website-9ib.pages.dev/termek/mp-lem-inox-kampo/" TargetMode="External" Id="rId739" /><Relationship Type="http://schemas.openxmlformats.org/officeDocument/2006/relationships/hyperlink" Target="https://website-9ib.pages.dev/termek/mp22-fex22001-rm-nyomolapos-rudzar/" TargetMode="External" Id="rId740" /><Relationship Type="http://schemas.openxmlformats.org/officeDocument/2006/relationships/hyperlink" Target="https://website-9ib.pages.dev/termek/mp22-klc-ex41-rm-kampo-feszek/" TargetMode="External" Id="rId741" /><Relationship Type="http://schemas.openxmlformats.org/officeDocument/2006/relationships/hyperlink" Target="https://website-9ib.pages.dev/termek/mp22-klcb-ex41e-rm-kampo-feszek-omegak-kit/" TargetMode="External" Id="rId742" /><Relationship Type="http://schemas.openxmlformats.org/officeDocument/2006/relationships/hyperlink" Target="https://esalforli.com/public/Catalogo-Sponde-2020-Esal-Forli.pdf#page=55" TargetMode="External" Id="rId743" /><Relationship Type="http://schemas.openxmlformats.org/officeDocument/2006/relationships/hyperlink" Target="https://website-9ib.pages.dev/termek/203183-250-25-mm-alafutasgatlo-elox-profil/" TargetMode="External" Id="rId744" /><Relationship Type="http://schemas.openxmlformats.org/officeDocument/2006/relationships/hyperlink" Target="https://esalforli.com/public/Catalogo-Sponde-2020-Esal-Forli.pdf#page=55" TargetMode="External" Id="rId745" /><Relationship Type="http://schemas.openxmlformats.org/officeDocument/2006/relationships/hyperlink" Target="https://website-9ib.pages.dev/termek/205535-ives-alafutasgatlo-vegzaro-elox-profil/" TargetMode="External" Id="rId746" /><Relationship Type="http://schemas.openxmlformats.org/officeDocument/2006/relationships/hyperlink" Target="https://esalforli.com/public/Catalogo-Sponde-2020-Esal-Forli.pdf#page=73" TargetMode="External" Id="rId747" /><Relationship Type="http://schemas.openxmlformats.org/officeDocument/2006/relationships/hyperlink" Target="https://website-9ib.pages.dev/termek/729629-huspalya-c-sin-elox-6000-mm/" TargetMode="External" Id="rId748" /><Relationship Type="http://schemas.openxmlformats.org/officeDocument/2006/relationships/hyperlink" Target="https://esalforli.com/public/Catalogo-Sponde-2020-Esal-Forli.pdf#page=73" TargetMode="External" Id="rId749" /><Relationship Type="http://schemas.openxmlformats.org/officeDocument/2006/relationships/hyperlink" Target="https://website-9ib.pages.dev/termek/729630-huspalya-c-sin-elox-7000-mm/" TargetMode="External" Id="rId750" /><Relationship Type="http://schemas.openxmlformats.org/officeDocument/2006/relationships/hyperlink" Target="https://website-9ib.pages.dev/termek/255004-100x50x4-mm-alu-zartszelveny/" TargetMode="External" Id="rId751" /><Relationship Type="http://schemas.openxmlformats.org/officeDocument/2006/relationships/hyperlink" Target="https://website-9ib.pages.dev/termek/254020-40x20x2-alu-l-profil/" TargetMode="External" Id="rId752" /><Relationship Type="http://schemas.openxmlformats.org/officeDocument/2006/relationships/hyperlink" Target="https://esalforli.com/public/Catalogo-Sponde-2020-Esal-Forli.pdf#page=58" TargetMode="External" Id="rId753" /><Relationship Type="http://schemas.openxmlformats.org/officeDocument/2006/relationships/hyperlink" Target="https://website-9ib.pages.dev/termek/222020-h-szego-kiugros-25-mm-elox/" TargetMode="External" Id="rId754" /><Relationship Type="http://schemas.openxmlformats.org/officeDocument/2006/relationships/hyperlink" Target="https://esalforli.com/public/Catalogo-Sponde-2020-Esal-Forli.pdf#page=49" TargetMode="External" Id="rId755" /><Relationship Type="http://schemas.openxmlformats.org/officeDocument/2006/relationships/hyperlink" Target="https://website-9ib.pages.dev/termek/227075-200-mm-mono-profil-teli-szakalas-elox/" TargetMode="External" Id="rId756" /><Relationship Type="http://schemas.openxmlformats.org/officeDocument/2006/relationships/hyperlink" Target="https://esalforli.com/public/Catalogo-Sponde-2020-Esal-Forli.pdf#page=36" TargetMode="External" Id="rId757" /><Relationship Type="http://schemas.openxmlformats.org/officeDocument/2006/relationships/hyperlink" Target="https://website-9ib.pages.dev/termek/245085-bill-u-szego-30-mm-40-60-elox/" TargetMode="External" Id="rId758" /><Relationship Type="http://schemas.openxmlformats.org/officeDocument/2006/relationships/hyperlink" Target="https://website-9ib.pages.dev/termek/102439-dugo-spitzprofilhoz-150-mm-magas/" TargetMode="External" Id="rId759" /><Relationship Type="http://schemas.openxmlformats.org/officeDocument/2006/relationships/hyperlink" Target="https://esalforli.com/public/Catalogo-Sponde-2020-Esal-Forli.pdf#page=64" TargetMode="External" Id="rId760" /><Relationship Type="http://schemas.openxmlformats.org/officeDocument/2006/relationships/hyperlink" Target="https://website-9ib.pages.dev/termek/201092-spanner-profil/" TargetMode="External" Id="rId761" /><Relationship Type="http://schemas.openxmlformats.org/officeDocument/2006/relationships/hyperlink" Target="https://website-9ib.pages.dev/termek/203101-spanner-profil/" TargetMode="External" Id="rId762" /><Relationship Type="http://schemas.openxmlformats.org/officeDocument/2006/relationships/hyperlink" Target="https://website-9ib.pages.dev/termek/237005-142-mm-i-koptato-profil-elox/" TargetMode="External" Id="rId763" /><Relationship Type="http://schemas.openxmlformats.org/officeDocument/2006/relationships/hyperlink" Target="https://esalforli.com/public/Catalogo-Sponde-2020-Esal-Forli.pdf#page=64" TargetMode="External" Id="rId764" /><Relationship Type="http://schemas.openxmlformats.org/officeDocument/2006/relationships/hyperlink" Target="https://website-9ib.pages.dev/termek/231381-25-mm-diszlec-alu-3000-mm/" TargetMode="External" Id="rId765" /><Relationship Type="http://schemas.openxmlformats.org/officeDocument/2006/relationships/hyperlink" Target="https://esalforli.com/public/Catalogo-Sponde-2020-Esal-Forli.pdf#page=74" TargetMode="External" Id="rId766" /><Relationship Type="http://schemas.openxmlformats.org/officeDocument/2006/relationships/hyperlink" Target="https://website-9ib.pages.dev/termek/232134-285-mm-i-koptato-profil-elox/" TargetMode="External" Id="rId767" /><Relationship Type="http://schemas.openxmlformats.org/officeDocument/2006/relationships/hyperlink" Target="https://esalforli.com/public/Catalogo-Sponde-2020-Esal-Forli.pdf#page=46" TargetMode="External" Id="rId768" /><Relationship Type="http://schemas.openxmlformats.org/officeDocument/2006/relationships/hyperlink" Target="https://website-9ib.pages.dev/termek/233837-or-tomiteses-ajtoszego-35-mm-elox/" TargetMode="External" Id="rId769" /><Relationship Type="http://schemas.openxmlformats.org/officeDocument/2006/relationships/hyperlink" Target="https://website-9ib.pages.dev/termek/234002-tomites-a-szego-profilhoz-or/" TargetMode="External" Id="rId770" /><Relationship Type="http://schemas.openxmlformats.org/officeDocument/2006/relationships/hyperlink" Target="https://website-9ib.pages.dev/termek/251010-100x100x8-alu-l-profil/" TargetMode="External" Id="rId771" /><Relationship Type="http://schemas.openxmlformats.org/officeDocument/2006/relationships/hyperlink" Target="https://website-9ib.pages.dev/termek/255032-50x30x2-5-alu-zartszelveny-6000-mm/" TargetMode="External" Id="rId772" /><Relationship Type="http://schemas.openxmlformats.org/officeDocument/2006/relationships/hyperlink" Target="https://website-9ib.pages.dev/termek/223520-ponyvacso-35x2-mm/" TargetMode="External" Id="rId773" /><Relationship Type="http://schemas.openxmlformats.org/officeDocument/2006/relationships/hyperlink" Target="https://website-9ib.pages.dev/termek/206441-i-gerenda-profil-80x60-50x8-6-mm/" TargetMode="External" Id="rId774" /><Relationship Type="http://schemas.openxmlformats.org/officeDocument/2006/relationships/hyperlink" Target="https://website-9ib.pages.dev/termek/220233-150x25-mm-ponyvatarto-zartszelveny/" TargetMode="External" Id="rId775" /><Relationship Type="http://schemas.openxmlformats.org/officeDocument/2006/relationships/hyperlink" Target="https://website-9ib.pages.dev/termek/226887-spitz-profil-140-mm-magas/" TargetMode="External" Id="rId776" /><Relationship Type="http://schemas.openxmlformats.org/officeDocument/2006/relationships/hyperlink" Target="https://www.exlabesa.com" TargetMode="External" Id="rId777" /><Relationship Type="http://schemas.openxmlformats.org/officeDocument/2006/relationships/hyperlink" Target="https://website-9ib.pages.dev/termek/200392-i-90-60-kereszttarto-ex/" TargetMode="External" Id="rId778" /><Relationship Type="http://schemas.openxmlformats.org/officeDocument/2006/relationships/hyperlink" Target="https://www.exlabesa.com" TargetMode="External" Id="rId779" /><Relationship Type="http://schemas.openxmlformats.org/officeDocument/2006/relationships/hyperlink" Target="https://website-9ib.pages.dev/termek/207327-tl-110-60-60-hossztarto-ex/" TargetMode="External" Id="rId780" /><Relationship Type="http://schemas.openxmlformats.org/officeDocument/2006/relationships/hyperlink" Target="https://www.exlabesa.com" TargetMode="External" Id="rId781" /><Relationship Type="http://schemas.openxmlformats.org/officeDocument/2006/relationships/hyperlink" Target="https://website-9ib.pages.dev/termek/209695-u-110-60-hossztarto-duplanutolt-ex/" TargetMode="External" Id="rId782" /><Relationship Type="http://schemas.openxmlformats.org/officeDocument/2006/relationships/hyperlink" Target="https://website-9ib.pages.dev/termek/222910-30-padlo-profil-200-mm-exl/" TargetMode="External" Id="rId783" /><Relationship Type="http://schemas.openxmlformats.org/officeDocument/2006/relationships/hyperlink" Target="https://www.exlabesa.com" TargetMode="External" Id="rId784" /><Relationship Type="http://schemas.openxmlformats.org/officeDocument/2006/relationships/hyperlink" Target="https://website-9ib.pages.dev/termek/207776-30-padlo-profil-220-mm-ex/" TargetMode="External" Id="rId785" /><Relationship Type="http://schemas.openxmlformats.org/officeDocument/2006/relationships/hyperlink" Target="https://website-9ib.pages.dev/termek/225630-55-padlo-profil-250-mm-zart/" TargetMode="External" Id="rId786" /><Relationship Type="http://schemas.openxmlformats.org/officeDocument/2006/relationships/hyperlink" Target="https://www.exlabesa.com" TargetMode="External" Id="rId787" /><Relationship Type="http://schemas.openxmlformats.org/officeDocument/2006/relationships/hyperlink" Target="https://website-9ib.pages.dev/termek/6639692-max-elso-oszlop-exl-elox/" TargetMode="External" Id="rId788" /><Relationship Type="http://schemas.openxmlformats.org/officeDocument/2006/relationships/hyperlink" Target="https://www.exlabesa.com" TargetMode="External" Id="rId789" /><Relationship Type="http://schemas.openxmlformats.org/officeDocument/2006/relationships/hyperlink" Target="https://website-9ib.pages.dev/termek/6639604-max-hatso-oszlop-exl-elox/" TargetMode="External" Id="rId790" /><Relationship Type="http://schemas.openxmlformats.org/officeDocument/2006/relationships/hyperlink" Target="https://website-9ib.pages.dev/termek/237301-45x300x3-mm-l-belso-bokalec-vedoprofil-elox/" TargetMode="External" Id="rId791" /><Relationship Type="http://schemas.openxmlformats.org/officeDocument/2006/relationships/hyperlink" Target="https://www.exlabesa.com" TargetMode="External" Id="rId792" /><Relationship Type="http://schemas.openxmlformats.org/officeDocument/2006/relationships/hyperlink" Target="https://website-9ib.pages.dev/termek/237712-13-dupla-alu-csiga-zsaner-u-25-mm-elox/" TargetMode="External" Id="rId793" /><Relationship Type="http://schemas.openxmlformats.org/officeDocument/2006/relationships/hyperlink" Target="https://www.exlabesa.com" TargetMode="External" Id="rId794" /><Relationship Type="http://schemas.openxmlformats.org/officeDocument/2006/relationships/hyperlink" Target="https://website-9ib.pages.dev/termek/238210-lamella-tarto-profil-ex/" TargetMode="External" Id="rId795" /><Relationship Type="http://schemas.openxmlformats.org/officeDocument/2006/relationships/hyperlink" Target="https://www.exlabesa.com" TargetMode="External" Id="rId796" /><Relationship Type="http://schemas.openxmlformats.org/officeDocument/2006/relationships/hyperlink" Target="https://website-9ib.pages.dev/termek/238209-lamella-profil-200-mm-ex/" TargetMode="External" Id="rId797" /><Relationship Type="http://schemas.openxmlformats.org/officeDocument/2006/relationships/hyperlink" Target="https://www.fts-farina.it/prodotto/piantone-stretto-100-60-verniciatura-in-cataforesi/" TargetMode="External" Id="rId798" /><Relationship Type="http://schemas.openxmlformats.org/officeDocument/2006/relationships/hyperlink" Target="https://website-9ib.pages.dev/termek/35014251-2-400-as-billencs-elso-rakonca-r-l/" TargetMode="External" Id="rId799" /><Relationship Type="http://schemas.openxmlformats.org/officeDocument/2006/relationships/hyperlink" Target="https://www.fts-farina.it/prodotto/piantone-stretto-100-60-verniciatura-in-cataforesi/" TargetMode="External" Id="rId800" /><Relationship Type="http://schemas.openxmlformats.org/officeDocument/2006/relationships/hyperlink" Target="https://website-9ib.pages.dev/termek/35014051-2-400-500-as-hatso-billencs-rakonca-r-l-acel-zsebbel/" TargetMode="External" Id="rId801" /><Relationship Type="http://schemas.openxmlformats.org/officeDocument/2006/relationships/hyperlink" Target="https://www.fts-farina.it/wp-content/uploads/2023/11/FTS_CATALOGO_2024_low_compressed_compressed.pdf" TargetMode="External" Id="rId802" /><Relationship Type="http://schemas.openxmlformats.org/officeDocument/2006/relationships/hyperlink" Target="https://website-9ib.pages.dev/termek/145010-50-mm-es-gombcsuklo-keszlet-3-5t/" TargetMode="External" Id="rId803" /><Relationship Type="http://schemas.openxmlformats.org/officeDocument/2006/relationships/hyperlink" Target="https://website-9ib.pages.dev/termek/142103-v-3-kardan/" TargetMode="External" Id="rId804" /><Relationship Type="http://schemas.openxmlformats.org/officeDocument/2006/relationships/hyperlink" Target="https://website-9ib.pages.dev/termek/143100-43-mm-gombcsuklo-keszlet-kicsi/" TargetMode="External" Id="rId805" /><Relationship Type="http://schemas.openxmlformats.org/officeDocument/2006/relationships/hyperlink" Target="https://www.fts-farina.it/prodotto/15012304-leva-comando-sinistra-per-apertura-cerniere/" TargetMode="External" Id="rId806" /><Relationship Type="http://schemas.openxmlformats.org/officeDocument/2006/relationships/hyperlink" Target="https://website-9ib.pages.dev/termek/142304-billencs-nyitokar-b/" TargetMode="External" Id="rId807" /><Relationship Type="http://schemas.openxmlformats.org/officeDocument/2006/relationships/hyperlink" Target="https://www.fts-farina.it/prodotto/15012303-leva-comando-destra-per-apertura-cerniere/" TargetMode="External" Id="rId808" /><Relationship Type="http://schemas.openxmlformats.org/officeDocument/2006/relationships/hyperlink" Target="https://website-9ib.pages.dev/termek/142303-billencs-nyitokar-j/" TargetMode="External" Id="rId809" /><Relationship Type="http://schemas.openxmlformats.org/officeDocument/2006/relationships/hyperlink" Target="https://www.fts-farina.it/prodotto/piantone-stretto-100-60-verniciatura-in-cataforesi/" TargetMode="External" Id="rId810" /><Relationship Type="http://schemas.openxmlformats.org/officeDocument/2006/relationships/hyperlink" Target="https://website-9ib.pages.dev/termek/3514430-1-billencs-rakonca-szego-egyenes-r-l/" TargetMode="External" Id="rId811" /><Relationship Type="http://schemas.openxmlformats.org/officeDocument/2006/relationships/hyperlink" Target="https://website-9ib.pages.dev/termek/3514400-1-billencs-rakonca-szego-haromszoges/" TargetMode="External" Id="rId812" /><Relationship Type="http://schemas.openxmlformats.org/officeDocument/2006/relationships/hyperlink" Target="https://website-9ib.pages.dev/termek/148110-biztosito-tuske/" TargetMode="External" Id="rId813" /><Relationship Type="http://schemas.openxmlformats.org/officeDocument/2006/relationships/hyperlink" Target="https://website-9ib.pages.dev/termek/140235-d35-zart-omega-lefogato/" TargetMode="External" Id="rId814" /><Relationship Type="http://schemas.openxmlformats.org/officeDocument/2006/relationships/hyperlink" Target="https://website-9ib.pages.dev/termek/140240-d40-zart-omega-lefogato/" TargetMode="External" Id="rId815" /><Relationship Type="http://schemas.openxmlformats.org/officeDocument/2006/relationships/hyperlink" Target="https://www.fts-farina.it/prodotto/piantone-in-alluminio-tl35-s-battuta/" TargetMode="External" Id="rId816" /><Relationship Type="http://schemas.openxmlformats.org/officeDocument/2006/relationships/hyperlink" Target="https://website-9ib.pages.dev/termek/352240-ellendarabos-szego-400mm-r-l/" TargetMode="External" Id="rId817" /><Relationship Type="http://schemas.openxmlformats.org/officeDocument/2006/relationships/hyperlink" Target="https://www.fts-farina.it/prodotto/piantone-in-alluminio-tl35-s-battuta/" TargetMode="External" Id="rId818" /><Relationship Type="http://schemas.openxmlformats.org/officeDocument/2006/relationships/hyperlink" Target="https://website-9ib.pages.dev/termek/352260-ellendarabos-szego-600mm-r-l/" TargetMode="External" Id="rId819" /><Relationship Type="http://schemas.openxmlformats.org/officeDocument/2006/relationships/hyperlink" Target="https://website-9ib.pages.dev/termek/146001-kapcsolotabla/" TargetMode="External" Id="rId820" /><Relationship Type="http://schemas.openxmlformats.org/officeDocument/2006/relationships/hyperlink" Target="https://website-9ib.pages.dev/termek/146006-kabeles-tavkapcsolo/" TargetMode="External" Id="rId821" /><Relationship Type="http://schemas.openxmlformats.org/officeDocument/2006/relationships/hyperlink" Target="https://www.fts-farina.it/prodotto/14600012-centralina-completa-12-volt/" TargetMode="External" Id="rId822" /><Relationship Type="http://schemas.openxmlformats.org/officeDocument/2006/relationships/hyperlink" Target="https://website-9ib.pages.dev/termek/146012-szivattyu-12v/" TargetMode="External" Id="rId823" /><Relationship Type="http://schemas.openxmlformats.org/officeDocument/2006/relationships/hyperlink" Target="https://website-9ib.pages.dev/termek/140319-szivattyu-24v-3000w-20l-1p3-1cc/" TargetMode="External" Id="rId824" /><Relationship Type="http://schemas.openxmlformats.org/officeDocument/2006/relationships/hyperlink" Target="https://www.fts-farina.it/prodotto/35442401-gancio-grezzo-per-articolazione-superiore/" TargetMode="External" Id="rId825" /><Relationship Type="http://schemas.openxmlformats.org/officeDocument/2006/relationships/hyperlink" Target="https://website-9ib.pages.dev/termek/354424-top-kuplung/" TargetMode="External" Id="rId826" /><Relationship Type="http://schemas.openxmlformats.org/officeDocument/2006/relationships/hyperlink" Target="https://website-9ib.pages.dev/termek/146002-vegallaskapcsolo/" TargetMode="External" Id="rId827" /><Relationship Type="http://schemas.openxmlformats.org/officeDocument/2006/relationships/hyperlink" Target="https://www.fts-farina.it/prodotto/50298820-scaletta-leggera-zincata-estraibile-a-1-gradino/" TargetMode="External" Id="rId828" /><Relationship Type="http://schemas.openxmlformats.org/officeDocument/2006/relationships/hyperlink" Target="https://website-9ib.pages.dev/termek/508820-1-fokos-letra-horg/" TargetMode="External" Id="rId829" /><Relationship Type="http://schemas.openxmlformats.org/officeDocument/2006/relationships/hyperlink" Target="https://www.fts-farina.it/prodotto/50430270-scaletta-estraibile-con-pedana-a-2-gradini-zincata-a-caldo/" TargetMode="External" Id="rId830" /><Relationship Type="http://schemas.openxmlformats.org/officeDocument/2006/relationships/hyperlink" Target="https://website-9ib.pages.dev/termek/5030270-2-fokos-letra-platform-th/" TargetMode="External" Id="rId831" /><Relationship Type="http://schemas.openxmlformats.org/officeDocument/2006/relationships/hyperlink" Target="https://website-9ib.pages.dev/termek/509665-2-fokos-letra-th/" TargetMode="External" Id="rId832" /><Relationship Type="http://schemas.openxmlformats.org/officeDocument/2006/relationships/hyperlink" Target="https://www.fts-farina.it/prodotto/scaletta-estraibile-con-pedana-a-2-gradini-compatta/" TargetMode="External" Id="rId833" /><Relationship Type="http://schemas.openxmlformats.org/officeDocument/2006/relationships/hyperlink" Target="https://website-9ib.pages.dev/termek/501927-2-fokos-letra-th-platform/" TargetMode="External" Id="rId834" /><Relationship Type="http://schemas.openxmlformats.org/officeDocument/2006/relationships/hyperlink" Target="https://www.fts-farina.it/prodotto/50292210-scaletta-leggera-zincata-estraibile-a-2-gradini/" TargetMode="External" Id="rId835" /><Relationship Type="http://schemas.openxmlformats.org/officeDocument/2006/relationships/hyperlink" Target="https://website-9ib.pages.dev/termek/502210-2-fokos-letra-horg/" TargetMode="External" Id="rId836" /><Relationship Type="http://schemas.openxmlformats.org/officeDocument/2006/relationships/hyperlink" Target="https://www.fts-farina.it/prodotto/50398665-scaletta-zincata-estraibile-2-gradini-con-asole/" TargetMode="External" Id="rId837" /><Relationship Type="http://schemas.openxmlformats.org/officeDocument/2006/relationships/hyperlink" Target="https://website-9ib.pages.dev/termek/508665-2-fokos-letra-horg/" TargetMode="External" Id="rId838" /><Relationship Type="http://schemas.openxmlformats.org/officeDocument/2006/relationships/hyperlink" Target="https://www.fts-farina.it/prodotto/80700800-ferma-porta-autoallineante-zincato/" TargetMode="External" Id="rId839" /><Relationship Type="http://schemas.openxmlformats.org/officeDocument/2006/relationships/hyperlink" Target="https://website-9ib.pages.dev/termek/056402-2-reszes-rugos-ajtokiakaszto-szet/" TargetMode="External" Id="rId840" /><Relationship Type="http://schemas.openxmlformats.org/officeDocument/2006/relationships/hyperlink" Target="https://www.fts-farina.it/prodotto/20128610-1-perno-a-molla-grande-in-inox/" TargetMode="External" Id="rId841" /><Relationship Type="http://schemas.openxmlformats.org/officeDocument/2006/relationships/hyperlink" Target="https://website-9ib.pages.dev/termek/820128-l-210-mm-rugos-rigli-rm/" TargetMode="External" Id="rId842" /><Relationship Type="http://schemas.openxmlformats.org/officeDocument/2006/relationships/hyperlink" Target="https://www.fts-farina.it/prodotto/20128510-1-perno-a-molla-grande-zinc/" TargetMode="External" Id="rId843" /><Relationship Type="http://schemas.openxmlformats.org/officeDocument/2006/relationships/hyperlink" Target="https://website-9ib.pages.dev/termek/820129-l-247-mm-rugos-rigli-horg/" TargetMode="External" Id="rId844" /><Relationship Type="http://schemas.openxmlformats.org/officeDocument/2006/relationships/hyperlink" Target="https://www.fts-farina.it/prodotto/50400665-scaletta-zincata-estraibile-3-gradini-con-asole/" TargetMode="External" Id="rId845" /><Relationship Type="http://schemas.openxmlformats.org/officeDocument/2006/relationships/hyperlink" Target="https://website-9ib.pages.dev/termek/504665-3-fokos-letra-horganyzott/" TargetMode="External" Id="rId846" /><Relationship Type="http://schemas.openxmlformats.org/officeDocument/2006/relationships/hyperlink" Target="https://website-9ib.pages.dev/termek/882050-5-fokos-letra/" TargetMode="External" Id="rId847" /><Relationship Type="http://schemas.openxmlformats.org/officeDocument/2006/relationships/hyperlink" Target="https://www.fts-farina.it/prodotto/50449270-scala-estraibile-6-gradini-zincata-at600/" TargetMode="External" Id="rId848" /><Relationship Type="http://schemas.openxmlformats.org/officeDocument/2006/relationships/hyperlink" Target="https://website-9ib.pages.dev/termek/504927-6-fokos-letra-th/" TargetMode="External" Id="rId849" /><Relationship Type="http://schemas.openxmlformats.org/officeDocument/2006/relationships/hyperlink" Target="https://www.fts-farina.it/prodotto/80365000-chiusura-sottoporta-zincata-o18/" TargetMode="External" Id="rId850" /><Relationship Type="http://schemas.openxmlformats.org/officeDocument/2006/relationships/hyperlink" Target="https://website-9ib.pages.dev/termek/836500-d18-horg-hatsoajtozar-kit-ts/" TargetMode="External" Id="rId851" /><Relationship Type="http://schemas.openxmlformats.org/officeDocument/2006/relationships/hyperlink" Target="https://www.fts-farina.it/prodotto/chiusura-esterna-sl2-per-tubo-o22/" TargetMode="External" Id="rId852" /><Relationship Type="http://schemas.openxmlformats.org/officeDocument/2006/relationships/hyperlink" Target="https://website-9ib.pages.dev/termek/836821-l-d22-kontener-rudzar-rm-kit-ts/" TargetMode="External" Id="rId853" /><Relationship Type="http://schemas.openxmlformats.org/officeDocument/2006/relationships/hyperlink" Target="https://www.fts-farina.it/prodotto/chiusura-esterna-sl2-per-tubo-o22/" TargetMode="External" Id="rId854" /><Relationship Type="http://schemas.openxmlformats.org/officeDocument/2006/relationships/hyperlink" Target="https://website-9ib.pages.dev/termek/836821-r-d22-kontener-rudzar-rm-kit-ts/" TargetMode="External" Id="rId855" /><Relationship Type="http://schemas.openxmlformats.org/officeDocument/2006/relationships/hyperlink" Target="https://www.fts-farina.it/prodotto/80369310-chiusura-esterna-container-zincata-per-tubo-o34/" TargetMode="External" Id="rId856" /><Relationship Type="http://schemas.openxmlformats.org/officeDocument/2006/relationships/hyperlink" Target="https://website-9ib.pages.dev/termek/836931-d34-kontener-rudzar-horg-kit/" TargetMode="External" Id="rId857" /><Relationship Type="http://schemas.openxmlformats.org/officeDocument/2006/relationships/hyperlink" Target="https://www.fts-farina.it/prodotto/gradino-sagomato-h240/" TargetMode="External" Id="rId858" /><Relationship Type="http://schemas.openxmlformats.org/officeDocument/2006/relationships/hyperlink" Target="https://website-9ib.pages.dev/termek/501952-fix-thorg-oldalajto-fellepo-letra/" TargetMode="External" Id="rId859" /><Relationship Type="http://schemas.openxmlformats.org/officeDocument/2006/relationships/hyperlink" Target="https://www.fts-farina.it/prodotto/55228000-tampone-paracolpi-cilindico-in-gomma-o21x75/" TargetMode="External" Id="rId860" /><Relationship Type="http://schemas.openxmlformats.org/officeDocument/2006/relationships/hyperlink" Target="https://website-9ib.pages.dev/termek/552280-gumi-utkozogyuru-d21-5x7-5-mm/" TargetMode="External" Id="rId861" /><Relationship Type="http://schemas.openxmlformats.org/officeDocument/2006/relationships/hyperlink" Target="https://www.fts-farina.it/prodotto/cerniera-tila/" TargetMode="External" Id="rId862" /><Relationship Type="http://schemas.openxmlformats.org/officeDocument/2006/relationships/hyperlink" Target="https://website-9ib.pages.dev/termek/831245-gumis-zsaner-l-2500-mm/" TargetMode="External" Id="rId863" /><Relationship Type="http://schemas.openxmlformats.org/officeDocument/2006/relationships/hyperlink" Target="https://www.fts-farina.it/prodotto/cerniera-tila/" TargetMode="External" Id="rId864" /><Relationship Type="http://schemas.openxmlformats.org/officeDocument/2006/relationships/hyperlink" Target="https://website-9ib.pages.dev/termek/831230-gumis-zsaner-l-3000-mm/" TargetMode="External" Id="rId865" /><Relationship Type="http://schemas.openxmlformats.org/officeDocument/2006/relationships/hyperlink" Target="https://www.fts-farina.it/prodotto/cerniera-tila/" TargetMode="External" Id="rId866" /><Relationship Type="http://schemas.openxmlformats.org/officeDocument/2006/relationships/hyperlink" Target="https://website-9ib.pages.dev/termek/831440-gumis-zsaner-l-4000-mm/" TargetMode="External" Id="rId867" /><Relationship Type="http://schemas.openxmlformats.org/officeDocument/2006/relationships/hyperlink" Target="https://www.fts-farina.it/prodotto/80600700-cerniera-per-container-zincato/" TargetMode="External" Id="rId868" /><Relationship Type="http://schemas.openxmlformats.org/officeDocument/2006/relationships/hyperlink" Target="https://website-9ib.pages.dev/termek/806070-horg-kontenerajo-zsaner-lepcsos-130-61-mm/" TargetMode="External" Id="rId869" /><Relationship Type="http://schemas.openxmlformats.org/officeDocument/2006/relationships/hyperlink" Target="https://website-9ib.pages.dev/termek/831211-horganyzott-lapos-zsaner/" TargetMode="External" Id="rId870" /><Relationship Type="http://schemas.openxmlformats.org/officeDocument/2006/relationships/hyperlink" Target="https://www.fts-farina.it/prodotto/cerniera-laterale-salto-gomma/" TargetMode="External" Id="rId871" /><Relationship Type="http://schemas.openxmlformats.org/officeDocument/2006/relationships/hyperlink" Target="https://website-9ib.pages.dev/termek/806308-horganyzott-oldalajto-zsaner-140-179-mm/" TargetMode="External" Id="rId872" /><Relationship Type="http://schemas.openxmlformats.org/officeDocument/2006/relationships/hyperlink" Target="https://website-9ib.pages.dev/termek/806408-horganyzott-oldalajto-zsaner-lepcsos-183-mm/" TargetMode="External" Id="rId873" /><Relationship Type="http://schemas.openxmlformats.org/officeDocument/2006/relationships/hyperlink" Target="https://www.fts-farina.it/prodotto/cerniera-farfalla/" TargetMode="External" Id="rId874" /><Relationship Type="http://schemas.openxmlformats.org/officeDocument/2006/relationships/hyperlink" Target="https://website-9ib.pages.dev/termek/832410-horganyzott-pillango-zsaner-60x60/" TargetMode="External" Id="rId875" /><Relationship Type="http://schemas.openxmlformats.org/officeDocument/2006/relationships/hyperlink" Target="https://www.fts-farina.it/prodotto/75500445-gancio-carne-inox-tipo-europa/" TargetMode="External" Id="rId876" /><Relationship Type="http://schemas.openxmlformats.org/officeDocument/2006/relationships/hyperlink" Target="https://website-9ib.pages.dev/termek/728972-huskampo-60mm-csohoz/" TargetMode="External" Id="rId877" /><Relationship Type="http://schemas.openxmlformats.org/officeDocument/2006/relationships/hyperlink" Target="https://www.fts-farina.it/prodotto/cerniera-laterale-piana-con-ingrassatore/" TargetMode="External" Id="rId878" /><Relationship Type="http://schemas.openxmlformats.org/officeDocument/2006/relationships/hyperlink" Target="https://website-9ib.pages.dev/termek/806287-inox-oldalajto-zsaner-184-65-zsirzos/" TargetMode="External" Id="rId879" /><Relationship Type="http://schemas.openxmlformats.org/officeDocument/2006/relationships/hyperlink" Target="https://www.fts-farina.it/prodotto/80901200-maniglia-di-risalita-in-poliuretano-nero-tipo-panda/" TargetMode="External" Id="rId880" /><Relationship Type="http://schemas.openxmlformats.org/officeDocument/2006/relationships/hyperlink" Target="https://website-9ib.pages.dev/termek/891200-kis-kapaszkodo/" TargetMode="External" Id="rId881" /><Relationship Type="http://schemas.openxmlformats.org/officeDocument/2006/relationships/hyperlink" Target="https://www.fts-farina.it/prodotto/55282500-tampone-paracolpi-cilindico-in-gomma-o27x25/" TargetMode="External" Id="rId882" /><Relationship Type="http://schemas.openxmlformats.org/officeDocument/2006/relationships/hyperlink" Target="https://website-9ib.pages.dev/termek/552825-kupos-utkozogumi-27-5-25/" TargetMode="External" Id="rId883" /><Relationship Type="http://schemas.openxmlformats.org/officeDocument/2006/relationships/hyperlink" Target="https://www.fts-farina.it/prodotto/55003541-tampone-paracolpi-conico-con-smussi-in-gomma/" TargetMode="External" Id="rId884" /><Relationship Type="http://schemas.openxmlformats.org/officeDocument/2006/relationships/hyperlink" Target="https://website-9ib.pages.dev/termek/553541-kupos-utkozogumi-45-60-35/" TargetMode="External" Id="rId885" /><Relationship Type="http://schemas.openxmlformats.org/officeDocument/2006/relationships/hyperlink" Target="https://www.fts-farina.it/prodotto/55005575-tampone-paracolpi-conico-in-gomma/" TargetMode="External" Id="rId886" /><Relationship Type="http://schemas.openxmlformats.org/officeDocument/2006/relationships/hyperlink" Target="https://website-9ib.pages.dev/termek/555575-kupos-utkozogumi-55-75-40/" TargetMode="External" Id="rId887" /><Relationship Type="http://schemas.openxmlformats.org/officeDocument/2006/relationships/hyperlink" Target="https://www.fts-farina.it/prodotto/55006575-tampone-paracolpi-conico-in-gomma/" TargetMode="External" Id="rId888" /><Relationship Type="http://schemas.openxmlformats.org/officeDocument/2006/relationships/hyperlink" Target="https://website-9ib.pages.dev/termek/556575-kupos-utkozogumi-65-75-50/" TargetMode="External" Id="rId889" /><Relationship Type="http://schemas.openxmlformats.org/officeDocument/2006/relationships/hyperlink" Target="https://www.fts-farina.it/prodotto/55007575-tampone-paracolpi-conico-in-gomma/" TargetMode="External" Id="rId890" /><Relationship Type="http://schemas.openxmlformats.org/officeDocument/2006/relationships/hyperlink" Target="https://website-9ib.pages.dev/termek/557575-kupos-utkozogumi-75-75-50/" TargetMode="External" Id="rId891" /><Relationship Type="http://schemas.openxmlformats.org/officeDocument/2006/relationships/hyperlink" Target="https://www.fts-farina.it/prodotto/80901235-maniglia-di-risalita-in-poliuretano-nero/" TargetMode="External" Id="rId892" /><Relationship Type="http://schemas.openxmlformats.org/officeDocument/2006/relationships/hyperlink" Target="https://website-9ib.pages.dev/termek/891235-nagy-kapaszkodo/" TargetMode="External" Id="rId893" /><Relationship Type="http://schemas.openxmlformats.org/officeDocument/2006/relationships/hyperlink" Target="https://www.fts-farina.it/wp-content/uploads/2023/11/FTS_CATALOGO_2024_low_compressed_compressed.pdf" TargetMode="External" Id="rId894" /><Relationship Type="http://schemas.openxmlformats.org/officeDocument/2006/relationships/hyperlink" Target="https://website-9ib.pages.dev/termek/828010-nyers-zsaner-bak-csavar/" TargetMode="External" Id="rId895" /><Relationship Type="http://schemas.openxmlformats.org/officeDocument/2006/relationships/hyperlink" Target="https://website-9ib.pages.dev/termek/831810-rm-lapos-lepcsos-zsaner-140-4-mm/" TargetMode="External" Id="rId896" /><Relationship Type="http://schemas.openxmlformats.org/officeDocument/2006/relationships/hyperlink" Target="https://website-9ib.pages.dev/termek/893154-rm-nagy-kapaszkodo-in/" TargetMode="External" Id="rId897" /><Relationship Type="http://schemas.openxmlformats.org/officeDocument/2006/relationships/hyperlink" Target="https://www.fts-farina.it/prodotto/80399210-cerniera-posteriore-in-inox-composto-da-cardine-e-perno/" TargetMode="External" Id="rId898" /><Relationship Type="http://schemas.openxmlformats.org/officeDocument/2006/relationships/hyperlink" Target="https://website-9ib.pages.dev/termek/899210-c-rm-hatsoajto-zsanerbak-ts/" TargetMode="External" Id="rId899" /><Relationship Type="http://schemas.openxmlformats.org/officeDocument/2006/relationships/hyperlink" Target="https://website-9ib.pages.dev/termek/899210-s-rm-hatsoajto-zsanerlap-280-3-ts/" TargetMode="External" Id="rId900" /><Relationship Type="http://schemas.openxmlformats.org/officeDocument/2006/relationships/hyperlink" Target="https://www.fts-farina.it/prodotto/80399210-cerniera-posteriore-in-inox-composto-da-cardine-e-perno/" TargetMode="External" Id="rId901" /><Relationship Type="http://schemas.openxmlformats.org/officeDocument/2006/relationships/hyperlink" Target="https://website-9ib.pages.dev/termek/899210-rm-hatsoajto-zsanerlap-bak-280-3-ts/" TargetMode="External" Id="rId902" /><Relationship Type="http://schemas.openxmlformats.org/officeDocument/2006/relationships/hyperlink" Target="https://website-9ib.pages.dev/termek/831410-rm-lapos-zsaner-134-104/" TargetMode="External" Id="rId903" /><Relationship Type="http://schemas.openxmlformats.org/officeDocument/2006/relationships/hyperlink" Target="https://www.fts-farina.it/prodotto/cerniera-laterale-salto-gomma/" TargetMode="External" Id="rId904" /><Relationship Type="http://schemas.openxmlformats.org/officeDocument/2006/relationships/hyperlink" Target="https://website-9ib.pages.dev/termek/806307-rm-oldalajto-zsaner-lepcsos-140-179-mm/" TargetMode="External" Id="rId905" /><Relationship Type="http://schemas.openxmlformats.org/officeDocument/2006/relationships/hyperlink" Target="https://www.fts-farina.it/prodotto/cerniera-salto-gomma-work/" TargetMode="External" Id="rId906" /><Relationship Type="http://schemas.openxmlformats.org/officeDocument/2006/relationships/hyperlink" Target="https://website-9ib.pages.dev/termek/806407-rm-oldalajto-zsaner-lepcsos-183-mm/" TargetMode="External" Id="rId907" /><Relationship Type="http://schemas.openxmlformats.org/officeDocument/2006/relationships/hyperlink" Target="https://www.fts-farina.it/prodotto/cerniera-farfalla/" TargetMode="External" Id="rId908" /><Relationship Type="http://schemas.openxmlformats.org/officeDocument/2006/relationships/hyperlink" Target="https://website-9ib.pages.dev/termek/832420-rm-pillango-zsaner-60x60/" TargetMode="External" Id="rId909" /><Relationship Type="http://schemas.openxmlformats.org/officeDocument/2006/relationships/hyperlink" Target="https://www.fts-farina.it/prodotto/cerniera-a-libro-in-inox-senza-fori-con-perno-in-inox/" TargetMode="External" Id="rId910" /><Relationship Type="http://schemas.openxmlformats.org/officeDocument/2006/relationships/hyperlink" Target="https://website-9ib.pages.dev/termek/808872-rm-zongora-zsaner-40x1-5x1970-mm/" TargetMode="External" Id="rId911" /><Relationship Type="http://schemas.openxmlformats.org/officeDocument/2006/relationships/hyperlink" Target="https://www.fts-farina.it/prodotto/20128210-perno-a-molla-piccolo-in-inox/" TargetMode="External" Id="rId912" /><Relationship Type="http://schemas.openxmlformats.org/officeDocument/2006/relationships/hyperlink" Target="https://website-9ib.pages.dev/termek/820128-rugos-rigli-rm/" TargetMode="External" Id="rId913" /><Relationship Type="http://schemas.openxmlformats.org/officeDocument/2006/relationships/hyperlink" Target="https://www.fts-farina.it/prodotto/20128110-perno-a-molla-piccolo-zincato/" TargetMode="External" Id="rId914" /><Relationship Type="http://schemas.openxmlformats.org/officeDocument/2006/relationships/hyperlink" Target="https://website-9ib.pages.dev/termek/820129-rugos-rigli-horg/" TargetMode="External" Id="rId915" /><Relationship Type="http://schemas.openxmlformats.org/officeDocument/2006/relationships/hyperlink" Target="https://www.fts-farina.it/prodotto/80296110-ferma-porta-sottotelaio-con-attacco-in-piano-zincato/" TargetMode="External" Id="rId916" /><Relationship Type="http://schemas.openxmlformats.org/officeDocument/2006/relationships/hyperlink" Target="https://website-9ib.pages.dev/termek/829611-rugos-ajtokitamaszto-500-270mm-ts/" TargetMode="External" Id="rId917" /><Relationship Type="http://schemas.openxmlformats.org/officeDocument/2006/relationships/hyperlink" Target="https://www.fts-farina.it/prodotto/80296910-fermaporta-sottotelaio-con-attacco-sagomato-inox/" TargetMode="External" Id="rId918" /><Relationship Type="http://schemas.openxmlformats.org/officeDocument/2006/relationships/hyperlink" Target="https://website-9ib.pages.dev/termek/829691-rugos-ajtokitamaszto-500-280-inox-ts/" TargetMode="External" Id="rId919" /><Relationship Type="http://schemas.openxmlformats.org/officeDocument/2006/relationships/hyperlink" Target="https://www.fts-farina.it/prodotto/80296310-fermaporta-sottotelaio-con-attacco-a-squadro-zincato/" TargetMode="External" Id="rId920" /><Relationship Type="http://schemas.openxmlformats.org/officeDocument/2006/relationships/hyperlink" Target="https://website-9ib.pages.dev/termek/829631-rugos-ajtorogzito-horg-440-270mm-ts/" TargetMode="External" Id="rId921" /><Relationship Type="http://schemas.openxmlformats.org/officeDocument/2006/relationships/hyperlink" Target="https://www.fts-farina.it/prodotto/80296810-fermaporta-sottototelaio-con-attac-a-squadro-tipo-francese-zincato/" TargetMode="External" Id="rId922" /><Relationship Type="http://schemas.openxmlformats.org/officeDocument/2006/relationships/hyperlink" Target="https://website-9ib.pages.dev/termek/829681-rugos-ajtorogzito-horg-545-410mm-ts/" TargetMode="External" Id="rId923" /><Relationship Type="http://schemas.openxmlformats.org/officeDocument/2006/relationships/hyperlink" Target="https://www.fts-farina.it/prodotto/75539143-coppia-supporti-inox-per-fissaggio-per-bloccaggio-guidovia-con-catena/" TargetMode="External" Id="rId924" /><Relationship Type="http://schemas.openxmlformats.org/officeDocument/2006/relationships/hyperlink" Target="https://website-9ib.pages.dev/termek/729143-sinrogzito-lancal-huspalyasinhez-rm/" TargetMode="External" Id="rId925" /><Relationship Type="http://schemas.openxmlformats.org/officeDocument/2006/relationships/hyperlink" Target="https://www.fts-farina.it/prodotto/55200118-tampone-paracolpi-in-gomma-150x60x60/" TargetMode="External" Id="rId926" /><Relationship Type="http://schemas.openxmlformats.org/officeDocument/2006/relationships/hyperlink" Target="https://website-9ib.pages.dev/termek/552118-utkozogumi-150x60x60/" TargetMode="External" Id="rId927" /><Relationship Type="http://schemas.openxmlformats.org/officeDocument/2006/relationships/hyperlink" Target="https://www.fts-farina.it/prodotto/55200800-tampone-paracolpi-in-gomma-200x80x80/" TargetMode="External" Id="rId928" /><Relationship Type="http://schemas.openxmlformats.org/officeDocument/2006/relationships/hyperlink" Target="https://website-9ib.pages.dev/termek/552080-utkozogumi-200x80x80/" TargetMode="External" Id="rId929" /><Relationship Type="http://schemas.openxmlformats.org/officeDocument/2006/relationships/hyperlink" Target="https://www.fts-farina.it/prodotto/55215505-tampone-paracolpi-in-gomma-215x50x55/" TargetMode="External" Id="rId930" /><Relationship Type="http://schemas.openxmlformats.org/officeDocument/2006/relationships/hyperlink" Target="https://website-9ib.pages.dev/termek/552155-utkozogumi-215x50x55/" TargetMode="External" Id="rId931" /><Relationship Type="http://schemas.openxmlformats.org/officeDocument/2006/relationships/hyperlink" Target="https://www.fts-farina.it/prodotto/55307065-tampone-paracolpi-in-gomma-300x65x70/" TargetMode="External" Id="rId932" /><Relationship Type="http://schemas.openxmlformats.org/officeDocument/2006/relationships/hyperlink" Target="https://website-9ib.pages.dev/termek/553065-utkozogumi-300x65x70/" TargetMode="External" Id="rId933" /><Relationship Type="http://schemas.openxmlformats.org/officeDocument/2006/relationships/hyperlink" Target="https://www.fts-farina.it/prodotto/55200594-tampone-paracolpi-in-gomma-400x65x70/" TargetMode="External" Id="rId934" /><Relationship Type="http://schemas.openxmlformats.org/officeDocument/2006/relationships/hyperlink" Target="https://website-9ib.pages.dev/termek/552594-utkozogumi-400x65x70/" TargetMode="External" Id="rId935" /><Relationship Type="http://schemas.openxmlformats.org/officeDocument/2006/relationships/hyperlink" Target="https://www.fts-farina.it/prodotto/55045040-tampone-paracolpi-in-gomma-450x40x60/" TargetMode="External" Id="rId936" /><Relationship Type="http://schemas.openxmlformats.org/officeDocument/2006/relationships/hyperlink" Target="https://website-9ib.pages.dev/termek/554540-utkozogumi-450x40x60/" TargetMode="External" Id="rId937" /><Relationship Type="http://schemas.openxmlformats.org/officeDocument/2006/relationships/hyperlink" Target="https://website-9ib.pages.dev/termek/555455-utkozogumi-455x38x48/" TargetMode="External" Id="rId938" /><Relationship Type="http://schemas.openxmlformats.org/officeDocument/2006/relationships/hyperlink" Target="https://www.fts-farina.it/prodotto/55500490-profilo-parasponde-nero-l-490/" TargetMode="External" Id="rId939" /><Relationship Type="http://schemas.openxmlformats.org/officeDocument/2006/relationships/hyperlink" Target="https://website-9ib.pages.dev/termek/555490-utkozogumi-490x45x40/" TargetMode="External" Id="rId940" /><Relationship Type="http://schemas.openxmlformats.org/officeDocument/2006/relationships/hyperlink" Target="https://www.fts-farina.it/prodotto/36200110-carrucola-ruote-in-nylon-o30/" TargetMode="External" Id="rId941" /><Relationship Type="http://schemas.openxmlformats.org/officeDocument/2006/relationships/hyperlink" Target="https://website-9ib.pages.dev/termek/211210-ponyvagorgo-alu-sinhez/" TargetMode="External" Id="rId942" /><Relationship Type="http://schemas.openxmlformats.org/officeDocument/2006/relationships/hyperlink" Target="https://www.fts-farina.it/prodotto/45187110-supporto-fissaggio-chassis-zincato-spessori-10-12-14-16/" TargetMode="External" Id="rId943" /><Relationship Type="http://schemas.openxmlformats.org/officeDocument/2006/relationships/hyperlink" Target="https://website-9ib.pages.dev/termek/451871-alvaz-rogzito-konzol-10-12-14-16/" TargetMode="External" Id="rId944" /><Relationship Type="http://schemas.openxmlformats.org/officeDocument/2006/relationships/hyperlink" Target="https://www.fts-farina.it/prodotto/45287110-supporto-fissaggio-chassis-zincato-spessori-4-5-5-6/" TargetMode="External" Id="rId945" /><Relationship Type="http://schemas.openxmlformats.org/officeDocument/2006/relationships/hyperlink" Target="https://website-9ib.pages.dev/termek/452871-alvaz-rogzito-konzol-4-5-5-6/" TargetMode="External" Id="rId946" /><Relationship Type="http://schemas.openxmlformats.org/officeDocument/2006/relationships/hyperlink" Target="https://www.fts-farina.it/prodotto/45292110-supporto-fissaggio-chassis-zincato-spessori-7-8-10-12/" TargetMode="External" Id="rId947" /><Relationship Type="http://schemas.openxmlformats.org/officeDocument/2006/relationships/hyperlink" Target="https://website-9ib.pages.dev/termek/452921-alvaz-rogzito-konzol-7-8-10-12/" TargetMode="External" Id="rId948" /><Relationship Type="http://schemas.openxmlformats.org/officeDocument/2006/relationships/hyperlink" Target="https://www.fts-farina.it/prodotto/parabiciclette-ribaltabile-h-550/" TargetMode="External" Id="rId949" /><Relationship Type="http://schemas.openxmlformats.org/officeDocument/2006/relationships/hyperlink" Target="https://website-9ib.pages.dev/termek/307955-th-alafutasgatlo-konzol-550-mm/" TargetMode="External" Id="rId950" /><Relationship Type="http://schemas.openxmlformats.org/officeDocument/2006/relationships/hyperlink" Target="https://www.fts-farina.it/prodotto/parabiciclette-ribaltabile-h-550/" TargetMode="External" Id="rId951" /><Relationship Type="http://schemas.openxmlformats.org/officeDocument/2006/relationships/hyperlink" Target="https://website-9ib.pages.dev/termek/307955-alafutasgatlo-konzol-550-mm-horg/" TargetMode="External" Id="rId952" /><Relationship Type="http://schemas.openxmlformats.org/officeDocument/2006/relationships/hyperlink" Target="https://www.fts-farina.it/wp-content/uploads/2023/11/FTS_CATALOGO_2024_low_compressed_compressed.pdf" TargetMode="External" Id="rId953" /><Relationship Type="http://schemas.openxmlformats.org/officeDocument/2006/relationships/hyperlink" Target="https://website-9ib.pages.dev/termek/307155-alafutasgatlo-konzol-572-mm/" TargetMode="External" Id="rId954" /><Relationship Type="http://schemas.openxmlformats.org/officeDocument/2006/relationships/hyperlink" Target="https://www.fts-farina.it/prodotto/parabiciclette-ribaltabile-h-700/" TargetMode="External" Id="rId955" /><Relationship Type="http://schemas.openxmlformats.org/officeDocument/2006/relationships/hyperlink" Target="https://website-9ib.pages.dev/termek/309055-alafutasgatlo-konzol-700-mm-horg/" TargetMode="External" Id="rId956" /><Relationship Type="http://schemas.openxmlformats.org/officeDocument/2006/relationships/hyperlink" Target="https://www.fts-farina.it/wp-content/uploads/2023/11/FTS_CATALOGO_2024_low_compressed_compressed.pdf" TargetMode="External" Id="rId957" /><Relationship Type="http://schemas.openxmlformats.org/officeDocument/2006/relationships/hyperlink" Target="https://website-9ib.pages.dev/termek/308155-th-alafutasgatlo-konzol-710-mm/" TargetMode="External" Id="rId958" /><Relationship Type="http://schemas.openxmlformats.org/officeDocument/2006/relationships/hyperlink" Target="https://website-9ib.pages.dev/termek/156560-billencs-zsaner-garnitura/" TargetMode="External" Id="rId959" /><Relationship Type="http://schemas.openxmlformats.org/officeDocument/2006/relationships/hyperlink" Target="https://website-9ib.pages.dev/termek/152531-billencs-zsaner-lap/" TargetMode="External" Id="rId960" /><Relationship Type="http://schemas.openxmlformats.org/officeDocument/2006/relationships/hyperlink" Target="https://www.fts-farina.it/prodotto/chiusura-a-laccio/" TargetMode="External" Id="rId961" /><Relationship Type="http://schemas.openxmlformats.org/officeDocument/2006/relationships/hyperlink" Target="https://website-9ib.pages.dev/termek/5032110-bekazar-140-mm-ellendarab/" TargetMode="External" Id="rId962" /><Relationship Type="http://schemas.openxmlformats.org/officeDocument/2006/relationships/hyperlink" Target="https://www.fts-farina.it/prodotto/35100500-montante-centrale-per-piantone-tl35-35250400/" TargetMode="External" Id="rId963" /><Relationship Type="http://schemas.openxmlformats.org/officeDocument/2006/relationships/hyperlink" Target="https://website-9ib.pages.dev/termek/352540-egymasba-zarodo-z-zar-400/" TargetMode="External" Id="rId964" /><Relationship Type="http://schemas.openxmlformats.org/officeDocument/2006/relationships/hyperlink" Target="https://www.fts-farina.it/wp-content/uploads/2023/11/FTS_CATALOGO_2024_low_compressed_compressed.pdf" TargetMode="External" Id="rId965" /><Relationship Type="http://schemas.openxmlformats.org/officeDocument/2006/relationships/hyperlink" Target="https://website-9ib.pages.dev/termek/352202-egymasbazarodo-zar-ellendarab/" TargetMode="External" Id="rId966" /><Relationship Type="http://schemas.openxmlformats.org/officeDocument/2006/relationships/hyperlink" Target="https://www.fts-farina.it/prodotto/supporto-falso-telaio-eurocargo/" TargetMode="External" Id="rId967" /><Relationship Type="http://schemas.openxmlformats.org/officeDocument/2006/relationships/hyperlink" Target="https://website-9ib.pages.dev/termek/456511-horganyzott-eurocargo-konzol/" TargetMode="External" Id="rId968" /><Relationship Type="http://schemas.openxmlformats.org/officeDocument/2006/relationships/hyperlink" Target="https://www.fts-farina.it/prodotto/pedana-salita-con-fermo/" TargetMode="External" Id="rId969" /><Relationship Type="http://schemas.openxmlformats.org/officeDocument/2006/relationships/hyperlink" Target="https://website-9ib.pages.dev/termek/507110-horganyzott-fellepo/" TargetMode="External" Id="rId970" /><Relationship Type="http://schemas.openxmlformats.org/officeDocument/2006/relationships/hyperlink" Target="https://www.fts-farina.it/prodotto/supporto-falso-telaio-daily-l-50-h-70/" TargetMode="External" Id="rId971" /><Relationship Type="http://schemas.openxmlformats.org/officeDocument/2006/relationships/hyperlink" Target="https://website-9ib.pages.dev/termek/456320-horganyzott-kiskonzol-daily-l-50-h-70/" TargetMode="External" Id="rId972" /><Relationship Type="http://schemas.openxmlformats.org/officeDocument/2006/relationships/hyperlink" Target="https://www.fts-farina.it/prodotto/supporto-falso-telaio-leggero-daily-l-50-h-90/" TargetMode="External" Id="rId973" /><Relationship Type="http://schemas.openxmlformats.org/officeDocument/2006/relationships/hyperlink" Target="https://website-9ib.pages.dev/termek/456610-horganyzott-kiskonzol-iveco/" TargetMode="External" Id="rId974" /><Relationship Type="http://schemas.openxmlformats.org/officeDocument/2006/relationships/hyperlink" Target="https://www.fts-farina.it/prodotto/supporto-falso-telaio-daily-l-70-h-90/" TargetMode="External" Id="rId975" /><Relationship Type="http://schemas.openxmlformats.org/officeDocument/2006/relationships/hyperlink" Target="https://website-9ib.pages.dev/termek/456330-horganyzott-kiskonzol-iveco-uj/" TargetMode="External" Id="rId976" /><Relationship Type="http://schemas.openxmlformats.org/officeDocument/2006/relationships/hyperlink" Target="https://www.fts-farina.it/prodotto/supporto-falso-telaio/" TargetMode="External" Id="rId977" /><Relationship Type="http://schemas.openxmlformats.org/officeDocument/2006/relationships/hyperlink" Target="https://website-9ib.pages.dev/termek/451771-horganyzott-nagykonzol-iveco-45-mm/" TargetMode="External" Id="rId978" /><Relationship Type="http://schemas.openxmlformats.org/officeDocument/2006/relationships/hyperlink" Target="https://www.fts-farina.it/prodotto/supporto-falso-telaio-pesante/" TargetMode="External" Id="rId979" /><Relationship Type="http://schemas.openxmlformats.org/officeDocument/2006/relationships/hyperlink" Target="https://website-9ib.pages.dev/termek/451721-horganyzott-nagykonzol-man-50-mm/" TargetMode="External" Id="rId980" /><Relationship Type="http://schemas.openxmlformats.org/officeDocument/2006/relationships/hyperlink" Target="https://website-9ib.pages.dev/termek/451030-th-kiskonzol-iveco/" TargetMode="External" Id="rId981" /><Relationship Type="http://schemas.openxmlformats.org/officeDocument/2006/relationships/hyperlink" Target="https://www.fts-farina.it/prodotto/25800100-sistema-di-fissaggio-elastico-m12x140/" TargetMode="External" Id="rId982" /><Relationship Type="http://schemas.openxmlformats.org/officeDocument/2006/relationships/hyperlink" Target="https://website-9ib.pages.dev/termek/m12x140-rugos-felfuggesztes/" TargetMode="External" Id="rId983" /><Relationship Type="http://schemas.openxmlformats.org/officeDocument/2006/relationships/hyperlink" Target="https://www.fts-farina.it/prodotto/25850100-sistema-di-fissaggio-elastico-pesante-m18x140/" TargetMode="External" Id="rId984" /><Relationship Type="http://schemas.openxmlformats.org/officeDocument/2006/relationships/hyperlink" Target="https://website-9ib.pages.dev/termek/m18x140-rugos-felfuggesztes/" TargetMode="External" Id="rId985" /><Relationship Type="http://schemas.openxmlformats.org/officeDocument/2006/relationships/hyperlink" Target="https://www.fts-farina.it/wp-content/uploads/2023/11/FTS_CATALOGO_2024_low_compressed_compressed.pdf#page=72" TargetMode="External" Id="rId986" /><Relationship Type="http://schemas.openxmlformats.org/officeDocument/2006/relationships/hyperlink" Target="https://website-9ib.pages.dev/termek/152711-menetes-lapka-30mm/" TargetMode="External" Id="rId987" /><Relationship Type="http://schemas.openxmlformats.org/officeDocument/2006/relationships/hyperlink" Target="https://www.fts-farina.it/prodotto/piantone-planae-in-alluminio-senza-battuta-maniglia-zincata/" TargetMode="External" Id="rId988" /><Relationship Type="http://schemas.openxmlformats.org/officeDocument/2006/relationships/hyperlink" Target="https://website-9ib.pages.dev/termek/354400-nem-peremes-400-z-zar-r-l/" TargetMode="External" Id="rId989" /><Relationship Type="http://schemas.openxmlformats.org/officeDocument/2006/relationships/hyperlink" Target="https://www.fts-farina.it/prodotto/piantone-planae-in-alluminio-senza-battuta-maniglia-zincata/" TargetMode="External" Id="rId990" /><Relationship Type="http://schemas.openxmlformats.org/officeDocument/2006/relationships/hyperlink" Target="https://website-9ib.pages.dev/termek/354500-nem-peremes-500-mm-z-zar-r-l/" TargetMode="External" Id="rId991" /><Relationship Type="http://schemas.openxmlformats.org/officeDocument/2006/relationships/hyperlink" Target="https://www.fts-farina.it/prodotto/piantone-planae-in-alluminio-senza-battuta-maniglia-zincata/" TargetMode="External" Id="rId992" /><Relationship Type="http://schemas.openxmlformats.org/officeDocument/2006/relationships/hyperlink" Target="https://website-9ib.pages.dev/termek/354600-nem-peremes-600-mm-z-zar-r-l/" TargetMode="External" Id="rId993" /><Relationship Type="http://schemas.openxmlformats.org/officeDocument/2006/relationships/hyperlink" Target="https://www.fts-farina.it/prodotto/piantone-planae-in-alluminio-senza-battuta-maniglia-zincata/" TargetMode="External" Id="rId994" /><Relationship Type="http://schemas.openxmlformats.org/officeDocument/2006/relationships/hyperlink" Target="https://website-9ib.pages.dev/termek/354800-nem-peremes-800-mm-z-zar-r-l/" TargetMode="External" Id="rId995" /><Relationship Type="http://schemas.openxmlformats.org/officeDocument/2006/relationships/hyperlink" Target="https://www.fts-farina.it/prodotto/45388100-supporto-falso-di-telaio-grezzo/" TargetMode="External" Id="rId996" /><Relationship Type="http://schemas.openxmlformats.org/officeDocument/2006/relationships/hyperlink" Target="https://website-9ib.pages.dev/termek/453881-nyers-alvaz-konzol-5-mm/" TargetMode="External" Id="rId997" /><Relationship Type="http://schemas.openxmlformats.org/officeDocument/2006/relationships/hyperlink" Target="https://www.fts-farina.it/prodotto/45399100-supporto-falso-di-telaio-pesante-grezzo/" TargetMode="External" Id="rId998" /><Relationship Type="http://schemas.openxmlformats.org/officeDocument/2006/relationships/hyperlink" Target="https://website-9ib.pages.dev/termek/453991-nyers-alvaz-konzol-6-mm/" TargetMode="External" Id="rId999" /><Relationship Type="http://schemas.openxmlformats.org/officeDocument/2006/relationships/hyperlink" Target="https://www.fts-farina.it/prodotto/supporto-falso-telaio-leggero-daily-l-50-h-90/" TargetMode="External" Id="rId1000" /><Relationship Type="http://schemas.openxmlformats.org/officeDocument/2006/relationships/hyperlink" Target="https://website-9ib.pages.dev/termek/456610-r-nyers-kiskonzol-iveco/" TargetMode="External" Id="rId1001" /><Relationship Type="http://schemas.openxmlformats.org/officeDocument/2006/relationships/hyperlink" Target="https://www.fts-farina.it/prodotto/piantone-planae-in-alluminio-con-battuta-maniglia-zincata-con-sicura/" TargetMode="External" Id="rId1002" /><Relationship Type="http://schemas.openxmlformats.org/officeDocument/2006/relationships/hyperlink" Target="https://website-9ib.pages.dev/termek/357400-peremes-z-zar-400-mm-r-l/" TargetMode="External" Id="rId1003" /><Relationship Type="http://schemas.openxmlformats.org/officeDocument/2006/relationships/hyperlink" Target="https://www.fts-farina.it/prodotto/piantone-planae-in-alluminio-con-battuta-maniglia-zincata/" TargetMode="External" Id="rId1004" /><Relationship Type="http://schemas.openxmlformats.org/officeDocument/2006/relationships/hyperlink" Target="https://website-9ib.pages.dev/termek/357500-peremes-z-zar-500-mm-r-l/" TargetMode="External" Id="rId1005" /><Relationship Type="http://schemas.openxmlformats.org/officeDocument/2006/relationships/hyperlink" Target="https://www.fts-farina.it/prodotto/piantone-planae-in-alluminio-con-battuta-maniglia-zincata/" TargetMode="External" Id="rId1006" /><Relationship Type="http://schemas.openxmlformats.org/officeDocument/2006/relationships/hyperlink" Target="https://website-9ib.pages.dev/termek/357401-peremes-z-zar-600-mm-r-l/" TargetMode="External" Id="rId1007" /><Relationship Type="http://schemas.openxmlformats.org/officeDocument/2006/relationships/hyperlink" Target="https://www.fts-farina.it/prodotto/50102900-porta-ruota-zincato-a-caldo-385-65-r225-con-rulli/" TargetMode="External" Id="rId1008" /><Relationship Type="http://schemas.openxmlformats.org/officeDocument/2006/relationships/hyperlink" Target="https://website-9ib.pages.dev/termek/501029-th-potkerektarto-1235x450-mm-ts/" TargetMode="External" Id="rId1009" /><Relationship Type="http://schemas.openxmlformats.org/officeDocument/2006/relationships/hyperlink" Target="https://www.fts-farina.it/prodotto/cerniera-tir-leggera-bm/" TargetMode="External" Id="rId1010" /><Relationship Type="http://schemas.openxmlformats.org/officeDocument/2006/relationships/hyperlink" Target="https://website-9ib.pages.dev/termek/152815-1-tir-zsaner-anya/" TargetMode="External" Id="rId1011" /><Relationship Type="http://schemas.openxmlformats.org/officeDocument/2006/relationships/hyperlink" Target="https://www.fts-farina.it/prodotto/perno-tir-leggero-bm/" TargetMode="External" Id="rId1012" /><Relationship Type="http://schemas.openxmlformats.org/officeDocument/2006/relationships/hyperlink" Target="https://website-9ib.pages.dev/termek/152815-2-tir-zsaner-apa/" TargetMode="External" Id="rId1013" /><Relationship Type="http://schemas.openxmlformats.org/officeDocument/2006/relationships/hyperlink" Target="https://www.fts-farina.it/prodotto/15276110-perno-in-lamiera-stampata-zincato-o12/" TargetMode="External" Id="rId1014" /><Relationship Type="http://schemas.openxmlformats.org/officeDocument/2006/relationships/hyperlink" Target="https://website-9ib.pages.dev/termek/152760-tir-zsaner-apa-resz-alu-hoz/" TargetMode="External" Id="rId1015" /><Relationship Type="http://schemas.openxmlformats.org/officeDocument/2006/relationships/hyperlink" Target="https://website-9ib.pages.dev/termek/152815-tir-zsaner-garnitura-dc/" TargetMode="External" Id="rId1016" /><Relationship Type="http://schemas.openxmlformats.org/officeDocument/2006/relationships/hyperlink" Target="https://website-9ib.pages.dev/termek/152901-tir-zsaner-garnitura-nagy-horg/" TargetMode="External" Id="rId1017" /><Relationship Type="http://schemas.openxmlformats.org/officeDocument/2006/relationships/hyperlink" Target="https://www.fts-farina.it/prodotto/cerniera-tir-leggera-bm/" TargetMode="External" Id="rId1018" /><Relationship Type="http://schemas.openxmlformats.org/officeDocument/2006/relationships/hyperlink" Target="https://website-9ib.pages.dev/termek/152823-tir-zsaner-garnitura-rm/" TargetMode="External" Id="rId1019" /><Relationship Type="http://schemas.openxmlformats.org/officeDocument/2006/relationships/hyperlink" Target="https://www.fts-farina.it/prodotto/cerniera-tir-leggera-bm/" TargetMode="External" Id="rId1020" /><Relationship Type="http://schemas.openxmlformats.org/officeDocument/2006/relationships/hyperlink" Target="https://website-9ib.pages.dev/termek/152814-tir-zsaner-garnitura-th/" TargetMode="External" Id="rId1021" /><Relationship Type="http://schemas.openxmlformats.org/officeDocument/2006/relationships/hyperlink" Target="https://website-9ib.pages.dev/termek/152811-tir-zsaner-garnitura-horg/" TargetMode="External" Id="rId1022" /><Relationship Type="http://schemas.openxmlformats.org/officeDocument/2006/relationships/hyperlink" Target="https://www.fts-farina.it/prodotto/15279110-piastrina-zincata-int-50/" TargetMode="External" Id="rId1023" /><Relationship Type="http://schemas.openxmlformats.org/officeDocument/2006/relationships/hyperlink" Target="https://website-9ib.pages.dev/termek/152791-tir-zsaner-lapka-50mm/" TargetMode="External" Id="rId1024" /><Relationship Type="http://schemas.openxmlformats.org/officeDocument/2006/relationships/hyperlink" Target="https://www.fts-farina.it/prodotto/15278110-piastrina-zincata-int-70/" TargetMode="External" Id="rId1025" /><Relationship Type="http://schemas.openxmlformats.org/officeDocument/2006/relationships/hyperlink" Target="https://website-9ib.pages.dev/termek/152781-tir-zsaner-lapka-70mm/" TargetMode="External" Id="rId1026" /><Relationship Type="http://schemas.openxmlformats.org/officeDocument/2006/relationships/hyperlink" Target="https://www.fts-farina.it/wp-content/uploads/2023/11/FTS_CATALOGO_2024_low_compressed_compressed.pdf" TargetMode="External" Id="rId1027" /><Relationship Type="http://schemas.openxmlformats.org/officeDocument/2006/relationships/hyperlink" Target="https://website-9ib.pages.dev/termek/351503-z-zar-ellendarab-hegesztheto-kicsi-20/" TargetMode="External" Id="rId1028" /><Relationship Type="http://schemas.openxmlformats.org/officeDocument/2006/relationships/hyperlink" Target="https://www.fts-farina.it/wp-content/uploads/2023/11/FTS_CATALOGO_2024_low_compressed_compressed.pdf" TargetMode="External" Id="rId1029" /><Relationship Type="http://schemas.openxmlformats.org/officeDocument/2006/relationships/hyperlink" Target="https://website-9ib.pages.dev/termek/351502-z-zar-ellendarab-hegesztheto-nagy-30/" TargetMode="External" Id="rId1030" /><Relationship Type="http://schemas.openxmlformats.org/officeDocument/2006/relationships/hyperlink" Target="https://www.fts-farina.it/wp-content/uploads/2023/11/FTS_CATALOGO_2024_low_compressed_compressed.pdf" TargetMode="External" Id="rId1031" /><Relationship Type="http://schemas.openxmlformats.org/officeDocument/2006/relationships/hyperlink" Target="https://website-9ib.pages.dev/termek/351501-z-zar-ellendarab-csavarozhato/" TargetMode="External" Id="rId1032" /><Relationship Type="http://schemas.openxmlformats.org/officeDocument/2006/relationships/hyperlink" Target="https://www.fts-farina.it/prodotto/58923055-tappo-in-pcv-per-profilo-diritto/" TargetMode="External" Id="rId1033" /><Relationship Type="http://schemas.openxmlformats.org/officeDocument/2006/relationships/hyperlink" Target="https://website-9ib.pages.dev/termek/103055-100-x-30-mm-dugo-alafutasgatlohoz/" TargetMode="External" Id="rId1034" /><Relationship Type="http://schemas.openxmlformats.org/officeDocument/2006/relationships/hyperlink" Target="https://www.fts-farina.it/prodotto/55160100-tappo-asta-centina-in-gomma/" TargetMode="External" Id="rId1035" /><Relationship Type="http://schemas.openxmlformats.org/officeDocument/2006/relationships/hyperlink" Target="https://website-9ib.pages.dev/termek/100516-100x25-dugo-zartszelvenyhez/" TargetMode="External" Id="rId1036" /><Relationship Type="http://schemas.openxmlformats.org/officeDocument/2006/relationships/hyperlink" Target="https://www.fts-farina.it/prodotto/45104135-supporto-asta-centina-zincata-l-25-con-fori/" TargetMode="External" Id="rId1037" /><Relationship Type="http://schemas.openxmlformats.org/officeDocument/2006/relationships/hyperlink" Target="https://website-9ib.pages.dev/termek/104130-100x25-mm-horganyzott-szegecselheto-deszkatarto-zseb/" TargetMode="External" Id="rId1038" /><Relationship Type="http://schemas.openxmlformats.org/officeDocument/2006/relationships/hyperlink" Target="https://www.fts-farina.it/prodotto/34480021-ss-innesto-a-taglio-in-inox-per-profilo-o27/" TargetMode="External" Id="rId1039" /><Relationship Type="http://schemas.openxmlformats.org/officeDocument/2006/relationships/hyperlink" Target="https://website-9ib.pages.dev/termek/380021-ss-also-adapter-27-es-csohoz/" TargetMode="External" Id="rId1040" /><Relationship Type="http://schemas.openxmlformats.org/officeDocument/2006/relationships/hyperlink" Target="https://www.fts-farina.it/prodotto/34480020-ss-innesto-a-quadro-in-inox-per-profilo-o27/" TargetMode="External" Id="rId1041" /><Relationship Type="http://schemas.openxmlformats.org/officeDocument/2006/relationships/hyperlink" Target="https://website-9ib.pages.dev/termek/380020-ss-also-adapter-27-es-csohoz-szogletes/" TargetMode="External" Id="rId1042" /><Relationship Type="http://schemas.openxmlformats.org/officeDocument/2006/relationships/hyperlink" Target="https://website-9ib.pages.dev/termek/380022-also-adapter-27-es-csohoz-pwp-kocka/" TargetMode="External" Id="rId1043" /><Relationship Type="http://schemas.openxmlformats.org/officeDocument/2006/relationships/hyperlink" Target="https://www.fts-farina.it/prodotto/34480018-ss-innesto-inferiore-inox-attacco-quadro/" TargetMode="External" Id="rId1044" /><Relationship Type="http://schemas.openxmlformats.org/officeDocument/2006/relationships/hyperlink" Target="https://website-9ib.pages.dev/termek/380018-ss-also-adapter-27-es-csohoz-kocka/" TargetMode="External" Id="rId1045" /><Relationship Type="http://schemas.openxmlformats.org/officeDocument/2006/relationships/hyperlink" Target="https://www.fts-farina.it/prodotto/34480017-innesto-a-taglio-per-profilo-o34/" TargetMode="External" Id="rId1046" /><Relationship Type="http://schemas.openxmlformats.org/officeDocument/2006/relationships/hyperlink" Target="https://website-9ib.pages.dev/termek/380017-also-adapter-34-es-csohoz/" TargetMode="External" Id="rId1047" /><Relationship Type="http://schemas.openxmlformats.org/officeDocument/2006/relationships/hyperlink" Target="https://www.fts-farina.it/prodotto/45155101-solo-gomma-o35/" TargetMode="External" Id="rId1048" /><Relationship Type="http://schemas.openxmlformats.org/officeDocument/2006/relationships/hyperlink" Target="https://website-9ib.pages.dev/termek/105510-d35-mm-gumiagy/" TargetMode="External" Id="rId1049" /><Relationship Type="http://schemas.openxmlformats.org/officeDocument/2006/relationships/hyperlink" Target="https://www.fts-farina.it/prodotto/45155102-solo-piastrina-o35/" TargetMode="External" Id="rId1050" /><Relationship Type="http://schemas.openxmlformats.org/officeDocument/2006/relationships/hyperlink" Target="https://website-9ib.pages.dev/termek/106220-d35-mm-acel-tarto/" TargetMode="External" Id="rId1051" /><Relationship Type="http://schemas.openxmlformats.org/officeDocument/2006/relationships/hyperlink" Target="https://www.fts-farina.it/prodotto/45151100-supporto-tubo-centina-pvc-o50/" TargetMode="External" Id="rId1052" /><Relationship Type="http://schemas.openxmlformats.org/officeDocument/2006/relationships/hyperlink" Target="https://website-9ib.pages.dev/termek/101100-d50-mm-gumiagy-acel-tarto/" TargetMode="External" Id="rId1053" /><Relationship Type="http://schemas.openxmlformats.org/officeDocument/2006/relationships/hyperlink" Target="https://www.fts-farina.it/prodotto/50154285-supporto-tubo-centina-pvc-o60/" TargetMode="External" Id="rId1054" /><Relationship Type="http://schemas.openxmlformats.org/officeDocument/2006/relationships/hyperlink" Target="https://website-9ib.pages.dev/termek/104285-d60-csodugo/" TargetMode="External" Id="rId1055" /><Relationship Type="http://schemas.openxmlformats.org/officeDocument/2006/relationships/hyperlink" Target="https://www.fts-farina.it/prodotto/45150100-supporto-asta-centina-grezza-l25/" TargetMode="External" Id="rId1056" /><Relationship Type="http://schemas.openxmlformats.org/officeDocument/2006/relationships/hyperlink" Target="https://website-9ib.pages.dev/termek/100451-deszkatarto-zseb/" TargetMode="External" Id="rId1057" /><Relationship Type="http://schemas.openxmlformats.org/officeDocument/2006/relationships/hyperlink" Target="https://www.fts-farina.it/prodotto/34480019-ss-tappo-in-inox-per-profilo-o27/" TargetMode="External" Id="rId1058" /><Relationship Type="http://schemas.openxmlformats.org/officeDocument/2006/relationships/hyperlink" Target="https://website-9ib.pages.dev/termek/380019-felso-adapter-27-es-csohoz/" TargetMode="External" Id="rId1059" /><Relationship Type="http://schemas.openxmlformats.org/officeDocument/2006/relationships/hyperlink" Target="https://www.fts-farina.it/prodotto/34480011-tappo-superiore-per-profilo-o34/" TargetMode="External" Id="rId1060" /><Relationship Type="http://schemas.openxmlformats.org/officeDocument/2006/relationships/hyperlink" Target="https://website-9ib.pages.dev/termek/380011-felso-adapter-34-es-csohoz/" TargetMode="External" Id="rId1061" /><Relationship Type="http://schemas.openxmlformats.org/officeDocument/2006/relationships/hyperlink" Target="https://www.fts-farina.it/prodotto/34480045-r-tenditore-destro-zincato-attacco-a-taglio-o25/" TargetMode="External" Id="rId1062" /><Relationship Type="http://schemas.openxmlformats.org/officeDocument/2006/relationships/hyperlink" Target="https://website-9ib.pages.dev/termek/381071-feszito-kocka-sliccelt-adapterhez-ts/" TargetMode="External" Id="rId1063" /><Relationship Type="http://schemas.openxmlformats.org/officeDocument/2006/relationships/hyperlink" Target="https://www.fts-farina.it/prodotto/34480055-r-tenditore-destro-zincato-attacco-a-squadro-12x12/" TargetMode="External" Id="rId1064" /><Relationship Type="http://schemas.openxmlformats.org/officeDocument/2006/relationships/hyperlink" Target="https://website-9ib.pages.dev/termek/381073-feszito-kocka-szogletes-adapterhez/" TargetMode="External" Id="rId1065" /><Relationship Type="http://schemas.openxmlformats.org/officeDocument/2006/relationships/hyperlink" Target="https://website-9ib.pages.dev/termek/380081-pwp-racsnis-feszito-sliccelt-l/" TargetMode="External" Id="rId1066" /><Relationship Type="http://schemas.openxmlformats.org/officeDocument/2006/relationships/hyperlink" Target="https://website-9ib.pages.dev/termek/380080-pwp-racsnis-feszito-sliccelt-r/" TargetMode="External" Id="rId1067" /><Relationship Type="http://schemas.openxmlformats.org/officeDocument/2006/relationships/hyperlink" Target="https://website-9ib.pages.dev/termek/380024-pwp-racsnis-feszito-kocka-adapter-l/" TargetMode="External" Id="rId1068" /><Relationship Type="http://schemas.openxmlformats.org/officeDocument/2006/relationships/hyperlink" Target="https://website-9ib.pages.dev/termek/380025-pwp-racsnis-feszito-kocka-adapter-r/" TargetMode="External" Id="rId1069" /><Relationship Type="http://schemas.openxmlformats.org/officeDocument/2006/relationships/hyperlink" Target="https://www.fts-farina.it/prodotto/34480061-tenditore-tr-sinistro-in-dacromet-attac-a-taglio-o25/" TargetMode="External" Id="rId1070" /><Relationship Type="http://schemas.openxmlformats.org/officeDocument/2006/relationships/hyperlink" Target="https://website-9ib.pages.dev/termek/380061-racsnis-feszito-l/" TargetMode="External" Id="rId1071" /><Relationship Type="http://schemas.openxmlformats.org/officeDocument/2006/relationships/hyperlink" Target="https://www.fts-farina.it/prodotto/34480060-tenditore-tr-destro-in-dacromet-attac-a-taglio-o25/" TargetMode="External" Id="rId1072" /><Relationship Type="http://schemas.openxmlformats.org/officeDocument/2006/relationships/hyperlink" Target="https://website-9ib.pages.dev/termek/380060-racsnis-feszito-r/" TargetMode="External" Id="rId1073" /><Relationship Type="http://schemas.openxmlformats.org/officeDocument/2006/relationships/hyperlink" Target="https://website-9ib.pages.dev/termek/380070-71-racsnis-feszito-kocka-adapterhez-j-b-h/" TargetMode="External" Id="rId1074" /><Relationship Type="http://schemas.openxmlformats.org/officeDocument/2006/relationships/hyperlink" Target="https://www.fts-farina.it/prodotto/45070110-supporto-porta-utensili-zincato-da-o28%c3%b7o40/" TargetMode="External" Id="rId1075" /><Relationship Type="http://schemas.openxmlformats.org/officeDocument/2006/relationships/hyperlink" Target="https://website-9ib.pages.dev/termek/100110-seprutarto-80-mm/" TargetMode="External" Id="rId1076" /><Relationship Type="http://schemas.openxmlformats.org/officeDocument/2006/relationships/hyperlink" Target="https://www.fts-farina.it/prodotto/34480010-tenditore-zincato-doppio-attacco-a-taglio-o25/" TargetMode="External" Id="rId1077" /><Relationship Type="http://schemas.openxmlformats.org/officeDocument/2006/relationships/hyperlink" Target="https://website-9ib.pages.dev/termek/380810-tts-racsnis-feszito-ketoldalas/" TargetMode="External" Id="rId1078" /><Relationship Type="http://schemas.openxmlformats.org/officeDocument/2006/relationships/hyperlink" Target="https://www.fts-farina.it/prodotto/34480041-maniglia-zincata-per-tenditore/" TargetMode="External" Id="rId1079" /><Relationship Type="http://schemas.openxmlformats.org/officeDocument/2006/relationships/hyperlink" Target="https://website-9ib.pages.dev/termek/381420-tekero-kurbli/" TargetMode="External" Id="rId1080" /><Relationship Type="http://schemas.openxmlformats.org/officeDocument/2006/relationships/hyperlink" Target="https://website-9ib.pages.dev/termek/380091-w-racsnis-feszito-quadrat-l/" TargetMode="External" Id="rId1081" /><Relationship Type="http://schemas.openxmlformats.org/officeDocument/2006/relationships/hyperlink" Target="https://website-9ib.pages.dev/termek/380090-w-racsnis-feszito-quadrat-r/" TargetMode="External" Id="rId1082" /><Relationship Type="http://schemas.openxmlformats.org/officeDocument/2006/relationships/hyperlink" Target="https://www.fts-farina.it/prodotto/58924056-tappo-dangolo-in-pvc-con-perni/" TargetMode="External" Id="rId1083" /><Relationship Type="http://schemas.openxmlformats.org/officeDocument/2006/relationships/hyperlink" Target="https://website-9ib.pages.dev/termek/100591-ives-alafutasgatlo-vegzaro-pvc/" TargetMode="External" Id="rId1084" /><Relationship Type="http://schemas.openxmlformats.org/officeDocument/2006/relationships/hyperlink" Target="https://www.fts-farina.it/prodotto/45095310-anello-fermacarico-zincato-con-base-ovale/" TargetMode="External" Id="rId1085" /><Relationship Type="http://schemas.openxmlformats.org/officeDocument/2006/relationships/hyperlink" Target="https://website-9ib.pages.dev/termek/125310-3-reszes-rakomanyrogzito-oval-tanyer-800-kg/" TargetMode="External" Id="rId1086" /><Relationship Type="http://schemas.openxmlformats.org/officeDocument/2006/relationships/hyperlink" Target="https://website-9ib.pages.dev/termek/127914-3m-750dan-gurtni-ket-oldalon-csatos/" TargetMode="External" Id="rId1087" /><Relationship Type="http://schemas.openxmlformats.org/officeDocument/2006/relationships/hyperlink" Target="https://website-9ib.pages.dev/termek/123210-inox-rakomany-rogz-tanyer/" TargetMode="External" Id="rId1088" /><Relationship Type="http://schemas.openxmlformats.org/officeDocument/2006/relationships/hyperlink" Target="https://www.fts-farina.it/prodotto/profili-fermacarico-orizzontale-f-track/" TargetMode="External" Id="rId1089" /><Relationship Type="http://schemas.openxmlformats.org/officeDocument/2006/relationships/hyperlink" Target="https://website-9ib.pages.dev/termek/121127-kombi-rakomanyrogzito-sin-acel-magnelis/" TargetMode="External" Id="rId1090" /><Relationship Type="http://schemas.openxmlformats.org/officeDocument/2006/relationships/hyperlink" Target="https://www.fts-farina.it/prodotto/profili-fermacarico-orizzontale-f-track/" TargetMode="External" Id="rId1091" /><Relationship Type="http://schemas.openxmlformats.org/officeDocument/2006/relationships/hyperlink" Target="https://website-9ib.pages.dev/termek/123320-kombi-rakomanyrogzito-sin-aluminium/" TargetMode="External" Id="rId1092" /><Relationship Type="http://schemas.openxmlformats.org/officeDocument/2006/relationships/hyperlink" Target="https://www.fts-farina.it/prodotto/profili-fermacarico-orizzontale-f-track/" TargetMode="External" Id="rId1093" /><Relationship Type="http://schemas.openxmlformats.org/officeDocument/2006/relationships/hyperlink" Target="https://website-9ib.pages.dev/termek/121129-kombi-rakomanyrogzito-sin-inox/" TargetMode="External" Id="rId1094" /><Relationship Type="http://schemas.openxmlformats.org/officeDocument/2006/relationships/hyperlink" Target="https://www.fts-farina.it/prodotto/50033500-tappo-in-pvc-per-profili-orizzontali/" TargetMode="External" Id="rId1095" /><Relationship Type="http://schemas.openxmlformats.org/officeDocument/2006/relationships/hyperlink" Target="https://website-9ib.pages.dev/termek/123350-muanyag-vegzar-kombi-sinhez/" TargetMode="External" Id="rId1096" /><Relationship Type="http://schemas.openxmlformats.org/officeDocument/2006/relationships/hyperlink" Target="https://www.fts-farina.it/prodotto/45098510-anello-fermacarico-zincato-con-base-in-pvc/" TargetMode="External" Id="rId1097" /><Relationship Type="http://schemas.openxmlformats.org/officeDocument/2006/relationships/hyperlink" Target="https://website-9ib.pages.dev/termek/128510-pvc-talpas-rakomanyrogzito-500-kg/" TargetMode="External" Id="rId1098" /><Relationship Type="http://schemas.openxmlformats.org/officeDocument/2006/relationships/hyperlink" Target="https://www.fts-farina.it/prodotto/anello-fermacarico-incassato/" TargetMode="External" Id="rId1099" /><Relationship Type="http://schemas.openxmlformats.org/officeDocument/2006/relationships/hyperlink" Target="https://website-9ib.pages.dev/termek/128110-padloba-heg-rak-rogz-2500-dan/" TargetMode="External" Id="rId1100" /><Relationship Type="http://schemas.openxmlformats.org/officeDocument/2006/relationships/hyperlink" Target="https://www.fts-farina.it/prodotto/anello-fermacarico-leggero-senza-molla/" TargetMode="External" Id="rId1101" /><Relationship Type="http://schemas.openxmlformats.org/officeDocument/2006/relationships/hyperlink" Target="https://website-9ib.pages.dev/termek/122303-padloba-sullyesztehto-inox-rak-rogzito-tanyer/" TargetMode="External" Id="rId1102" /><Relationship Type="http://schemas.openxmlformats.org/officeDocument/2006/relationships/hyperlink" Target="https://www.fts-farina.it/prodotto/anello-fermacarico-pesante-con-molla/" TargetMode="External" Id="rId1103" /><Relationship Type="http://schemas.openxmlformats.org/officeDocument/2006/relationships/hyperlink" Target="https://website-9ib.pages.dev/termek/129310-padloba-sullyesztehto-horg-rak-rogzito-tanyer-1000-dan/" TargetMode="External" Id="rId1104" /><Relationship Type="http://schemas.openxmlformats.org/officeDocument/2006/relationships/hyperlink" Target="https://www.fts-farina.it/prodotto/50071099-profilo-in-alluminio-con-protezione-in-pvc/" TargetMode="External" Id="rId1105" /><Relationship Type="http://schemas.openxmlformats.org/officeDocument/2006/relationships/hyperlink" Target="https://website-9ib.pages.dev/termek/127199-palcas-rakomanyrogzito-sin-sully-alu-pvc-3m/" TargetMode="External" Id="rId1106" /><Relationship Type="http://schemas.openxmlformats.org/officeDocument/2006/relationships/hyperlink" Target="https://website-9ib.pages.dev/termek/129111-rak-rogz-kengyel-lapka-2500-dan-ts/" TargetMode="External" Id="rId1107" /><Relationship Type="http://schemas.openxmlformats.org/officeDocument/2006/relationships/hyperlink" Target="https://www.fts-farina.it/prodotto/45097515-anello-fermacarico-reus-zincato/" TargetMode="External" Id="rId1108" /><Relationship Type="http://schemas.openxmlformats.org/officeDocument/2006/relationships/hyperlink" Target="https://website-9ib.pages.dev/termek/127515-rakomanyrogzito-kengyel-2000-kg-ts/" TargetMode="External" Id="rId1109" /><Relationship Type="http://schemas.openxmlformats.org/officeDocument/2006/relationships/hyperlink" Target="https://www.fts-farina.it/prodotto/45097110-anello-fermacarico-zincato-completo-di-dadi/" TargetMode="External" Id="rId1110" /><Relationship Type="http://schemas.openxmlformats.org/officeDocument/2006/relationships/hyperlink" Target="https://website-9ib.pages.dev/termek/129711-rakomanyrogzito-kengyel-2500-dan-ts/" TargetMode="External" Id="rId1111" /><Relationship Type="http://schemas.openxmlformats.org/officeDocument/2006/relationships/hyperlink" Target="https://website-9ib.pages.dev/termek/126514-rakomanyrogzito-kengyel-ht/" TargetMode="External" Id="rId1112" /><Relationship Type="http://schemas.openxmlformats.org/officeDocument/2006/relationships/hyperlink" Target="https://website-9ib.pages.dev/termek/126516-rakomanyrogzito-kengyel-td/" TargetMode="External" Id="rId1113" /><Relationship Type="http://schemas.openxmlformats.org/officeDocument/2006/relationships/hyperlink" Target="https://www.fts-farina.it/prodotto/45096510-anello-fermacarico-zincato-con-piastra-grezza/" TargetMode="External" Id="rId1114" /><Relationship Type="http://schemas.openxmlformats.org/officeDocument/2006/relationships/hyperlink" Target="https://website-9ib.pages.dev/termek/126510-rakomanyrogzito-kengyel-nyers-alatettel/" TargetMode="External" Id="rId1115" /><Relationship Type="http://schemas.openxmlformats.org/officeDocument/2006/relationships/hyperlink" Target="https://www.fts-farina.it/prodotto/50071033-barra-zincata-fermacarico-reg-2085%c3%b72485-innesto-o19-24/" TargetMode="External" Id="rId1116" /><Relationship Type="http://schemas.openxmlformats.org/officeDocument/2006/relationships/hyperlink" Target="https://website-9ib.pages.dev/termek/121030-rakomanyrogzito-rud-acel-2200/" TargetMode="External" Id="rId1117" /><Relationship Type="http://schemas.openxmlformats.org/officeDocument/2006/relationships/hyperlink" Target="https://www.fts-farina.it/prodotto/50071031-barra-zincata-fermacarico-reg-2360%c3%b72760-innesti-o19-o24/" TargetMode="External" Id="rId1118" /><Relationship Type="http://schemas.openxmlformats.org/officeDocument/2006/relationships/hyperlink" Target="https://website-9ib.pages.dev/termek/121032-rakomanyrogzito-rud-acel-2500/" TargetMode="External" Id="rId1119" /><Relationship Type="http://schemas.openxmlformats.org/officeDocument/2006/relationships/hyperlink" Target="https://website-9ib.pages.dev/termek/128325-rakomanyrozito-ful-festett-fekete/" TargetMode="External" Id="rId1120" /><Relationship Type="http://schemas.openxmlformats.org/officeDocument/2006/relationships/hyperlink" Target="https://www.fts-farina.it/prodotto/anello-fermacarico-a-comparsa/" TargetMode="External" Id="rId1121" /><Relationship Type="http://schemas.openxmlformats.org/officeDocument/2006/relationships/hyperlink" Target="https://website-9ib.pages.dev/termek/128315-rakomanyrozito-ful-nyers/" TargetMode="External" Id="rId1122" /><Relationship Type="http://schemas.openxmlformats.org/officeDocument/2006/relationships/hyperlink" Target="https://www.fts-farina.it/prodotto/80272210-maniglia-per-sponda-in-inox-con-molla/" TargetMode="External" Id="rId1123" /><Relationship Type="http://schemas.openxmlformats.org/officeDocument/2006/relationships/hyperlink" Target="https://website-9ib.pages.dev/termek/127210-rozsdamentes-rakomanyrozito-ful/" TargetMode="External" Id="rId1124" /><Relationship Type="http://schemas.openxmlformats.org/officeDocument/2006/relationships/hyperlink" Target="https://www.fts-farina.it/prodotto/34128000-cinghia-con-tensore-e-bloccaggio-ganci-a-griffe-l-8-mt/" TargetMode="External" Id="rId1125" /><Relationship Type="http://schemas.openxmlformats.org/officeDocument/2006/relationships/hyperlink" Target="https://website-9ib.pages.dev/termek/123412-spanifer-l-8-m-5000-kg-dupla-kampos/" TargetMode="External" Id="rId1126" /><Relationship Type="http://schemas.openxmlformats.org/officeDocument/2006/relationships/hyperlink" Target="https://www.fts-farina.it/prodotto/barra-fermacarico-o42-con-molla-regolabile-2350%c3%b72720/" TargetMode="External" Id="rId1127" /><Relationship Type="http://schemas.openxmlformats.org/officeDocument/2006/relationships/hyperlink" Target="https://website-9ib.pages.dev/termek/127183-talpas-terelvalaszto-rakomanyrogzito-rud-d42-alu/" TargetMode="External" Id="rId1128" /><Relationship Type="http://schemas.openxmlformats.org/officeDocument/2006/relationships/hyperlink" Target="https://www.fts-farina.it/prodotto/15162225-chisura-zincata-registrabile-con-fermo/" TargetMode="External" Id="rId1129" /><Relationship Type="http://schemas.openxmlformats.org/officeDocument/2006/relationships/hyperlink" Target="https://website-9ib.pages.dev/termek/822225-haub-csatoszar-ellendarabbal-horg-ts/" TargetMode="External" Id="rId1130" /><Relationship Type="http://schemas.openxmlformats.org/officeDocument/2006/relationships/hyperlink" Target="https://website-9ib.pages.dev/termek/821000-horganyzott-sullyesztett-nyelves-zar/" TargetMode="External" Id="rId1131" /><Relationship Type="http://schemas.openxmlformats.org/officeDocument/2006/relationships/hyperlink" Target="https://www.fts-farina.it/prodotto/tavellini/" TargetMode="External" Id="rId1132" /><Relationship Type="http://schemas.openxmlformats.org/officeDocument/2006/relationships/hyperlink" Target="https://website-9ib.pages.dev/termek/815811-kis-negyszog-zar/" TargetMode="External" Id="rId1133" /><Relationship Type="http://schemas.openxmlformats.org/officeDocument/2006/relationships/hyperlink" Target="https://website-9ib.pages.dev/termek/813281-kis-negyszog-zar-inox/" TargetMode="External" Id="rId1134" /><Relationship Type="http://schemas.openxmlformats.org/officeDocument/2006/relationships/hyperlink" Target="https://website-9ib.pages.dev/termek/895260-kis-oldalso-ladazar/" TargetMode="External" Id="rId1135" /><Relationship Type="http://schemas.openxmlformats.org/officeDocument/2006/relationships/hyperlink" Target="https://www.fts-farina.it/prodotto/tavellini/" TargetMode="External" Id="rId1136" /><Relationship Type="http://schemas.openxmlformats.org/officeDocument/2006/relationships/hyperlink" Target="https://website-9ib.pages.dev/termek/816211-nagy-negyszog-zar/" TargetMode="External" Id="rId1137" /><Relationship Type="http://schemas.openxmlformats.org/officeDocument/2006/relationships/hyperlink" Target="https://www.fts-farina.it/prodotto/80952800-chiusura-a-leva-di-tenuta-grande-con-chiave-sotto-bottone/" TargetMode="External" Id="rId1138" /><Relationship Type="http://schemas.openxmlformats.org/officeDocument/2006/relationships/hyperlink" Target="https://website-9ib.pages.dev/termek/895280-nagy-oldalso-ladazar/" TargetMode="External" Id="rId1139" /><Relationship Type="http://schemas.openxmlformats.org/officeDocument/2006/relationships/hyperlink" Target="https://www.fts-farina.it/prodotto/10164110-chiave-quadrata-zincata/" TargetMode="External" Id="rId1140" /><Relationship Type="http://schemas.openxmlformats.org/officeDocument/2006/relationships/hyperlink" Target="https://website-9ib.pages.dev/termek/810164-negyszog-kulcs/" TargetMode="External" Id="rId1141" /><Relationship Type="http://schemas.openxmlformats.org/officeDocument/2006/relationships/hyperlink" Target="https://website-9ib.pages.dev/termek/j181310-d42-es-ff-3p-sarvedotarto-cso-800-mm/" TargetMode="External" Id="rId1142" /><Relationship Type="http://schemas.openxmlformats.org/officeDocument/2006/relationships/hyperlink" Target="https://www.fts-farina.it/prodotto/60780421-tubo-di-fissaggio-diritto-zincato-o42-l750/" TargetMode="External" Id="rId1143" /><Relationship Type="http://schemas.openxmlformats.org/officeDocument/2006/relationships/hyperlink" Target="https://website-9ib.pages.dev/termek/j600421-horg-42-es-sarvedotarto-cso-750-mm-egyenes/" TargetMode="External" Id="rId1144" /><Relationship Type="http://schemas.openxmlformats.org/officeDocument/2006/relationships/hyperlink" Target="https://www.fts-farina.it/prodotto/60770422-tubo-zincato-a-caldo-di-fissaggio-o42-l750/" TargetMode="External" Id="rId1145" /><Relationship Type="http://schemas.openxmlformats.org/officeDocument/2006/relationships/hyperlink" Target="https://website-9ib.pages.dev/termek/j600422-th-42-es-sarvedotarto-cso-750-mm-hajlitott/" TargetMode="External" Id="rId1146" /><Relationship Type="http://schemas.openxmlformats.org/officeDocument/2006/relationships/hyperlink" Target="https://www.fts-farina.it/prodotto/60180110-tubo-di-fissaggio-zincato-o42/" TargetMode="External" Id="rId1147" /><Relationship Type="http://schemas.openxmlformats.org/officeDocument/2006/relationships/hyperlink" Target="https://website-9ib.pages.dev/termek/j601811-zn-42-es-sarvedotarto-cso-800-mm/" TargetMode="External" Id="rId1148" /><Relationship Type="http://schemas.openxmlformats.org/officeDocument/2006/relationships/hyperlink" Target="https://www.fts-farina.it/prodotto/60167110-supporto-parafango-sagomato-zincato-o42/" TargetMode="External" Id="rId1149" /><Relationship Type="http://schemas.openxmlformats.org/officeDocument/2006/relationships/hyperlink" Target="https://website-9ib.pages.dev/termek/j617110-42-es-horg-acel-csotarto-bilincs-f/" TargetMode="External" Id="rId1150" /><Relationship Type="http://schemas.openxmlformats.org/officeDocument/2006/relationships/hyperlink" Target="https://gnc-systems.com/en/products/le-mans/" TargetMode="External" Id="rId1151" /><Relationship Type="http://schemas.openxmlformats.org/officeDocument/2006/relationships/hyperlink" Target="https://website-9ib.pages.dev/termek/le-mans-tetoventilator-12v/" TargetMode="External" Id="rId1152" /><Relationship Type="http://schemas.openxmlformats.org/officeDocument/2006/relationships/hyperlink" Target="https://gnc-systems.com/en/products/le-mans/" TargetMode="External" Id="rId1153" /><Relationship Type="http://schemas.openxmlformats.org/officeDocument/2006/relationships/hyperlink" Target="https://website-9ib.pages.dev/termek/le-mans-tetoventilator-24v/" TargetMode="External" Id="rId1154" /><Relationship Type="http://schemas.openxmlformats.org/officeDocument/2006/relationships/hyperlink" Target="https://gnc-systems.com/en/products/turbo-ii/" TargetMode="External" Id="rId1155" /><Relationship Type="http://schemas.openxmlformats.org/officeDocument/2006/relationships/hyperlink" Target="https://website-9ib.pages.dev/termek/turbo-ii-tetoventilator-feher/" TargetMode="External" Id="rId1156" /><Relationship Type="http://schemas.openxmlformats.org/officeDocument/2006/relationships/hyperlink" Target="https://gnc-systems.com/en/products/turbo-ii/" TargetMode="External" Id="rId1157" /><Relationship Type="http://schemas.openxmlformats.org/officeDocument/2006/relationships/hyperlink" Target="https://website-9ib.pages.dev/termek/turbo-ii-tetoventilator-fekete/" TargetMode="External" Id="rId1158" /><Relationship Type="http://schemas.openxmlformats.org/officeDocument/2006/relationships/hyperlink" Target="https://gnc-systems.com/en/products/turbo-iii/" TargetMode="External" Id="rId1159" /><Relationship Type="http://schemas.openxmlformats.org/officeDocument/2006/relationships/hyperlink" Target="https://website-9ib.pages.dev/termek/turbo-iii-tetoventilator-feher/" TargetMode="External" Id="rId1160" /><Relationship Type="http://schemas.openxmlformats.org/officeDocument/2006/relationships/hyperlink" Target="https://gnc-systems.com/en/products/turbo-iii/" TargetMode="External" Id="rId1161" /><Relationship Type="http://schemas.openxmlformats.org/officeDocument/2006/relationships/hyperlink" Target="https://website-9ib.pages.dev/termek/turbo-iii-tetoventilator-fekete/" TargetMode="External" Id="rId1162" /><Relationship Type="http://schemas.openxmlformats.org/officeDocument/2006/relationships/hyperlink" Target="https://gnc-systems.com/en/products/le-mans/" TargetMode="External" Id="rId1163" /><Relationship Type="http://schemas.openxmlformats.org/officeDocument/2006/relationships/hyperlink" Target="https://website-9ib.pages.dev/termek/02-2200-zw-le-mans-tetoventilator-12v/" TargetMode="External" Id="rId1164" /><Relationship Type="http://schemas.openxmlformats.org/officeDocument/2006/relationships/hyperlink" Target="https://gnc-systems.com/en/products/le-mans/" TargetMode="External" Id="rId1165" /><Relationship Type="http://schemas.openxmlformats.org/officeDocument/2006/relationships/hyperlink" Target="https://website-9ib.pages.dev/termek/02-2200-le-mans-tetoventilator-12v/" TargetMode="External" Id="rId1166" /><Relationship Type="http://schemas.openxmlformats.org/officeDocument/2006/relationships/hyperlink" Target="https://website-9ib.pages.dev/termek/12v-led-ventillator-belso-takaro/" TargetMode="External" Id="rId1167" /><Relationship Type="http://schemas.openxmlformats.org/officeDocument/2006/relationships/hyperlink" Target="https://gnc-systems.com/en/products/roof-hatches-manual-small/" TargetMode="External" Id="rId1168" /><Relationship Type="http://schemas.openxmlformats.org/officeDocument/2006/relationships/hyperlink" Target="https://website-9ib.pages.dev/termek/90-5000-e-tetoablak-24v-53x530/" TargetMode="External" Id="rId1169" /><Relationship Type="http://schemas.openxmlformats.org/officeDocument/2006/relationships/hyperlink" Target="https://gnc-systems.com/en/products/flower-power/" TargetMode="External" Id="rId1170" /><Relationship Type="http://schemas.openxmlformats.org/officeDocument/2006/relationships/hyperlink" Target="https://website-9ib.pages.dev/termek/belso-12v-os-led-takaro-flower-power-feher/" TargetMode="External" Id="rId1171" /><Relationship Type="http://schemas.openxmlformats.org/officeDocument/2006/relationships/hyperlink" Target="https://gnc-systems.com/en/products/flower-power/" TargetMode="External" Id="rId1172" /><Relationship Type="http://schemas.openxmlformats.org/officeDocument/2006/relationships/hyperlink" Target="https://website-9ib.pages.dev/termek/belso-12v-os-led-takaro-flower-power-szurke/" TargetMode="External" Id="rId1173" /><Relationship Type="http://schemas.openxmlformats.org/officeDocument/2006/relationships/hyperlink" Target="https://gnc-systems.com/en/products/flower-power/" TargetMode="External" Id="rId1174" /><Relationship Type="http://schemas.openxmlformats.org/officeDocument/2006/relationships/hyperlink" Target="https://website-9ib.pages.dev/termek/belso-24-v-os-led-vilagitassal-flower-power-feher/" TargetMode="External" Id="rId1175" /><Relationship Type="http://schemas.openxmlformats.org/officeDocument/2006/relationships/hyperlink" Target="https://gnc-systems.com/en/products/flower-power/" TargetMode="External" Id="rId1176" /><Relationship Type="http://schemas.openxmlformats.org/officeDocument/2006/relationships/hyperlink" Target="https://website-9ib.pages.dev/termek/belso-24-v-os-led-vilagitassal-flower-power-szurke/" TargetMode="External" Id="rId1177" /><Relationship Type="http://schemas.openxmlformats.org/officeDocument/2006/relationships/hyperlink" Target="https://gnc-systems.com/en/products/flower-power/" TargetMode="External" Id="rId1178" /><Relationship Type="http://schemas.openxmlformats.org/officeDocument/2006/relationships/hyperlink" Target="https://website-9ib.pages.dev/termek/belso-takaro-flower-power-szurke/" TargetMode="External" Id="rId1179" /><Relationship Type="http://schemas.openxmlformats.org/officeDocument/2006/relationships/hyperlink" Target="https://gnc-systems.com/en/products/roof-hatches-manual-small/" TargetMode="External" Id="rId1180" /><Relationship Type="http://schemas.openxmlformats.org/officeDocument/2006/relationships/hyperlink" Target="https://website-9ib.pages.dev/termek/elektromos-tetoablak-24v-530x530/" TargetMode="External" Id="rId1181" /><Relationship Type="http://schemas.openxmlformats.org/officeDocument/2006/relationships/hyperlink" Target="https://gnc-systems.com/en/products/roof-hatches-electric-large/" TargetMode="External" Id="rId1182" /><Relationship Type="http://schemas.openxmlformats.org/officeDocument/2006/relationships/hyperlink" Target="https://website-9ib.pages.dev/termek/elektromos-tetoablak-24v-970x530/" TargetMode="External" Id="rId1183" /><Relationship Type="http://schemas.openxmlformats.org/officeDocument/2006/relationships/hyperlink" Target="https://gnc-systems.com/en/products/switch-fan/" TargetMode="External" Id="rId1184" /><Relationship Type="http://schemas.openxmlformats.org/officeDocument/2006/relationships/hyperlink" Target="https://website-9ib.pages.dev/termek/harom-allasos-kapcsolo-ventilatorhoz/" TargetMode="External" Id="rId1185" /><Relationship Type="http://schemas.openxmlformats.org/officeDocument/2006/relationships/hyperlink" Target="https://website-9ib.pages.dev/termek/ledes-lampa-kerek-feher/" TargetMode="External" Id="rId1186" /><Relationship Type="http://schemas.openxmlformats.org/officeDocument/2006/relationships/hyperlink" Target="https://website-9ib.pages.dev/termek/ledes-lampa-szogletes-feher-12-24v/" TargetMode="External" Id="rId1187" /><Relationship Type="http://schemas.openxmlformats.org/officeDocument/2006/relationships/hyperlink" Target="https://gnc-systems.com/en/products/v12-2/" TargetMode="External" Id="rId1188" /><Relationship Type="http://schemas.openxmlformats.org/officeDocument/2006/relationships/hyperlink" Target="https://website-9ib.pages.dev/termek/manualis-belso-takaro-feher/" TargetMode="External" Id="rId1189" /><Relationship Type="http://schemas.openxmlformats.org/officeDocument/2006/relationships/hyperlink" Target="https://gnc-systems.com/en/products/v12-2/" TargetMode="External" Id="rId1190" /><Relationship Type="http://schemas.openxmlformats.org/officeDocument/2006/relationships/hyperlink" Target="https://website-9ib.pages.dev/termek/manualis-belso-takaro-szurke/" TargetMode="External" Id="rId1191" /><Relationship Type="http://schemas.openxmlformats.org/officeDocument/2006/relationships/hyperlink" Target="https://website-9ib.pages.dev/termek/szellozo-racs-410x100-mm/" TargetMode="External" Id="rId1192" /><Relationship Type="http://schemas.openxmlformats.org/officeDocument/2006/relationships/hyperlink" Target="https://gnc-systems.com/en/products/electric-round/" TargetMode="External" Id="rId1193" /><Relationship Type="http://schemas.openxmlformats.org/officeDocument/2006/relationships/hyperlink" Target="https://website-9ib.pages.dev/termek/tetoablak-manualis-530x530/" TargetMode="External" Id="rId1194" /><Relationship Type="http://schemas.openxmlformats.org/officeDocument/2006/relationships/hyperlink" Target="https://gnc-systems.com/en/products/roof-hatches-manual-big/" TargetMode="External" Id="rId1195" /><Relationship Type="http://schemas.openxmlformats.org/officeDocument/2006/relationships/hyperlink" Target="https://website-9ib.pages.dev/termek/tetoablak-manualis-970x530/" TargetMode="External" Id="rId1196" /><Relationship Type="http://schemas.openxmlformats.org/officeDocument/2006/relationships/hyperlink" Target="https://gnc-systems.com/en/products/control-unit/" TargetMode="External" Id="rId1197" /><Relationship Type="http://schemas.openxmlformats.org/officeDocument/2006/relationships/hyperlink" Target="https://website-9ib.pages.dev/termek/tetoablak-vezerloegyseg-24v/" TargetMode="External" Id="rId1198" /><Relationship Type="http://schemas.openxmlformats.org/officeDocument/2006/relationships/hyperlink" Target="https://website-9ib.pages.dev/termek/tetoablak-uveg-970x530/" TargetMode="External" Id="rId1199" /><Relationship Type="http://schemas.openxmlformats.org/officeDocument/2006/relationships/hyperlink" Target="https://gnc-systems.com/en/products/le-mans/" TargetMode="External" Id="rId1200" /><Relationship Type="http://schemas.openxmlformats.org/officeDocument/2006/relationships/hyperlink" Target="https://website-9ib.pages.dev/termek/tetoventillator-motor-nelkul-abs-feher/" TargetMode="External" Id="rId1201" /><Relationship Type="http://schemas.openxmlformats.org/officeDocument/2006/relationships/hyperlink" Target="https://gnc-systems.com/en/products/exhaust-ventilator/" TargetMode="External" Id="rId1202" /><Relationship Type="http://schemas.openxmlformats.org/officeDocument/2006/relationships/hyperlink" Target="https://website-9ib.pages.dev/termek/tetoventilator-manualis-feher/" TargetMode="External" Id="rId1203" /><Relationship Type="http://schemas.openxmlformats.org/officeDocument/2006/relationships/hyperlink" Target="https://gnc-systems.com/en/products/exhaust-ventilator/" TargetMode="External" Id="rId1204" /><Relationship Type="http://schemas.openxmlformats.org/officeDocument/2006/relationships/hyperlink" Target="https://website-9ib.pages.dev/termek/tetoventilator-manualis-fekete/" TargetMode="External" Id="rId1205" /><Relationship Type="http://schemas.openxmlformats.org/officeDocument/2006/relationships/hyperlink" Target="https://gnc-systems.com/en/products/v12-2/" TargetMode="External" Id="rId1206" /><Relationship Type="http://schemas.openxmlformats.org/officeDocument/2006/relationships/hyperlink" Target="https://website-9ib.pages.dev/termek/ventillator-also-takaro-elem-12-24v-feher/" TargetMode="External" Id="rId1207" /><Relationship Type="http://schemas.openxmlformats.org/officeDocument/2006/relationships/hyperlink" Target="https://gnc-systems.com/en/products/rotating-valve/" TargetMode="External" Id="rId1208" /><Relationship Type="http://schemas.openxmlformats.org/officeDocument/2006/relationships/hyperlink" Target="https://website-9ib.pages.dev/termek/ventillator-belso-takaro/" TargetMode="External" Id="rId1209" /><Relationship Type="http://schemas.openxmlformats.org/officeDocument/2006/relationships/hyperlink" Target="https://gnc-systems.com/en/products/rotating-valve/" TargetMode="External" Id="rId1210" /><Relationship Type="http://schemas.openxmlformats.org/officeDocument/2006/relationships/hyperlink" Target="https://website-9ib.pages.dev/termek/ventillator-belso-takaro-12-24v-led/" TargetMode="External" Id="rId1211" /><Relationship Type="http://schemas.openxmlformats.org/officeDocument/2006/relationships/hyperlink" Target="https://website-9ib.pages.dev/termek/ventillator-belso-takaro-elem/" TargetMode="External" Id="rId1212" /><Relationship Type="http://schemas.openxmlformats.org/officeDocument/2006/relationships/hyperlink" Target="https://gnc-systems.com/en/products/rotating-valve/" TargetMode="External" Id="rId1213" /><Relationship Type="http://schemas.openxmlformats.org/officeDocument/2006/relationships/hyperlink" Target="https://website-9ib.pages.dev/termek/ventillator-belso-takaro-szurke/" TargetMode="External" Id="rId1214" /><Relationship Type="http://schemas.openxmlformats.org/officeDocument/2006/relationships/hyperlink" Target="https://www.grupakety.com" TargetMode="External" Id="rId1215" /><Relationship Type="http://schemas.openxmlformats.org/officeDocument/2006/relationships/hyperlink" Target="https://website-9ib.pages.dev/termek/202850-u-130-hossztarto-k/" TargetMode="External" Id="rId1216" /><Relationship Type="http://schemas.openxmlformats.org/officeDocument/2006/relationships/hyperlink" Target="https://website-9ib.pages.dev/termek/222266-100x25-mm-ponyvatarto-zartszelveny-gk/" TargetMode="External" Id="rId1217" /><Relationship Type="http://schemas.openxmlformats.org/officeDocument/2006/relationships/hyperlink" Target="https://website-9ib.pages.dev/termek/222001-100x25-mm-ponyvatarto-zartszelveny-t/" TargetMode="External" Id="rId1218" /><Relationship Type="http://schemas.openxmlformats.org/officeDocument/2006/relationships/hyperlink" Target="https://website-9ib.pages.dev/termek/223219-100x25-mm-ponyvatarto-zartszelveny-elox/" TargetMode="External" Id="rId1219" /><Relationship Type="http://schemas.openxmlformats.org/officeDocument/2006/relationships/hyperlink" Target="https://website-9ib.pages.dev/termek/222185-100x25-mm-ponyvatarto-zartszelveny-merevitett/" TargetMode="External" Id="rId1220" /><Relationship Type="http://schemas.openxmlformats.org/officeDocument/2006/relationships/hyperlink" Target="https://website-9ib.pages.dev/termek/g-1400x1400-rampaszonyeg/" TargetMode="External" Id="rId1221" /><Relationship Type="http://schemas.openxmlformats.org/officeDocument/2006/relationships/hyperlink" Target="https://website-9ib.pages.dev/termek/g-1800x1400-rampaszonyeg/" TargetMode="External" Id="rId1222" /><Relationship Type="http://schemas.openxmlformats.org/officeDocument/2006/relationships/hyperlink" Target="https://website-9ib.pages.dev/termek/g-1800x1600-rampaszonyeg/" TargetMode="External" Id="rId1223" /><Relationship Type="http://schemas.openxmlformats.org/officeDocument/2006/relationships/hyperlink" Target="https://website-9ib.pages.dev/termek/g-2200x1400-rampaszonyeg/" TargetMode="External" Id="rId1224" /><Relationship Type="http://schemas.openxmlformats.org/officeDocument/2006/relationships/hyperlink" Target="https://website-9ib.pages.dev/termek/g-2400x1400-rampaszonyeg/" TargetMode="External" Id="rId1225" /><Relationship Type="http://schemas.openxmlformats.org/officeDocument/2006/relationships/hyperlink" Target="https://website-9ib.pages.dev/termek/g-4x1200x10000-noppos-gumiszonyeg/" TargetMode="External" Id="rId1226" /><Relationship Type="http://schemas.openxmlformats.org/officeDocument/2006/relationships/hyperlink" Target="https://website-9ib.pages.dev/termek/g-4x1200x10000-vidar-coin-noppos-gumiszonyeg/" TargetMode="External" Id="rId1227" /><Relationship Type="http://schemas.openxmlformats.org/officeDocument/2006/relationships/hyperlink" Target="https://website-9ib.pages.dev/termek/g-4x1800-mm-istallo-szonyeg/" TargetMode="External" Id="rId1228" /><Relationship Type="http://schemas.openxmlformats.org/officeDocument/2006/relationships/hyperlink" Target="https://website-9ib.pages.dev/termek/g-5x1400x10m-2t-s-s-altalanos-gumi/" TargetMode="External" Id="rId1229" /><Relationship Type="http://schemas.openxmlformats.org/officeDocument/2006/relationships/hyperlink" Target="https://website-9ib.pages.dev/termek/g-5x2000-mm-istallo-szonyeg/" TargetMode="External" Id="rId1230" /><Relationship Type="http://schemas.openxmlformats.org/officeDocument/2006/relationships/hyperlink" Target="https://website-9ib.pages.dev/termek/g-6x2000mm-istallo-szonyeg/" TargetMode="External" Id="rId1231" /><Relationship Type="http://schemas.openxmlformats.org/officeDocument/2006/relationships/hyperlink" Target="https://website-9ib.pages.dev/termek/056402-4-reszes-ajtokiakaszto-szet/" TargetMode="External" Id="rId1232" /><Relationship Type="http://schemas.openxmlformats.org/officeDocument/2006/relationships/hyperlink" Target="https://website-9ib.pages.dev/termek/056402-2-4-reszes-ajtokiakaszto-szet-in/" TargetMode="External" Id="rId1233" /><Relationship Type="http://schemas.openxmlformats.org/officeDocument/2006/relationships/hyperlink" Target="https://website-9ib.pages.dev/termek/556404-kupos-utkozogumi-40-60-27/" TargetMode="External" Id="rId1234" /><Relationship Type="http://schemas.openxmlformats.org/officeDocument/2006/relationships/hyperlink" Target="https://website-9ib.pages.dev/termek/820270-rm-oldalajto-zsaner-lepcsos-190-238-75-mm-in/" TargetMode="External" Id="rId1235" /><Relationship Type="http://schemas.openxmlformats.org/officeDocument/2006/relationships/hyperlink" Target="https://industrilas.com" TargetMode="External" Id="rId1236" /><Relationship Type="http://schemas.openxmlformats.org/officeDocument/2006/relationships/hyperlink" Target="https://website-9ib.pages.dev/termek/615363-68-s1-t-karos-sully-zar/" TargetMode="External" Id="rId1237" /><Relationship Type="http://schemas.openxmlformats.org/officeDocument/2006/relationships/hyperlink" Target="https://industrilas.com" TargetMode="External" Id="rId1238" /><Relationship Type="http://schemas.openxmlformats.org/officeDocument/2006/relationships/hyperlink" Target="https://website-9ib.pages.dev/termek/615263-68-s1-t-karos-sully-zar-f/" TargetMode="External" Id="rId1239" /><Relationship Type="http://schemas.openxmlformats.org/officeDocument/2006/relationships/hyperlink" Target="https://website-9ib.pages.dev/termek/141722-acel-keret-109-21-3-6500/" TargetMode="External" Id="rId1240" /><Relationship Type="http://schemas.openxmlformats.org/officeDocument/2006/relationships/hyperlink" Target="https://website-9ib.pages.dev/termek/141720-acel-keret-112-24-3-6500/" TargetMode="External" Id="rId1241" /><Relationship Type="http://schemas.openxmlformats.org/officeDocument/2006/relationships/hyperlink" Target="https://www.ital-accessori.sk/katalog/book/KOMP/205/" TargetMode="External" Id="rId1242" /><Relationship Type="http://schemas.openxmlformats.org/officeDocument/2006/relationships/hyperlink" Target="https://website-9ib.pages.dev/termek/acel-oldalfal-2-mm/" TargetMode="External" Id="rId1243" /><Relationship Type="http://schemas.openxmlformats.org/officeDocument/2006/relationships/hyperlink" Target="https://www.ital-accessori.sk/katalog/book/KOMP/205/" TargetMode="External" Id="rId1244" /><Relationship Type="http://schemas.openxmlformats.org/officeDocument/2006/relationships/hyperlink" Target="https://website-9ib.pages.dev/termek/acel-oldalfal-2-mm-2/" TargetMode="External" Id="rId1245" /><Relationship Type="http://schemas.openxmlformats.org/officeDocument/2006/relationships/hyperlink" Target="https://www.ital-accessori.sk/katalog/book/KOMP/204/" TargetMode="External" Id="rId1246" /><Relationship Type="http://schemas.openxmlformats.org/officeDocument/2006/relationships/hyperlink" Target="https://website-9ib.pages.dev/termek/acel-oldalfal-2-mm-3/" TargetMode="External" Id="rId1247" /><Relationship Type="http://schemas.openxmlformats.org/officeDocument/2006/relationships/hyperlink" Target="https://www.ital-accessori.sk/katalog/book/KOMP/204/" TargetMode="External" Id="rId1248" /><Relationship Type="http://schemas.openxmlformats.org/officeDocument/2006/relationships/hyperlink" Target="https://website-9ib.pages.dev/termek/hv400-acel-oldalfal-2-mm/" TargetMode="External" Id="rId1249" /><Relationship Type="http://schemas.openxmlformats.org/officeDocument/2006/relationships/hyperlink" Target="https://www.ital-accessori.sk/katalog/book/KOMP/204/" TargetMode="External" Id="rId1250" /><Relationship Type="http://schemas.openxmlformats.org/officeDocument/2006/relationships/hyperlink" Target="https://website-9ib.pages.dev/termek/hv500-acel-oldalfal-2-mm/" TargetMode="External" Id="rId1251" /><Relationship Type="http://schemas.openxmlformats.org/officeDocument/2006/relationships/hyperlink" Target="https://www.ital-accessori.sk/katalog/book/KOMP/204/" TargetMode="External" Id="rId1252" /><Relationship Type="http://schemas.openxmlformats.org/officeDocument/2006/relationships/hyperlink" Target="https://website-9ib.pages.dev/termek/hv600-acel-oldalfal-2-mm/" TargetMode="External" Id="rId1253" /><Relationship Type="http://schemas.openxmlformats.org/officeDocument/2006/relationships/hyperlink" Target="https://www.ital-accessori.sk/katalog/book/KOMP/205/" TargetMode="External" Id="rId1254" /><Relationship Type="http://schemas.openxmlformats.org/officeDocument/2006/relationships/hyperlink" Target="https://website-9ib.pages.dev/termek/hvak600-acel-oldalfal-2-mm/" TargetMode="External" Id="rId1255" /><Relationship Type="http://schemas.openxmlformats.org/officeDocument/2006/relationships/hyperlink" Target="https://www.ital-accessori.sk/katalog/book/KOMP/41/" TargetMode="External" Id="rId1256" /><Relationship Type="http://schemas.openxmlformats.org/officeDocument/2006/relationships/hyperlink" Target="https://website-9ib.pages.dev/termek/357272-kg-szego-tomites/" TargetMode="External" Id="rId1257" /><Relationship Type="http://schemas.openxmlformats.org/officeDocument/2006/relationships/hyperlink" Target="https://website-9ib.pages.dev/termek/351336-mx-rakoncaszegoprofil-elox/" TargetMode="External" Id="rId1258" /><Relationship Type="http://schemas.openxmlformats.org/officeDocument/2006/relationships/hyperlink" Target="https://www.ital-accessori.sk/katalog/book/KOMP/223/" TargetMode="External" Id="rId1259" /><Relationship Type="http://schemas.openxmlformats.org/officeDocument/2006/relationships/hyperlink" Target="https://website-9ib.pages.dev/termek/140997-60-mm-es-gombcsuklo-keszlet/" TargetMode="External" Id="rId1260" /><Relationship Type="http://schemas.openxmlformats.org/officeDocument/2006/relationships/hyperlink" Target="https://www.ital-accessori.sk/katalog/book/KOMP/236/" TargetMode="External" Id="rId1261" /><Relationship Type="http://schemas.openxmlformats.org/officeDocument/2006/relationships/hyperlink" Target="https://website-9ib.pages.dev/termek/140920-80-mm-es-gombcsuklo-keszlet/" TargetMode="External" Id="rId1262" /><Relationship Type="http://schemas.openxmlformats.org/officeDocument/2006/relationships/hyperlink" Target="https://www.ital-accessori.sk/katalog/book/KOMP/352/" TargetMode="External" Id="rId1263" /><Relationship Type="http://schemas.openxmlformats.org/officeDocument/2006/relationships/hyperlink" Target="https://website-9ib.pages.dev/termek/515006-22t-munkahenger/" TargetMode="External" Id="rId1264" /><Relationship Type="http://schemas.openxmlformats.org/officeDocument/2006/relationships/hyperlink" Target="https://www.ital-accessori.sk/katalog/book/KOMP/372/" TargetMode="External" Id="rId1265" /><Relationship Type="http://schemas.openxmlformats.org/officeDocument/2006/relationships/hyperlink" Target="https://website-9ib.pages.dev/termek/518009-25t-munkahenger/" TargetMode="External" Id="rId1266" /><Relationship Type="http://schemas.openxmlformats.org/officeDocument/2006/relationships/hyperlink" Target="https://www.ital-accessori.sk/katalog/book/KOMP/428/" TargetMode="External" Id="rId1267" /><Relationship Type="http://schemas.openxmlformats.org/officeDocument/2006/relationships/hyperlink" Target="https://website-9ib.pages.dev/termek/770372-bil-150ce-vezerlo-220bar/" TargetMode="External" Id="rId1268" /><Relationship Type="http://schemas.openxmlformats.org/officeDocument/2006/relationships/hyperlink" Target="https://www.ital-accessori.sk/katalog/book/KOMP/298/" TargetMode="External" Id="rId1269" /><Relationship Type="http://schemas.openxmlformats.org/officeDocument/2006/relationships/hyperlink" Target="https://website-9ib.pages.dev/termek/351775-bill-rakonca-csap/" TargetMode="External" Id="rId1270" /><Relationship Type="http://schemas.openxmlformats.org/officeDocument/2006/relationships/hyperlink" Target="https://website-9ib.pages.dev/termek/3510460-bill-rakonca-csap-sp-41-horg/" TargetMode="External" Id="rId1271" /><Relationship Type="http://schemas.openxmlformats.org/officeDocument/2006/relationships/hyperlink" Target="https://website-9ib.pages.dev/termek/351372-bill-elso-rakonca-805x40-r-l/" TargetMode="External" Id="rId1272" /><Relationship Type="http://schemas.openxmlformats.org/officeDocument/2006/relationships/hyperlink" Target="https://website-9ib.pages.dev/termek/351375-bill-hatso-rakonca-805x40-zseb-r-l/" TargetMode="External" Id="rId1273" /><Relationship Type="http://schemas.openxmlformats.org/officeDocument/2006/relationships/hyperlink" Target="https://website-9ib.pages.dev/termek/351374-bill-kozepso-rakonca-805x40-zseb/" TargetMode="External" Id="rId1274" /><Relationship Type="http://schemas.openxmlformats.org/officeDocument/2006/relationships/hyperlink" Target="https://www.ital-accessori.sk/katalog/book/KOMP/318/" TargetMode="External" Id="rId1275" /><Relationship Type="http://schemas.openxmlformats.org/officeDocument/2006/relationships/hyperlink" Target="https://website-9ib.pages.dev/termek/3521696-billencs-elso-rakonca-400-mm-b/" TargetMode="External" Id="rId1276" /><Relationship Type="http://schemas.openxmlformats.org/officeDocument/2006/relationships/hyperlink" Target="https://website-9ib.pages.dev/termek/3526700-billencs-elso-rakonca-400-mm-b/" TargetMode="External" Id="rId1277" /><Relationship Type="http://schemas.openxmlformats.org/officeDocument/2006/relationships/hyperlink" Target="https://www.ital-accessori.sk/katalog/book/KOMP/318/" TargetMode="External" Id="rId1278" /><Relationship Type="http://schemas.openxmlformats.org/officeDocument/2006/relationships/hyperlink" Target="https://website-9ib.pages.dev/termek/3521695-billencs-elso-rakonca-400-mm-j/" TargetMode="External" Id="rId1279" /><Relationship Type="http://schemas.openxmlformats.org/officeDocument/2006/relationships/hyperlink" Target="https://www.ital-accessori.sk/katalog/book/KOMP/320/" TargetMode="External" Id="rId1280" /><Relationship Type="http://schemas.openxmlformats.org/officeDocument/2006/relationships/hyperlink" Target="https://website-9ib.pages.dev/termek/352190-billencs-elso-rakonca-400-mm-j-b/" TargetMode="External" Id="rId1281" /><Relationship Type="http://schemas.openxmlformats.org/officeDocument/2006/relationships/hyperlink" Target="https://www.ital-accessori.sk/katalog/book/KOMP/318/" TargetMode="External" Id="rId1282" /><Relationship Type="http://schemas.openxmlformats.org/officeDocument/2006/relationships/hyperlink" Target="https://website-9ib.pages.dev/termek/3521699-billencs-hatso-rakonca-400-mm-b-zseb/" TargetMode="External" Id="rId1283" /><Relationship Type="http://schemas.openxmlformats.org/officeDocument/2006/relationships/hyperlink" Target="https://www.ital-accessori.sk/katalog/book/KOMP/320/" TargetMode="External" Id="rId1284" /><Relationship Type="http://schemas.openxmlformats.org/officeDocument/2006/relationships/hyperlink" Target="https://website-9ib.pages.dev/termek/3521904-billencs-hatso-rakonca-400-mm-b-zseb/" TargetMode="External" Id="rId1285" /><Relationship Type="http://schemas.openxmlformats.org/officeDocument/2006/relationships/hyperlink" Target="https://www.ital-accessori.sk/katalog/book/KOMP/318/" TargetMode="External" Id="rId1286" /><Relationship Type="http://schemas.openxmlformats.org/officeDocument/2006/relationships/hyperlink" Target="https://website-9ib.pages.dev/termek/3521698-billencs-hatso-rakonca-400-mm-j-zseb/" TargetMode="External" Id="rId1287" /><Relationship Type="http://schemas.openxmlformats.org/officeDocument/2006/relationships/hyperlink" Target="https://www.ital-accessori.sk/katalog/book/KOMP/320/" TargetMode="External" Id="rId1288" /><Relationship Type="http://schemas.openxmlformats.org/officeDocument/2006/relationships/hyperlink" Target="https://website-9ib.pages.dev/termek/3521903-billencs-hatso-rakonca-400-mm-j-zseb/" TargetMode="External" Id="rId1289" /><Relationship Type="http://schemas.openxmlformats.org/officeDocument/2006/relationships/hyperlink" Target="https://www.ital-accessori.sk/katalog/book/KOMP/320/" TargetMode="External" Id="rId1290" /><Relationship Type="http://schemas.openxmlformats.org/officeDocument/2006/relationships/hyperlink" Target="https://website-9ib.pages.dev/termek/3520902-billencs-koztes-rakonca-400-mm-zseb/" TargetMode="External" Id="rId1291" /><Relationship Type="http://schemas.openxmlformats.org/officeDocument/2006/relationships/hyperlink" Target="https://website-9ib.pages.dev/termek/140451-d45-5-zart-omega-lefogato/" TargetMode="External" Id="rId1292" /><Relationship Type="http://schemas.openxmlformats.org/officeDocument/2006/relationships/hyperlink" Target="https://website-9ib.pages.dev/termek/140501-d50-zart-omega-lefogato/" TargetMode="External" Id="rId1293" /><Relationship Type="http://schemas.openxmlformats.org/officeDocument/2006/relationships/hyperlink" Target="https://website-9ib.pages.dev/termek/140552-d55-zart-omega-lefogato/" TargetMode="External" Id="rId1294" /><Relationship Type="http://schemas.openxmlformats.org/officeDocument/2006/relationships/hyperlink" Target="https://www.ital-accessori.sk/katalog/book/KOMP/350/" TargetMode="External" Id="rId1295" /><Relationship Type="http://schemas.openxmlformats.org/officeDocument/2006/relationships/hyperlink" Target="https://website-9ib.pages.dev/termek/3052-munkahenger-11t-05x1230x152/" TargetMode="External" Id="rId1296" /><Relationship Type="http://schemas.openxmlformats.org/officeDocument/2006/relationships/hyperlink" Target="https://www.ital-accessori.sk/katalog/book/KOMP/349/" TargetMode="External" Id="rId1297" /><Relationship Type="http://schemas.openxmlformats.org/officeDocument/2006/relationships/hyperlink" Target="https://website-9ib.pages.dev/termek/3092-munkahenger-8t-05x1040x124/" TargetMode="External" Id="rId1298" /><Relationship Type="http://schemas.openxmlformats.org/officeDocument/2006/relationships/hyperlink" Target="https://www.ital-accessori.sk/katalog/book/KOMP/449/" TargetMode="External" Id="rId1299" /><Relationship Type="http://schemas.openxmlformats.org/officeDocument/2006/relationships/hyperlink" Target="https://website-9ib.pages.dev/termek/771094-n-force-bil-vezerlo/" TargetMode="External" Id="rId1300" /><Relationship Type="http://schemas.openxmlformats.org/officeDocument/2006/relationships/hyperlink" Target="https://www.ital-accessori.sk/katalog/book/KOMP/449/" TargetMode="External" Id="rId1301" /><Relationship Type="http://schemas.openxmlformats.org/officeDocument/2006/relationships/hyperlink" Target="https://website-9ib.pages.dev/termek/771101-n-force-bil-vezerlo-nem-kapcsolos/" TargetMode="External" Id="rId1302" /><Relationship Type="http://schemas.openxmlformats.org/officeDocument/2006/relationships/hyperlink" Target="https://www.ital-accessori.sk/katalog/book/KOMP/450/" TargetMode="External" Id="rId1303" /><Relationship Type="http://schemas.openxmlformats.org/officeDocument/2006/relationships/hyperlink" Target="https://website-9ib.pages.dev/termek/770065-n-force-takaro-doboz/" TargetMode="External" Id="rId1304" /><Relationship Type="http://schemas.openxmlformats.org/officeDocument/2006/relationships/hyperlink" Target="https://website-9ib.pages.dev/termek/779401-olaj-szuro-41l-acel/" TargetMode="External" Id="rId1305" /><Relationship Type="http://schemas.openxmlformats.org/officeDocument/2006/relationships/hyperlink" Target="https://website-9ib.pages.dev/termek/770410-olaj-tartaly-40l/" TargetMode="External" Id="rId1306" /><Relationship Type="http://schemas.openxmlformats.org/officeDocument/2006/relationships/hyperlink" Target="https://www.ital-accessori.sk/katalog/book/KOMP/662/" TargetMode="External" Id="rId1307" /><Relationship Type="http://schemas.openxmlformats.org/officeDocument/2006/relationships/hyperlink" Target="https://website-9ib.pages.dev/termek/351201-potkerektarto-120-mm-tengelykozep/" TargetMode="External" Id="rId1308" /><Relationship Type="http://schemas.openxmlformats.org/officeDocument/2006/relationships/hyperlink" Target="https://www.ital-accessori.sk/katalog/book/KOMP/414/" TargetMode="External" Id="rId1309" /><Relationship Type="http://schemas.openxmlformats.org/officeDocument/2006/relationships/hyperlink" Target="https://website-9ib.pages.dev/termek/145260-szelep-22-3-4/" TargetMode="External" Id="rId1310" /><Relationship Type="http://schemas.openxmlformats.org/officeDocument/2006/relationships/hyperlink" Target="https://www.ital-accessori.sk/katalog/book/KOMP/411/" TargetMode="External" Id="rId1311" /><Relationship Type="http://schemas.openxmlformats.org/officeDocument/2006/relationships/hyperlink" Target="https://website-9ib.pages.dev/termek/145170-szelep1-2/" TargetMode="External" Id="rId1312" /><Relationship Type="http://schemas.openxmlformats.org/officeDocument/2006/relationships/hyperlink" Target="https://www.ital-accessori.sk/katalog/book/KOMP/401/" TargetMode="External" Id="rId1313" /><Relationship Type="http://schemas.openxmlformats.org/officeDocument/2006/relationships/hyperlink" Target="https://website-9ib.pages.dev/termek/140004-t4-bolcso/" TargetMode="External" Id="rId1314" /><Relationship Type="http://schemas.openxmlformats.org/officeDocument/2006/relationships/hyperlink" Target="https://www.ital-accessori.sk/katalog/book/KOMP/402/" TargetMode="External" Id="rId1315" /><Relationship Type="http://schemas.openxmlformats.org/officeDocument/2006/relationships/hyperlink" Target="https://website-9ib.pages.dev/termek/140005-t5-bolcso/" TargetMode="External" Id="rId1316" /><Relationship Type="http://schemas.openxmlformats.org/officeDocument/2006/relationships/hyperlink" Target="https://www.ital-accessori.sk/katalog/book/KOMP/402/" TargetMode="External" Id="rId1317" /><Relationship Type="http://schemas.openxmlformats.org/officeDocument/2006/relationships/hyperlink" Target="https://website-9ib.pages.dev/termek/140006-t6-bolcso/" TargetMode="External" Id="rId1318" /><Relationship Type="http://schemas.openxmlformats.org/officeDocument/2006/relationships/hyperlink" Target="https://www.ital-accessori.sk/katalog/book/KOMP/402/" TargetMode="External" Id="rId1319" /><Relationship Type="http://schemas.openxmlformats.org/officeDocument/2006/relationships/hyperlink" Target="https://website-9ib.pages.dev/termek/140008-t8-bolcso-d240/" TargetMode="External" Id="rId1320" /><Relationship Type="http://schemas.openxmlformats.org/officeDocument/2006/relationships/hyperlink" Target="https://website-9ib.pages.dev/termek/146039-vegallaskapcsolo-elektromos-konzollal/" TargetMode="External" Id="rId1321" /><Relationship Type="http://schemas.openxmlformats.org/officeDocument/2006/relationships/hyperlink" Target="https://website-9ib.pages.dev/termek/142211-aramtalanito-kapcsolo/" TargetMode="External" Id="rId1322" /><Relationship Type="http://schemas.openxmlformats.org/officeDocument/2006/relationships/hyperlink" Target="https://website-9ib.pages.dev/termek/141219-utvalto-3-4/" TargetMode="External" Id="rId1323" /><Relationship Type="http://schemas.openxmlformats.org/officeDocument/2006/relationships/hyperlink" Target="https://website-9ib.pages.dev/termek/502220-2-fokos-letra-thorg-steges-tk/" TargetMode="External" Id="rId1324" /><Relationship Type="http://schemas.openxmlformats.org/officeDocument/2006/relationships/hyperlink" Target="https://www.ital-accessori.sk/katalog/book/KOMP/631/" TargetMode="External" Id="rId1325" /><Relationship Type="http://schemas.openxmlformats.org/officeDocument/2006/relationships/hyperlink" Target="https://website-9ib.pages.dev/termek/502287-3-fokos-letra-thorg-steges-tk/" TargetMode="External" Id="rId1326" /><Relationship Type="http://schemas.openxmlformats.org/officeDocument/2006/relationships/hyperlink" Target="https://www.ital-accessori.sk/katalog/book/KOMP/157/" TargetMode="External" Id="rId1327" /><Relationship Type="http://schemas.openxmlformats.org/officeDocument/2006/relationships/hyperlink" Target="https://website-9ib.pages.dev/termek/517026-30-mm-es-pvc-tomites-g/" TargetMode="External" Id="rId1328" /><Relationship Type="http://schemas.openxmlformats.org/officeDocument/2006/relationships/hyperlink" Target="https://www.ital-accessori.sk/katalog/book/KOMP/158/" TargetMode="External" Id="rId1329" /><Relationship Type="http://schemas.openxmlformats.org/officeDocument/2006/relationships/hyperlink" Target="https://website-9ib.pages.dev/termek/514528-44-mm-es-pvc-terelvalaszto-tomites-g/" TargetMode="External" Id="rId1330" /><Relationship Type="http://schemas.openxmlformats.org/officeDocument/2006/relationships/hyperlink" Target="https://website-9ib.pages.dev/termek/143020-acellemezes-gumiutkozo-lap/" TargetMode="External" Id="rId1331" /><Relationship Type="http://schemas.openxmlformats.org/officeDocument/2006/relationships/hyperlink" Target="https://www.ital-accessori.sk/katalog/book/KOMP/168/" TargetMode="External" Id="rId1332" /><Relationship Type="http://schemas.openxmlformats.org/officeDocument/2006/relationships/hyperlink" Target="https://website-9ib.pages.dev/termek/854043-rugos-ajtorogzito-elox-alu/" TargetMode="External" Id="rId1333" /><Relationship Type="http://schemas.openxmlformats.org/officeDocument/2006/relationships/hyperlink" Target="https://www.ital-accessori.sk/katalog/book/KOMP/85/" TargetMode="External" Id="rId1334" /><Relationship Type="http://schemas.openxmlformats.org/officeDocument/2006/relationships/hyperlink" Target="https://website-9ib.pages.dev/termek/6613211-max-os-elso-elox-oszlop-it/" TargetMode="External" Id="rId1335" /><Relationship Type="http://schemas.openxmlformats.org/officeDocument/2006/relationships/hyperlink" Target="https://website-9ib.pages.dev/termek/302321-mgu-alafutasgatlo-konzol-430-mm/" TargetMode="External" Id="rId1336" /><Relationship Type="http://schemas.openxmlformats.org/officeDocument/2006/relationships/hyperlink" Target="https://website-9ib.pages.dev/termek/302323-mgu-alafutasgatlo-konzol-572-mm/" TargetMode="External" Id="rId1337" /><Relationship Type="http://schemas.openxmlformats.org/officeDocument/2006/relationships/hyperlink" Target="https://website-9ib.pages.dev/termek/302325-mgu-alafutasgatlo-konzol-710-mm/" TargetMode="External" Id="rId1338" /><Relationship Type="http://schemas.openxmlformats.org/officeDocument/2006/relationships/hyperlink" Target="https://website-9ib.pages.dev/termek/302352-mgr-alafutasgatlo-konzol-572-mm/" TargetMode="External" Id="rId1339" /><Relationship Type="http://schemas.openxmlformats.org/officeDocument/2006/relationships/hyperlink" Target="https://www.ital-accessori.sk/katalog/book/KOMP/614/" TargetMode="External" Id="rId1340" /><Relationship Type="http://schemas.openxmlformats.org/officeDocument/2006/relationships/hyperlink" Target="https://website-9ib.pages.dev/termek/302357-mgr-alafutasgatlo-konzol-710-mm/" TargetMode="External" Id="rId1341" /><Relationship Type="http://schemas.openxmlformats.org/officeDocument/2006/relationships/hyperlink" Target="https://website-9ib.pages.dev/termek/301390-alafutasgatlo-konzol-rogzito-alatet/" TargetMode="External" Id="rId1342" /><Relationship Type="http://schemas.openxmlformats.org/officeDocument/2006/relationships/hyperlink" Target="https://www.ital-accessori.sk/katalog/book/KOMP/654/" TargetMode="External" Id="rId1343" /><Relationship Type="http://schemas.openxmlformats.org/officeDocument/2006/relationships/hyperlink" Target="https://website-9ib.pages.dev/termek/337510-hatso-lampatarto-rendszamtabla-tarto-1800-mm/" TargetMode="External" Id="rId1344" /><Relationship Type="http://schemas.openxmlformats.org/officeDocument/2006/relationships/hyperlink" Target="https://www.ital-accessori.sk/katalog/book/KOMP/654/" TargetMode="External" Id="rId1345" /><Relationship Type="http://schemas.openxmlformats.org/officeDocument/2006/relationships/hyperlink" Target="https://website-9ib.pages.dev/termek/337515-hatso-lampatarto-rendszamtabla-tarto-1900-mm/" TargetMode="External" Id="rId1346" /><Relationship Type="http://schemas.openxmlformats.org/officeDocument/2006/relationships/hyperlink" Target="https://www.ital-accessori.sk/katalog/book/KOMP/654/" TargetMode="External" Id="rId1347" /><Relationship Type="http://schemas.openxmlformats.org/officeDocument/2006/relationships/hyperlink" Target="https://website-9ib.pages.dev/termek/337525-hatso-lampatarto-rendszamtabla-tarto-2100-mm/" TargetMode="External" Id="rId1348" /><Relationship Type="http://schemas.openxmlformats.org/officeDocument/2006/relationships/hyperlink" Target="https://www.ital-accessori.sk/katalog/book/KOMP/654/" TargetMode="External" Id="rId1349" /><Relationship Type="http://schemas.openxmlformats.org/officeDocument/2006/relationships/hyperlink" Target="https://website-9ib.pages.dev/termek/337540-hatso-lampatarto-rendszamtabla-tarto-2400-mm/" TargetMode="External" Id="rId1350" /><Relationship Type="http://schemas.openxmlformats.org/officeDocument/2006/relationships/hyperlink" Target="https://website-9ib.pages.dev/termek/337245-hatso-lampatarto-rendszamtabla-tarto-alu/" TargetMode="External" Id="rId1351" /><Relationship Type="http://schemas.openxmlformats.org/officeDocument/2006/relationships/hyperlink" Target="https://www.ital-accessori.sk/katalog/book/KOMP/672/" TargetMode="External" Id="rId1352" /><Relationship Type="http://schemas.openxmlformats.org/officeDocument/2006/relationships/hyperlink" Target="https://website-9ib.pages.dev/termek/402006-40-kerek-ek-tartokonzol/" TargetMode="External" Id="rId1353" /><Relationship Type="http://schemas.openxmlformats.org/officeDocument/2006/relationships/hyperlink" Target="https://www.ital-accessori.sk/katalog/book/KOMP/672/" TargetMode="External" Id="rId1354" /><Relationship Type="http://schemas.openxmlformats.org/officeDocument/2006/relationships/hyperlink" Target="https://website-9ib.pages.dev/termek/402016-42-kerek-ek-tartokonzol/" TargetMode="External" Id="rId1355" /><Relationship Type="http://schemas.openxmlformats.org/officeDocument/2006/relationships/hyperlink" Target="https://www.ital-accessori.sk/katalog/book/KOMP/664/" TargetMode="External" Id="rId1356" /><Relationship Type="http://schemas.openxmlformats.org/officeDocument/2006/relationships/hyperlink" Target="https://website-9ib.pages.dev/termek/353555-potkerektarto-felfogatas-255/" TargetMode="External" Id="rId1357" /><Relationship Type="http://schemas.openxmlformats.org/officeDocument/2006/relationships/hyperlink" Target="https://www.ital-accessori.sk/katalog/book/KOMP/664/" TargetMode="External" Id="rId1358" /><Relationship Type="http://schemas.openxmlformats.org/officeDocument/2006/relationships/hyperlink" Target="https://website-9ib.pages.dev/termek/353550-potkerektarto-felfogatas-355/" TargetMode="External" Id="rId1359" /><Relationship Type="http://schemas.openxmlformats.org/officeDocument/2006/relationships/hyperlink" Target="https://www.ital-accessori.sk/katalog/book/KOMP/663/" TargetMode="External" Id="rId1360" /><Relationship Type="http://schemas.openxmlformats.org/officeDocument/2006/relationships/hyperlink" Target="https://website-9ib.pages.dev/termek/353530-potkerektarto-dupla/" TargetMode="External" Id="rId1361" /><Relationship Type="http://schemas.openxmlformats.org/officeDocument/2006/relationships/hyperlink" Target="https://www.ital-accessori.sk/katalog/book/KOMP/663/" TargetMode="External" Id="rId1362" /><Relationship Type="http://schemas.openxmlformats.org/officeDocument/2006/relationships/hyperlink" Target="https://website-9ib.pages.dev/termek/353510-potkerektarto-szimpla/" TargetMode="External" Id="rId1363" /><Relationship Type="http://schemas.openxmlformats.org/officeDocument/2006/relationships/hyperlink" Target="https://website-9ib.pages.dev/termek/152751-tir-zsaner-alu-haz/" TargetMode="External" Id="rId1364" /><Relationship Type="http://schemas.openxmlformats.org/officeDocument/2006/relationships/hyperlink" Target="https://website-9ib.pages.dev/termek/152761-tir-zsaner-garnitura-alu-hazas/" TargetMode="External" Id="rId1365" /><Relationship Type="http://schemas.openxmlformats.org/officeDocument/2006/relationships/hyperlink" Target="https://website-9ib.pages.dev/termek/223085-h-szego-kiugros-30-mm-elox/" TargetMode="External" Id="rId1366" /><Relationship Type="http://schemas.openxmlformats.org/officeDocument/2006/relationships/hyperlink" Target="https://website-9ib.pages.dev/termek/226215-u-40-mm-szego-profil/" TargetMode="External" Id="rId1367" /><Relationship Type="http://schemas.openxmlformats.org/officeDocument/2006/relationships/hyperlink" Target="https://website-9ib.pages.dev/termek/226701-tomites-40-u-szegohoz/" TargetMode="External" Id="rId1368" /><Relationship Type="http://schemas.openxmlformats.org/officeDocument/2006/relationships/hyperlink" Target="https://website-9ib.pages.dev/termek/226240-tomiteses-u-szego-40-mm/" TargetMode="External" Id="rId1369" /><Relationship Type="http://schemas.openxmlformats.org/officeDocument/2006/relationships/hyperlink" Target="https://website-9ib.pages.dev/termek/125311-2-reszes-rakomanyrogzito-gyuru-lefogatas/" TargetMode="External" Id="rId1370" /><Relationship Type="http://schemas.openxmlformats.org/officeDocument/2006/relationships/hyperlink" Target="https://website-9ib.pages.dev/termek/127706-acel-rak-rogzito-kampos-sully/" TargetMode="External" Id="rId1371" /><Relationship Type="http://schemas.openxmlformats.org/officeDocument/2006/relationships/hyperlink" Target="https://website-9ib.pages.dev/termek/127184-talpas-terelvalaszto-rakomanyrogzito-rud-d42-alu/" TargetMode="External" Id="rId1372" /><Relationship Type="http://schemas.openxmlformats.org/officeDocument/2006/relationships/hyperlink" Target="https://www.ital-accessori.sk/katalog/book/KOMP/685/" TargetMode="External" Id="rId1373" /><Relationship Type="http://schemas.openxmlformats.org/officeDocument/2006/relationships/hyperlink" Target="https://website-9ib.pages.dev/termek/702-reflex-szalag-dobozra-feher-stx/" TargetMode="External" Id="rId1374" /><Relationship Type="http://schemas.openxmlformats.org/officeDocument/2006/relationships/hyperlink" Target="https://www.ital-accessori.sk/katalog/book/KOMP/685/" TargetMode="External" Id="rId1375" /><Relationship Type="http://schemas.openxmlformats.org/officeDocument/2006/relationships/hyperlink" Target="https://website-9ib.pages.dev/termek/703-reflex-szalag-dobozra-piros/" TargetMode="External" Id="rId1376" /><Relationship Type="http://schemas.openxmlformats.org/officeDocument/2006/relationships/hyperlink" Target="https://www.ital-accessori.sk/katalog/book/KOMP/685/" TargetMode="External" Id="rId1377" /><Relationship Type="http://schemas.openxmlformats.org/officeDocument/2006/relationships/hyperlink" Target="https://website-9ib.pages.dev/termek/703-reflex-szalag-dobozra-piros-stx/" TargetMode="External" Id="rId1378" /><Relationship Type="http://schemas.openxmlformats.org/officeDocument/2006/relationships/hyperlink" Target="https://www.ital-accessori.sk/katalog/book/KOMP/685/" TargetMode="External" Id="rId1379" /><Relationship Type="http://schemas.openxmlformats.org/officeDocument/2006/relationships/hyperlink" Target="https://website-9ib.pages.dev/termek/701-reflex-szalag-dobozra-sarga/" TargetMode="External" Id="rId1380" /><Relationship Type="http://schemas.openxmlformats.org/officeDocument/2006/relationships/hyperlink" Target="https://website-9ib.pages.dev/termek/753-reflex-szalag-piros-ponyvara/" TargetMode="External" Id="rId1381" /><Relationship Type="http://schemas.openxmlformats.org/officeDocument/2006/relationships/hyperlink" Target="https://website-9ib.pages.dev/termek/752-reflex-szalag-ponyvara-feher/" TargetMode="External" Id="rId1382" /><Relationship Type="http://schemas.openxmlformats.org/officeDocument/2006/relationships/hyperlink" Target="https://website-9ib.pages.dev/termek/751-reflex-szalag-ponyvara-sarga/" TargetMode="External" Id="rId1383" /><Relationship Type="http://schemas.openxmlformats.org/officeDocument/2006/relationships/hyperlink" Target="https://www.ital-accessori.sk/katalog/book/KOMP/685/" TargetMode="External" Id="rId1384" /><Relationship Type="http://schemas.openxmlformats.org/officeDocument/2006/relationships/hyperlink" Target="https://website-9ib.pages.dev/termek/722-reflex-szalag-szekcionalt-feher/" TargetMode="External" Id="rId1385" /><Relationship Type="http://schemas.openxmlformats.org/officeDocument/2006/relationships/hyperlink" Target="https://www.ital-accessori.sk/katalog/book/KOMP/685/" TargetMode="External" Id="rId1386" /><Relationship Type="http://schemas.openxmlformats.org/officeDocument/2006/relationships/hyperlink" Target="https://website-9ib.pages.dev/termek/723-reflex-szalag-szekcionalt-piros/" TargetMode="External" Id="rId1387" /><Relationship Type="http://schemas.openxmlformats.org/officeDocument/2006/relationships/hyperlink" Target="https://www.ital-accessori.sk/katalog/book/KOMP/685/" TargetMode="External" Id="rId1388" /><Relationship Type="http://schemas.openxmlformats.org/officeDocument/2006/relationships/hyperlink" Target="https://website-9ib.pages.dev/termek/721-reflex-szalag-szekcionalt-sarga/" TargetMode="External" Id="rId1389" /><Relationship Type="http://schemas.openxmlformats.org/officeDocument/2006/relationships/hyperlink" Target="https://www.ital-accessori.sk/katalog/book/KOMP/683/" TargetMode="External" Id="rId1390" /><Relationship Type="http://schemas.openxmlformats.org/officeDocument/2006/relationships/hyperlink" Target="https://website-9ib.pages.dev/termek/990160-reflex-tabla-565x140x0-8-ece70-01/" TargetMode="External" Id="rId1391" /><Relationship Type="http://schemas.openxmlformats.org/officeDocument/2006/relationships/hyperlink" Target="https://website-9ib.pages.dev/termek/daken-lada-500x350x400-mm/" TargetMode="External" Id="rId1392" /><Relationship Type="http://schemas.openxmlformats.org/officeDocument/2006/relationships/hyperlink" Target="https://www.ital-accessori.sk/katalog/book/KOMP/501/" TargetMode="External" Id="rId1393" /><Relationship Type="http://schemas.openxmlformats.org/officeDocument/2006/relationships/hyperlink" Target="https://website-9ib.pages.dev/termek/j101030-negyed-ives-sarvedo-700x650/" TargetMode="External" Id="rId1394" /><Relationship Type="http://schemas.openxmlformats.org/officeDocument/2006/relationships/hyperlink" Target="https://www.ital-accessori.sk/katalog/book/KOMP/501/" TargetMode="External" Id="rId1395" /><Relationship Type="http://schemas.openxmlformats.org/officeDocument/2006/relationships/hyperlink" Target="https://website-9ib.pages.dev/termek/j101135-negyed-ives-sarvedo-800x430/" TargetMode="External" Id="rId1396" /><Relationship Type="http://schemas.openxmlformats.org/officeDocument/2006/relationships/hyperlink" Target="https://www.ital-accessori.sk/katalog/book/KOMP/494/" TargetMode="External" Id="rId1397" /><Relationship Type="http://schemas.openxmlformats.org/officeDocument/2006/relationships/hyperlink" Target="https://website-9ib.pages.dev/termek/j101510d-ives-sarvedo-270-1300-420/" TargetMode="External" Id="rId1398" /><Relationship Type="http://schemas.openxmlformats.org/officeDocument/2006/relationships/hyperlink" Target="https://www.ital-accessori.sk/katalog/book/KOMP/494/" TargetMode="External" Id="rId1399" /><Relationship Type="http://schemas.openxmlformats.org/officeDocument/2006/relationships/hyperlink" Target="https://website-9ib.pages.dev/termek/j101530d-ives-sarvedo-500-1620-500/" TargetMode="External" Id="rId1400" /><Relationship Type="http://schemas.openxmlformats.org/officeDocument/2006/relationships/hyperlink" Target="https://www.ital-accessori.sk/katalog/book/KOMP/494/" TargetMode="External" Id="rId1401" /><Relationship Type="http://schemas.openxmlformats.org/officeDocument/2006/relationships/hyperlink" Target="https://website-9ib.pages.dev/termek/j101620d-ives-sarvedo-450-1350-430/" TargetMode="External" Id="rId1402" /><Relationship Type="http://schemas.openxmlformats.org/officeDocument/2006/relationships/hyperlink" Target="https://www.ital-accessori.sk/katalog/book/KOMP/494/" TargetMode="External" Id="rId1403" /><Relationship Type="http://schemas.openxmlformats.org/officeDocument/2006/relationships/hyperlink" Target="https://website-9ib.pages.dev/termek/j101670d-ives-sarvedo-650-1900-630/" TargetMode="External" Id="rId1404" /><Relationship Type="http://schemas.openxmlformats.org/officeDocument/2006/relationships/hyperlink" Target="https://www.ital-accessori.sk/katalog/book/KOMP/494/" TargetMode="External" Id="rId1405" /><Relationship Type="http://schemas.openxmlformats.org/officeDocument/2006/relationships/hyperlink" Target="https://website-9ib.pages.dev/termek/j101680d-ives-sarvedo-430-2125-650/" TargetMode="External" Id="rId1406" /><Relationship Type="http://schemas.openxmlformats.org/officeDocument/2006/relationships/hyperlink" Target="https://www.ital-accessori.sk/katalog/book/KOMP/493/" TargetMode="External" Id="rId1407" /><Relationship Type="http://schemas.openxmlformats.org/officeDocument/2006/relationships/hyperlink" Target="https://website-9ib.pages.dev/termek/j103110d-ft-sarvedo-260-1450-380/" TargetMode="External" Id="rId1408" /><Relationship Type="http://schemas.openxmlformats.org/officeDocument/2006/relationships/hyperlink" Target="https://www.ital-accessori.sk/katalog/book/KOMP/493/" TargetMode="External" Id="rId1409" /><Relationship Type="http://schemas.openxmlformats.org/officeDocument/2006/relationships/hyperlink" Target="https://website-9ib.pages.dev/termek/j103115d-450-ft-sarvedo/" TargetMode="External" Id="rId1410" /><Relationship Type="http://schemas.openxmlformats.org/officeDocument/2006/relationships/hyperlink" Target="https://www.ital-accessori.sk/katalog/book/KOMP/493/" TargetMode="External" Id="rId1411" /><Relationship Type="http://schemas.openxmlformats.org/officeDocument/2006/relationships/hyperlink" Target="https://website-9ib.pages.dev/termek/j103120d-ft-sarvedo-510-1770-510/" TargetMode="External" Id="rId1412" /><Relationship Type="http://schemas.openxmlformats.org/officeDocument/2006/relationships/hyperlink" Target="https://www.ital-accessori.sk/katalog/book/KOMP/514/" TargetMode="External" Id="rId1413" /><Relationship Type="http://schemas.openxmlformats.org/officeDocument/2006/relationships/hyperlink" Target="https://website-9ib.pages.dev/termek/j105215-acel-tandem-sarvedo-2740x650x3500/" TargetMode="External" Id="rId1414" /><Relationship Type="http://schemas.openxmlformats.org/officeDocument/2006/relationships/hyperlink" Target="https://www.ital-accessori.sk/katalog/book/KOMP/493/" TargetMode="External" Id="rId1415" /><Relationship Type="http://schemas.openxmlformats.org/officeDocument/2006/relationships/hyperlink" Target="https://website-9ib.pages.dev/termek/j105222d-ft-sarvedo-300-1500-447/" TargetMode="External" Id="rId1416" /><Relationship Type="http://schemas.openxmlformats.org/officeDocument/2006/relationships/hyperlink" Target="https://www.ital-accessori.sk/katalog/book/KOMP/520/" TargetMode="External" Id="rId1417" /><Relationship Type="http://schemas.openxmlformats.org/officeDocument/2006/relationships/hyperlink" Target="https://website-9ib.pages.dev/termek/j108524-d42-es-ff-1p-sarvedotarto-cso-580-mm/" TargetMode="External" Id="rId1418" /><Relationship Type="http://schemas.openxmlformats.org/officeDocument/2006/relationships/hyperlink" Target="https://www.ital-accessori.sk/katalog/book/KOMP/547/" TargetMode="External" Id="rId1419" /><Relationship Type="http://schemas.openxmlformats.org/officeDocument/2006/relationships/hyperlink" Target="https://website-9ib.pages.dev/termek/j202460-1000x500x500-rm-lada/" TargetMode="External" Id="rId1420" /><Relationship Type="http://schemas.openxmlformats.org/officeDocument/2006/relationships/hyperlink" Target="https://www.ital-accessori.sk/katalog/book/KOMP/537/" TargetMode="External" Id="rId1421" /><Relationship Type="http://schemas.openxmlformats.org/officeDocument/2006/relationships/hyperlink" Target="https://website-9ib.pages.dev/termek/j205010-daken-lada-410x330x340-mm/" TargetMode="External" Id="rId1422" /><Relationship Type="http://schemas.openxmlformats.org/officeDocument/2006/relationships/hyperlink" Target="https://www.ital-accessori.sk/katalog/book/KOMP/537/" TargetMode="External" Id="rId1423" /><Relationship Type="http://schemas.openxmlformats.org/officeDocument/2006/relationships/hyperlink" Target="https://website-9ib.pages.dev/termek/j205040-daken-welvet-lada-630x450x480-mm/" TargetMode="External" Id="rId1424" /><Relationship Type="http://schemas.openxmlformats.org/officeDocument/2006/relationships/hyperlink" Target="https://www.ital-accessori.sk/katalog/book/KOMP/538/" TargetMode="External" Id="rId1425" /><Relationship Type="http://schemas.openxmlformats.org/officeDocument/2006/relationships/hyperlink" Target="https://website-9ib.pages.dev/termek/j205042-daken-arka-lada-655x450x470-mm/" TargetMode="External" Id="rId1426" /><Relationship Type="http://schemas.openxmlformats.org/officeDocument/2006/relationships/hyperlink" Target="https://www.ital-accessori.sk/katalog/book/KOMP/537/" TargetMode="External" Id="rId1427" /><Relationship Type="http://schemas.openxmlformats.org/officeDocument/2006/relationships/hyperlink" Target="https://website-9ib.pages.dev/termek/j205060-daken-lada-1030x500x455-mm/" TargetMode="External" Id="rId1428" /><Relationship Type="http://schemas.openxmlformats.org/officeDocument/2006/relationships/hyperlink" Target="https://www.ital-accessori.sk/katalog/book/KOMP/538/" TargetMode="External" Id="rId1429" /><Relationship Type="http://schemas.openxmlformats.org/officeDocument/2006/relationships/hyperlink" Target="https://website-9ib.pages.dev/termek/j205065-daken-lada-1250x524x500-mm/" TargetMode="External" Id="rId1430" /><Relationship Type="http://schemas.openxmlformats.org/officeDocument/2006/relationships/hyperlink" Target="https://www.ital-accessori.sk/katalog/book/KOMP/539/" TargetMode="External" Id="rId1431" /><Relationship Type="http://schemas.openxmlformats.org/officeDocument/2006/relationships/hyperlink" Target="https://website-9ib.pages.dev/termek/j205540-daken-lada-600x415x460-mm/" TargetMode="External" Id="rId1432" /><Relationship Type="http://schemas.openxmlformats.org/officeDocument/2006/relationships/hyperlink" Target="https://www.ital-accessori.sk/katalog/book/KOMP/539/" TargetMode="External" Id="rId1433" /><Relationship Type="http://schemas.openxmlformats.org/officeDocument/2006/relationships/hyperlink" Target="https://website-9ib.pages.dev/termek/j205575-daken-lada-750x350x450-mm/" TargetMode="External" Id="rId1434" /><Relationship Type="http://schemas.openxmlformats.org/officeDocument/2006/relationships/hyperlink" Target="https://www.ital-accessori.sk/katalog/book/KOMP/540/" TargetMode="External" Id="rId1435" /><Relationship Type="http://schemas.openxmlformats.org/officeDocument/2006/relationships/hyperlink" Target="https://website-9ib.pages.dev/termek/j205590-daken-lada-900x367x300-mm/" TargetMode="External" Id="rId1436" /><Relationship Type="http://schemas.openxmlformats.org/officeDocument/2006/relationships/hyperlink" Target="https://www.ital-accessori.sk/katalog/book/KOMP/540/" TargetMode="External" Id="rId1437" /><Relationship Type="http://schemas.openxmlformats.org/officeDocument/2006/relationships/hyperlink" Target="https://website-9ib.pages.dev/termek/j205599-daken-lada-1020x500x460-mm/" TargetMode="External" Id="rId1438" /><Relationship Type="http://schemas.openxmlformats.org/officeDocument/2006/relationships/hyperlink" Target="https://www.ital-accessori.sk/katalog/book/KOMP/567/" TargetMode="External" Id="rId1439" /><Relationship Type="http://schemas.openxmlformats.org/officeDocument/2006/relationships/hyperlink" Target="https://website-9ib.pages.dev/termek/j258207-p-p-porolto-tarto-6-kg-os/" TargetMode="External" Id="rId1440" /><Relationship Type="http://schemas.openxmlformats.org/officeDocument/2006/relationships/hyperlink" Target="https://www.ital-accessori.sk/katalog/book/KOMP/568/" TargetMode="External" Id="rId1441" /><Relationship Type="http://schemas.openxmlformats.org/officeDocument/2006/relationships/hyperlink" Target="https://website-9ib.pages.dev/termek/j258217-p-f-porolto-tarto-6-kg-os/" TargetMode="External" Id="rId1442" /><Relationship Type="http://schemas.openxmlformats.org/officeDocument/2006/relationships/hyperlink" Target="https://www.ital-accessori.sk/katalog/book/KOMP/570/" TargetMode="External" Id="rId1443" /><Relationship Type="http://schemas.openxmlformats.org/officeDocument/2006/relationships/hyperlink" Target="https://website-9ib.pages.dev/termek/j258412-felul-nyilo-p-porolto-tarto-6-kg-os/" TargetMode="External" Id="rId1444" /><Relationship Type="http://schemas.openxmlformats.org/officeDocument/2006/relationships/hyperlink" Target="https://www.ital-accessori.sk/katalog/book/KOMP/529/" TargetMode="External" Id="rId1445" /><Relationship Type="http://schemas.openxmlformats.org/officeDocument/2006/relationships/hyperlink" Target="https://website-9ib.pages.dev/termek/j4535-sarfogo-lap-450x350-mm-felfogatas/" TargetMode="External" Id="rId1446" /><Relationship Type="http://schemas.openxmlformats.org/officeDocument/2006/relationships/hyperlink" Target="https://www.ital-accessori.sk/katalog/book/KOMP/529/" TargetMode="External" Id="rId1447" /><Relationship Type="http://schemas.openxmlformats.org/officeDocument/2006/relationships/hyperlink" Target="https://website-9ib.pages.dev/termek/j5337-sarfogo-lap-530x370/" TargetMode="External" Id="rId1448" /><Relationship Type="http://schemas.openxmlformats.org/officeDocument/2006/relationships/hyperlink" Target="https://website-9ib.pages.dev/termek/j6030-sarfogo-lap-600x300/" TargetMode="External" Id="rId1449" /><Relationship Type="http://schemas.openxmlformats.org/officeDocument/2006/relationships/hyperlink" Target="https://website-9ib.pages.dev/termek/j6040-sarfogo-lap-600x400/" TargetMode="External" Id="rId1450" /><Relationship Type="http://schemas.openxmlformats.org/officeDocument/2006/relationships/hyperlink" Target="https://www.ital-accessori.sk/katalog/book/KOMP/521/" TargetMode="External" Id="rId1451" /><Relationship Type="http://schemas.openxmlformats.org/officeDocument/2006/relationships/hyperlink" Target="https://website-9ib.pages.dev/termek/j608031-th-42-es-sarvedotarto-cso-750-mm-3p/" TargetMode="External" Id="rId1452" /><Relationship Type="http://schemas.openxmlformats.org/officeDocument/2006/relationships/hyperlink" Target="https://www.ital-accessori.sk/katalog/book/KOMP/529/" TargetMode="External" Id="rId1453" /><Relationship Type="http://schemas.openxmlformats.org/officeDocument/2006/relationships/hyperlink" Target="https://website-9ib.pages.dev/termek/j6530-sarfogo-lap-650x300-felfogatas/" TargetMode="External" Id="rId1454" /><Relationship Type="http://schemas.openxmlformats.org/officeDocument/2006/relationships/hyperlink" Target="https://website-9ib.pages.dev/termek/302550-konzol-viztartalyhoz/" TargetMode="External" Id="rId1455" /><Relationship Type="http://schemas.openxmlformats.org/officeDocument/2006/relationships/hyperlink" Target="https://www.ital-accessori.sk/katalog/book/KOMP/579/" TargetMode="External" Id="rId1456" /><Relationship Type="http://schemas.openxmlformats.org/officeDocument/2006/relationships/hyperlink" Target="https://website-9ib.pages.dev/termek/302340-viztartaly-18l/" TargetMode="External" Id="rId1457" /><Relationship Type="http://schemas.openxmlformats.org/officeDocument/2006/relationships/hyperlink" Target="https://www.ital-accessori.sk/katalog/book/KOMP/579/" TargetMode="External" Id="rId1458" /><Relationship Type="http://schemas.openxmlformats.org/officeDocument/2006/relationships/hyperlink" Target="https://website-9ib.pages.dev/termek/302341-viztartaly-18l-szappan-adagolo/" TargetMode="External" Id="rId1459" /><Relationship Type="http://schemas.openxmlformats.org/officeDocument/2006/relationships/hyperlink" Target="https://website-9ib.pages.dev/termek/302515-viztartaly-30l-szappantarto/" TargetMode="External" Id="rId1460" /><Relationship Type="http://schemas.openxmlformats.org/officeDocument/2006/relationships/hyperlink" Target="https://jonesco-plastics.com/products/commercial-vehicle/mudguards/flat-top-xgard" TargetMode="External" Id="rId1461" /><Relationship Type="http://schemas.openxmlformats.org/officeDocument/2006/relationships/hyperlink" Target="https://website-9ib.pages.dev/termek/260ft-csapott-teteju-sarvedo/" TargetMode="External" Id="rId1462" /><Relationship Type="http://schemas.openxmlformats.org/officeDocument/2006/relationships/hyperlink" Target="https://jonesco-plastics.com/products/commercial-vehicle/mudflaps/antispray-mudflaps" TargetMode="External" Id="rId1463" /><Relationship Type="http://schemas.openxmlformats.org/officeDocument/2006/relationships/hyperlink" Target="https://website-9ib.pages.dev/termek/400x700-mm-sarvedo-lap-stopspay/" TargetMode="External" Id="rId1464" /><Relationship Type="http://schemas.openxmlformats.org/officeDocument/2006/relationships/hyperlink" Target="https://jonesco-plastics.com/products/commercial-vehicle/mudguards/flat-top-j-wing" TargetMode="External" Id="rId1465" /><Relationship Type="http://schemas.openxmlformats.org/officeDocument/2006/relationships/hyperlink" Target="https://website-9ib.pages.dev/termek/550ft-csapott-teteju-sarvedo/" TargetMode="External" Id="rId1466" /><Relationship Type="http://schemas.openxmlformats.org/officeDocument/2006/relationships/hyperlink" Target="https://jonesco-plastics.com/products/commercial-vehicle/mudguards/flat-top-j-wing" TargetMode="External" Id="rId1467" /><Relationship Type="http://schemas.openxmlformats.org/officeDocument/2006/relationships/hyperlink" Target="https://website-9ib.pages.dev/termek/600-ft-csapott-teteju-sarvedo/" TargetMode="External" Id="rId1468" /><Relationship Type="http://schemas.openxmlformats.org/officeDocument/2006/relationships/hyperlink" Target="https://jonesco-plastics.com/products/commercial-vehicle/mudflaps/antispray-mudflaps" TargetMode="External" Id="rId1469" /><Relationship Type="http://schemas.openxmlformats.org/officeDocument/2006/relationships/hyperlink" Target="https://website-9ib.pages.dev/termek/660x1220-mm-sarvedo-lap-stopspray/" TargetMode="External" Id="rId1470" /><Relationship Type="http://schemas.openxmlformats.org/officeDocument/2006/relationships/hyperlink" Target="https://jonesco-plastics.com/products/commercial-vehicle/mudflaps/antispray-mudflaps" TargetMode="External" Id="rId1471" /><Relationship Type="http://schemas.openxmlformats.org/officeDocument/2006/relationships/hyperlink" Target="https://website-9ib.pages.dev/termek/710x560-mm-sarvedo-lap-stopspray/" TargetMode="External" Id="rId1472" /><Relationship Type="http://schemas.openxmlformats.org/officeDocument/2006/relationships/hyperlink" Target="https://jonesco-plastics.com/products/commercial-vehicle/mudguards/single-arch-highgard" TargetMode="External" Id="rId1473" /><Relationship Type="http://schemas.openxmlformats.org/officeDocument/2006/relationships/hyperlink" Target="https://website-9ib.pages.dev/termek/j09-ives-sarvedo-270-1280-410/" TargetMode="External" Id="rId1474" /><Relationship Type="http://schemas.openxmlformats.org/officeDocument/2006/relationships/hyperlink" Target="https://jonesco-plastics.com/products/commercial-vehicle/mudguards/single-arch-highgard" TargetMode="External" Id="rId1475" /><Relationship Type="http://schemas.openxmlformats.org/officeDocument/2006/relationships/hyperlink" Target="https://website-9ib.pages.dev/termek/j27-ives-sarvedo-475-1430-430/" TargetMode="External" Id="rId1476" /><Relationship Type="http://schemas.openxmlformats.org/officeDocument/2006/relationships/hyperlink" Target="https://jonesco-plastics.com/products/commercial-vehicle/mudguards/flat-top-j-wing" TargetMode="External" Id="rId1477" /><Relationship Type="http://schemas.openxmlformats.org/officeDocument/2006/relationships/hyperlink" Target="https://website-9ib.pages.dev/termek/j27f-450ft-csapott-teteju-sarvedo/" TargetMode="External" Id="rId1478" /><Relationship Type="http://schemas.openxmlformats.org/officeDocument/2006/relationships/hyperlink" Target="https://jonesco-plastics.com/products/commercial-vehicle/mudguards/flat-top-j-wing" TargetMode="External" Id="rId1479" /><Relationship Type="http://schemas.openxmlformats.org/officeDocument/2006/relationships/hyperlink" Target="https://website-9ib.pages.dev/termek/j28f-455ft-csapott-teteju-sarvedo/" TargetMode="External" Id="rId1480" /><Relationship Type="http://schemas.openxmlformats.org/officeDocument/2006/relationships/hyperlink" Target="https://jonesco-plastics.com/products/commercial-vehicle/mudguards/single-arch-highgard" TargetMode="External" Id="rId1481" /><Relationship Type="http://schemas.openxmlformats.org/officeDocument/2006/relationships/hyperlink" Target="https://website-9ib.pages.dev/termek/j39b-530-ives-sarvedo/" TargetMode="External" Id="rId1482" /><Relationship Type="http://schemas.openxmlformats.org/officeDocument/2006/relationships/hyperlink" Target="https://jonesco-plastics.com/products/commercial-vehicle/mudflaps/plain-mudflaps" TargetMode="External" Id="rId1483" /><Relationship Type="http://schemas.openxmlformats.org/officeDocument/2006/relationships/hyperlink" Target="https://website-9ib.pages.dev/termek/j4030-sarfogo-lap-400x300-mm/" TargetMode="External" Id="rId1484" /><Relationship Type="http://schemas.openxmlformats.org/officeDocument/2006/relationships/hyperlink" Target="https://jonesco-plastics.com/products/commercial-vehicle/mudguards/single-arch-highgard" TargetMode="External" Id="rId1485" /><Relationship Type="http://schemas.openxmlformats.org/officeDocument/2006/relationships/hyperlink" Target="https://website-9ib.pages.dev/termek/j43b-ives-sarvedo-610-1830-550/" TargetMode="External" Id="rId1486" /><Relationship Type="http://schemas.openxmlformats.org/officeDocument/2006/relationships/hyperlink" Target="https://jonesco-plastics.com/products/commercial-vehicle/mudguards/single-arch-highgard" TargetMode="External" Id="rId1487" /><Relationship Type="http://schemas.openxmlformats.org/officeDocument/2006/relationships/hyperlink" Target="https://website-9ib.pages.dev/termek/j45a-650-ives-sarvedo/" TargetMode="External" Id="rId1488" /><Relationship Type="http://schemas.openxmlformats.org/officeDocument/2006/relationships/hyperlink" Target="https://jonesco-plastics.com/products/commercial-vehicle/mudguards/single-arch-highgard" TargetMode="External" Id="rId1489" /><Relationship Type="http://schemas.openxmlformats.org/officeDocument/2006/relationships/hyperlink" Target="https://website-9ib.pages.dev/termek/j45b-635-ives-sarvedo/" TargetMode="External" Id="rId1490" /><Relationship Type="http://schemas.openxmlformats.org/officeDocument/2006/relationships/hyperlink" Target="https://jonesco-plastics.com/products/commercial-vehicle/mudguards/flat-top-j-wing" TargetMode="External" Id="rId1491" /><Relationship Type="http://schemas.openxmlformats.org/officeDocument/2006/relationships/hyperlink" Target="https://website-9ib.pages.dev/termek/j46f-640ft-csapott-teteju-sarvedo/" TargetMode="External" Id="rId1492" /><Relationship Type="http://schemas.openxmlformats.org/officeDocument/2006/relationships/hyperlink" Target="https://jonesco-plastics.com/products/commercial-vehicle/mudguards/single-arch-highgard" TargetMode="External" Id="rId1493" /><Relationship Type="http://schemas.openxmlformats.org/officeDocument/2006/relationships/hyperlink" Target="https://website-9ib.pages.dev/termek/j47-ives-sarvedo-670-2110-690/" TargetMode="External" Id="rId1494" /><Relationship Type="http://schemas.openxmlformats.org/officeDocument/2006/relationships/hyperlink" Target="https://jonesco-plastics.com/products/commercial-vehicle/mudflaps/plain-mudflaps" TargetMode="External" Id="rId1495" /><Relationship Type="http://schemas.openxmlformats.org/officeDocument/2006/relationships/hyperlink" Target="https://website-9ib.pages.dev/termek/j6540-sarfogo-lap-650x400/" TargetMode="External" Id="rId1496" /><Relationship Type="http://schemas.openxmlformats.org/officeDocument/2006/relationships/hyperlink" Target="https://jonesco-plastics.com/products/commercial-vehicle/on-board-storage/1000mm-toolbox" TargetMode="External" Id="rId1497" /><Relationship Type="http://schemas.openxmlformats.org/officeDocument/2006/relationships/hyperlink" Target="https://website-9ib.pages.dev/termek/jbx100-szerszamos-lada/" TargetMode="External" Id="rId1498" /><Relationship Type="http://schemas.openxmlformats.org/officeDocument/2006/relationships/hyperlink" Target="https://jonesco-plastics.com/products/commercial-vehicle/on-board-storage/compact-storage-box" TargetMode="External" Id="rId1499" /><Relationship Type="http://schemas.openxmlformats.org/officeDocument/2006/relationships/hyperlink" Target="https://website-9ib.pages.dev/termek/jbx400-d-szerszamos-lada/" TargetMode="External" Id="rId1500" /><Relationship Type="http://schemas.openxmlformats.org/officeDocument/2006/relationships/hyperlink" Target="https://jonesco-plastics.com/products/commercial-vehicle/on-board-storage/450mm-toolbox" TargetMode="External" Id="rId1501" /><Relationship Type="http://schemas.openxmlformats.org/officeDocument/2006/relationships/hyperlink" Target="https://website-9ib.pages.dev/termek/jbx45-szerszamos-lada/" TargetMode="External" Id="rId1502" /><Relationship Type="http://schemas.openxmlformats.org/officeDocument/2006/relationships/hyperlink" Target="https://jonesco-plastics.com/products/commercial-vehicle/on-board-storage/520mm-toolbox" TargetMode="External" Id="rId1503" /><Relationship Type="http://schemas.openxmlformats.org/officeDocument/2006/relationships/hyperlink" Target="https://website-9ib.pages.dev/termek/jbx52-szerszamos-lada/" TargetMode="External" Id="rId1504" /><Relationship Type="http://schemas.openxmlformats.org/officeDocument/2006/relationships/hyperlink" Target="https://jonesco-plastics.com/products/commercial-vehicle/on-board-storage/650mm-toolbox" TargetMode="External" Id="rId1505" /><Relationship Type="http://schemas.openxmlformats.org/officeDocument/2006/relationships/hyperlink" Target="https://website-9ib.pages.dev/termek/jbx65-szerszamos-lada/" TargetMode="External" Id="rId1506" /><Relationship Type="http://schemas.openxmlformats.org/officeDocument/2006/relationships/hyperlink" Target="https://jonesco-plastics.com/products/commercial-vehicle/on-board-storage/520mm-toolbox" TargetMode="External" Id="rId1507" /><Relationship Type="http://schemas.openxmlformats.org/officeDocument/2006/relationships/hyperlink" Target="https://website-9ib.pages.dev/termek/jbz52-szerszamos-lada/" TargetMode="External" Id="rId1508" /><Relationship Type="http://schemas.openxmlformats.org/officeDocument/2006/relationships/hyperlink" Target="https://jonesco-plastics.com/products/commercial-vehicle/on-board-storage/600mm-toolbox" TargetMode="External" Id="rId1509" /><Relationship Type="http://schemas.openxmlformats.org/officeDocument/2006/relationships/hyperlink" Target="https://website-9ib.pages.dev/termek/jbz60-szerszamos-lada/" TargetMode="External" Id="rId1510" /><Relationship Type="http://schemas.openxmlformats.org/officeDocument/2006/relationships/hyperlink" Target="https://website-9ib.pages.dev/termek/jf45106-450x1060-mm-sarvedo-lap/" TargetMode="External" Id="rId1511" /><Relationship Type="http://schemas.openxmlformats.org/officeDocument/2006/relationships/hyperlink" Target="https://jonesco-plastics.com/products/commercial-vehicle/mudflaps/plain-mudflaps" TargetMode="External" Id="rId1512" /><Relationship Type="http://schemas.openxmlformats.org/officeDocument/2006/relationships/hyperlink" Target="https://website-9ib.pages.dev/termek/jf6092-spriccelesvedo/" TargetMode="External" Id="rId1513" /><Relationship Type="http://schemas.openxmlformats.org/officeDocument/2006/relationships/hyperlink" Target="https://jonesco-plastics.com/products/commercial-vehicle/mudflaps/antispray-mudflaps" TargetMode="External" Id="rId1514" /><Relationship Type="http://schemas.openxmlformats.org/officeDocument/2006/relationships/hyperlink" Target="https://website-9ib.pages.dev/termek/jf61122-610x1220-mm-sarvedo-lap-stopsray/" TargetMode="External" Id="rId1515" /><Relationship Type="http://schemas.openxmlformats.org/officeDocument/2006/relationships/hyperlink" Target="https://jonesco-plastics.com/products/commercial-vehicle/mudguards/section-highgard" TargetMode="External" Id="rId1516" /><Relationship Type="http://schemas.openxmlformats.org/officeDocument/2006/relationships/hyperlink" Target="https://website-9ib.pages.dev/termek/jhls47-negyedives-sarvedo-670/" TargetMode="External" Id="rId1517" /><Relationship Type="http://schemas.openxmlformats.org/officeDocument/2006/relationships/hyperlink" Target="https://jonesco-plastics.com/products/commercial-vehicle/fixing-systems/xpf-fixing-kit" TargetMode="External" Id="rId1518" /><Relationship Type="http://schemas.openxmlformats.org/officeDocument/2006/relationships/hyperlink" Target="https://website-9ib.pages.dev/termek/jkitxpf42-42-es-muanyag-csotarto/" TargetMode="External" Id="rId1519" /><Relationship Type="http://schemas.openxmlformats.org/officeDocument/2006/relationships/hyperlink" Target="https://jonesco-plastics.com/products/commercial-vehicle/fixing-systems/stay-with-hexagonal-flange" TargetMode="External" Id="rId1520" /><Relationship Type="http://schemas.openxmlformats.org/officeDocument/2006/relationships/hyperlink" Target="https://website-9ib.pages.dev/termek/js43eb-festett-fekete-sarvedotarto-42-mm/" TargetMode="External" Id="rId1521" /><Relationship Type="http://schemas.openxmlformats.org/officeDocument/2006/relationships/hyperlink" Target="https://jonesco-plastics.com/products/commercial-vehicle/mudguards/single-arch-highgard" TargetMode="External" Id="rId1522" /><Relationship Type="http://schemas.openxmlformats.org/officeDocument/2006/relationships/hyperlink" Target="https://website-9ib.pages.dev/termek/jvg26a-ives-sarvedo-420x1900x1270/" TargetMode="External" Id="rId1523" /><Relationship Type="http://schemas.openxmlformats.org/officeDocument/2006/relationships/hyperlink" Target="https://jonesco-plastics.com/products/commercial-vehicle/mudguards/single-arch-highgard" TargetMode="External" Id="rId1524" /><Relationship Type="http://schemas.openxmlformats.org/officeDocument/2006/relationships/hyperlink" Target="https://website-9ib.pages.dev/termek/jvg39b-530-ives-sarvedo/" TargetMode="External" Id="rId1525" /><Relationship Type="http://schemas.openxmlformats.org/officeDocument/2006/relationships/hyperlink" Target="https://jonesco-plastics.com/products/commercial-vehicle/mudguards/single-arch-highgard" TargetMode="External" Id="rId1526" /><Relationship Type="http://schemas.openxmlformats.org/officeDocument/2006/relationships/hyperlink" Target="https://website-9ib.pages.dev/termek/jvg43d-610-ives-sarvedo/" TargetMode="External" Id="rId1527" /><Relationship Type="http://schemas.openxmlformats.org/officeDocument/2006/relationships/hyperlink" Target="https://jonesco-plastics.com/products/commercial-vehicle/mudguards/single-arch-highgard" TargetMode="External" Id="rId1528" /><Relationship Type="http://schemas.openxmlformats.org/officeDocument/2006/relationships/hyperlink" Target="https://website-9ib.pages.dev/termek/jvg47-670-ives-sarvedo/" TargetMode="External" Id="rId1529" /><Relationship Type="http://schemas.openxmlformats.org/officeDocument/2006/relationships/hyperlink" Target="https://jonesco-plastics.com/products/commercial-vehicle/mudguards/flat-top-xgard" TargetMode="External" Id="rId1530" /><Relationship Type="http://schemas.openxmlformats.org/officeDocument/2006/relationships/hyperlink" Target="https://website-9ib.pages.dev/termek/jx37f-510ft-csapott-teteju-sarvedo/" TargetMode="External" Id="rId1531" /><Relationship Type="http://schemas.openxmlformats.org/officeDocument/2006/relationships/hyperlink" Target="https://jonesco-plastics.com/products/commercial-vehicle/on-board-storage/800mm-toolbox" TargetMode="External" Id="rId1532" /><Relationship Type="http://schemas.openxmlformats.org/officeDocument/2006/relationships/hyperlink" Target="https://website-9ib.pages.dev/termek/szerszamos-lada/" TargetMode="External" Id="rId1533" /><Relationship Type="http://schemas.openxmlformats.org/officeDocument/2006/relationships/hyperlink" Target="https://website-9ib.pages.dev/termek/106060-d60-as-acel-csodugotarto-feszek/" TargetMode="External" Id="rId1534" /><Relationship Type="http://schemas.openxmlformats.org/officeDocument/2006/relationships/hyperlink" Target="https://shop.kloeckner.at/aluminium-warzenbleche/p/1011072" TargetMode="External" Id="rId1535" /><Relationship Type="http://schemas.openxmlformats.org/officeDocument/2006/relationships/hyperlink" Target="https://website-9ib.pages.dev/termek/s-1-5-2x1000x2000-mm-diamond-alu-lemez-en-aw-3003-h224/" TargetMode="External" Id="rId1536" /><Relationship Type="http://schemas.openxmlformats.org/officeDocument/2006/relationships/hyperlink" Target="https://shop.kloeckner.at/aluminium-warzenbleche/p/1011072" TargetMode="External" Id="rId1537" /><Relationship Type="http://schemas.openxmlformats.org/officeDocument/2006/relationships/hyperlink" Target="https://website-9ib.pages.dev/termek/s-1-5-2x1500x3000-mm-duett-cseppmintas-alu-lemez-en-aw-5754-almg3-h114/" TargetMode="External" Id="rId1538" /><Relationship Type="http://schemas.openxmlformats.org/officeDocument/2006/relationships/hyperlink" Target="https://shop.kloeckner.at/aluminiumbleche/p/1011070" TargetMode="External" Id="rId1539" /><Relationship Type="http://schemas.openxmlformats.org/officeDocument/2006/relationships/hyperlink" Target="https://website-9ib.pages.dev/termek/s-1-5x1000x2000-mm-alu-lemez-en-aw-1050-h24/" TargetMode="External" Id="rId1540" /><Relationship Type="http://schemas.openxmlformats.org/officeDocument/2006/relationships/hyperlink" Target="https://shop.kloeckner.at/aluminiumbleche/p/1011070" TargetMode="External" Id="rId1541" /><Relationship Type="http://schemas.openxmlformats.org/officeDocument/2006/relationships/hyperlink" Target="https://website-9ib.pages.dev/termek/s-1-5x1250x2500-mm-alu-lemez-en-aw-1050-h24/" TargetMode="External" Id="rId1542" /><Relationship Type="http://schemas.openxmlformats.org/officeDocument/2006/relationships/hyperlink" Target="https://shop.kloeckner.at/aluminium-warzenbleche/p/1011072" TargetMode="External" Id="rId1543" /><Relationship Type="http://schemas.openxmlformats.org/officeDocument/2006/relationships/hyperlink" Target="https://website-9ib.pages.dev/termek/s-2-5-4x1250x2500-mm-cseppmintas-en-aw-5754-h114/" TargetMode="External" Id="rId1544" /><Relationship Type="http://schemas.openxmlformats.org/officeDocument/2006/relationships/hyperlink" Target="https://shop.kloeckner.at/aluminium-warzenbleche/p/1011072" TargetMode="External" Id="rId1545" /><Relationship Type="http://schemas.openxmlformats.org/officeDocument/2006/relationships/hyperlink" Target="https://website-9ib.pages.dev/termek/s-2-3-5x1000x2000-mm-cseppmintas-en-aw-5754-h114/" TargetMode="External" Id="rId1546" /><Relationship Type="http://schemas.openxmlformats.org/officeDocument/2006/relationships/hyperlink" Target="https://shop.kloeckner.at/aluminium-warzenbleche/p/1011072" TargetMode="External" Id="rId1547" /><Relationship Type="http://schemas.openxmlformats.org/officeDocument/2006/relationships/hyperlink" Target="https://website-9ib.pages.dev/termek/s-2-3-5x1250x2500-mm-cseppmintas-en-aw-5754-h114/" TargetMode="External" Id="rId1548" /><Relationship Type="http://schemas.openxmlformats.org/officeDocument/2006/relationships/hyperlink" Target="https://shop.kloeckner.at/aluminium-warzenbleche/p/1011072" TargetMode="External" Id="rId1549" /><Relationship Type="http://schemas.openxmlformats.org/officeDocument/2006/relationships/hyperlink" Target="https://website-9ib.pages.dev/termek/s-2-3-5x1500x3000-mm-cseppmintas-en-aw-5754-h114/" TargetMode="External" Id="rId1550" /><Relationship Type="http://schemas.openxmlformats.org/officeDocument/2006/relationships/hyperlink" Target="https://shop.kloeckner.at/aluminiumbleche/p/1011070" TargetMode="External" Id="rId1551" /><Relationship Type="http://schemas.openxmlformats.org/officeDocument/2006/relationships/hyperlink" Target="https://website-9ib.pages.dev/termek/s-2x1000x2000-mm-alu-lemez-en-aw-1050-h24/" TargetMode="External" Id="rId1552" /><Relationship Type="http://schemas.openxmlformats.org/officeDocument/2006/relationships/hyperlink" Target="https://shop.kloeckner.at/aluminiumbleche-eloxiert/p/1011071" TargetMode="External" Id="rId1553" /><Relationship Type="http://schemas.openxmlformats.org/officeDocument/2006/relationships/hyperlink" Target="https://website-9ib.pages.dev/termek/s-2x1000x2000-mm-elox-alu-lemez-en-aw-5002/" TargetMode="External" Id="rId1554" /><Relationship Type="http://schemas.openxmlformats.org/officeDocument/2006/relationships/hyperlink" Target="https://shop.kloeckner.at/aluminiumbleche/p/1011070" TargetMode="External" Id="rId1555" /><Relationship Type="http://schemas.openxmlformats.org/officeDocument/2006/relationships/hyperlink" Target="https://website-9ib.pages.dev/termek/s-2x1250x2500-mm-alu-lemez-en-aw-1050-h24/" TargetMode="External" Id="rId1556" /><Relationship Type="http://schemas.openxmlformats.org/officeDocument/2006/relationships/hyperlink" Target="https://shop.kloeckner.at/aluminiumbleche/p/1011070" TargetMode="External" Id="rId1557" /><Relationship Type="http://schemas.openxmlformats.org/officeDocument/2006/relationships/hyperlink" Target="https://website-9ib.pages.dev/termek/s-2x1250x2500-mm-alu-lemez-en-aw-5754-h22/" TargetMode="External" Id="rId1558" /><Relationship Type="http://schemas.openxmlformats.org/officeDocument/2006/relationships/hyperlink" Target="https://shop.kloeckner.at/aluminiumbleche-eloxiert/p/1011071" TargetMode="External" Id="rId1559" /><Relationship Type="http://schemas.openxmlformats.org/officeDocument/2006/relationships/hyperlink" Target="https://website-9ib.pages.dev/termek/s-2x1250x2500-mm-elox-alu-lemez-en-aw-5005a-h14/" TargetMode="External" Id="rId1560" /><Relationship Type="http://schemas.openxmlformats.org/officeDocument/2006/relationships/hyperlink" Target="https://shop.kloeckner.at/aluminiumbleche/p/1011070" TargetMode="External" Id="rId1561" /><Relationship Type="http://schemas.openxmlformats.org/officeDocument/2006/relationships/hyperlink" Target="https://website-9ib.pages.dev/termek/s-2x1500x3000-mm-alu-lemez-en-aw-1050-h24/" TargetMode="External" Id="rId1562" /><Relationship Type="http://schemas.openxmlformats.org/officeDocument/2006/relationships/hyperlink" Target="https://shop.kloeckner.at/aluminium-warzenbleche/p/1011072" TargetMode="External" Id="rId1563" /><Relationship Type="http://schemas.openxmlformats.org/officeDocument/2006/relationships/hyperlink" Target="https://website-9ib.pages.dev/termek/s-3-4-5x1250x2500-mm-cseppmintas-en-aw-5754-h114/" TargetMode="External" Id="rId1564" /><Relationship Type="http://schemas.openxmlformats.org/officeDocument/2006/relationships/hyperlink" Target="https://shop.kloeckner.at/aluminiumbleche/p/1011070" TargetMode="External" Id="rId1565" /><Relationship Type="http://schemas.openxmlformats.org/officeDocument/2006/relationships/hyperlink" Target="https://website-9ib.pages.dev/termek/s-3x1250x2500-mm-alu-lemez-en-aw-1050-h24/" TargetMode="External" Id="rId1566" /><Relationship Type="http://schemas.openxmlformats.org/officeDocument/2006/relationships/hyperlink" Target="https://shop.kloeckner.at/aluminiumbleche/p/1011070" TargetMode="External" Id="rId1567" /><Relationship Type="http://schemas.openxmlformats.org/officeDocument/2006/relationships/hyperlink" Target="https://website-9ib.pages.dev/termek/s-3x1250x2500-mm-alu-lemez-en-aw-5754-h22/" TargetMode="External" Id="rId1568" /><Relationship Type="http://schemas.openxmlformats.org/officeDocument/2006/relationships/hyperlink" Target="https://shop.kloeckner.at/aluminiumbleche-eloxiert/p/1011071" TargetMode="External" Id="rId1569" /><Relationship Type="http://schemas.openxmlformats.org/officeDocument/2006/relationships/hyperlink" Target="https://website-9ib.pages.dev/termek/s-3x1250x2500-mm-elox-alu-lemez-en-aw-5005a-h14/" TargetMode="External" Id="rId1570" /><Relationship Type="http://schemas.openxmlformats.org/officeDocument/2006/relationships/hyperlink" Target="https://shop.kloeckner.at/aluminiumbleche/p/1011070" TargetMode="External" Id="rId1571" /><Relationship Type="http://schemas.openxmlformats.org/officeDocument/2006/relationships/hyperlink" Target="https://website-9ib.pages.dev/termek/s-3x1500x3000-mm-alu-lemez-en-aw-1050-h24/" TargetMode="External" Id="rId1572" /><Relationship Type="http://schemas.openxmlformats.org/officeDocument/2006/relationships/hyperlink" Target="https://shop.kloeckner.at/aluminiumbleche-eloxiert/p/1011071" TargetMode="External" Id="rId1573" /><Relationship Type="http://schemas.openxmlformats.org/officeDocument/2006/relationships/hyperlink" Target="https://website-9ib.pages.dev/termek/s-3x1500x3000-mm-elox-alu-lemez-en-aw-5005a-h14/" TargetMode="External" Id="rId1574" /><Relationship Type="http://schemas.openxmlformats.org/officeDocument/2006/relationships/hyperlink" Target="https://shop.kloeckner.at/aluminium-warzenbleche/p/1011072" TargetMode="External" Id="rId1575" /><Relationship Type="http://schemas.openxmlformats.org/officeDocument/2006/relationships/hyperlink" Target="https://website-9ib.pages.dev/termek/s-4-5-5x1250x2500-mm-cseppmintas-en-aw-5754-h114/" TargetMode="External" Id="rId1576" /><Relationship Type="http://schemas.openxmlformats.org/officeDocument/2006/relationships/hyperlink" Target="https://shop.kloeckner.at/aluminium-warzenbleche/p/1011072" TargetMode="External" Id="rId1577" /><Relationship Type="http://schemas.openxmlformats.org/officeDocument/2006/relationships/hyperlink" Target="https://website-9ib.pages.dev/termek/s-5-6-5x1250x2500-mm-cseppmintas-en-aw-5754-h114/" TargetMode="External" Id="rId1578" /><Relationship Type="http://schemas.openxmlformats.org/officeDocument/2006/relationships/hyperlink" Target="https://shop.kloeckner.at/aluminiumbleche/p/1011070" TargetMode="External" Id="rId1579" /><Relationship Type="http://schemas.openxmlformats.org/officeDocument/2006/relationships/hyperlink" Target="https://website-9ib.pages.dev/termek/s-6x1250x2500-mm-alu-lemez-en-aw-5754-h22/" TargetMode="External" Id="rId1580" /><Relationship Type="http://schemas.openxmlformats.org/officeDocument/2006/relationships/hyperlink" Target="https://shop.kloeckner.at/aluminium-flach/p/1011153" TargetMode="External" Id="rId1581" /><Relationship Type="http://schemas.openxmlformats.org/officeDocument/2006/relationships/hyperlink" Target="https://website-9ib.pages.dev/termek/252003-20x3-mm-alu-lapos-profil/" TargetMode="External" Id="rId1582" /><Relationship Type="http://schemas.openxmlformats.org/officeDocument/2006/relationships/hyperlink" Target="https://shop.kloeckner.at/aluminium-flach/p/1011153" TargetMode="External" Id="rId1583" /><Relationship Type="http://schemas.openxmlformats.org/officeDocument/2006/relationships/hyperlink" Target="https://website-9ib.pages.dev/termek/250305-30x5-mm-alu-lapos-profil/" TargetMode="External" Id="rId1584" /><Relationship Type="http://schemas.openxmlformats.org/officeDocument/2006/relationships/hyperlink" Target="https://shop.kloeckner.at/aluminium-flach/p/1011153" TargetMode="External" Id="rId1585" /><Relationship Type="http://schemas.openxmlformats.org/officeDocument/2006/relationships/hyperlink" Target="https://website-9ib.pages.dev/termek/252251-40x10-mm-alu-lapos-profil/" TargetMode="External" Id="rId1586" /><Relationship Type="http://schemas.openxmlformats.org/officeDocument/2006/relationships/hyperlink" Target="https://shop.kloeckner.at/aluminium-quadratrohr/p/1011098" TargetMode="External" Id="rId1587" /><Relationship Type="http://schemas.openxmlformats.org/officeDocument/2006/relationships/hyperlink" Target="https://website-9ib.pages.dev/termek/252229-40x40x4-alu-zartszelveny/" TargetMode="External" Id="rId1588" /><Relationship Type="http://schemas.openxmlformats.org/officeDocument/2006/relationships/hyperlink" Target="https://shop.kloeckner.at/aluminium-flach/p/1011153" TargetMode="External" Id="rId1589" /><Relationship Type="http://schemas.openxmlformats.org/officeDocument/2006/relationships/hyperlink" Target="https://website-9ib.pages.dev/termek/250405-40x5-mm-alu-lapos-profil/" TargetMode="External" Id="rId1590" /><Relationship Type="http://schemas.openxmlformats.org/officeDocument/2006/relationships/hyperlink" Target="https://shop.kloeckner.at/aluminium-quadratrohr/p/1011098" TargetMode="External" Id="rId1591" /><Relationship Type="http://schemas.openxmlformats.org/officeDocument/2006/relationships/hyperlink" Target="https://website-9ib.pages.dev/termek/253337-50x50x4-alu-zartszelveny/" TargetMode="External" Id="rId1592" /><Relationship Type="http://schemas.openxmlformats.org/officeDocument/2006/relationships/hyperlink" Target="https://website-9ib.pages.dev/termek/121018-sl-rakomanyrogzito-rud-alu-1650-2050-mm/" TargetMode="External" Id="rId1593" /><Relationship Type="http://schemas.openxmlformats.org/officeDocument/2006/relationships/hyperlink" Target="https://website-9ib.pages.dev/termek/121019-rakomanyrogzito-rud-alu-2050-2450-mm/" TargetMode="External" Id="rId1594" /><Relationship Type="http://schemas.openxmlformats.org/officeDocument/2006/relationships/hyperlink" Target="https://website-9ib.pages.dev/termek/rampa-040x615x2500/" TargetMode="External" Id="rId1595" /><Relationship Type="http://schemas.openxmlformats.org/officeDocument/2006/relationships/hyperlink" Target="https://website-9ib.pages.dev/termek/athajto-rampa/" TargetMode="External" Id="rId1596" /><Relationship Type="http://schemas.openxmlformats.org/officeDocument/2006/relationships/hyperlink" Target="https://www.metraluminium.it" TargetMode="External" Id="rId1597" /><Relationship Type="http://schemas.openxmlformats.org/officeDocument/2006/relationships/hyperlink" Target="https://website-9ib.pages.dev/termek/220326-n-u-25-mm-szego-profil-m/" TargetMode="External" Id="rId1598" /><Relationship Type="http://schemas.openxmlformats.org/officeDocument/2006/relationships/hyperlink" Target="https://www.metraluminium.it" TargetMode="External" Id="rId1599" /><Relationship Type="http://schemas.openxmlformats.org/officeDocument/2006/relationships/hyperlink" Target="https://website-9ib.pages.dev/termek/220326-u-25-mm-szego-profil-elox-m/" TargetMode="External" Id="rId1600" /><Relationship Type="http://schemas.openxmlformats.org/officeDocument/2006/relationships/hyperlink" Target="https://www.metraluminium.it" TargetMode="External" Id="rId1601" /><Relationship Type="http://schemas.openxmlformats.org/officeDocument/2006/relationships/hyperlink" Target="https://website-9ib.pages.dev/termek/226830-300-mm-mono-profil-elox/" TargetMode="External" Id="rId1602" /><Relationship Type="http://schemas.openxmlformats.org/officeDocument/2006/relationships/hyperlink" Target="https://www.metraluminium.it" TargetMode="External" Id="rId1603" /><Relationship Type="http://schemas.openxmlformats.org/officeDocument/2006/relationships/hyperlink" Target="https://website-9ib.pages.dev/termek/223350-350-mm-mono-profil-szakalas-elox/" TargetMode="External" Id="rId1604" /><Relationship Type="http://schemas.openxmlformats.org/officeDocument/2006/relationships/hyperlink" Target="https://www.metraluminium.it" TargetMode="External" Id="rId1605" /><Relationship Type="http://schemas.openxmlformats.org/officeDocument/2006/relationships/hyperlink" Target="https://website-9ib.pages.dev/termek/223367-400-mm-peremes-monoprofil-elox/" TargetMode="External" Id="rId1606" /><Relationship Type="http://schemas.openxmlformats.org/officeDocument/2006/relationships/hyperlink" Target="https://www.metraluminium.it" TargetMode="External" Id="rId1607" /><Relationship Type="http://schemas.openxmlformats.org/officeDocument/2006/relationships/hyperlink" Target="https://website-9ib.pages.dev/termek/221304-50x25-mm-ponyvatarto-zartszelveny-m/" TargetMode="External" Id="rId1608" /><Relationship Type="http://schemas.openxmlformats.org/officeDocument/2006/relationships/hyperlink" Target="https://website-9ib.pages.dev/termek/s-1-2x1250x2500mm-feher-festett-lemez-ral9016/" TargetMode="External" Id="rId1609" /><Relationship Type="http://schemas.openxmlformats.org/officeDocument/2006/relationships/hyperlink" Target="https://website-9ib.pages.dev/termek/s-1-2x1500x2500mm-feher-festett-lemez-ral9016/" TargetMode="External" Id="rId1610" /><Relationship Type="http://schemas.openxmlformats.org/officeDocument/2006/relationships/hyperlink" Target="https://website-9ib.pages.dev/termek/s-1-2x1500x3000mm-feher-festett-lemez-ral9016/" TargetMode="External" Id="rId1611" /><Relationship Type="http://schemas.openxmlformats.org/officeDocument/2006/relationships/hyperlink" Target="https://website-9ib.pages.dev/termek/17310-1-tetoablak-40-80-alu-kerettel-kalapacs/" TargetMode="External" Id="rId1612" /><Relationship Type="http://schemas.openxmlformats.org/officeDocument/2006/relationships/hyperlink" Target="https://website-9ib.pages.dev/termek/18533-1-24v-e-tetoablak-945x518-kapcsolo/" TargetMode="External" Id="rId1613" /><Relationship Type="http://schemas.openxmlformats.org/officeDocument/2006/relationships/hyperlink" Target="https://www.parlok.com/products/commercial-vehicles/mudguards/flat-top" TargetMode="External" Id="rId1614" /><Relationship Type="http://schemas.openxmlformats.org/officeDocument/2006/relationships/hyperlink" Target="https://website-9ib.pages.dev/termek/j5025135p-sarvedo-450ft/" TargetMode="External" Id="rId1615" /><Relationship Type="http://schemas.openxmlformats.org/officeDocument/2006/relationships/hyperlink" Target="https://www.parlok.com/products/commercial-vehicles/mudguards/flat-top" TargetMode="External" Id="rId1616" /><Relationship Type="http://schemas.openxmlformats.org/officeDocument/2006/relationships/hyperlink" Target="https://website-9ib.pages.dev/termek/j5025137p-sarvedo-450ft/" TargetMode="External" Id="rId1617" /><Relationship Type="http://schemas.openxmlformats.org/officeDocument/2006/relationships/hyperlink" Target="https://www.parlok.com/products/commercial-vehicles/brackets/bracket-mr" TargetMode="External" Id="rId1618" /><Relationship Type="http://schemas.openxmlformats.org/officeDocument/2006/relationships/hyperlink" Target="https://website-9ib.pages.dev/termek/j5039700p-42-es-muanyag-csotarto/" TargetMode="External" Id="rId1619" /><Relationship Type="http://schemas.openxmlformats.org/officeDocument/2006/relationships/hyperlink" Target="https://www.parlok.com/products/commercial-vehicles/toolboxes/550-sl" TargetMode="External" Id="rId1620" /><Relationship Type="http://schemas.openxmlformats.org/officeDocument/2006/relationships/hyperlink" Target="https://website-9ib.pages.dev/termek/j5043500p-szerszamos-lada-550-mm/" TargetMode="External" Id="rId1621" /><Relationship Type="http://schemas.openxmlformats.org/officeDocument/2006/relationships/hyperlink" Target="https://www.parlok.com/products/commercial-vehicles/toolboxes/700-l-sl" TargetMode="External" Id="rId1622" /><Relationship Type="http://schemas.openxmlformats.org/officeDocument/2006/relationships/hyperlink" Target="https://website-9ib.pages.dev/termek/j5043700p-szerszamos-lada-700-mm/" TargetMode="External" Id="rId1623" /><Relationship Type="http://schemas.openxmlformats.org/officeDocument/2006/relationships/hyperlink" Target="https://www.parlok.com/products/commercial-vehicles/toolboxes/600-sl" TargetMode="External" Id="rId1624" /><Relationship Type="http://schemas.openxmlformats.org/officeDocument/2006/relationships/hyperlink" Target="https://website-9ib.pages.dev/termek/j5044600p-szerszamos-lada-600-mm/" TargetMode="External" Id="rId1625" /><Relationship Type="http://schemas.openxmlformats.org/officeDocument/2006/relationships/hyperlink" Target="https://www.parlok.com/products/commercial-vehicles/mudguards/wl-v-quarter" TargetMode="External" Id="rId1626" /><Relationship Type="http://schemas.openxmlformats.org/officeDocument/2006/relationships/hyperlink" Target="https://website-9ib.pages.dev/termek/j5110070p-680-700-negyedives-sarvedo/" TargetMode="External" Id="rId1627" /><Relationship Type="http://schemas.openxmlformats.org/officeDocument/2006/relationships/hyperlink" Target="https://www.parlok.com/products/commercial-vehicles/mudguards/white-line-v" TargetMode="External" Id="rId1628" /><Relationship Type="http://schemas.openxmlformats.org/officeDocument/2006/relationships/hyperlink" Target="https://website-9ib.pages.dev/termek/j5110185p-ives-sarvedo-680-1800-r580/" TargetMode="External" Id="rId1629" /><Relationship Type="http://schemas.openxmlformats.org/officeDocument/2006/relationships/hyperlink" Target="https://www.parlok.com/products/commercial-vehicles/mudguards/white-line-v" TargetMode="External" Id="rId1630" /><Relationship Type="http://schemas.openxmlformats.org/officeDocument/2006/relationships/hyperlink" Target="https://website-9ib.pages.dev/termek/j5110190p-ives-sarvedo-680-1900-r630-wl/" TargetMode="External" Id="rId1631" /><Relationship Type="http://schemas.openxmlformats.org/officeDocument/2006/relationships/hyperlink" Target="https://www.parlok.com/products/commercial-vehicles/mudguards/white-line-v" TargetMode="External" Id="rId1632" /><Relationship Type="http://schemas.openxmlformats.org/officeDocument/2006/relationships/hyperlink" Target="https://website-9ib.pages.dev/termek/j5110217p-ives-sarvedo-680-p42/" TargetMode="External" Id="rId1633" /><Relationship Type="http://schemas.openxmlformats.org/officeDocument/2006/relationships/hyperlink" Target="https://www.parlok.com/products/commercial-vehicles/mudguards/white-line-v" TargetMode="External" Id="rId1634" /><Relationship Type="http://schemas.openxmlformats.org/officeDocument/2006/relationships/hyperlink" Target="https://website-9ib.pages.dev/termek/j5110217p-ives-sarvedo-680-2175-r630/" TargetMode="External" Id="rId1635" /><Relationship Type="http://schemas.openxmlformats.org/officeDocument/2006/relationships/hyperlink" Target="https://www.parlok.com/products/commercial-vehicles/mudguards/wl-v-3-piece" TargetMode="External" Id="rId1636" /><Relationship Type="http://schemas.openxmlformats.org/officeDocument/2006/relationships/hyperlink" Target="https://website-9ib.pages.dev/termek/j5110225p-ives-sarvedo-680-1900-r630-3-reszes/" TargetMode="External" Id="rId1637" /><Relationship Type="http://schemas.openxmlformats.org/officeDocument/2006/relationships/hyperlink" Target="https://www.parlok.com/products/commercial-vehicles/mudguards/white-line-v" TargetMode="External" Id="rId1638" /><Relationship Type="http://schemas.openxmlformats.org/officeDocument/2006/relationships/hyperlink" Target="https://website-9ib.pages.dev/termek/j5110303p-ives-sarvedo-670-2175-670/" TargetMode="External" Id="rId1639" /><Relationship Type="http://schemas.openxmlformats.org/officeDocument/2006/relationships/hyperlink" Target="https://www.parlok.com/products/commercial-vehicles/mudguards/white-line-v" TargetMode="External" Id="rId1640" /><Relationship Type="http://schemas.openxmlformats.org/officeDocument/2006/relationships/hyperlink" Target="https://website-9ib.pages.dev/termek/j5120185p-ives-sarvedo-650-1800-r580-wl/" TargetMode="External" Id="rId1641" /><Relationship Type="http://schemas.openxmlformats.org/officeDocument/2006/relationships/hyperlink" Target="https://www.parlok.com/products/commercial-vehicles/mudguards/white-line-v" TargetMode="External" Id="rId1642" /><Relationship Type="http://schemas.openxmlformats.org/officeDocument/2006/relationships/hyperlink" Target="https://website-9ib.pages.dev/termek/j5120190p-ives-sarvedo-650-1900-630/" TargetMode="External" Id="rId1643" /><Relationship Type="http://schemas.openxmlformats.org/officeDocument/2006/relationships/hyperlink" Target="https://www.parlok.com/products/commercial-vehicles/mudguards/white-line-v" TargetMode="External" Id="rId1644" /><Relationship Type="http://schemas.openxmlformats.org/officeDocument/2006/relationships/hyperlink" Target="https://website-9ib.pages.dev/termek/j5120940p-ives-sarvedo-630-1650-r580/" TargetMode="External" Id="rId1645" /><Relationship Type="http://schemas.openxmlformats.org/officeDocument/2006/relationships/hyperlink" Target="https://www.parlok.com/products/commercial-vehicles/mudguards/white-line-v" TargetMode="External" Id="rId1646" /><Relationship Type="http://schemas.openxmlformats.org/officeDocument/2006/relationships/hyperlink" Target="https://website-9ib.pages.dev/termek/j5122170p-ives-sarvedo-595-1700-550/" TargetMode="External" Id="rId1647" /><Relationship Type="http://schemas.openxmlformats.org/officeDocument/2006/relationships/hyperlink" Target="https://www.parlok.com/products/commercial-vehicles/mudguards/white-line-v" TargetMode="External" Id="rId1648" /><Relationship Type="http://schemas.openxmlformats.org/officeDocument/2006/relationships/hyperlink" Target="https://website-9ib.pages.dev/termek/j5123171p-ives-sarvedo-550-1700-500/" TargetMode="External" Id="rId1649" /><Relationship Type="http://schemas.openxmlformats.org/officeDocument/2006/relationships/hyperlink" Target="https://www.parlok.com/products/commercial-vehicles/mudguards/white-line-v" TargetMode="External" Id="rId1650" /><Relationship Type="http://schemas.openxmlformats.org/officeDocument/2006/relationships/hyperlink" Target="https://website-9ib.pages.dev/termek/j5123175p-ives-sarvedo-550-1700-r550-wl/" TargetMode="External" Id="rId1651" /><Relationship Type="http://schemas.openxmlformats.org/officeDocument/2006/relationships/hyperlink" Target="https://www.parlok.com/products/commercial-vehicles/mudguards/white-line-v" TargetMode="External" Id="rId1652" /><Relationship Type="http://schemas.openxmlformats.org/officeDocument/2006/relationships/hyperlink" Target="https://website-9ib.pages.dev/termek/j5124018p-ives-sarvedo-405-1800-r580-wl/" TargetMode="External" Id="rId1653" /><Relationship Type="http://schemas.openxmlformats.org/officeDocument/2006/relationships/hyperlink" Target="https://www.parlok.com/products/commercial-vehicles/mudguards/white-line-v" TargetMode="External" Id="rId1654" /><Relationship Type="http://schemas.openxmlformats.org/officeDocument/2006/relationships/hyperlink" Target="https://website-9ib.pages.dev/termek/j5124160p-ives-sarvedo-500-1600-500-wl/" TargetMode="External" Id="rId1655" /><Relationship Type="http://schemas.openxmlformats.org/officeDocument/2006/relationships/hyperlink" Target="https://www.parlok.com/products/commercial-vehicles/mudguards/white-line-v" TargetMode="External" Id="rId1656" /><Relationship Type="http://schemas.openxmlformats.org/officeDocument/2006/relationships/hyperlink" Target="https://website-9ib.pages.dev/termek/j5124170p-ives-sarvedo-500-1700-500/" TargetMode="External" Id="rId1657" /><Relationship Type="http://schemas.openxmlformats.org/officeDocument/2006/relationships/hyperlink" Target="https://www.parlok.com/products/commercial-vehicles/mudguards/white-line-v" TargetMode="External" Id="rId1658" /><Relationship Type="http://schemas.openxmlformats.org/officeDocument/2006/relationships/hyperlink" Target="https://website-9ib.pages.dev/termek/j5124870p-ives-sarvedo-500-1700-r550-wl/" TargetMode="External" Id="rId1659" /><Relationship Type="http://schemas.openxmlformats.org/officeDocument/2006/relationships/hyperlink" Target="https://www.parlok.com/products/commercial-vehicles/mudguards/white-line-v" TargetMode="External" Id="rId1660" /><Relationship Type="http://schemas.openxmlformats.org/officeDocument/2006/relationships/hyperlink" Target="https://website-9ib.pages.dev/termek/j5125140p-ives-sarvedo-450-1400-r450-wl/" TargetMode="External" Id="rId1661" /><Relationship Type="http://schemas.openxmlformats.org/officeDocument/2006/relationships/hyperlink" Target="https://www.parlok.com/products/commercial-vehicles/mudguards/white-line-v" TargetMode="External" Id="rId1662" /><Relationship Type="http://schemas.openxmlformats.org/officeDocument/2006/relationships/hyperlink" Target="https://website-9ib.pages.dev/termek/j5126190p-ives-sarvedo-430-1900-r650-wl/" TargetMode="External" Id="rId1663" /><Relationship Type="http://schemas.openxmlformats.org/officeDocument/2006/relationships/hyperlink" Target="https://www.parlok.com/products/commercial-vehicles/mudguards/white-line-v" TargetMode="External" Id="rId1664" /><Relationship Type="http://schemas.openxmlformats.org/officeDocument/2006/relationships/hyperlink" Target="https://website-9ib.pages.dev/termek/j5126503p-ives-sarvedo-405-1900-r635-wl/" TargetMode="External" Id="rId1665" /><Relationship Type="http://schemas.openxmlformats.org/officeDocument/2006/relationships/hyperlink" Target="https://www.parlok.com/products/commercial-vehicles/mudguards/wl-v-3-piece" TargetMode="External" Id="rId1666" /><Relationship Type="http://schemas.openxmlformats.org/officeDocument/2006/relationships/hyperlink" Target="https://website-9ib.pages.dev/termek/j5126530p-ives-sarvedo-430-1900-r650-3-reszes/" TargetMode="External" Id="rId1667" /><Relationship Type="http://schemas.openxmlformats.org/officeDocument/2006/relationships/hyperlink" Target="https://www.parlok.com/products/commercial-vehicles/supra-anti-spray/white-line-v-supra" TargetMode="External" Id="rId1668" /><Relationship Type="http://schemas.openxmlformats.org/officeDocument/2006/relationships/hyperlink" Target="https://website-9ib.pages.dev/termek/j5165920p-ives-sarvedo-595-2000-r550-supra/" TargetMode="External" Id="rId1669" /><Relationship Type="http://schemas.openxmlformats.org/officeDocument/2006/relationships/hyperlink" Target="https://www.parlok.com/products/commercial-vehicles/supra-anti-spray/white-line-v-supra" TargetMode="External" Id="rId1670" /><Relationship Type="http://schemas.openxmlformats.org/officeDocument/2006/relationships/hyperlink" Target="https://website-9ib.pages.dev/termek/j5166319p-ives-sarvedo-630-1930-r530-supra/" TargetMode="External" Id="rId1671" /><Relationship Type="http://schemas.openxmlformats.org/officeDocument/2006/relationships/hyperlink" Target="https://www.parlok.com/products/commercial-vehicles/supra-anti-spray/white-line-v-supra" TargetMode="External" Id="rId1672" /><Relationship Type="http://schemas.openxmlformats.org/officeDocument/2006/relationships/hyperlink" Target="https://website-9ib.pages.dev/termek/j5166320p-ives-sarvedo-630-2050-580-supra/" TargetMode="External" Id="rId1673" /><Relationship Type="http://schemas.openxmlformats.org/officeDocument/2006/relationships/hyperlink" Target="https://www.parlok.com/products/commercial-vehicles/supra-anti-spray/white-line-v-supra" TargetMode="External" Id="rId1674" /><Relationship Type="http://schemas.openxmlformats.org/officeDocument/2006/relationships/hyperlink" Target="https://website-9ib.pages.dev/termek/j5166823p-ives-sarvedo-680-2300-r630-wl-supra/" TargetMode="External" Id="rId1675" /><Relationship Type="http://schemas.openxmlformats.org/officeDocument/2006/relationships/hyperlink" Target="https://www.parlok.com/products/commercial-vehicles/supra-anti-spray/white-line-v-supra" TargetMode="External" Id="rId1676" /><Relationship Type="http://schemas.openxmlformats.org/officeDocument/2006/relationships/hyperlink" Target="https://website-9ib.pages.dev/termek/j5166825p-ives-sarvedo-680-2575-supra/" TargetMode="External" Id="rId1677" /><Relationship Type="http://schemas.openxmlformats.org/officeDocument/2006/relationships/hyperlink" Target="https://www.parlok.com/products/commercial-vehicles/toolboxes/550-sl" TargetMode="External" Id="rId1678" /><Relationship Type="http://schemas.openxmlformats.org/officeDocument/2006/relationships/hyperlink" Target="https://website-9ib.pages.dev/termek/j5942550p-szerszamos-lada-tarto-konzol/" TargetMode="External" Id="rId1679" /><Relationship Type="http://schemas.openxmlformats.org/officeDocument/2006/relationships/hyperlink" Target="https://www.pastorelombardi.com/eng/cerca?chiave=072027678" TargetMode="External" Id="rId1680" /><Relationship Type="http://schemas.openxmlformats.org/officeDocument/2006/relationships/hyperlink" Target="https://website-9ib.pages.dev/termek/512527-55-mm-es-pvc-tomites-pl/" TargetMode="External" Id="rId1681" /><Relationship Type="http://schemas.openxmlformats.org/officeDocument/2006/relationships/hyperlink" Target="https://website-9ib.pages.dev/termek/516913-63-mm-hutos-gumi-13m/" TargetMode="External" Id="rId1682" /><Relationship Type="http://schemas.openxmlformats.org/officeDocument/2006/relationships/hyperlink" Target="https://website-9ib.pages.dev/termek/511813-83-mm-hutos-gumi-13m/" TargetMode="External" Id="rId1683" /><Relationship Type="http://schemas.openxmlformats.org/officeDocument/2006/relationships/hyperlink" Target="https://www.pastorelombardi.com/eng/cerca?chiave=072021426D" TargetMode="External" Id="rId1684" /><Relationship Type="http://schemas.openxmlformats.org/officeDocument/2006/relationships/hyperlink" Target="https://website-9ib.pages.dev/termek/512627-85-mm-es-pvc-tomites-pl/" TargetMode="External" Id="rId1685" /><Relationship Type="http://schemas.openxmlformats.org/officeDocument/2006/relationships/hyperlink" Target="https://www.pastorelombardi.com/eng/cerca?chiave=072622298" TargetMode="External" Id="rId1686" /><Relationship Type="http://schemas.openxmlformats.org/officeDocument/2006/relationships/hyperlink" Target="https://website-9ib.pages.dev/termek/72298-alu-csotarto-biztosito-csappal/" TargetMode="External" Id="rId1687" /><Relationship Type="http://schemas.openxmlformats.org/officeDocument/2006/relationships/hyperlink" Target="https://www.pastorelombardi.com/eng/cerca?chiave=072621711" TargetMode="External" Id="rId1688" /><Relationship Type="http://schemas.openxmlformats.org/officeDocument/2006/relationships/hyperlink" Target="https://website-9ib.pages.dev/termek/72711-elso-csoveg/" TargetMode="External" Id="rId1689" /><Relationship Type="http://schemas.openxmlformats.org/officeDocument/2006/relationships/hyperlink" Target="https://www.pastorelombardi.com/eng/cerca?chiave=072621733" TargetMode="External" Id="rId1690" /><Relationship Type="http://schemas.openxmlformats.org/officeDocument/2006/relationships/hyperlink" Target="https://website-9ib.pages.dev/termek/72733-hatso-csoveg/" TargetMode="External" Id="rId1691" /><Relationship Type="http://schemas.openxmlformats.org/officeDocument/2006/relationships/hyperlink" Target="https://website-9ib.pages.dev/termek/72706-hatso-csoveg-rugos/" TargetMode="External" Id="rId1692" /><Relationship Type="http://schemas.openxmlformats.org/officeDocument/2006/relationships/hyperlink" Target="https://www.pastorelombardi.com/eng/cerca?chiave=072622299" TargetMode="External" Id="rId1693" /><Relationship Type="http://schemas.openxmlformats.org/officeDocument/2006/relationships/hyperlink" Target="https://website-9ib.pages.dev/termek/72299-kampo-rogzito-profil-elox/" TargetMode="External" Id="rId1694" /><Relationship Type="http://schemas.openxmlformats.org/officeDocument/2006/relationships/hyperlink" Target="https://www.pastorelombardi.com/eng/cerca?chiave=071226125" TargetMode="External" Id="rId1695" /><Relationship Type="http://schemas.openxmlformats.org/officeDocument/2006/relationships/hyperlink" Target="https://website-9ib.pages.dev/termek/719520-rm-27-mm-nyomolapos-rudzar-set-pl/" TargetMode="External" Id="rId1696" /><Relationship Type="http://schemas.openxmlformats.org/officeDocument/2006/relationships/hyperlink" Target="https://www.pastorelombardi.com/eng/cerca?chiave=070810489B" TargetMode="External" Id="rId1697" /><Relationship Type="http://schemas.openxmlformats.org/officeDocument/2006/relationships/hyperlink" Target="https://website-9ib.pages.dev/termek/810489-rm-lapos-zsaner-140-4-mm-pl/" TargetMode="External" Id="rId1698" /><Relationship Type="http://schemas.openxmlformats.org/officeDocument/2006/relationships/hyperlink" Target="https://www.pastorelombardi.com/eng/cerca?chiave=070326242" TargetMode="External" Id="rId1699" /><Relationship Type="http://schemas.openxmlformats.org/officeDocument/2006/relationships/hyperlink" Target="https://website-9ib.pages.dev/termek/892242-rm-csavarozhato-hatsoajto-zsanerbak-csap-96-mm-pl/" TargetMode="External" Id="rId1700" /><Relationship Type="http://schemas.openxmlformats.org/officeDocument/2006/relationships/hyperlink" Target="https://www.pastorelombardi.com/eng/cerca?chiave=070326343" TargetMode="External" Id="rId1701" /><Relationship Type="http://schemas.openxmlformats.org/officeDocument/2006/relationships/hyperlink" Target="https://website-9ib.pages.dev/termek/892343-rm-csavarozhato-hatsoajto-zsanerbak-csap-96-mm-pl/" TargetMode="External" Id="rId1702" /><Relationship Type="http://schemas.openxmlformats.org/officeDocument/2006/relationships/hyperlink" Target="https://www.pastorelombardi.com/eng/cerca?chiave=070116966A" TargetMode="External" Id="rId1703" /><Relationship Type="http://schemas.openxmlformats.org/officeDocument/2006/relationships/hyperlink" Target="https://website-9ib.pages.dev/termek/896966-a-rm-hatsoajto-zsanerlap-280-4-mm-pl/" TargetMode="External" Id="rId1704" /><Relationship Type="http://schemas.openxmlformats.org/officeDocument/2006/relationships/hyperlink" Target="https://www.pastorelombardi.com/eng/cerca?chiave=070120776A" TargetMode="External" Id="rId1705" /><Relationship Type="http://schemas.openxmlformats.org/officeDocument/2006/relationships/hyperlink" Target="https://website-9ib.pages.dev/termek/892776-rm-hatsoajto-zsanerlap-312x96-4mm-pl/" TargetMode="External" Id="rId1706" /><Relationship Type="http://schemas.openxmlformats.org/officeDocument/2006/relationships/hyperlink" Target="https://www.pastorelombardi.com/eng/cerca?chiave=070116966A" TargetMode="External" Id="rId1707" /><Relationship Type="http://schemas.openxmlformats.org/officeDocument/2006/relationships/hyperlink" Target="https://website-9ib.pages.dev/termek/896966-rm-hatsoajto-zsanerlap-bak-280-4mm-pl/" TargetMode="External" Id="rId1708" /><Relationship Type="http://schemas.openxmlformats.org/officeDocument/2006/relationships/hyperlink" Target="https://www.pastorelombardi.com/eng/cerca?chiave=071925948D" TargetMode="External" Id="rId1709" /><Relationship Type="http://schemas.openxmlformats.org/officeDocument/2006/relationships/hyperlink" Target="https://website-9ib.pages.dev/termek/719259-48d-rozsdamentes-nyomolapos-rudzar-22mm/" TargetMode="External" Id="rId1710" /><Relationship Type="http://schemas.openxmlformats.org/officeDocument/2006/relationships/hyperlink" Target="https://www.pastorelombardi.com/eng/cerca?chiave=071425859" TargetMode="External" Id="rId1711" /><Relationship Type="http://schemas.openxmlformats.org/officeDocument/2006/relationships/hyperlink" Target="https://website-9ib.pages.dev/termek/714859-sullyesztett-inox-rudzar-25-16-mm-pl/" TargetMode="External" Id="rId1712" /><Relationship Type="http://schemas.openxmlformats.org/officeDocument/2006/relationships/hyperlink" Target="https://website-9ib.pages.dev/termek/552050-utkozogumi-200x50x80/" TargetMode="External" Id="rId1713" /><Relationship Type="http://schemas.openxmlformats.org/officeDocument/2006/relationships/hyperlink" Target="https://website-9ib.pages.dev/termek/719220-99a-719226-304-rozsdamentes-kartarto-csovezeto/" TargetMode="External" Id="rId1714" /><Relationship Type="http://schemas.openxmlformats.org/officeDocument/2006/relationships/hyperlink" Target="https://www.pastorelombardi.com/eng/cerca?chiave=071921019A" TargetMode="External" Id="rId1715" /><Relationship Type="http://schemas.openxmlformats.org/officeDocument/2006/relationships/hyperlink" Target="https://website-9ib.pages.dev/termek/719210-19a-nylon-gyuru-22mm-kicsi/" TargetMode="External" Id="rId1716" /><Relationship Type="http://schemas.openxmlformats.org/officeDocument/2006/relationships/hyperlink" Target="https://www.pastorelombardi.com/eng/cerca?chiave=071924339" TargetMode="External" Id="rId1717" /><Relationship Type="http://schemas.openxmlformats.org/officeDocument/2006/relationships/hyperlink" Target="https://website-9ib.pages.dev/termek/719339-omega-csolefogato-22mm-inox/" TargetMode="External" Id="rId1718" /><Relationship Type="http://schemas.openxmlformats.org/officeDocument/2006/relationships/hyperlink" Target="https://www.pastorelombardi.com/eng/cerca?chiave=071921020" TargetMode="External" Id="rId1719" /><Relationship Type="http://schemas.openxmlformats.org/officeDocument/2006/relationships/hyperlink" Target="https://website-9ib.pages.dev/termek/719210-20-omega-csolefogato-22mm-inox-kicsi/" TargetMode="External" Id="rId1720" /><Relationship Type="http://schemas.openxmlformats.org/officeDocument/2006/relationships/hyperlink" Target="https://www.pastorelombardi.com/eng/cerca?chiave=071924130" TargetMode="External" Id="rId1721" /><Relationship Type="http://schemas.openxmlformats.org/officeDocument/2006/relationships/hyperlink" Target="https://website-9ib.pages.dev/termek/719130-pe-gyuru-22mm/" TargetMode="External" Id="rId1722" /><Relationship Type="http://schemas.openxmlformats.org/officeDocument/2006/relationships/hyperlink" Target="https://www.pastorelombardi.com/eng/cerca?chiave=071913831" TargetMode="External" Id="rId1723" /><Relationship Type="http://schemas.openxmlformats.org/officeDocument/2006/relationships/hyperlink" Target="https://website-9ib.pages.dev/termek/719831-rozsdamentes-acel-gyuru-22mm-pl/" TargetMode="External" Id="rId1724" /><Relationship Type="http://schemas.openxmlformats.org/officeDocument/2006/relationships/hyperlink" Target="https://www.pastorelombardi.com/eng/cerca?chiave=071226304" TargetMode="External" Id="rId1725" /><Relationship Type="http://schemas.openxmlformats.org/officeDocument/2006/relationships/hyperlink" Target="https://website-9ib.pages.dev/termek/719226-304-rozsdamentes-csovezeto-22-mm-pl/" TargetMode="External" Id="rId1726" /><Relationship Type="http://schemas.openxmlformats.org/officeDocument/2006/relationships/hyperlink" Target="https://www.pastorelombardi.com/eng/cerca?chiave=071922018A" TargetMode="External" Id="rId1727" /><Relationship Type="http://schemas.openxmlformats.org/officeDocument/2006/relationships/hyperlink" Target="https://website-9ib.pages.dev/termek/719220-18a-rozsdamentes-kar-22-27mm-pl/" TargetMode="External" Id="rId1728" /><Relationship Type="http://schemas.openxmlformats.org/officeDocument/2006/relationships/hyperlink" Target="https://www.pastorelombardi.com/eng/cerca?chiave=071920299A" TargetMode="External" Id="rId1729" /><Relationship Type="http://schemas.openxmlformats.org/officeDocument/2006/relationships/hyperlink" Target="https://website-9ib.pages.dev/termek/719220-99a-rozsdamentes-kartarto-22-27mm-pl/" TargetMode="External" Id="rId1730" /><Relationship Type="http://schemas.openxmlformats.org/officeDocument/2006/relationships/hyperlink" Target="https://website-9ib.pages.dev/termek/041225-uzemanyag-beonto-245x190-zarhato/" TargetMode="External" Id="rId1731" /><Relationship Type="http://schemas.openxmlformats.org/officeDocument/2006/relationships/hyperlink" Target="https://www.pastorelombardi.com/eng/cerca?chiave=024121322E" TargetMode="External" Id="rId1732" /><Relationship Type="http://schemas.openxmlformats.org/officeDocument/2006/relationships/hyperlink" Target="https://website-9ib.pages.dev/termek/041280-uzemanyag-beonto-nagy/" TargetMode="External" Id="rId1733" /><Relationship Type="http://schemas.openxmlformats.org/officeDocument/2006/relationships/hyperlink" Target="https://website-9ib.pages.dev/termek/3840-2900-sstavg-27-mm-feszito-alu-cso/" TargetMode="External" Id="rId1734" /><Relationship Type="http://schemas.openxmlformats.org/officeDocument/2006/relationships/hyperlink" Target="https://website-9ib.pages.dev/termek/38400-cb27-hsd-kezi-heveder-szurke-bilinccsel-keszlet/" TargetMode="External" Id="rId1735" /><Relationship Type="http://schemas.openxmlformats.org/officeDocument/2006/relationships/hyperlink" Target="https://website-9ib.pages.dev/termek/l-15x1250x2200-retegelt-lemez-fenolos/" TargetMode="External" Id="rId1736" /><Relationship Type="http://schemas.openxmlformats.org/officeDocument/2006/relationships/hyperlink" Target="https://website-9ib.pages.dev/termek/l-15x1250x2200-retegelt-lemez-fenolos-hexa/" TargetMode="External" Id="rId1737" /><Relationship Type="http://schemas.openxmlformats.org/officeDocument/2006/relationships/hyperlink" Target="https://website-9ib.pages.dev/termek/l-15x1250x2500-retegelt-lemez-natur/" TargetMode="External" Id="rId1738" /><Relationship Type="http://schemas.openxmlformats.org/officeDocument/2006/relationships/hyperlink" Target="https://website-9ib.pages.dev/termek/l-15x1250x2500-retegelt-lemez-fenolos/" TargetMode="External" Id="rId1739" /><Relationship Type="http://schemas.openxmlformats.org/officeDocument/2006/relationships/hyperlink" Target="https://website-9ib.pages.dev/termek/l-15x1250x2500-retegelt-lemez-fenolos-hexa/" TargetMode="External" Id="rId1740" /><Relationship Type="http://schemas.openxmlformats.org/officeDocument/2006/relationships/hyperlink" Target="https://website-9ib.pages.dev/termek/l-18x1250x2200-retegelt-lemez-fenolos-hexa/" TargetMode="External" Id="rId1741" /><Relationship Type="http://schemas.openxmlformats.org/officeDocument/2006/relationships/hyperlink" Target="https://website-9ib.pages.dev/termek/l-18x1250x2500-retegelt-lemez-fenolos/" TargetMode="External" Id="rId1742" /><Relationship Type="http://schemas.openxmlformats.org/officeDocument/2006/relationships/hyperlink" Target="https://website-9ib.pages.dev/termek/l-18x1250x2500-retegelt-lemez-fenolos-hexa/" TargetMode="External" Id="rId1743" /><Relationship Type="http://schemas.openxmlformats.org/officeDocument/2006/relationships/hyperlink" Target="https://website-9ib.pages.dev/termek/l-18x1500x2500-retegelt-lemez-fenolos/" TargetMode="External" Id="rId1744" /><Relationship Type="http://schemas.openxmlformats.org/officeDocument/2006/relationships/hyperlink" Target="https://website-9ib.pages.dev/termek/l-21x1250x2500-retegelt-lemez-fenolos/" TargetMode="External" Id="rId1745" /><Relationship Type="http://schemas.openxmlformats.org/officeDocument/2006/relationships/hyperlink" Target="https://website-9ib.pages.dev/termek/l-21x1250x2500-retegelt-lemez-fenolos-hexa/" TargetMode="External" Id="rId1746" /><Relationship Type="http://schemas.openxmlformats.org/officeDocument/2006/relationships/hyperlink" Target="https://website-9ib.pages.dev/termek/l-21x1500x3000-mm-retegelt-lemez-fenolos/" TargetMode="External" Id="rId1747" /><Relationship Type="http://schemas.openxmlformats.org/officeDocument/2006/relationships/hyperlink" Target="https://website-9ib.pages.dev/termek/l-24x1250x2500-retegelt-lemez-fenolos/" TargetMode="External" Id="rId1748" /><Relationship Type="http://schemas.openxmlformats.org/officeDocument/2006/relationships/hyperlink" Target="https://website-9ib.pages.dev/termek/l-27x1250x2500-retegelt-lemez-fenolos/" TargetMode="External" Id="rId1749" /><Relationship Type="http://schemas.openxmlformats.org/officeDocument/2006/relationships/hyperlink" Target="https://website-9ib.pages.dev/termek/l-27x1500x2500-retegelt-lemez-fenolos/" TargetMode="External" Id="rId1750" /><Relationship Type="http://schemas.openxmlformats.org/officeDocument/2006/relationships/hyperlink" Target="https://plasticpadana.it/prodotto/i/" TargetMode="External" Id="rId1751" /><Relationship Type="http://schemas.openxmlformats.org/officeDocument/2006/relationships/hyperlink" Target="https://website-9ib.pages.dev/termek/j24300-sarvedo-gumi-240x300-mm/" TargetMode="External" Id="rId1752" /><Relationship Type="http://schemas.openxmlformats.org/officeDocument/2006/relationships/hyperlink" Target="https://plasticpadana.it/prodotto/i/" TargetMode="External" Id="rId1753" /><Relationship Type="http://schemas.openxmlformats.org/officeDocument/2006/relationships/hyperlink" Target="https://website-9ib.pages.dev/termek/j260260-sarvedo-gumi-260x260-mm/" TargetMode="External" Id="rId1754" /><Relationship Type="http://schemas.openxmlformats.org/officeDocument/2006/relationships/hyperlink" Target="https://plasticpadana.it/prodotto/paraspruzzi-per-autocarri-logo-liscio/" TargetMode="External" Id="rId1755" /><Relationship Type="http://schemas.openxmlformats.org/officeDocument/2006/relationships/hyperlink" Target="https://website-9ib.pages.dev/termek/j450300-sarfogo-lap-450x300-mm/" TargetMode="External" Id="rId1756" /><Relationship Type="http://schemas.openxmlformats.org/officeDocument/2006/relationships/hyperlink" Target="https://plasticpadana.it/prodotto/paraspruzzi-serie-riducibile-per-autocarri-logo-rilievo/" TargetMode="External" Id="rId1757" /><Relationship Type="http://schemas.openxmlformats.org/officeDocument/2006/relationships/hyperlink" Target="https://website-9ib.pages.dev/termek/j504530-sarfogo-lap-500-450x300-mm/" TargetMode="External" Id="rId1758" /><Relationship Type="http://schemas.openxmlformats.org/officeDocument/2006/relationships/hyperlink" Target="https://plasticpadana.it/prodotto/stop-spray-per-parafango-logo-liscio-cod-470/" TargetMode="External" Id="rId1759" /><Relationship Type="http://schemas.openxmlformats.org/officeDocument/2006/relationships/hyperlink" Target="https://website-9ib.pages.dev/termek/jf556045-550-600x450-mm-sarvedo-lap-stopsray/" TargetMode="External" Id="rId1760" /><Relationship Type="http://schemas.openxmlformats.org/officeDocument/2006/relationships/hyperlink" Target="https://polser.com/en/products/automotive-industry/frigoser" TargetMode="External" Id="rId1761" /><Relationship Type="http://schemas.openxmlformats.org/officeDocument/2006/relationships/hyperlink" Target="https://website-9ib.pages.dev/termek/pol-frigoser-high-gloss-1-5x1900-mm/" TargetMode="External" Id="rId1762" /><Relationship Type="http://schemas.openxmlformats.org/officeDocument/2006/relationships/hyperlink" Target="https://polser.com/en/products/automotive-industry/frigoser" TargetMode="External" Id="rId1763" /><Relationship Type="http://schemas.openxmlformats.org/officeDocument/2006/relationships/hyperlink" Target="https://website-9ib.pages.dev/termek/pol-frigoser-high-gloss-1-5x2000-mm/" TargetMode="External" Id="rId1764" /><Relationship Type="http://schemas.openxmlformats.org/officeDocument/2006/relationships/hyperlink" Target="https://polser.com/en/products/automotive-industry/frigoser" TargetMode="External" Id="rId1765" /><Relationship Type="http://schemas.openxmlformats.org/officeDocument/2006/relationships/hyperlink" Target="https://website-9ib.pages.dev/termek/pol-frigoser-high-gloss-1-5x2100-mm/" TargetMode="External" Id="rId1766" /><Relationship Type="http://schemas.openxmlformats.org/officeDocument/2006/relationships/hyperlink" Target="https://polser.com/en/products/automotive-industry/frigoser" TargetMode="External" Id="rId1767" /><Relationship Type="http://schemas.openxmlformats.org/officeDocument/2006/relationships/hyperlink" Target="https://website-9ib.pages.dev/termek/pol-frigoser-high-gloss-1-5x2200-mm/" TargetMode="External" Id="rId1768" /><Relationship Type="http://schemas.openxmlformats.org/officeDocument/2006/relationships/hyperlink" Target="https://polser.com/en/products/automotive-industry/frigoser" TargetMode="External" Id="rId1769" /><Relationship Type="http://schemas.openxmlformats.org/officeDocument/2006/relationships/hyperlink" Target="https://website-9ib.pages.dev/termek/pol-frigoser-high-gloss-1-5x2300-mm/" TargetMode="External" Id="rId1770" /><Relationship Type="http://schemas.openxmlformats.org/officeDocument/2006/relationships/hyperlink" Target="https://polser.com/en/products/automotive-industry/frigoser" TargetMode="External" Id="rId1771" /><Relationship Type="http://schemas.openxmlformats.org/officeDocument/2006/relationships/hyperlink" Target="https://website-9ib.pages.dev/termek/pol-frigoser-high-gloss-1-5x2400-mm/" TargetMode="External" Id="rId1772" /><Relationship Type="http://schemas.openxmlformats.org/officeDocument/2006/relationships/hyperlink" Target="https://polser.com/en/products/automotive-industry/frigoser" TargetMode="External" Id="rId1773" /><Relationship Type="http://schemas.openxmlformats.org/officeDocument/2006/relationships/hyperlink" Target="https://website-9ib.pages.dev/termek/pol-frigoser-high-gloss-1-5x2500-mm/" TargetMode="External" Id="rId1774" /><Relationship Type="http://schemas.openxmlformats.org/officeDocument/2006/relationships/hyperlink" Target="https://polser.com/en/products/automotive-industry/frigoser" TargetMode="External" Id="rId1775" /><Relationship Type="http://schemas.openxmlformats.org/officeDocument/2006/relationships/hyperlink" Target="https://website-9ib.pages.dev/termek/pol-frigoser-high-gloss-1-5x2600-mm/" TargetMode="External" Id="rId1776" /><Relationship Type="http://schemas.openxmlformats.org/officeDocument/2006/relationships/hyperlink" Target="https://polser.com/en/products/automotive-industry/frigoser" TargetMode="External" Id="rId1777" /><Relationship Type="http://schemas.openxmlformats.org/officeDocument/2006/relationships/hyperlink" Target="https://website-9ib.pages.dev/termek/pol-frigoser-high-gloss-2-0x2300-mm/" TargetMode="External" Id="rId1778" /><Relationship Type="http://schemas.openxmlformats.org/officeDocument/2006/relationships/hyperlink" Target="https://polser.com/en/products/automotive-industry/frigoser" TargetMode="External" Id="rId1779" /><Relationship Type="http://schemas.openxmlformats.org/officeDocument/2006/relationships/hyperlink" Target="https://website-9ib.pages.dev/termek/pol-frigoser-high-gloss-2-0x2400-mm/" TargetMode="External" Id="rId1780" /><Relationship Type="http://schemas.openxmlformats.org/officeDocument/2006/relationships/hyperlink" Target="https://polser.com/en/products/automotive-industry/frigoser" TargetMode="External" Id="rId1781" /><Relationship Type="http://schemas.openxmlformats.org/officeDocument/2006/relationships/hyperlink" Target="https://website-9ib.pages.dev/termek/pol-frigoser-high-gloss-2-0x2500-mm/" TargetMode="External" Id="rId1782" /><Relationship Type="http://schemas.openxmlformats.org/officeDocument/2006/relationships/hyperlink" Target="https://polser.com/en/products/automotive-industry/frigoser" TargetMode="External" Id="rId1783" /><Relationship Type="http://schemas.openxmlformats.org/officeDocument/2006/relationships/hyperlink" Target="https://website-9ib.pages.dev/termek/pol-frigoser-high-gloss-2-0x2600-mm/" TargetMode="External" Id="rId1784" /><Relationship Type="http://schemas.openxmlformats.org/officeDocument/2006/relationships/hyperlink" Target="https://polser.com/en/products/automotive-industry/frigoser" TargetMode="External" Id="rId1785" /><Relationship Type="http://schemas.openxmlformats.org/officeDocument/2006/relationships/hyperlink" Target="https://website-9ib.pages.dev/termek/pol-frigoser-high-impact-0-8x2000-mm/" TargetMode="External" Id="rId1786" /><Relationship Type="http://schemas.openxmlformats.org/officeDocument/2006/relationships/hyperlink" Target="https://website-9ib.pages.dev/termek/pol-panel-25-mm/" TargetMode="External" Id="rId1787" /><Relationship Type="http://schemas.openxmlformats.org/officeDocument/2006/relationships/hyperlink" Target="https://website-9ib.pages.dev/termek/pol-panel-25-mm-szendvicspanel-erositett/" TargetMode="External" Id="rId1788" /><Relationship Type="http://schemas.openxmlformats.org/officeDocument/2006/relationships/hyperlink" Target="https://website-9ib.pages.dev/termek/polydet-high-gloss-1600-1-5-corona/" TargetMode="External" Id="rId1789" /><Relationship Type="http://schemas.openxmlformats.org/officeDocument/2006/relationships/hyperlink" Target="https://website-9ib.pages.dev/termek/polydet-high-gloss-1900-1-5-corona/" TargetMode="External" Id="rId1790" /><Relationship Type="http://schemas.openxmlformats.org/officeDocument/2006/relationships/hyperlink" Target="https://website-9ib.pages.dev/termek/polydet-high-gloss-2000-1-5-corona/" TargetMode="External" Id="rId1791" /><Relationship Type="http://schemas.openxmlformats.org/officeDocument/2006/relationships/hyperlink" Target="https://website-9ib.pages.dev/termek/polydet-high-gloss-2100-1-5-corona/" TargetMode="External" Id="rId1792" /><Relationship Type="http://schemas.openxmlformats.org/officeDocument/2006/relationships/hyperlink" Target="https://website-9ib.pages.dev/termek/polydet-high-gloss-2200-1-5-corona/" TargetMode="External" Id="rId1793" /><Relationship Type="http://schemas.openxmlformats.org/officeDocument/2006/relationships/hyperlink" Target="https://website-9ib.pages.dev/termek/polydet-high-gloss-2300-1-5-corona/" TargetMode="External" Id="rId1794" /><Relationship Type="http://schemas.openxmlformats.org/officeDocument/2006/relationships/hyperlink" Target="https://website-9ib.pages.dev/termek/polydet-performance-plus-2000-1-5-roughened/" TargetMode="External" Id="rId1795" /><Relationship Type="http://schemas.openxmlformats.org/officeDocument/2006/relationships/hyperlink" Target="https://website-9ib.pages.dev/termek/polydet-performance-plus-2100-1-8-corona/" TargetMode="External" Id="rId1796" /><Relationship Type="http://schemas.openxmlformats.org/officeDocument/2006/relationships/hyperlink" Target="https://website-9ib.pages.dev/termek/polydet-performance-plus-2200-1-5-roughened/" TargetMode="External" Id="rId1797" /><Relationship Type="http://schemas.openxmlformats.org/officeDocument/2006/relationships/hyperlink" Target="https://website-9ib.pages.dev/termek/polydet-performance-plus-2200-1-8-corona/" TargetMode="External" Id="rId1798" /><Relationship Type="http://schemas.openxmlformats.org/officeDocument/2006/relationships/hyperlink" Target="https://website-9ib.pages.dev/termek/polydet-performance-plus-2300-1-8-corona/" TargetMode="External" Id="rId1799" /><Relationship Type="http://schemas.openxmlformats.org/officeDocument/2006/relationships/hyperlink" Target="https://website-9ib.pages.dev/termek/polydet-performance-plus-2400-1-8-roughened/" TargetMode="External" Id="rId1800" /><Relationship Type="http://schemas.openxmlformats.org/officeDocument/2006/relationships/hyperlink" Target="https://website-9ib.pages.dev/termek/polydet-performance-plus-2500-1-8-corona/" TargetMode="External" Id="rId1801" /><Relationship Type="http://schemas.openxmlformats.org/officeDocument/2006/relationships/hyperlink" Target="https://www.pommier.eu/en/en/all-our-products/stops/complete-door-retainer-0" TargetMode="External" Id="rId1802" /><Relationship Type="http://schemas.openxmlformats.org/officeDocument/2006/relationships/hyperlink" Target="https://website-9ib.pages.dev/termek/837815-csapos-ajto-rogzito-kit-51-5-mm/" TargetMode="External" Id="rId1803" /><Relationship Type="http://schemas.openxmlformats.org/officeDocument/2006/relationships/hyperlink" Target="https://www.pommier.eu/en/en/all-our-products/recessed-locking-dropside-gear/recessed-locking-gear-zinc-plated-steel" TargetMode="External" Id="rId1804" /><Relationship Type="http://schemas.openxmlformats.org/officeDocument/2006/relationships/hyperlink" Target="https://website-9ib.pages.dev/termek/833682-horganyzott-sullyesztett-nyelves-zar-pm/" TargetMode="External" Id="rId1805" /><Relationship Type="http://schemas.openxmlformats.org/officeDocument/2006/relationships/hyperlink" Target="https://website-9ib.pages.dev/termek/553150-utkozogumi-310x35x60-mm/" TargetMode="External" Id="rId1806" /><Relationship Type="http://schemas.openxmlformats.org/officeDocument/2006/relationships/hyperlink" Target="https://website-9ib.pages.dev/termek/220192-also-rampa-indito-profil/" TargetMode="External" Id="rId1807" /><Relationship Type="http://schemas.openxmlformats.org/officeDocument/2006/relationships/hyperlink" Target="https://www.pommier.eu/en/en/all-our-products/handrails-and-grab-handles/black-polyurethane-grab-handle-zinc-plated-steel" TargetMode="External" Id="rId1808" /><Relationship Type="http://schemas.openxmlformats.org/officeDocument/2006/relationships/hyperlink" Target="https://website-9ib.pages.dev/termek/819264-250-mm-fogantyu-acel-merevitessel/" TargetMode="External" Id="rId1809" /><Relationship Type="http://schemas.openxmlformats.org/officeDocument/2006/relationships/hyperlink" Target="https://www.pommier.eu/en/en/all-our-products/extendable-gaskets/gasket-20-m-rolls-panel-width-50-70-mm" TargetMode="External" Id="rId1810" /><Relationship Type="http://schemas.openxmlformats.org/officeDocument/2006/relationships/hyperlink" Target="https://website-9ib.pages.dev/termek/511207-50-70-mm-es-gumi-tomites-pfg/" TargetMode="External" Id="rId1811" /><Relationship Type="http://schemas.openxmlformats.org/officeDocument/2006/relationships/hyperlink" Target="https://www.pommier.eu/en/en/all-our-products/seals-rigid-soles/dual-hardness-pvc-1" TargetMode="External" Id="rId1812" /><Relationship Type="http://schemas.openxmlformats.org/officeDocument/2006/relationships/hyperlink" Target="https://website-9ib.pages.dev/termek/512235-55-mm-es-pvc-tomites-g-5m/" TargetMode="External" Id="rId1813" /><Relationship Type="http://schemas.openxmlformats.org/officeDocument/2006/relationships/hyperlink" Target="https://www.pommier.eu/sites/default/files/catalogs/POMMIER_Catalogue_DE-EN_2023-24_BD_0.pdf#page=525" TargetMode="External" Id="rId1814" /><Relationship Type="http://schemas.openxmlformats.org/officeDocument/2006/relationships/hyperlink" Target="https://website-9ib.pages.dev/termek/511208-70-90-mm-es-gumi-tomites-pfg/" TargetMode="External" Id="rId1815" /><Relationship Type="http://schemas.openxmlformats.org/officeDocument/2006/relationships/hyperlink" Target="https://www.pommier.eu/en/en/all-our-products/seals-rigid-soles/dual-hardness-pvc-4" TargetMode="External" Id="rId1816" /><Relationship Type="http://schemas.openxmlformats.org/officeDocument/2006/relationships/hyperlink" Target="https://website-9ib.pages.dev/termek/512389-84-mm-es-pvc-tomites-5m/" TargetMode="External" Id="rId1817" /><Relationship Type="http://schemas.openxmlformats.org/officeDocument/2006/relationships/hyperlink" Target="https://www.pommier.eu/en/en/all-our-products/other-seals-and-accessories/fixing-profi-le-epdm-gaskets" TargetMode="External" Id="rId1818" /><Relationship Type="http://schemas.openxmlformats.org/officeDocument/2006/relationships/hyperlink" Target="https://website-9ib.pages.dev/termek/519031-alu-lefogato-sin-3800-12-mm/" TargetMode="External" Id="rId1819" /><Relationship Type="http://schemas.openxmlformats.org/officeDocument/2006/relationships/hyperlink" Target="https://www.pommier.eu/sites/default/files/catalogs/POMMIER_Catalogue_DE-EN_2023-24_BD_0.pdf#page=331" TargetMode="External" Id="rId1820" /><Relationship Type="http://schemas.openxmlformats.org/officeDocument/2006/relationships/hyperlink" Target="https://website-9ib.pages.dev/termek/106731-lezaro-csiga-zsanerhoz/" TargetMode="External" Id="rId1821" /><Relationship Type="http://schemas.openxmlformats.org/officeDocument/2006/relationships/hyperlink" Target="https://www.pommier.eu/en/en/all-our-products/accessories-rod-lock/centre-lock-2-way-rod-lock-assembly" TargetMode="External" Id="rId1822" /><Relationship Type="http://schemas.openxmlformats.org/officeDocument/2006/relationships/hyperlink" Target="https://website-9ib.pages.dev/termek/615437bg-fekete-zarszerkezet-2-iranyu/" TargetMode="External" Id="rId1823" /><Relationship Type="http://schemas.openxmlformats.org/officeDocument/2006/relationships/hyperlink" Target="https://www.pommier.eu/en/en/all-our-products/handles-and-inner-handles/chrome-plated-brass-inside-handle-0" TargetMode="External" Id="rId1824" /><Relationship Type="http://schemas.openxmlformats.org/officeDocument/2006/relationships/hyperlink" Target="https://website-9ib.pages.dev/termek/615378-krom-belso-kilincs-12mm/" TargetMode="External" Id="rId1825" /><Relationship Type="http://schemas.openxmlformats.org/officeDocument/2006/relationships/hyperlink" Target="https://www.pommier.eu/en/en/all-our-products/handles-and-inner-handles/chrome-plated-brass-locking-handle-two-keys" TargetMode="External" Id="rId1826" /><Relationship Type="http://schemas.openxmlformats.org/officeDocument/2006/relationships/hyperlink" Target="https://website-9ib.pages.dev/termek/615373-krom-kulso-kilincs-12mm-kulcs/" TargetMode="External" Id="rId1827" /><Relationship Type="http://schemas.openxmlformats.org/officeDocument/2006/relationships/hyperlink" Target="https://www.pommier.eu/en/en/all-our-products/aluminium/anodized-aluminium-hinge-profile" TargetMode="External" Id="rId1828" /><Relationship Type="http://schemas.openxmlformats.org/officeDocument/2006/relationships/hyperlink" Target="https://website-9ib.pages.dev/termek/237310-20-dupla-alu-zsaner-5000-mm/" TargetMode="External" Id="rId1829" /><Relationship Type="http://schemas.openxmlformats.org/officeDocument/2006/relationships/hyperlink" Target="https://website-9ib.pages.dev/termek/3562974-alu-hatso-400-mm-rakonca-l-r/" TargetMode="External" Id="rId1830" /><Relationship Type="http://schemas.openxmlformats.org/officeDocument/2006/relationships/hyperlink" Target="https://profilpolsystem.pl/en/product/adjustable-400-center-post-tripod-1900-mm/" TargetMode="External" Id="rId1831" /><Relationship Type="http://schemas.openxmlformats.org/officeDocument/2006/relationships/hyperlink" Target="https://website-9ib.pages.dev/termek/351190-alu-rakonca-magasito-elox-1900-mm/" TargetMode="External" Id="rId1832" /><Relationship Type="http://schemas.openxmlformats.org/officeDocument/2006/relationships/hyperlink" Target="https://profilpolsystem.pl/en/product/400-zn-side-extension-for-crates-without-a-center-post/" TargetMode="External" Id="rId1833" /><Relationship Type="http://schemas.openxmlformats.org/officeDocument/2006/relationships/hyperlink" Target="https://website-9ib.pages.dev/termek/355400-zbs-alu-toldo-csappal-67x80-30-mm/" TargetMode="External" Id="rId1834" /><Relationship Type="http://schemas.openxmlformats.org/officeDocument/2006/relationships/hyperlink" Target="https://website-9ib.pages.dev/termek/2221513-aluminium-c-teto-sin-54-5x47-75-mm/" TargetMode="External" Id="rId1835" /><Relationship Type="http://schemas.openxmlformats.org/officeDocument/2006/relationships/hyperlink" Target="https://profilpolsystem.pl/en/product/palcom-m10x25-profile-straight/" TargetMode="External" Id="rId1836" /><Relationship Type="http://schemas.openxmlformats.org/officeDocument/2006/relationships/hyperlink" Target="https://website-9ib.pages.dev/termek/117772-kormos-anya-p-egyenes/" TargetMode="External" Id="rId1837" /><Relationship Type="http://schemas.openxmlformats.org/officeDocument/2006/relationships/hyperlink" Target="https://website-9ib.pages.dev/termek/388008-27mm-feszito-cso-alu-profil/" TargetMode="External" Id="rId1838" /><Relationship Type="http://schemas.openxmlformats.org/officeDocument/2006/relationships/hyperlink" Target="https://website-9ib.pages.dev/termek/123250-terelvalaszto-falzar/" TargetMode="External" Id="rId1839" /><Relationship Type="http://schemas.openxmlformats.org/officeDocument/2006/relationships/hyperlink" Target="https://website-9ib.pages.dev/termek/220190-rampa-felso-zaro-profil-225-30-mm/" TargetMode="External" Id="rId1840" /><Relationship Type="http://schemas.openxmlformats.org/officeDocument/2006/relationships/hyperlink" Target="https://www.re-all.it/images/catalogo-pdf/2026/18.pdf#page=5" TargetMode="External" Id="rId1841" /><Relationship Type="http://schemas.openxmlformats.org/officeDocument/2006/relationships/hyperlink" Target="https://website-9ib.pages.dev/termek/203004-30-mm-keretprofil-elox/" TargetMode="External" Id="rId1842" /><Relationship Type="http://schemas.openxmlformats.org/officeDocument/2006/relationships/hyperlink" Target="https://www.re-all.it/images/catalogo-pdf/2026/02-12.pdf#page=10" TargetMode="External" Id="rId1843" /><Relationship Type="http://schemas.openxmlformats.org/officeDocument/2006/relationships/hyperlink" Target="https://website-9ib.pages.dev/termek/s-2-7x2500x6800-mm-rizs-mintas-alu-lemez-en-aw-5086-h32/" TargetMode="External" Id="rId1844" /><Relationship Type="http://schemas.openxmlformats.org/officeDocument/2006/relationships/hyperlink" Target="https://website-9ib.pages.dev/termek/s-2x1250x2500-mm-rizs-mintas-alu-lemez-en-aw-3003-h22/" TargetMode="External" Id="rId1845" /><Relationship Type="http://schemas.openxmlformats.org/officeDocument/2006/relationships/hyperlink" Target="https://www.re-all.it/images/catalogo-pdf/2026/19.pdf#page=3" TargetMode="External" Id="rId1846" /><Relationship Type="http://schemas.openxmlformats.org/officeDocument/2006/relationships/hyperlink" Target="https://website-9ib.pages.dev/termek/221902-bordazott-padlo-profil-200-40-mm/" TargetMode="External" Id="rId1847" /><Relationship Type="http://schemas.openxmlformats.org/officeDocument/2006/relationships/hyperlink" Target="https://www.re-all.it/images/catalogo-pdf/2026/21.pdf#page=4" TargetMode="External" Id="rId1848" /><Relationship Type="http://schemas.openxmlformats.org/officeDocument/2006/relationships/hyperlink" Target="https://website-9ib.pages.dev/termek/103925-sarok-elem-35-35-r-profilhoz/" TargetMode="External" Id="rId1849" /><Relationship Type="http://schemas.openxmlformats.org/officeDocument/2006/relationships/hyperlink" Target="https://www.re-all.it/images/catalogo-pdf/2026/21.pdf#page=12" TargetMode="External" Id="rId1850" /><Relationship Type="http://schemas.openxmlformats.org/officeDocument/2006/relationships/hyperlink" Target="https://website-9ib.pages.dev/termek/6621620-or-midi-elso-oszlop-alu-elox/" TargetMode="External" Id="rId1851" /><Relationship Type="http://schemas.openxmlformats.org/officeDocument/2006/relationships/hyperlink" Target="https://www.re-all.it/images/catalogo-pdf/2026/21.pdf#page=12" TargetMode="External" Id="rId1852" /><Relationship Type="http://schemas.openxmlformats.org/officeDocument/2006/relationships/hyperlink" Target="https://website-9ib.pages.dev/termek/6621640-or-midi-hatso-oszlop-alu-elox/" TargetMode="External" Id="rId1853" /><Relationship Type="http://schemas.openxmlformats.org/officeDocument/2006/relationships/hyperlink" Target="https://www.re-all.it/images/catalogo-pdf/2026/13-15.pdf#page=19" TargetMode="External" Id="rId1854" /><Relationship Type="http://schemas.openxmlformats.org/officeDocument/2006/relationships/hyperlink" Target="https://website-9ib.pages.dev/termek/254508-20x20x2-alu-l-profil/" TargetMode="External" Id="rId1855" /><Relationship Type="http://schemas.openxmlformats.org/officeDocument/2006/relationships/hyperlink" Target="https://www.re-all.it/images/catalogo-pdf/2026/13-15.pdf#page=19" TargetMode="External" Id="rId1856" /><Relationship Type="http://schemas.openxmlformats.org/officeDocument/2006/relationships/hyperlink" Target="https://website-9ib.pages.dev/termek/252502-25x25x2-alu-l-profil/" TargetMode="External" Id="rId1857" /><Relationship Type="http://schemas.openxmlformats.org/officeDocument/2006/relationships/hyperlink" Target="https://www.re-all.it/images/catalogo-pdf/2026/13-15.pdf#page=11" TargetMode="External" Id="rId1858" /><Relationship Type="http://schemas.openxmlformats.org/officeDocument/2006/relationships/hyperlink" Target="https://website-9ib.pages.dev/termek/251160-40x20-mm-alu-lapos-profil/" TargetMode="External" Id="rId1859" /><Relationship Type="http://schemas.openxmlformats.org/officeDocument/2006/relationships/hyperlink" Target="https://www.re-all.it/images/catalogo-pdf/2026/13-15.pdf#page=19" TargetMode="External" Id="rId1860" /><Relationship Type="http://schemas.openxmlformats.org/officeDocument/2006/relationships/hyperlink" Target="https://website-9ib.pages.dev/termek/250403-40x40x3-alu-l-profil/" TargetMode="External" Id="rId1861" /><Relationship Type="http://schemas.openxmlformats.org/officeDocument/2006/relationships/hyperlink" Target="https://www.re-all.it/images/catalogo-pdf/2026/16-17.pdf#page=15" TargetMode="External" Id="rId1862" /><Relationship Type="http://schemas.openxmlformats.org/officeDocument/2006/relationships/hyperlink" Target="https://website-9ib.pages.dev/termek/226915-30-mm-szego-profil-elox/" TargetMode="External" Id="rId1863" /><Relationship Type="http://schemas.openxmlformats.org/officeDocument/2006/relationships/hyperlink" Target="https://www.re-all.it/images/catalogo-pdf/2026/16-17.pdf#page=17" TargetMode="External" Id="rId1864" /><Relationship Type="http://schemas.openxmlformats.org/officeDocument/2006/relationships/hyperlink" Target="https://website-9ib.pages.dev/termek/247174-bill-also-hosszu-szakalas-profil-150-30-elox/" TargetMode="External" Id="rId1865" /><Relationship Type="http://schemas.openxmlformats.org/officeDocument/2006/relationships/hyperlink" Target="https://www.re-all.it/images/catalogo-pdf/2026/16-17.pdf#page=16" TargetMode="External" Id="rId1866" /><Relationship Type="http://schemas.openxmlformats.org/officeDocument/2006/relationships/hyperlink" Target="https://website-9ib.pages.dev/termek/247152-bill-felso-profil-200-30-mm-elox/" TargetMode="External" Id="rId1867" /><Relationship Type="http://schemas.openxmlformats.org/officeDocument/2006/relationships/hyperlink" Target="https://www.re-all.it/images/catalogo-pdf/2026/16-17.pdf#page=16" TargetMode="External" Id="rId1868" /><Relationship Type="http://schemas.openxmlformats.org/officeDocument/2006/relationships/hyperlink" Target="https://website-9ib.pages.dev/termek/247162-bill-koztes-profil-100-30-mm-elox/" TargetMode="External" Id="rId1869" /><Relationship Type="http://schemas.openxmlformats.org/officeDocument/2006/relationships/hyperlink" Target="https://www.re-all.it/images/catalogo-pdf/2026/16-17.pdf#page=17" TargetMode="External" Id="rId1870" /><Relationship Type="http://schemas.openxmlformats.org/officeDocument/2006/relationships/hyperlink" Target="https://website-9ib.pages.dev/termek/247180-billencs-also-profil-200-45-mm-30-mm-elox/" TargetMode="External" Id="rId1871" /><Relationship Type="http://schemas.openxmlformats.org/officeDocument/2006/relationships/hyperlink" Target="https://www.re-all.it/images/catalogo-pdf/2026/16-17.pdf#page=16" TargetMode="External" Id="rId1872" /><Relationship Type="http://schemas.openxmlformats.org/officeDocument/2006/relationships/hyperlink" Target="https://website-9ib.pages.dev/termek/247158-billencs-kozepso-200x30-mm-profil/" TargetMode="External" Id="rId1873" /><Relationship Type="http://schemas.openxmlformats.org/officeDocument/2006/relationships/hyperlink" Target="https://www.re-all.it/images/catalogo-pdf/2026/21.pdf#page=8" TargetMode="External" Id="rId1874" /><Relationship Type="http://schemas.openxmlformats.org/officeDocument/2006/relationships/hyperlink" Target="https://website-9ib.pages.dev/termek/380045-34mm-feszito-cso-alu-profil/" TargetMode="External" Id="rId1875" /><Relationship Type="http://schemas.openxmlformats.org/officeDocument/2006/relationships/hyperlink" Target="https://www.re-all.it/images/catalogo-pdf/2026/21.pdf#page=7" TargetMode="External" Id="rId1876" /><Relationship Type="http://schemas.openxmlformats.org/officeDocument/2006/relationships/hyperlink" Target="https://website-9ib.pages.dev/termek/380035-ponyvabeakaszto-alu-profil-55-mm-elox/" TargetMode="External" Id="rId1877" /><Relationship Type="http://schemas.openxmlformats.org/officeDocument/2006/relationships/hyperlink" Target="https://www.re-all.it/images/catalogo-pdf/2026/21.pdf#page=7" TargetMode="External" Id="rId1878" /><Relationship Type="http://schemas.openxmlformats.org/officeDocument/2006/relationships/hyperlink" Target="https://website-9ib.pages.dev/termek/380033-ponyvabeakaszto-alu-profil-60-mm-elox/" TargetMode="External" Id="rId1879" /><Relationship Type="http://schemas.openxmlformats.org/officeDocument/2006/relationships/hyperlink" Target="https://www.re-all.it/images/catalogo-pdf/2026/21.pdf#page=7" TargetMode="External" Id="rId1880" /><Relationship Type="http://schemas.openxmlformats.org/officeDocument/2006/relationships/hyperlink" Target="https://website-9ib.pages.dev/termek/380034-ponyvabeakaszto-alu-profil-80-mm-elox/" TargetMode="External" Id="rId1881" /><Relationship Type="http://schemas.openxmlformats.org/officeDocument/2006/relationships/hyperlink" Target="https://website-9ib.pages.dev/termek/232010-20x10-l-profil-natur/" TargetMode="External" Id="rId1882" /><Relationship Type="http://schemas.openxmlformats.org/officeDocument/2006/relationships/hyperlink" Target="https://website-9ib.pages.dev/termek/237000-25x25-mm-ives-sarokprofil-elox/" TargetMode="External" Id="rId1883" /><Relationship Type="http://schemas.openxmlformats.org/officeDocument/2006/relationships/hyperlink" Target="https://website-9ib.pages.dev/termek/232121-35x35-mm-ives-sarokprofil-elox/" TargetMode="External" Id="rId1884" /><Relationship Type="http://schemas.openxmlformats.org/officeDocument/2006/relationships/hyperlink" Target="https://website-9ib.pages.dev/termek/232156-50x174-mm-l-belso-vedoprofil/" TargetMode="External" Id="rId1885" /><Relationship Type="http://schemas.openxmlformats.org/officeDocument/2006/relationships/hyperlink" Target="https://www.re-all.it/images/catalogo-pdf/2026/21.pdf#page=5" TargetMode="External" Id="rId1886" /><Relationship Type="http://schemas.openxmlformats.org/officeDocument/2006/relationships/hyperlink" Target="https://website-9ib.pages.dev/termek/232125-dobozos-keret-elox-or-130-mm-nyitott/" TargetMode="External" Id="rId1887" /><Relationship Type="http://schemas.openxmlformats.org/officeDocument/2006/relationships/hyperlink" Target="https://website-9ib.pages.dev/termek/232129-or-tomiteses-ajtoszego-25-mm-elox/" TargetMode="External" Id="rId1888" /><Relationship Type="http://schemas.openxmlformats.org/officeDocument/2006/relationships/hyperlink" Target="https://www.re-all.it/images/catalogo-pdf/2026/18.pdf#page=9" TargetMode="External" Id="rId1889" /><Relationship Type="http://schemas.openxmlformats.org/officeDocument/2006/relationships/hyperlink" Target="https://website-9ib.pages.dev/termek/238170-or-ajto-keret-elox-70x30x65-25mm/" TargetMode="External" Id="rId1890" /><Relationship Type="http://schemas.openxmlformats.org/officeDocument/2006/relationships/hyperlink" Target="https://website-9ib.pages.dev/termek/615106-retesz-rud-d10-l-1300-mm/" TargetMode="External" Id="rId1891" /><Relationship Type="http://schemas.openxmlformats.org/officeDocument/2006/relationships/hyperlink" Target="https://website-9ib.pages.dev/termek/615105-sullyesztett-dupla-mukodesu-retesz/" TargetMode="External" Id="rId1892" /><Relationship Type="http://schemas.openxmlformats.org/officeDocument/2006/relationships/hyperlink" Target="https://www.sandprofile.com/media/gesamtkatalog_en.pdf#page=18" TargetMode="External" Id="rId1893" /><Relationship Type="http://schemas.openxmlformats.org/officeDocument/2006/relationships/hyperlink" Target="https://website-9ib.pages.dev/termek/a1-013-elkeder-kicsi-fekete-9-5x6-5mm/" TargetMode="External" Id="rId1894" /><Relationship Type="http://schemas.openxmlformats.org/officeDocument/2006/relationships/hyperlink" Target="https://www.sandprofile.com/media/gesamtkatalog_en.pdf#page=19" TargetMode="External" Id="rId1895" /><Relationship Type="http://schemas.openxmlformats.org/officeDocument/2006/relationships/hyperlink" Target="https://website-9ib.pages.dev/termek/a1-015-keder-gumi/" TargetMode="External" Id="rId1896" /><Relationship Type="http://schemas.openxmlformats.org/officeDocument/2006/relationships/hyperlink" Target="https://www.sandprofile.com/media/gesamtkatalog_en.pdf#page=30" TargetMode="External" Id="rId1897" /><Relationship Type="http://schemas.openxmlformats.org/officeDocument/2006/relationships/hyperlink" Target="https://website-9ib.pages.dev/termek/a1-105-2-lepkes-gumi-58-3x26-6-1-0-2-5-fekete/" TargetMode="External" Id="rId1898" /><Relationship Type="http://schemas.openxmlformats.org/officeDocument/2006/relationships/hyperlink" Target="https://www.sandprofile.com/media/gesamtkatalog_en.pdf#page=30" TargetMode="External" Id="rId1899" /><Relationship Type="http://schemas.openxmlformats.org/officeDocument/2006/relationships/hyperlink" Target="https://website-9ib.pages.dev/termek/a1-105-4-lepkes-gumi-58-3x26-6-2-0-4-0-fekete/" TargetMode="External" Id="rId1900" /><Relationship Type="http://schemas.openxmlformats.org/officeDocument/2006/relationships/hyperlink" Target="https://www.sandprofile.com/media/gesamtkatalog_en.pdf#page=32" TargetMode="External" Id="rId1901" /><Relationship Type="http://schemas.openxmlformats.org/officeDocument/2006/relationships/hyperlink" Target="https://website-9ib.pages.dev/termek/a1-134-2-dupla-szakallas-kedergumi-18-2x24-1-0-2-5-fekete/" TargetMode="External" Id="rId1902" /><Relationship Type="http://schemas.openxmlformats.org/officeDocument/2006/relationships/hyperlink" Target="https://www.sandprofile.com/media/gesamtkatalog_en.pdf#page=32" TargetMode="External" Id="rId1903" /><Relationship Type="http://schemas.openxmlformats.org/officeDocument/2006/relationships/hyperlink" Target="https://website-9ib.pages.dev/termek/a1-134-4-dupla-szakallas-kedergumi-18-2x24-2-5-4-0-fekete/" TargetMode="External" Id="rId1904" /><Relationship Type="http://schemas.openxmlformats.org/officeDocument/2006/relationships/hyperlink" Target="https://www.sandprofile.com/media/gesamtkatalog_en.pdf#page=44" TargetMode="External" Id="rId1905" /><Relationship Type="http://schemas.openxmlformats.org/officeDocument/2006/relationships/hyperlink" Target="https://website-9ib.pages.dev/termek/a1-503-nagy-gobos-kedergumi/" TargetMode="External" Id="rId1906" /><Relationship Type="http://schemas.openxmlformats.org/officeDocument/2006/relationships/hyperlink" Target="https://www.sandprofile.com/media/gesamtkatalog_en.pdf#page=41" TargetMode="External" Id="rId1907" /><Relationship Type="http://schemas.openxmlformats.org/officeDocument/2006/relationships/hyperlink" Target="https://website-9ib.pages.dev/termek/a1-536-kis-gobos-kedergumi-14-6x16-fekete/" TargetMode="External" Id="rId1908" /><Relationship Type="http://schemas.openxmlformats.org/officeDocument/2006/relationships/hyperlink" Target="https://website-9ib.pages.dev/termek/a1-549-mini-gobos-kedergumi-13x11-8-2-mm/" TargetMode="External" Id="rId1909" /><Relationship Type="http://schemas.openxmlformats.org/officeDocument/2006/relationships/hyperlink" Target="https://www.sandprofile.com/media/gesamtkatalog_en.pdf#page=32" TargetMode="External" Id="rId1910" /><Relationship Type="http://schemas.openxmlformats.org/officeDocument/2006/relationships/hyperlink" Target="https://website-9ib.pages.dev/termek/a2-106-2-28-mm-duplagobos-kedergumi/" TargetMode="External" Id="rId1911" /><Relationship Type="http://schemas.openxmlformats.org/officeDocument/2006/relationships/hyperlink" Target="https://www.sandprofile.com/media/gesamtkatalog_en.pdf#page=29" TargetMode="External" Id="rId1912" /><Relationship Type="http://schemas.openxmlformats.org/officeDocument/2006/relationships/hyperlink" Target="https://website-9ib.pages.dev/termek/a2-125-felul-gobos-keder-gumi-49-35-20-mm/" TargetMode="External" Id="rId1913" /><Relationship Type="http://schemas.openxmlformats.org/officeDocument/2006/relationships/hyperlink" Target="https://www.sandprofile.com/media/gesamtkatalog_en.pdf#page=30" TargetMode="External" Id="rId1914" /><Relationship Type="http://schemas.openxmlformats.org/officeDocument/2006/relationships/hyperlink" Target="https://website-9ib.pages.dev/termek/a2-127-lepkes-gumi-15-38-6-mm/" TargetMode="External" Id="rId1915" /><Relationship Type="http://schemas.openxmlformats.org/officeDocument/2006/relationships/hyperlink" Target="https://www.sandprofile.com/media/gesamtkatalog_en.pdf#page=32" TargetMode="External" Id="rId1916" /><Relationship Type="http://schemas.openxmlformats.org/officeDocument/2006/relationships/hyperlink" Target="https://website-9ib.pages.dev/termek/a2-254-kedergumi-14-5x21-8-fekete/" TargetMode="External" Id="rId1917" /><Relationship Type="http://schemas.openxmlformats.org/officeDocument/2006/relationships/hyperlink" Target="https://www.sandprofile.com/media/gesamtkatalog_en.pdf#page=31" TargetMode="External" Id="rId1918" /><Relationship Type="http://schemas.openxmlformats.org/officeDocument/2006/relationships/hyperlink" Target="https://website-9ib.pages.dev/termek/a2-255-nagy-gobos-kedergumi-fekete-20-mm/" TargetMode="External" Id="rId1919" /><Relationship Type="http://schemas.openxmlformats.org/officeDocument/2006/relationships/hyperlink" Target="https://website-9ib.pages.dev/termek/a2-513-felso-gobos-keder-21-5x11-mm/" TargetMode="External" Id="rId1920" /><Relationship Type="http://schemas.openxmlformats.org/officeDocument/2006/relationships/hyperlink" Target="https://www.sandprofile.com/media/gesamtkatalog_en.pdf#page=41" TargetMode="External" Id="rId1921" /><Relationship Type="http://schemas.openxmlformats.org/officeDocument/2006/relationships/hyperlink" Target="https://website-9ib.pages.dev/termek/a2-539-kozepes-gobos-kedergumi-14-6x18-7-fekete/" TargetMode="External" Id="rId1922" /><Relationship Type="http://schemas.openxmlformats.org/officeDocument/2006/relationships/hyperlink" Target="https://www.sandprofile.com/media/gesamtkatalog_en.pdf#page=41" TargetMode="External" Id="rId1923" /><Relationship Type="http://schemas.openxmlformats.org/officeDocument/2006/relationships/hyperlink" Target="https://website-9ib.pages.dev/termek/a2-540-kedergumi-16x19-2-2-0-4-0-fekete/" TargetMode="External" Id="rId1924" /><Relationship Type="http://schemas.openxmlformats.org/officeDocument/2006/relationships/hyperlink" Target="https://www.sandprofile.com/media/gesamtkatalog_en.pdf#page=41" TargetMode="External" Id="rId1925" /><Relationship Type="http://schemas.openxmlformats.org/officeDocument/2006/relationships/hyperlink" Target="https://website-9ib.pages.dev/termek/a2-541-kedergumi-16x19-2-4-0-6-0-fekete/" TargetMode="External" Id="rId1926" /><Relationship Type="http://schemas.openxmlformats.org/officeDocument/2006/relationships/hyperlink" Target="https://www.sandprofile.com/media/gesamtkatalog_en.pdf#page=44" TargetMode="External" Id="rId1927" /><Relationship Type="http://schemas.openxmlformats.org/officeDocument/2006/relationships/hyperlink" Target="https://website-9ib.pages.dev/termek/a2-554-nagygobos-keder-22-6/" TargetMode="External" Id="rId1928" /><Relationship Type="http://schemas.openxmlformats.org/officeDocument/2006/relationships/hyperlink" Target="https://www.sandprofile.com/media/gesamtkatalog_en.pdf#page=67" TargetMode="External" Id="rId1929" /><Relationship Type="http://schemas.openxmlformats.org/officeDocument/2006/relationships/hyperlink" Target="https://website-9ib.pages.dev/termek/d1-119-epdm-21mm-p-profil/" TargetMode="External" Id="rId1930" /><Relationship Type="http://schemas.openxmlformats.org/officeDocument/2006/relationships/hyperlink" Target="https://www.sandprofile.com/media/gesamtkatalog_en.pdf#page=65" TargetMode="External" Id="rId1931" /><Relationship Type="http://schemas.openxmlformats.org/officeDocument/2006/relationships/hyperlink" Target="https://website-9ib.pages.dev/termek/d1-128-omega-gumi-19-8x40x24-epdm-fekete/" TargetMode="External" Id="rId1932" /><Relationship Type="http://schemas.openxmlformats.org/officeDocument/2006/relationships/hyperlink" Target="https://www.sandprofile.com/media/gesamtkatalog_en.pdf#page=65" TargetMode="External" Id="rId1933" /><Relationship Type="http://schemas.openxmlformats.org/officeDocument/2006/relationships/hyperlink" Target="https://website-9ib.pages.dev/termek/d1-133-omega-gumi-19-8x28x24-epdm-fekete/" TargetMode="External" Id="rId1934" /><Relationship Type="http://schemas.openxmlformats.org/officeDocument/2006/relationships/hyperlink" Target="https://www.sandprofile.com/media/gesamtkatalog_en.pdf#page=67" TargetMode="External" Id="rId1935" /><Relationship Type="http://schemas.openxmlformats.org/officeDocument/2006/relationships/hyperlink" Target="https://website-9ib.pages.dev/termek/d2-167-elvedo-lec-epdm-fekete/" TargetMode="External" Id="rId1936" /><Relationship Type="http://schemas.openxmlformats.org/officeDocument/2006/relationships/hyperlink" Target="https://www.sandprofile.com/media/gesamtkatalog_en.pdf#page=63" TargetMode="External" Id="rId1937" /><Relationship Type="http://schemas.openxmlformats.org/officeDocument/2006/relationships/hyperlink" Target="https://website-9ib.pages.dev/termek/d2-528-talpas-15-5-mm-20-5-20-epdm-fekete/" TargetMode="External" Id="rId1938" /><Relationship Type="http://schemas.openxmlformats.org/officeDocument/2006/relationships/hyperlink" Target="https://website-9ib.pages.dev/termek/e2-546-af-moos-gumi-ontapados/" TargetMode="External" Id="rId1939" /><Relationship Type="http://schemas.openxmlformats.org/officeDocument/2006/relationships/hyperlink" Target="https://website-9ib.pages.dev/termek/e2-701-af-moos-gumi-epdm-ontapados/" TargetMode="External" Id="rId1940" /><Relationship Type="http://schemas.openxmlformats.org/officeDocument/2006/relationships/hyperlink" Target="https://website-9ib.pages.dev/termek/epdm-1030-moosgumi/" TargetMode="External" Id="rId1941" /><Relationship Type="http://schemas.openxmlformats.org/officeDocument/2006/relationships/hyperlink" Target="https://website-9ib.pages.dev/termek/epdm-1530-moosgumi/" TargetMode="External" Id="rId1942" /><Relationship Type="http://schemas.openxmlformats.org/officeDocument/2006/relationships/hyperlink" Target="https://website-9ib.pages.dev/termek/epdm-3030-af-moosgumi/" TargetMode="External" Id="rId1943" /><Relationship Type="http://schemas.openxmlformats.org/officeDocument/2006/relationships/hyperlink" Target="https://website-9ib.pages.dev/termek/epdm-moosgumi/" TargetMode="External" Id="rId1944" /><Relationship Type="http://schemas.openxmlformats.org/officeDocument/2006/relationships/hyperlink" Target="https://www.sandprofile.com/media/gesamtkatalog_en.pdf#page=38" TargetMode="External" Id="rId1945" /><Relationship Type="http://schemas.openxmlformats.org/officeDocument/2006/relationships/hyperlink" Target="https://website-9ib.pages.dev/termek/felso-gobos-kedergumi-32x14x20-8-fekete/" TargetMode="External" Id="rId1946" /><Relationship Type="http://schemas.openxmlformats.org/officeDocument/2006/relationships/hyperlink" Target="https://www.sandprofile.com/media/gesamtkatalog_en.pdf#page=43" TargetMode="External" Id="rId1947" /><Relationship Type="http://schemas.openxmlformats.org/officeDocument/2006/relationships/hyperlink" Target="https://website-9ib.pages.dev/termek/kedergumi-14-5x20-5-2-0-4-0-fekete/" TargetMode="External" Id="rId1948" /><Relationship Type="http://schemas.openxmlformats.org/officeDocument/2006/relationships/hyperlink" Target="https://website-9ib.pages.dev/termek/lepkes-gumi-76-8-80-4-7-fekete/" TargetMode="External" Id="rId1949" /><Relationship Type="http://schemas.openxmlformats.org/officeDocument/2006/relationships/hyperlink" Target="https://www.sandprofile.com/media/gesamtkatalog_en.pdf#page=18" TargetMode="External" Id="rId1950" /><Relationship Type="http://schemas.openxmlformats.org/officeDocument/2006/relationships/hyperlink" Target="https://website-9ib.pages.dev/termek/elkeder-13x10-fekete/" TargetMode="External" Id="rId1951" /><Relationship Type="http://schemas.openxmlformats.org/officeDocument/2006/relationships/hyperlink" Target="https://website-9ib.pages.dev/termek/383148-direktspanner/" TargetMode="External" Id="rId1952" /><Relationship Type="http://schemas.openxmlformats.org/officeDocument/2006/relationships/hyperlink" Target="https://website-9ib.pages.dev/termek/508650-1-fokos-letra-thorg-400-mm/" TargetMode="External" Id="rId1953" /><Relationship Type="http://schemas.openxmlformats.org/officeDocument/2006/relationships/hyperlink" Target="https://website-9ib.pages.dev/termek/502286-2-fokos-letra-thorg-tk-570-mm/" TargetMode="External" Id="rId1954" /><Relationship Type="http://schemas.openxmlformats.org/officeDocument/2006/relationships/hyperlink" Target="https://website-9ib.pages.dev/termek/223003-n-h-szego-25-mm-t/" TargetMode="External" Id="rId1955" /><Relationship Type="http://schemas.openxmlformats.org/officeDocument/2006/relationships/hyperlink" Target="https://website-9ib.pages.dev/termek/223003-h-szego-25-mm-elox-t/" TargetMode="External" Id="rId1956" /><Relationship Type="http://schemas.openxmlformats.org/officeDocument/2006/relationships/hyperlink" Target="https://website-9ib.pages.dev/termek/223001-n-u-25-mm-szego-profil-t/" TargetMode="External" Id="rId1957" /><Relationship Type="http://schemas.openxmlformats.org/officeDocument/2006/relationships/hyperlink" Target="https://website-9ib.pages.dev/termek/223001-u-25-mm-szego-profil-elox-t/" TargetMode="External" Id="rId1958" /><Relationship Type="http://schemas.openxmlformats.org/officeDocument/2006/relationships/hyperlink" Target="https://website-9ib.pages.dev/termek/224004-400-mm-peremes-oldalfal-elox-2/" TargetMode="External" Id="rId1959" /><Relationship Type="http://schemas.openxmlformats.org/officeDocument/2006/relationships/hyperlink" Target="https://website-9ib.pages.dev/termek/224004-400-mm-peremes-oldalfal-elox/" TargetMode="External" Id="rId1960" /><Relationship Type="http://schemas.openxmlformats.org/officeDocument/2006/relationships/hyperlink" Target="https://website-9ib.pages.dev/termek/245005-bill-400-30-mm-mono-profil-elox/" TargetMode="External" Id="rId1961" /><Relationship Type="http://schemas.openxmlformats.org/officeDocument/2006/relationships/hyperlink" Target="https://website-9ib.pages.dev/termek/226001-zart-padlo-profil-30-200-mm/" TargetMode="External" Id="rId1962" /><Relationship Type="http://schemas.openxmlformats.org/officeDocument/2006/relationships/hyperlink" Target="https://website-9ib.pages.dev/termek/612623-tit-zarszerkezet/" TargetMode="External" Id="rId1963" /><Relationship Type="http://schemas.openxmlformats.org/officeDocument/2006/relationships/hyperlink" Target="https://website-9ib.pages.dev/termek/820384-haub-csatoszar-ellendarabbal/" TargetMode="External" Id="rId1964" /><Relationship Type="http://schemas.openxmlformats.org/officeDocument/2006/relationships/hyperlink" Target="https://website-9ib.pages.dev/termek/t-rakonca-gorgo/" TargetMode="External" Id="rId1965" /><Relationship Type="http://schemas.openxmlformats.org/officeDocument/2006/relationships/hyperlink" Target="https://www.versus-omega.com/en/products/2/duo-trike-light" TargetMode="External" Id="rId1966" /><Relationship Type="http://schemas.openxmlformats.org/officeDocument/2006/relationships/hyperlink" Target="https://website-9ib.pages.dev/termek/v144-01006-elhuzo-rud/" TargetMode="External" Id="rId1967" /><Relationship Type="http://schemas.openxmlformats.org/officeDocument/2006/relationships/hyperlink" Target="https://www.versus-omega.com/en/products/2/duo-trike-light" TargetMode="External" Id="rId1968" /><Relationship Type="http://schemas.openxmlformats.org/officeDocument/2006/relationships/hyperlink" Target="https://website-9ib.pages.dev/termek/v144-10001-szerelo-keszlet-dtl-mt/" TargetMode="External" Id="rId1969" /><Relationship Type="http://schemas.openxmlformats.org/officeDocument/2006/relationships/hyperlink" Target="https://www.versus-omega.com/en/products/2/duo-trike-light" TargetMode="External" Id="rId1970" /><Relationship Type="http://schemas.openxmlformats.org/officeDocument/2006/relationships/hyperlink" Target="https://website-9ib.pages.dev/termek/v144-10022-csavarkeszlet-fekete-lezarohoz-dtl-mt/" TargetMode="External" Id="rId1971" /><Relationship Type="http://schemas.openxmlformats.org/officeDocument/2006/relationships/hyperlink" Target="https://online.flippingbook.com/view/967067615/209/" TargetMode="External" Id="rId1972" /><Relationship Type="http://schemas.openxmlformats.org/officeDocument/2006/relationships/hyperlink" Target="https://website-9ib.pages.dev/termek/v144-10037-112-07003-mt-hatso-lezaro-ponyvahoz/" TargetMode="External" Id="rId1973" /><Relationship Type="http://schemas.openxmlformats.org/officeDocument/2006/relationships/hyperlink" Target="https://www.versus-omega.com/en/products/2/duo-trike-light" TargetMode="External" Id="rId1974" /><Relationship Type="http://schemas.openxmlformats.org/officeDocument/2006/relationships/hyperlink" Target="https://website-9ib.pages.dev/termek/v144-10048-fix-keresztarto-csavarkeszlet/" TargetMode="External" Id="rId1975" /><Relationship Type="http://schemas.openxmlformats.org/officeDocument/2006/relationships/hyperlink" Target="https://www.versus-omega.com/en/products/2/duo-trike-light" TargetMode="External" Id="rId1976" /><Relationship Type="http://schemas.openxmlformats.org/officeDocument/2006/relationships/hyperlink" Target="https://website-9ib.pages.dev/termek/v154-03013-oszlop-sin-osszekoto-keszlet-dtl/" TargetMode="External" Id="rId1977" /><Relationship Type="http://schemas.openxmlformats.org/officeDocument/2006/relationships/hyperlink" Target="https://online.flippingbook.com/view/967067615/124/" TargetMode="External" Id="rId1978" /><Relationship Type="http://schemas.openxmlformats.org/officeDocument/2006/relationships/hyperlink" Target="https://website-9ib.pages.dev/termek/v154-03041-oszlop-sin-osszekoto-keszlet-mt/" TargetMode="External" Id="rId1979" /><Relationship Type="http://schemas.openxmlformats.org/officeDocument/2006/relationships/hyperlink" Target="https://www.versus-omega.com/en/products/20/pico" TargetMode="External" Id="rId1980" /><Relationship Type="http://schemas.openxmlformats.org/officeDocument/2006/relationships/hyperlink" Target="https://website-9ib.pages.dev/termek/v162-08700-tetosin-pico/" TargetMode="External" Id="rId1981" /><Relationship Type="http://schemas.openxmlformats.org/officeDocument/2006/relationships/hyperlink" Target="https://www.versus-omega.com/en/products/2/duo-trike-light" TargetMode="External" Id="rId1982" /><Relationship Type="http://schemas.openxmlformats.org/officeDocument/2006/relationships/hyperlink" Target="https://website-9ib.pages.dev/termek/v162-238-10000-mm-teto-sin-duo-trike-light/" TargetMode="External" Id="rId1983" /><Relationship Type="http://schemas.openxmlformats.org/officeDocument/2006/relationships/hyperlink" Target="https://www.versus-omega.com/en/products/2/duo-trike-light" TargetMode="External" Id="rId1984" /><Relationship Type="http://schemas.openxmlformats.org/officeDocument/2006/relationships/hyperlink" Target="https://website-9ib.pages.dev/termek/v162-238-8500-mm-teto-sin-duo-trike-light/" TargetMode="External" Id="rId1985" /><Relationship Type="http://schemas.openxmlformats.org/officeDocument/2006/relationships/hyperlink" Target="https://www.versus-omega.com/en/products/2/duo-trike-light" TargetMode="External" Id="rId1986" /><Relationship Type="http://schemas.openxmlformats.org/officeDocument/2006/relationships/hyperlink" Target="https://website-9ib.pages.dev/termek/v162-238-9600-mm-teto-sin-duo-trike-light/" TargetMode="External" Id="rId1987" /><Relationship Type="http://schemas.openxmlformats.org/officeDocument/2006/relationships/hyperlink" Target="https://online.flippingbook.com/view/967067615/123/" TargetMode="External" Id="rId1988" /><Relationship Type="http://schemas.openxmlformats.org/officeDocument/2006/relationships/hyperlink" Target="https://website-9ib.pages.dev/termek/v193-11001-fekete-lezaro-mt/" TargetMode="External" Id="rId1989" /><Relationship Type="http://schemas.openxmlformats.org/officeDocument/2006/relationships/hyperlink" Target="https://www.versus-omega.com/en/products/2/duo-trike-light" TargetMode="External" Id="rId1990" /><Relationship Type="http://schemas.openxmlformats.org/officeDocument/2006/relationships/hyperlink" Target="https://website-9ib.pages.dev/termek/v193-14001-fekete-lezaro-dtl/" TargetMode="External" Id="rId1991" /><Relationship Type="http://schemas.openxmlformats.org/officeDocument/2006/relationships/hyperlink" Target="https://www.versus-omega.com/en/products/2/duo-trike-light" TargetMode="External" Id="rId1992" /><Relationship Type="http://schemas.openxmlformats.org/officeDocument/2006/relationships/hyperlink" Target="https://website-9ib.pages.dev/termek/v214-47201-elhuzokocsi-dtl-mt/" TargetMode="External" Id="rId1993" /><Relationship Type="http://schemas.openxmlformats.org/officeDocument/2006/relationships/hyperlink" Target="https://www.versus-omega.com/en/products/2/duo-trike-light" TargetMode="External" Id="rId1994" /><Relationship Type="http://schemas.openxmlformats.org/officeDocument/2006/relationships/hyperlink" Target="https://website-9ib.pages.dev/termek/v224-01001-gorgos-kereszttarto-ponyvahoz/" TargetMode="External" Id="rId1995" /><Relationship Type="http://schemas.openxmlformats.org/officeDocument/2006/relationships/hyperlink" Target="https://www.versus-omega.com/en/products/2/duo-trike-light" TargetMode="External" Id="rId1996" /><Relationship Type="http://schemas.openxmlformats.org/officeDocument/2006/relationships/hyperlink" Target="https://website-9ib.pages.dev/termek/v224-41211-fix-kereszttarto-ponyvahoz/" TargetMode="External" Id="rId1997" /><Relationship Type="http://schemas.openxmlformats.org/officeDocument/2006/relationships/hyperlink" Target="https://www.versus-omega.com/en/products/2/duo-trike-light" TargetMode="External" Id="rId1998" /><Relationship Type="http://schemas.openxmlformats.org/officeDocument/2006/relationships/hyperlink" Target="https://website-9ib.pages.dev/termek/v242-01004-400-mm-piros-csuklo/" TargetMode="External" Id="rId1999" /><Relationship Type="http://schemas.openxmlformats.org/officeDocument/2006/relationships/hyperlink" Target="https://www.versus-omega.com/en/products/2/duo-trike-light" TargetMode="External" Id="rId2000" /><Relationship Type="http://schemas.openxmlformats.org/officeDocument/2006/relationships/hyperlink" Target="https://website-9ib.pages.dev/termek/v242-01007-700-mm-piros-csuklo/" TargetMode="External" Id="rId2001" /><Relationship Type="http://schemas.openxmlformats.org/officeDocument/2006/relationships/hyperlink" Target="https://www.versus-omega.com/en/products/2/duo-trike-light" TargetMode="External" Id="rId2002" /><Relationship Type="http://schemas.openxmlformats.org/officeDocument/2006/relationships/hyperlink" Target="https://website-9ib.pages.dev/termek/v242-01065-650-mm-piros-csuklo/" TargetMode="External" Id="rId2003" /><Relationship Type="http://schemas.openxmlformats.org/officeDocument/2006/relationships/hyperlink" Target="https://www.versus-omega.com/en/products/2/duo-trike-light" TargetMode="External" Id="rId2004" /><Relationship Type="http://schemas.openxmlformats.org/officeDocument/2006/relationships/hyperlink" Target="https://website-9ib.pages.dev/termek/v242-14109-tomites-9-m-dtl/" TargetMode="External" Id="rId2005" /><Relationship Type="http://schemas.openxmlformats.org/officeDocument/2006/relationships/hyperlink" Target="https://website-9ib.pages.dev/termek/v242-14116-takaro-gumi-dtl/" TargetMode="External" Id="rId2006" /><Relationship Type="http://schemas.openxmlformats.org/officeDocument/2006/relationships/hyperlink" Target="https://website-9ib.pages.dev/termek/v242-14121-takaro-gumi-dtl/" TargetMode="External" Id="rId2007" /><Relationship Type="http://schemas.openxmlformats.org/officeDocument/2006/relationships/hyperlink" Target="https://website-9ib.pages.dev/termek/v242-14128-tomites-dtl/" TargetMode="External" Id="rId2008" /><Relationship Type="http://schemas.openxmlformats.org/officeDocument/2006/relationships/hyperlink" Target="https://website-9ib.pages.dev/termek/v242-14165-takaro-gumi-dtl-16-5m/" TargetMode="External" Id="rId2009" /><Relationship Type="http://schemas.openxmlformats.org/officeDocument/2006/relationships/hyperlink" Target="https://online.flippingbook.com/view/967067615/124/" TargetMode="External" Id="rId2010" /><Relationship Type="http://schemas.openxmlformats.org/officeDocument/2006/relationships/hyperlink" Target="https://website-9ib.pages.dev/termek/v242-15109-tomites-9-m-mt/" TargetMode="External" Id="rId2011" /><Relationship Type="http://schemas.openxmlformats.org/officeDocument/2006/relationships/hyperlink" Target="https://online.flippingbook.com/view/967067615/124/" TargetMode="External" Id="rId2012" /><Relationship Type="http://schemas.openxmlformats.org/officeDocument/2006/relationships/hyperlink" Target="https://website-9ib.pages.dev/termek/v242-15114-tomites-14-m-mt/" TargetMode="External" Id="rId2013" /><Relationship Type="http://schemas.openxmlformats.org/officeDocument/2006/relationships/hyperlink" Target="https://www.versus-omega.com/en/products/2/duo-trike-light" TargetMode="External" Id="rId2014" /><Relationship Type="http://schemas.openxmlformats.org/officeDocument/2006/relationships/hyperlink" Target="https://website-9ib.pages.dev/termek/v262-05007-rakonca-pasz/" TargetMode="External" Id="rId2015" /><Relationship Type="http://schemas.openxmlformats.org/officeDocument/2006/relationships/hyperlink" Target="https://www.versus-omega.com/en/products/2/duo-trike-light" TargetMode="External" Id="rId2016" /><Relationship Type="http://schemas.openxmlformats.org/officeDocument/2006/relationships/hyperlink" Target="https://website-9ib.pages.dev/termek/v264-01001-rakonca-kocsi/" TargetMode="External" Id="rId2017" /><Relationship Type="http://schemas.openxmlformats.org/officeDocument/2006/relationships/hyperlink" Target="https://www.versus-omega.com/en/products/2/duo-trike-light" TargetMode="External" Id="rId2018" /><Relationship Type="http://schemas.openxmlformats.org/officeDocument/2006/relationships/hyperlink" Target="https://website-9ib.pages.dev/termek/v284-10024-ponyvagorgo/" TargetMode="External" Id="rId2019" /><Relationship Type="http://schemas.openxmlformats.org/officeDocument/2006/relationships/hyperlink" Target="https://www.versus-omega.com/en/products/2/duo-trike-light" TargetMode="External" Id="rId2020" /><Relationship Type="http://schemas.openxmlformats.org/officeDocument/2006/relationships/hyperlink" Target="https://website-9ib.pages.dev/termek/v324-47201-hatso-teleszkops-lezaro-fix-mt/" TargetMode="External" Id="rId2021" /><Relationship Type="http://schemas.openxmlformats.org/officeDocument/2006/relationships/hyperlink" Target="https://www.versus-omega.com/en/products/18/micro-trike" TargetMode="External" Id="rId2022" /><Relationship Type="http://schemas.openxmlformats.org/officeDocument/2006/relationships/hyperlink" Target="https://website-9ib.pages.dev/termek/v35991-6800-mm-tetosin-micro-trike/" TargetMode="External" Id="rId2023" /><Relationship Type="http://schemas.openxmlformats.org/officeDocument/2006/relationships/hyperlink" Target="https://www.versus-omega.com/en/products/18/micro-trike" TargetMode="External" Id="rId2024" /><Relationship Type="http://schemas.openxmlformats.org/officeDocument/2006/relationships/hyperlink" Target="https://website-9ib.pages.dev/termek/v35991-7500-mm-tetosin-micro-trike/" TargetMode="External" Id="rId2025" /><Relationship Type="http://schemas.openxmlformats.org/officeDocument/2006/relationships/hyperlink" Target="https://www.versus-omega.com/en/products/18/micro-trike" TargetMode="External" Id="rId2026" /><Relationship Type="http://schemas.openxmlformats.org/officeDocument/2006/relationships/hyperlink" Target="https://website-9ib.pages.dev/termek/v35991-7800-mm-tetosin-micro-trike/" TargetMode="External" Id="rId2027" /><Relationship Type="http://schemas.openxmlformats.org/officeDocument/2006/relationships/hyperlink" Target="https://www.versus-omega.com/en/products/18/micro-trike" TargetMode="External" Id="rId2028" /><Relationship Type="http://schemas.openxmlformats.org/officeDocument/2006/relationships/hyperlink" Target="https://website-9ib.pages.dev/termek/v35991-8200-mm-tetosin-micro-trike/" TargetMode="External" Id="rId2029" /><Relationship Type="http://schemas.openxmlformats.org/officeDocument/2006/relationships/hyperlink" Target="https://www.versus-omega.com/en/products/18/micro-trike" TargetMode="External" Id="rId2030" /><Relationship Type="http://schemas.openxmlformats.org/officeDocument/2006/relationships/hyperlink" Target="https://website-9ib.pages.dev/termek/v35991-8500-mm-tetosin-micro-trike/" TargetMode="External" Id="rId2031" /><Relationship Type="http://schemas.openxmlformats.org/officeDocument/2006/relationships/hyperlink" Target="https://www.versus-omega.com/en/products/2/duo-trike-light" TargetMode="External" Id="rId2032" /><Relationship Type="http://schemas.openxmlformats.org/officeDocument/2006/relationships/hyperlink" Target="https://website-9ib.pages.dev/termek/versus-duo-trike-l-toloteto-rendszer/" TargetMode="External" Id="rId2033" /><Relationship Type="http://schemas.openxmlformats.org/officeDocument/2006/relationships/hyperlink" Target="https://www.versus-omega.com/en/products/18/micro-trike" TargetMode="External" Id="rId2034" /><Relationship Type="http://schemas.openxmlformats.org/officeDocument/2006/relationships/hyperlink" Target="https://website-9ib.pages.dev/termek/versus-micro-trike-toloteto-rendszer/" TargetMode="External" Id="rId2035" /><Relationship Type="http://schemas.openxmlformats.org/officeDocument/2006/relationships/hyperlink" Target="https://website-9ib.pages.dev/termek/versus-penta-flex-toloteto-rendszer/" TargetMode="External" Id="rId2036" /><Relationship Type="http://schemas.openxmlformats.org/officeDocument/2006/relationships/hyperlink" Target="https://www.versus-omega.com/en/products/20/pico" TargetMode="External" Id="rId2037" /><Relationship Type="http://schemas.openxmlformats.org/officeDocument/2006/relationships/hyperlink" Target="https://website-9ib.pages.dev/termek/versus-pico-toloteto-rendszer/" TargetMode="External" Id="rId2038" /><Relationship Type="http://schemas.openxmlformats.org/officeDocument/2006/relationships/hyperlink" Target="https://website-9ib.pages.dev/termek/g-4x1200x10000-2t-s-s-altalanos-gumiszonyeg/" TargetMode="External" Id="rId2039" /><Relationship Type="http://schemas.openxmlformats.org/officeDocument/2006/relationships/hyperlink" Target="https://website-9ib.pages.dev/termek/g-8x2000-istallo-szonyeg/" TargetMode="External" Id="rId2040" /><Relationship Type="http://schemas.openxmlformats.org/officeDocument/2006/relationships/hyperlink" Target="https://website-9ib.pages.dev/termek/3420766-00-vonohorog/" TargetMode="External" Id="rId2041" /><Relationship Type="http://schemas.openxmlformats.org/officeDocument/2006/relationships/hyperlink" Target="https://website-9ib.pages.dev/termek/3421796-1-vonohorog-felfogatas/" TargetMode="External" Id="rId2042" /><Relationship Type="http://schemas.openxmlformats.org/officeDocument/2006/relationships/hyperlink" Target="https://website-9ib.pages.dev/termek/124821-kombi-sinhez-gyurus-csatlakozo/" TargetMode="External" Id="rId2043" /><Relationship Type="http://schemas.openxmlformats.org/officeDocument/2006/relationships/hyperlink" Target="https://website-9ib.pages.dev/termek/122185-rakomany-rogzito-rud-airline-sinhez-1600/" TargetMode="External" Id="rId2044" /><Relationship Type="http://schemas.openxmlformats.org/officeDocument/2006/relationships/hyperlink" Target="https://website-9ib.pages.dev/termek/122186-rakomany-rogzito-rud-airline-sinhez-1800/" TargetMode="External" Id="rId2045" /><Relationship Type="http://schemas.openxmlformats.org/officeDocument/2006/relationships/hyperlink" Target="https://website-9ib.pages.dev/termek/121824-rakomanyrogzito-rud-alu-elox/" TargetMode="External" Id="rId2046" /><Relationship Type="http://schemas.openxmlformats.org/officeDocument/2006/relationships/hyperlink" Target="https://www.fuhrmann.at/de/stbw300.php" TargetMode="External" Id="rId2047" /><Relationship Type="http://schemas.openxmlformats.org/officeDocument/2006/relationships/hyperlink" Target="https://website-9ib.pages.dev/termek/acel-oldalfal-b-300/" TargetMode="External" Id="rId2048" /><Relationship Type="http://schemas.openxmlformats.org/officeDocument/2006/relationships/hyperlink" Target="https://www.fuhrmann.at/de/stbw400.php" TargetMode="External" Id="rId2049" /><Relationship Type="http://schemas.openxmlformats.org/officeDocument/2006/relationships/hyperlink" Target="https://website-9ib.pages.dev/termek/acel-oldalfal-b-400/" TargetMode="External" Id="rId2050" /><Relationship Type="http://schemas.openxmlformats.org/officeDocument/2006/relationships/hyperlink" Target="https://www.fuhrmann.at/de/stbw450.php" TargetMode="External" Id="rId2051" /><Relationship Type="http://schemas.openxmlformats.org/officeDocument/2006/relationships/hyperlink" Target="https://website-9ib.pages.dev/termek/acel-oldalfal-b-450/" TargetMode="External" Id="rId2052" /><Relationship Type="http://schemas.openxmlformats.org/officeDocument/2006/relationships/hyperlink" Target="https://www.fuhrmann.at/de/stbw500.php" TargetMode="External" Id="rId2053" /><Relationship Type="http://schemas.openxmlformats.org/officeDocument/2006/relationships/hyperlink" Target="https://website-9ib.pages.dev/termek/acel-oldalfal-b-500/" TargetMode="External" Id="rId2054" /><Relationship Type="http://schemas.openxmlformats.org/officeDocument/2006/relationships/hyperlink" Target="https://www.fuhrmann.at/de/stbw600.php" TargetMode="External" Id="rId2055" /><Relationship Type="http://schemas.openxmlformats.org/officeDocument/2006/relationships/hyperlink" Target="https://website-9ib.pages.dev/termek/acel-oldalfal-b-600/" TargetMode="External" Id="rId2056" /><Relationship Type="http://schemas.openxmlformats.org/officeDocument/2006/relationships/hyperlink" Target="https://www.fuhrmann.at/de/stbw300.php" TargetMode="External" Id="rId2057" /><Relationship Type="http://schemas.openxmlformats.org/officeDocument/2006/relationships/hyperlink" Target="https://website-9ib.pages.dev/termek/acel-oldalfal-bak-300/" TargetMode="External" Id="rId2058" /><Relationship Type="http://schemas.openxmlformats.org/officeDocument/2006/relationships/hyperlink" Target="https://www.fuhrmann.at/de/stbw400.php" TargetMode="External" Id="rId2059" /><Relationship Type="http://schemas.openxmlformats.org/officeDocument/2006/relationships/hyperlink" Target="https://website-9ib.pages.dev/termek/acel-oldalfal-bak-400/" TargetMode="External" Id="rId2060" /><Relationship Type="http://schemas.openxmlformats.org/officeDocument/2006/relationships/hyperlink" Target="https://www.fuhrmann.at/de/stbw450.php" TargetMode="External" Id="rId2061" /><Relationship Type="http://schemas.openxmlformats.org/officeDocument/2006/relationships/hyperlink" Target="https://website-9ib.pages.dev/termek/acel-oldalfal-bak-450/" TargetMode="External" Id="rId2062" /><Relationship Type="http://schemas.openxmlformats.org/officeDocument/2006/relationships/hyperlink" Target="https://www.fuhrmann.at/de/stbw500.php" TargetMode="External" Id="rId2063" /><Relationship Type="http://schemas.openxmlformats.org/officeDocument/2006/relationships/hyperlink" Target="https://website-9ib.pages.dev/termek/acel-oldalfal-bak-500/" TargetMode="External" Id="rId2064" /><Relationship Type="http://schemas.openxmlformats.org/officeDocument/2006/relationships/hyperlink" Target="https://www.fuhrmann.at/de/stbw600.php" TargetMode="External" Id="rId2065" /><Relationship Type="http://schemas.openxmlformats.org/officeDocument/2006/relationships/hyperlink" Target="https://website-9ib.pages.dev/termek/acel-oldalfal-bak-600/" TargetMode="External" Id="rId2066" /><Relationship Type="http://schemas.openxmlformats.org/officeDocument/2006/relationships/hyperlink" Target="https://www.fuhrmann.at/de/stbw500.php" TargetMode="External" Id="rId2067" /><Relationship Type="http://schemas.openxmlformats.org/officeDocument/2006/relationships/hyperlink" Target="https://website-9ib.pages.dev/termek/acel-oldalfal-baks-500/" TargetMode="External" Id="rId2068" /><Relationship Type="http://schemas.openxmlformats.org/officeDocument/2006/relationships/hyperlink" Target="https://www.fuhrmann.at/de/stbw600.php" TargetMode="External" Id="rId2069" /><Relationship Type="http://schemas.openxmlformats.org/officeDocument/2006/relationships/hyperlink" Target="https://website-9ib.pages.dev/termek/acel-oldalfal-baks-600/" TargetMode="External" Id="rId2070" /><Relationship Type="http://schemas.openxmlformats.org/officeDocument/2006/relationships/hyperlink" Target="https://www.fuhrmann.at/de/stbw400.php" TargetMode="External" Id="rId2071" /><Relationship Type="http://schemas.openxmlformats.org/officeDocument/2006/relationships/hyperlink" Target="https://website-9ib.pages.dev/termek/acel-oldalfal-bakskt-400/" TargetMode="External" Id="rId2072" /><Relationship Type="http://schemas.openxmlformats.org/officeDocument/2006/relationships/hyperlink" Target="https://www.fuhrmann.at/de/stbw600.php" TargetMode="External" Id="rId2073" /><Relationship Type="http://schemas.openxmlformats.org/officeDocument/2006/relationships/hyperlink" Target="https://website-9ib.pages.dev/termek/acel-oldalfal-bakt-600/" TargetMode="External" Id="rId2074" /><Relationship Type="http://schemas.openxmlformats.org/officeDocument/2006/relationships/hyperlink" Target="https://www.fuhrmann.at/de/stbw800.php" TargetMode="External" Id="rId2075" /><Relationship Type="http://schemas.openxmlformats.org/officeDocument/2006/relationships/hyperlink" Target="https://website-9ib.pages.dev/termek/acel-oldalfal-baktt-800/" TargetMode="External" Id="rId2076" /><Relationship Type="http://schemas.openxmlformats.org/officeDocument/2006/relationships/hyperlink" Target="https://www.fuhrmann.at/de/stbw400.php" TargetMode="External" Id="rId2077" /><Relationship Type="http://schemas.openxmlformats.org/officeDocument/2006/relationships/hyperlink" Target="https://website-9ib.pages.dev/termek/acel-oldalfal-bakkt-400/" TargetMode="External" Id="rId2078" /><Relationship Type="http://schemas.openxmlformats.org/officeDocument/2006/relationships/hyperlink" Target="https://www.fuhrmann.at/de/stbw450.php" TargetMode="External" Id="rId2079" /><Relationship Type="http://schemas.openxmlformats.org/officeDocument/2006/relationships/hyperlink" Target="https://website-9ib.pages.dev/termek/acel-oldalfal-bn-450/" TargetMode="External" Id="rId2080" /><Relationship Type="http://schemas.openxmlformats.org/officeDocument/2006/relationships/hyperlink" Target="https://www.fuhrmann.at/de/stbw500.php" TargetMode="External" Id="rId2081" /><Relationship Type="http://schemas.openxmlformats.org/officeDocument/2006/relationships/hyperlink" Target="https://website-9ib.pages.dev/termek/acel-oldalfal-bn-500/" TargetMode="External" Id="rId2082" /><Relationship Type="http://schemas.openxmlformats.org/officeDocument/2006/relationships/hyperlink" Target="https://www.fuhrmann.at/de/stbw600.php" TargetMode="External" Id="rId2083" /><Relationship Type="http://schemas.openxmlformats.org/officeDocument/2006/relationships/hyperlink" Target="https://website-9ib.pages.dev/termek/acel-oldalfal-bn-600/" TargetMode="External" Id="rId2084" /><Relationship Type="http://schemas.openxmlformats.org/officeDocument/2006/relationships/hyperlink" Target="https://www.fuhrmann.at/de/stbw400.php" TargetMode="External" Id="rId2085" /><Relationship Type="http://schemas.openxmlformats.org/officeDocument/2006/relationships/hyperlink" Target="https://website-9ib.pages.dev/termek/acel-oldalfal-bnkt-400/" TargetMode="External" Id="rId2086" /><Relationship Type="http://schemas.openxmlformats.org/officeDocument/2006/relationships/hyperlink" Target="https://www.fuhrmann.at/de/stbw500.php" TargetMode="External" Id="rId2087" /><Relationship Type="http://schemas.openxmlformats.org/officeDocument/2006/relationships/hyperlink" Target="https://website-9ib.pages.dev/termek/acel-oldalfal-bns-500/" TargetMode="External" Id="rId2088" /><Relationship Type="http://schemas.openxmlformats.org/officeDocument/2006/relationships/hyperlink" Target="https://www.fuhrmann.at/de/stbw600.php" TargetMode="External" Id="rId2089" /><Relationship Type="http://schemas.openxmlformats.org/officeDocument/2006/relationships/hyperlink" Target="https://website-9ib.pages.dev/termek/acel-oldalfal-bns-600/" TargetMode="External" Id="rId2090" /><Relationship Type="http://schemas.openxmlformats.org/officeDocument/2006/relationships/hyperlink" Target="https://www.fuhrmann.at/de/stbw400.php" TargetMode="External" Id="rId2091" /><Relationship Type="http://schemas.openxmlformats.org/officeDocument/2006/relationships/hyperlink" Target="https://website-9ib.pages.dev/termek/acel-oldalfal-bnskt-400/" TargetMode="External" Id="rId2092" /><Relationship Type="http://schemas.openxmlformats.org/officeDocument/2006/relationships/hyperlink" Target="https://www.fuhrmann.at/de/stbw800.php" TargetMode="External" Id="rId2093" /><Relationship Type="http://schemas.openxmlformats.org/officeDocument/2006/relationships/hyperlink" Target="https://website-9ib.pages.dev/termek/acel-oldalfal-bntt-800/" TargetMode="External" Id="rId2094" /><Relationship Type="http://schemas.openxmlformats.org/officeDocument/2006/relationships/hyperlink" Target="https://www.fuhrmann.at/de/stbw800.php" TargetMode="External" Id="rId2095" /><Relationship Type="http://schemas.openxmlformats.org/officeDocument/2006/relationships/hyperlink" Target="https://website-9ib.pages.dev/termek/acel-oldalfal-btt-800/" TargetMode="External" Id="rId2096" /><Relationship Type="http://schemas.openxmlformats.org/officeDocument/2006/relationships/hyperlink" Target="https://www.fuhrmann.at/de/stbwfhd.php" TargetMode="External" Id="rId2097" /><Relationship Type="http://schemas.openxmlformats.org/officeDocument/2006/relationships/hyperlink" Target="https://website-9ib.pages.dev/termek/acel-oldalfal-fhd-600/" TargetMode="External" Id="rId2098" /><Relationship Type="http://schemas.openxmlformats.org/officeDocument/2006/relationships/hyperlink" Target="https://www.fuhrmann.at/de/stbwfhd.php" TargetMode="External" Id="rId2099" /><Relationship Type="http://schemas.openxmlformats.org/officeDocument/2006/relationships/hyperlink" Target="https://website-9ib.pages.dev/termek/acel-oldalfal-fhd-800/" TargetMode="External" Id="rId2100" /><Relationship Type="http://schemas.openxmlformats.org/officeDocument/2006/relationships/hyperlink" Target="https://www.fuhrmann.at/de/foxrock.php" TargetMode="External" Id="rId2101" /><Relationship Type="http://schemas.openxmlformats.org/officeDocument/2006/relationships/hyperlink" Target="https://website-9ib.pages.dev/termek/acel-oldalfal-fox-rock-heavy/" TargetMode="External" Id="rId2102" /><Relationship Type="http://schemas.openxmlformats.org/officeDocument/2006/relationships/hyperlink" Target="https://www.fuhrmann.at/de/foxrock.php" TargetMode="External" Id="rId2103" /><Relationship Type="http://schemas.openxmlformats.org/officeDocument/2006/relationships/hyperlink" Target="https://website-9ib.pages.dev/termek/acel-oldalfal-fox-rock-light/" TargetMode="External" Id="rId2104" /><Relationship Type="http://schemas.openxmlformats.org/officeDocument/2006/relationships/hyperlink" Target="https://www.fuhrmann.at/de/stbwfox.php" TargetMode="External" Id="rId2105" /><Relationship Type="http://schemas.openxmlformats.org/officeDocument/2006/relationships/hyperlink" Target="https://website-9ib.pages.dev/termek/acel-oldalfal-foxb-1000/" TargetMode="External" Id="rId2106" /><Relationship Type="http://schemas.openxmlformats.org/officeDocument/2006/relationships/hyperlink" Target="https://www.fuhrmann.at/de/stbwfox.php" TargetMode="External" Id="rId2107" /><Relationship Type="http://schemas.openxmlformats.org/officeDocument/2006/relationships/hyperlink" Target="https://website-9ib.pages.dev/termek/acel-oldalfal-foxb-600/" TargetMode="External" Id="rId2108" /><Relationship Type="http://schemas.openxmlformats.org/officeDocument/2006/relationships/hyperlink" Target="https://www.fuhrmann.at/de/stbwfox.php" TargetMode="External" Id="rId2109" /><Relationship Type="http://schemas.openxmlformats.org/officeDocument/2006/relationships/hyperlink" Target="https://website-9ib.pages.dev/termek/acel-oldalfal-foxb-700/" TargetMode="External" Id="rId2110" /><Relationship Type="http://schemas.openxmlformats.org/officeDocument/2006/relationships/hyperlink" Target="https://www.fuhrmann.at/de/stbwfox.php" TargetMode="External" Id="rId2111" /><Relationship Type="http://schemas.openxmlformats.org/officeDocument/2006/relationships/hyperlink" Target="https://website-9ib.pages.dev/termek/acel-oldalfal-foxb-800/" TargetMode="External" Id="rId2112" /><Relationship Type="http://schemas.openxmlformats.org/officeDocument/2006/relationships/hyperlink" Target="https://www.fuhrmann.at/de/stbwfox.php" TargetMode="External" Id="rId2113" /><Relationship Type="http://schemas.openxmlformats.org/officeDocument/2006/relationships/hyperlink" Target="https://website-9ib.pages.dev/termek/acel-oldalfal-foxb-900/" TargetMode="External" Id="rId2114" /><Relationship Type="http://schemas.openxmlformats.org/officeDocument/2006/relationships/hyperlink" Target="https://www.fuhrmann.at/de/stbwfox.php" TargetMode="External" Id="rId2115" /><Relationship Type="http://schemas.openxmlformats.org/officeDocument/2006/relationships/hyperlink" Target="https://website-9ib.pages.dev/termek/acel-oldalfal-foxhv-1000/" TargetMode="External" Id="rId2116" /><Relationship Type="http://schemas.openxmlformats.org/officeDocument/2006/relationships/hyperlink" Target="https://www.fuhrmann.at/de/stbwfox.php" TargetMode="External" Id="rId2117" /><Relationship Type="http://schemas.openxmlformats.org/officeDocument/2006/relationships/hyperlink" Target="https://website-9ib.pages.dev/termek/acel-oldalfal-foxhv-600/" TargetMode="External" Id="rId2118" /><Relationship Type="http://schemas.openxmlformats.org/officeDocument/2006/relationships/hyperlink" Target="https://www.fuhrmann.at/de/stbwfox.php" TargetMode="External" Id="rId2119" /><Relationship Type="http://schemas.openxmlformats.org/officeDocument/2006/relationships/hyperlink" Target="https://website-9ib.pages.dev/termek/acel-oldalfal-foxhv-700/" TargetMode="External" Id="rId2120" /><Relationship Type="http://schemas.openxmlformats.org/officeDocument/2006/relationships/hyperlink" Target="https://www.fuhrmann.at/de/stbwfox.php" TargetMode="External" Id="rId2121" /><Relationship Type="http://schemas.openxmlformats.org/officeDocument/2006/relationships/hyperlink" Target="https://website-9ib.pages.dev/termek/acel-oldalfal-foxhv-800/" TargetMode="External" Id="rId2122" /><Relationship Type="http://schemas.openxmlformats.org/officeDocument/2006/relationships/hyperlink" Target="https://www.fuhrmann.at/de/stbwfox.php" TargetMode="External" Id="rId2123" /><Relationship Type="http://schemas.openxmlformats.org/officeDocument/2006/relationships/hyperlink" Target="https://website-9ib.pages.dev/termek/acel-oldalfal-foxhv-900/" TargetMode="External" Id="rId2124" /><Relationship Type="http://schemas.openxmlformats.org/officeDocument/2006/relationships/hyperlink" Target="https://www.fuhrmann.at/de/stbwfoxl.php" TargetMode="External" Id="rId2125" /><Relationship Type="http://schemas.openxmlformats.org/officeDocument/2006/relationships/hyperlink" Target="https://website-9ib.pages.dev/termek/acel-oldalfal-foxlb-1000/" TargetMode="External" Id="rId2126" /><Relationship Type="http://schemas.openxmlformats.org/officeDocument/2006/relationships/hyperlink" Target="https://www.fuhrmann.at/de/stbwfoxl.php" TargetMode="External" Id="rId2127" /><Relationship Type="http://schemas.openxmlformats.org/officeDocument/2006/relationships/hyperlink" Target="https://website-9ib.pages.dev/termek/acel-oldalfal-foxlb-400/" TargetMode="External" Id="rId2128" /><Relationship Type="http://schemas.openxmlformats.org/officeDocument/2006/relationships/hyperlink" Target="https://www.fuhrmann.at/de/stbwfoxl.php" TargetMode="External" Id="rId2129" /><Relationship Type="http://schemas.openxmlformats.org/officeDocument/2006/relationships/hyperlink" Target="https://website-9ib.pages.dev/termek/acel-oldalfal-foxlb-500/" TargetMode="External" Id="rId2130" /><Relationship Type="http://schemas.openxmlformats.org/officeDocument/2006/relationships/hyperlink" Target="https://www.fuhrmann.at/de/stbwfoxl.php" TargetMode="External" Id="rId2131" /><Relationship Type="http://schemas.openxmlformats.org/officeDocument/2006/relationships/hyperlink" Target="https://website-9ib.pages.dev/termek/acel-oldalfal-foxlb-600/" TargetMode="External" Id="rId2132" /><Relationship Type="http://schemas.openxmlformats.org/officeDocument/2006/relationships/hyperlink" Target="https://www.fuhrmann.at/de/stbwfoxl.php" TargetMode="External" Id="rId2133" /><Relationship Type="http://schemas.openxmlformats.org/officeDocument/2006/relationships/hyperlink" Target="https://website-9ib.pages.dev/termek/acel-oldalfal-foxlb-700/" TargetMode="External" Id="rId2134" /><Relationship Type="http://schemas.openxmlformats.org/officeDocument/2006/relationships/hyperlink" Target="https://www.fuhrmann.at/de/stbwfoxl.php" TargetMode="External" Id="rId2135" /><Relationship Type="http://schemas.openxmlformats.org/officeDocument/2006/relationships/hyperlink" Target="https://website-9ib.pages.dev/termek/acel-oldalfal-foxlb-800/" TargetMode="External" Id="rId2136" /><Relationship Type="http://schemas.openxmlformats.org/officeDocument/2006/relationships/hyperlink" Target="https://www.fuhrmann.at/de/stbwfoxl.php" TargetMode="External" Id="rId2137" /><Relationship Type="http://schemas.openxmlformats.org/officeDocument/2006/relationships/hyperlink" Target="https://website-9ib.pages.dev/termek/acel-oldalfal-foxlb-900/" TargetMode="External" Id="rId2138" /><Relationship Type="http://schemas.openxmlformats.org/officeDocument/2006/relationships/hyperlink" Target="https://www.fuhrmann.at/de/stbwfoxla.php" TargetMode="External" Id="rId2139" /><Relationship Type="http://schemas.openxmlformats.org/officeDocument/2006/relationships/hyperlink" Target="https://website-9ib.pages.dev/termek/acel-oldalfal-foxlbak-400/" TargetMode="External" Id="rId2140" /><Relationship Type="http://schemas.openxmlformats.org/officeDocument/2006/relationships/hyperlink" Target="https://www.fuhrmann.at/de/stbwfoxla.php" TargetMode="External" Id="rId2141" /><Relationship Type="http://schemas.openxmlformats.org/officeDocument/2006/relationships/hyperlink" Target="https://website-9ib.pages.dev/termek/acel-oldalfal-foxlbak-500/" TargetMode="External" Id="rId2142" /><Relationship Type="http://schemas.openxmlformats.org/officeDocument/2006/relationships/hyperlink" Target="https://www.fuhrmann.at/de/stbwfoxla.php" TargetMode="External" Id="rId2143" /><Relationship Type="http://schemas.openxmlformats.org/officeDocument/2006/relationships/hyperlink" Target="https://website-9ib.pages.dev/termek/acel-oldalfal-foxlbak-600/" TargetMode="External" Id="rId2144" /><Relationship Type="http://schemas.openxmlformats.org/officeDocument/2006/relationships/hyperlink" Target="https://www.fuhrmann.at/de/stbwfoxla.php" TargetMode="External" Id="rId2145" /><Relationship Type="http://schemas.openxmlformats.org/officeDocument/2006/relationships/hyperlink" Target="https://website-9ib.pages.dev/termek/acel-oldalfal-foxlbak-700/" TargetMode="External" Id="rId2146" /><Relationship Type="http://schemas.openxmlformats.org/officeDocument/2006/relationships/hyperlink" Target="https://www.fuhrmann.at/de/stbwfoxla.php" TargetMode="External" Id="rId2147" /><Relationship Type="http://schemas.openxmlformats.org/officeDocument/2006/relationships/hyperlink" Target="https://website-9ib.pages.dev/termek/acel-oldalfal-foxlbak-800/" TargetMode="External" Id="rId2148" /><Relationship Type="http://schemas.openxmlformats.org/officeDocument/2006/relationships/hyperlink" Target="https://www.fuhrmann.at/de/stbwfoxln.php" TargetMode="External" Id="rId2149" /><Relationship Type="http://schemas.openxmlformats.org/officeDocument/2006/relationships/hyperlink" Target="https://website-9ib.pages.dev/termek/acel-oldalfal-foxlbn-400/" TargetMode="External" Id="rId2150" /><Relationship Type="http://schemas.openxmlformats.org/officeDocument/2006/relationships/hyperlink" Target="https://www.fuhrmann.at/de/stbwfoxln.php" TargetMode="External" Id="rId2151" /><Relationship Type="http://schemas.openxmlformats.org/officeDocument/2006/relationships/hyperlink" Target="https://website-9ib.pages.dev/termek/acel-oldalfal-foxlbn-500/" TargetMode="External" Id="rId2152" /><Relationship Type="http://schemas.openxmlformats.org/officeDocument/2006/relationships/hyperlink" Target="https://www.fuhrmann.at/de/stbwfoxln.php" TargetMode="External" Id="rId2153" /><Relationship Type="http://schemas.openxmlformats.org/officeDocument/2006/relationships/hyperlink" Target="https://website-9ib.pages.dev/termek/acel-oldalfal-foxlbn-600/" TargetMode="External" Id="rId2154" /><Relationship Type="http://schemas.openxmlformats.org/officeDocument/2006/relationships/hyperlink" Target="https://www.fuhrmann.at/de/stbwfoxln.php" TargetMode="External" Id="rId2155" /><Relationship Type="http://schemas.openxmlformats.org/officeDocument/2006/relationships/hyperlink" Target="https://website-9ib.pages.dev/termek/acel-oldalfal-foxlbn-700/" TargetMode="External" Id="rId2156" /><Relationship Type="http://schemas.openxmlformats.org/officeDocument/2006/relationships/hyperlink" Target="https://www.fuhrmann.at/de/stbwfoxln.php" TargetMode="External" Id="rId2157" /><Relationship Type="http://schemas.openxmlformats.org/officeDocument/2006/relationships/hyperlink" Target="https://website-9ib.pages.dev/termek/acel-oldalfal-foxlbn-800/" TargetMode="External" Id="rId2158" /><Relationship Type="http://schemas.openxmlformats.org/officeDocument/2006/relationships/hyperlink" Target="https://www.fuhrmann.at/de/stbwfoxl.php" TargetMode="External" Id="rId2159" /><Relationship Type="http://schemas.openxmlformats.org/officeDocument/2006/relationships/hyperlink" Target="https://website-9ib.pages.dev/termek/acel-oldalfal-foxlhv-400/" TargetMode="External" Id="rId2160" /><Relationship Type="http://schemas.openxmlformats.org/officeDocument/2006/relationships/hyperlink" Target="https://www.fuhrmann.at/de/stbwfoxl.php" TargetMode="External" Id="rId2161" /><Relationship Type="http://schemas.openxmlformats.org/officeDocument/2006/relationships/hyperlink" Target="https://website-9ib.pages.dev/termek/acel-oldalfal-foxlhv-500/" TargetMode="External" Id="rId2162" /><Relationship Type="http://schemas.openxmlformats.org/officeDocument/2006/relationships/hyperlink" Target="https://www.fuhrmann.at/de/stbwfoxl.php" TargetMode="External" Id="rId2163" /><Relationship Type="http://schemas.openxmlformats.org/officeDocument/2006/relationships/hyperlink" Target="https://website-9ib.pages.dev/termek/acel-oldalfal-foxlhv-600/" TargetMode="External" Id="rId2164" /><Relationship Type="http://schemas.openxmlformats.org/officeDocument/2006/relationships/hyperlink" Target="https://www.fuhrmann.at/de/stbwfoxl.php" TargetMode="External" Id="rId2165" /><Relationship Type="http://schemas.openxmlformats.org/officeDocument/2006/relationships/hyperlink" Target="https://website-9ib.pages.dev/termek/acel-oldalfal-foxlhv-700/" TargetMode="External" Id="rId2166" /><Relationship Type="http://schemas.openxmlformats.org/officeDocument/2006/relationships/hyperlink" Target="https://www.fuhrmann.at/de/stbwfoxl.php" TargetMode="External" Id="rId2167" /><Relationship Type="http://schemas.openxmlformats.org/officeDocument/2006/relationships/hyperlink" Target="https://website-9ib.pages.dev/termek/acel-oldalfal-foxlhv-800/" TargetMode="External" Id="rId2168" /><Relationship Type="http://schemas.openxmlformats.org/officeDocument/2006/relationships/hyperlink" Target="https://www.fuhrmann.at/de/stbwfoxla.php" TargetMode="External" Id="rId2169" /><Relationship Type="http://schemas.openxmlformats.org/officeDocument/2006/relationships/hyperlink" Target="https://website-9ib.pages.dev/termek/acel-oldalfal-foxlhvak-400/" TargetMode="External" Id="rId2170" /><Relationship Type="http://schemas.openxmlformats.org/officeDocument/2006/relationships/hyperlink" Target="https://www.fuhrmann.at/de/stbwfoxla.php" TargetMode="External" Id="rId2171" /><Relationship Type="http://schemas.openxmlformats.org/officeDocument/2006/relationships/hyperlink" Target="https://website-9ib.pages.dev/termek/acel-oldalfal-foxlhvak-500/" TargetMode="External" Id="rId2172" /><Relationship Type="http://schemas.openxmlformats.org/officeDocument/2006/relationships/hyperlink" Target="https://www.fuhrmann.at/de/stbwfoxla.php" TargetMode="External" Id="rId2173" /><Relationship Type="http://schemas.openxmlformats.org/officeDocument/2006/relationships/hyperlink" Target="https://website-9ib.pages.dev/termek/acel-oldalfal-foxlhvak-600/" TargetMode="External" Id="rId2174" /><Relationship Type="http://schemas.openxmlformats.org/officeDocument/2006/relationships/hyperlink" Target="https://www.fuhrmann.at/de/stbwfoxla.php" TargetMode="External" Id="rId2175" /><Relationship Type="http://schemas.openxmlformats.org/officeDocument/2006/relationships/hyperlink" Target="https://website-9ib.pages.dev/termek/acel-oldalfal-foxlhvak-700/" TargetMode="External" Id="rId2176" /><Relationship Type="http://schemas.openxmlformats.org/officeDocument/2006/relationships/hyperlink" Target="https://www.fuhrmann.at/de/stbwfoxla.php" TargetMode="External" Id="rId2177" /><Relationship Type="http://schemas.openxmlformats.org/officeDocument/2006/relationships/hyperlink" Target="https://website-9ib.pages.dev/termek/acel-oldalfal-foxlhvak-800/" TargetMode="External" Id="rId2178" /><Relationship Type="http://schemas.openxmlformats.org/officeDocument/2006/relationships/hyperlink" Target="https://www.fuhrmann.at/de/stbwfoxln.php" TargetMode="External" Id="rId2179" /><Relationship Type="http://schemas.openxmlformats.org/officeDocument/2006/relationships/hyperlink" Target="https://website-9ib.pages.dev/termek/acel-oldalfal-foxlhvn-400/" TargetMode="External" Id="rId2180" /><Relationship Type="http://schemas.openxmlformats.org/officeDocument/2006/relationships/hyperlink" Target="https://www.fuhrmann.at/de/stbwfoxln.php" TargetMode="External" Id="rId2181" /><Relationship Type="http://schemas.openxmlformats.org/officeDocument/2006/relationships/hyperlink" Target="https://website-9ib.pages.dev/termek/acel-oldalfal-foxlhvn-500/" TargetMode="External" Id="rId2182" /><Relationship Type="http://schemas.openxmlformats.org/officeDocument/2006/relationships/hyperlink" Target="https://www.fuhrmann.at/de/stbwfoxln.php" TargetMode="External" Id="rId2183" /><Relationship Type="http://schemas.openxmlformats.org/officeDocument/2006/relationships/hyperlink" Target="https://website-9ib.pages.dev/termek/acel-oldalfal-foxlhvn-600/" TargetMode="External" Id="rId2184" /><Relationship Type="http://schemas.openxmlformats.org/officeDocument/2006/relationships/hyperlink" Target="https://www.fuhrmann.at/de/stbwfoxln.php" TargetMode="External" Id="rId2185" /><Relationship Type="http://schemas.openxmlformats.org/officeDocument/2006/relationships/hyperlink" Target="https://website-9ib.pages.dev/termek/acel-oldalfal-foxlhvn-700/" TargetMode="External" Id="rId2186" /><Relationship Type="http://schemas.openxmlformats.org/officeDocument/2006/relationships/hyperlink" Target="https://www.fuhrmann.at/de/stbwfoxln.php" TargetMode="External" Id="rId2187" /><Relationship Type="http://schemas.openxmlformats.org/officeDocument/2006/relationships/hyperlink" Target="https://website-9ib.pages.dev/termek/acel-oldalfal-foxlhvn-800/" TargetMode="External" Id="rId2188" /><Relationship Type="http://schemas.openxmlformats.org/officeDocument/2006/relationships/hyperlink" Target="https://www.fuhrmann.at/de/stbw300.php" TargetMode="External" Id="rId2189" /><Relationship Type="http://schemas.openxmlformats.org/officeDocument/2006/relationships/hyperlink" Target="https://website-9ib.pages.dev/termek/acel-oldalfal-hv-300/" TargetMode="External" Id="rId2190" /><Relationship Type="http://schemas.openxmlformats.org/officeDocument/2006/relationships/hyperlink" Target="https://www.fuhrmann.at/de/stbw350.php" TargetMode="External" Id="rId2191" /><Relationship Type="http://schemas.openxmlformats.org/officeDocument/2006/relationships/hyperlink" Target="https://website-9ib.pages.dev/termek/acel-oldalfal-hv-350/" TargetMode="External" Id="rId2192" /><Relationship Type="http://schemas.openxmlformats.org/officeDocument/2006/relationships/hyperlink" Target="https://www.fuhrmann.at/de/stbw400.php" TargetMode="External" Id="rId2193" /><Relationship Type="http://schemas.openxmlformats.org/officeDocument/2006/relationships/hyperlink" Target="https://website-9ib.pages.dev/termek/acel-oldalfal-hv-400/" TargetMode="External" Id="rId2194" /><Relationship Type="http://schemas.openxmlformats.org/officeDocument/2006/relationships/hyperlink" Target="https://www.fuhrmann.at/de/stbw450.php" TargetMode="External" Id="rId2195" /><Relationship Type="http://schemas.openxmlformats.org/officeDocument/2006/relationships/hyperlink" Target="https://website-9ib.pages.dev/termek/acel-oldalfal-hv-450/" TargetMode="External" Id="rId2196" /><Relationship Type="http://schemas.openxmlformats.org/officeDocument/2006/relationships/hyperlink" Target="https://www.fuhrmann.at/de/stbw500.php" TargetMode="External" Id="rId2197" /><Relationship Type="http://schemas.openxmlformats.org/officeDocument/2006/relationships/hyperlink" Target="https://website-9ib.pages.dev/termek/acel-oldalfal-hv-500/" TargetMode="External" Id="rId2198" /><Relationship Type="http://schemas.openxmlformats.org/officeDocument/2006/relationships/hyperlink" Target="https://www.fuhrmann.at/de/stbw600.php" TargetMode="External" Id="rId2199" /><Relationship Type="http://schemas.openxmlformats.org/officeDocument/2006/relationships/hyperlink" Target="https://website-9ib.pages.dev/termek/acel-oldalfal-hv-600/" TargetMode="External" Id="rId2200" /><Relationship Type="http://schemas.openxmlformats.org/officeDocument/2006/relationships/hyperlink" Target="https://www.fuhrmann.at/de/stbw800.php" TargetMode="External" Id="rId2201" /><Relationship Type="http://schemas.openxmlformats.org/officeDocument/2006/relationships/hyperlink" Target="https://website-9ib.pages.dev/termek/acel-oldalfal-hv-800/" TargetMode="External" Id="rId2202" /><Relationship Type="http://schemas.openxmlformats.org/officeDocument/2006/relationships/hyperlink" Target="https://www.fuhrmann.at/de/stbw1000.php" TargetMode="External" Id="rId2203" /><Relationship Type="http://schemas.openxmlformats.org/officeDocument/2006/relationships/hyperlink" Target="https://website-9ib.pages.dev/termek/acel-oldalfal-hv-900/" TargetMode="External" Id="rId2204" /><Relationship Type="http://schemas.openxmlformats.org/officeDocument/2006/relationships/hyperlink" Target="https://www.fuhrmann.at/de/stbw300.php" TargetMode="External" Id="rId2205" /><Relationship Type="http://schemas.openxmlformats.org/officeDocument/2006/relationships/hyperlink" Target="https://website-9ib.pages.dev/termek/acel-oldalfal-hvak-300/" TargetMode="External" Id="rId2206" /><Relationship Type="http://schemas.openxmlformats.org/officeDocument/2006/relationships/hyperlink" Target="https://www.fuhrmann.at/de/stbw400.php" TargetMode="External" Id="rId2207" /><Relationship Type="http://schemas.openxmlformats.org/officeDocument/2006/relationships/hyperlink" Target="https://website-9ib.pages.dev/termek/acel-oldalfal-hvak-400/" TargetMode="External" Id="rId2208" /><Relationship Type="http://schemas.openxmlformats.org/officeDocument/2006/relationships/hyperlink" Target="https://www.fuhrmann.at/de/stbw450.php" TargetMode="External" Id="rId2209" /><Relationship Type="http://schemas.openxmlformats.org/officeDocument/2006/relationships/hyperlink" Target="https://website-9ib.pages.dev/termek/acel-oldalfal-hvak-450/" TargetMode="External" Id="rId2210" /><Relationship Type="http://schemas.openxmlformats.org/officeDocument/2006/relationships/hyperlink" Target="https://www.fuhrmann.at/de/stbw500.php" TargetMode="External" Id="rId2211" /><Relationship Type="http://schemas.openxmlformats.org/officeDocument/2006/relationships/hyperlink" Target="https://website-9ib.pages.dev/termek/acel-oldalfal-hvak-500/" TargetMode="External" Id="rId2212" /><Relationship Type="http://schemas.openxmlformats.org/officeDocument/2006/relationships/hyperlink" Target="https://www.fuhrmann.at/de/stbw600.php" TargetMode="External" Id="rId2213" /><Relationship Type="http://schemas.openxmlformats.org/officeDocument/2006/relationships/hyperlink" Target="https://website-9ib.pages.dev/termek/acel-oldalfal-hvak-600/" TargetMode="External" Id="rId2214" /><Relationship Type="http://schemas.openxmlformats.org/officeDocument/2006/relationships/hyperlink" Target="https://www.fuhrmann.at/de/stbw600.php" TargetMode="External" Id="rId2215" /><Relationship Type="http://schemas.openxmlformats.org/officeDocument/2006/relationships/hyperlink" Target="https://website-9ib.pages.dev/termek/acel-oldalfal-hvakt-600/" TargetMode="External" Id="rId2216" /><Relationship Type="http://schemas.openxmlformats.org/officeDocument/2006/relationships/hyperlink" Target="https://www.fuhrmann.at/de/stbw800.php" TargetMode="External" Id="rId2217" /><Relationship Type="http://schemas.openxmlformats.org/officeDocument/2006/relationships/hyperlink" Target="https://website-9ib.pages.dev/termek/acel-oldalfal-hvaktt-800/" TargetMode="External" Id="rId2218" /><Relationship Type="http://schemas.openxmlformats.org/officeDocument/2006/relationships/hyperlink" Target="https://www.fuhrmann.at/de/stbw400.php" TargetMode="External" Id="rId2219" /><Relationship Type="http://schemas.openxmlformats.org/officeDocument/2006/relationships/hyperlink" Target="https://website-9ib.pages.dev/termek/acel-oldalfal-hvakkt-400/" TargetMode="External" Id="rId2220" /><Relationship Type="http://schemas.openxmlformats.org/officeDocument/2006/relationships/hyperlink" Target="https://www.fuhrmann.at/de/stbw400.php" TargetMode="External" Id="rId2221" /><Relationship Type="http://schemas.openxmlformats.org/officeDocument/2006/relationships/hyperlink" Target="https://website-9ib.pages.dev/termek/acel-oldalfal-hvd-400/" TargetMode="External" Id="rId2222" /><Relationship Type="http://schemas.openxmlformats.org/officeDocument/2006/relationships/hyperlink" Target="https://www.fuhrmann.at/de/stbw500.php" TargetMode="External" Id="rId2223" /><Relationship Type="http://schemas.openxmlformats.org/officeDocument/2006/relationships/hyperlink" Target="https://website-9ib.pages.dev/termek/acel-oldalfal-hvd-500/" TargetMode="External" Id="rId2224" /><Relationship Type="http://schemas.openxmlformats.org/officeDocument/2006/relationships/hyperlink" Target="https://www.fuhrmann.at/de/stbw600.php" TargetMode="External" Id="rId2225" /><Relationship Type="http://schemas.openxmlformats.org/officeDocument/2006/relationships/hyperlink" Target="https://website-9ib.pages.dev/termek/acel-oldalfal-hvd-600/" TargetMode="External" Id="rId2226" /><Relationship Type="http://schemas.openxmlformats.org/officeDocument/2006/relationships/hyperlink" Target="https://www.fuhrmann.at/de/stbw400.php" TargetMode="External" Id="rId2227" /><Relationship Type="http://schemas.openxmlformats.org/officeDocument/2006/relationships/hyperlink" Target="https://website-9ib.pages.dev/termek/acel-oldalfal-hvn-400/" TargetMode="External" Id="rId2228" /><Relationship Type="http://schemas.openxmlformats.org/officeDocument/2006/relationships/hyperlink" Target="https://www.fuhrmann.at/de/stbw450.php" TargetMode="External" Id="rId2229" /><Relationship Type="http://schemas.openxmlformats.org/officeDocument/2006/relationships/hyperlink" Target="https://website-9ib.pages.dev/termek/acel-oldalfal-hvn-450/" TargetMode="External" Id="rId2230" /><Relationship Type="http://schemas.openxmlformats.org/officeDocument/2006/relationships/hyperlink" Target="https://www.fuhrmann.at/de/stbw500.php" TargetMode="External" Id="rId2231" /><Relationship Type="http://schemas.openxmlformats.org/officeDocument/2006/relationships/hyperlink" Target="https://website-9ib.pages.dev/termek/acel-oldalfal-hvn-500/" TargetMode="External" Id="rId2232" /><Relationship Type="http://schemas.openxmlformats.org/officeDocument/2006/relationships/hyperlink" Target="https://www.fuhrmann.at/de/stbw600.php" TargetMode="External" Id="rId2233" /><Relationship Type="http://schemas.openxmlformats.org/officeDocument/2006/relationships/hyperlink" Target="https://website-9ib.pages.dev/termek/acel-oldalfal-hvn-600/" TargetMode="External" Id="rId2234" /><Relationship Type="http://schemas.openxmlformats.org/officeDocument/2006/relationships/hyperlink" Target="https://www.fuhrmann.at/de/stbw800.php" TargetMode="External" Id="rId2235" /><Relationship Type="http://schemas.openxmlformats.org/officeDocument/2006/relationships/hyperlink" Target="https://website-9ib.pages.dev/termek/acel-oldalfal-hvntt-800/" TargetMode="External" Id="rId2236" /><Relationship Type="http://schemas.openxmlformats.org/officeDocument/2006/relationships/hyperlink" Target="https://www.fuhrmann.at/de/stbw400.php" TargetMode="External" Id="rId2237" /><Relationship Type="http://schemas.openxmlformats.org/officeDocument/2006/relationships/hyperlink" Target="https://website-9ib.pages.dev/termek/acel-oldalfal-hvnkt-400/" TargetMode="External" Id="rId2238" /><Relationship Type="http://schemas.openxmlformats.org/officeDocument/2006/relationships/hyperlink" Target="https://www.fuhrmann.at/de/stbw800.php" TargetMode="External" Id="rId2239" /><Relationship Type="http://schemas.openxmlformats.org/officeDocument/2006/relationships/hyperlink" Target="https://website-9ib.pages.dev/termek/acel-oldalfal-hvtt-800/" TargetMode="External" Id="rId2240" /><Relationship Type="http://schemas.openxmlformats.org/officeDocument/2006/relationships/hyperlink" Target="https://www.fuhrmann.at/de/stbw1000.php" TargetMode="External" Id="rId2241" /><Relationship Type="http://schemas.openxmlformats.org/officeDocument/2006/relationships/hyperlink" Target="https://website-9ib.pages.dev/termek/acel-oldalfal-hvw-1000/" TargetMode="External" Id="rId2242" /><Relationship Type="http://schemas.openxmlformats.org/officeDocument/2006/relationships/hyperlink" Target="https://www.fuhrmann.at/de/stbw350.php" TargetMode="External" Id="rId2243" /><Relationship Type="http://schemas.openxmlformats.org/officeDocument/2006/relationships/hyperlink" Target="https://website-9ib.pages.dev/termek/acel-oldalfal-hvkt-350/" TargetMode="External" Id="rId2244" /><Relationship Type="http://schemas.openxmlformats.org/officeDocument/2006/relationships/hyperlink" Target="https://www.fuhrmann.at/de/stbw400.php" TargetMode="External" Id="rId2245" /><Relationship Type="http://schemas.openxmlformats.org/officeDocument/2006/relationships/hyperlink" Target="https://website-9ib.pages.dev/termek/acel-oldalfal-hvkt-400/" TargetMode="External" Id="rId2246" /><Relationship Type="http://schemas.openxmlformats.org/officeDocument/2006/relationships/hyperlink" Target="https://gnc-systems.com/en/products/axial-ventilator/" TargetMode="External" Id="rId2247" /><Relationship Type="http://schemas.openxmlformats.org/officeDocument/2006/relationships/hyperlink" Target="https://website-9ib.pages.dev/termek/gc-axial-ventilator/" TargetMode="External" Id="rId2248" /><Relationship Type="http://schemas.openxmlformats.org/officeDocument/2006/relationships/hyperlink" Target="https://gnc-systems.com/en/products/axialventilator/" TargetMode="External" Id="rId2249" /><Relationship Type="http://schemas.openxmlformats.org/officeDocument/2006/relationships/hyperlink" Target="https://website-9ib.pages.dev/termek/gc-axialventilator/" TargetMode="External" Id="rId2250" /><Relationship Type="http://schemas.openxmlformats.org/officeDocument/2006/relationships/hyperlink" Target="https://gnc-systems.com/en/products/ceilingflow/" TargetMode="External" Id="rId2251" /><Relationship Type="http://schemas.openxmlformats.org/officeDocument/2006/relationships/hyperlink" Target="https://website-9ib.pages.dev/termek/gc-ceilingflow/" TargetMode="External" Id="rId2252" /><Relationship Type="http://schemas.openxmlformats.org/officeDocument/2006/relationships/hyperlink" Target="https://gnc-systems.com/en/products/electric-round/" TargetMode="External" Id="rId2253" /><Relationship Type="http://schemas.openxmlformats.org/officeDocument/2006/relationships/hyperlink" Target="https://website-9ib.pages.dev/termek/gc-electric-round/" TargetMode="External" Id="rId2254" /><Relationship Type="http://schemas.openxmlformats.org/officeDocument/2006/relationships/hyperlink" Target="https://gnc-systems.com/en/products/speedcontrol/" TargetMode="External" Id="rId2255" /><Relationship Type="http://schemas.openxmlformats.org/officeDocument/2006/relationships/hyperlink" Target="https://website-9ib.pages.dev/termek/gc-speedcontrol/" TargetMode="External" Id="rId2256" /><Relationship Type="http://schemas.openxmlformats.org/officeDocument/2006/relationships/hyperlink" Target="https://gnc-systems.com/en/products/snowfilter/" TargetMode="External" Id="rId2257" /><Relationship Type="http://schemas.openxmlformats.org/officeDocument/2006/relationships/hyperlink" Target="https://website-9ib.pages.dev/termek/gc-snowfilter/" TargetMode="External" Id="rId2258" /><Relationship Type="http://schemas.openxmlformats.org/officeDocument/2006/relationships/hyperlink" Target="https://gnc-systems.com/en/products/switch-round/" TargetMode="External" Id="rId2259" /><Relationship Type="http://schemas.openxmlformats.org/officeDocument/2006/relationships/hyperlink" Target="https://website-9ib.pages.dev/termek/gc-switch-round/" TargetMode="External" Id="rId2260" /><Relationship Type="http://schemas.openxmlformats.org/officeDocument/2006/relationships/hyperlink" Target="https://gnc-systems.com/en/products/switch-square/" TargetMode="External" Id="rId2261" /><Relationship Type="http://schemas.openxmlformats.org/officeDocument/2006/relationships/hyperlink" Target="https://website-9ib.pages.dev/termek/gc-switch-square/" TargetMode="External" Id="rId2262" /><Relationship Type="http://schemas.openxmlformats.org/officeDocument/2006/relationships/hyperlink" Target="https://gnc-systems.com/en/products/roof-hatches-manual-big/" TargetMode="External" Id="rId2263" /><Relationship Type="http://schemas.openxmlformats.org/officeDocument/2006/relationships/hyperlink" Target="https://website-9ib.pages.dev/termek/gc-roof-hatches-manual-big/" TargetMode="External" Id="rId2264" /><Relationship Type="http://schemas.openxmlformats.org/officeDocument/2006/relationships/hyperlink" Target="https://gnc-systems.com/en/products/light-metal-rotary-valve/" TargetMode="External" Id="rId2265" /><Relationship Type="http://schemas.openxmlformats.org/officeDocument/2006/relationships/hyperlink" Target="https://website-9ib.pages.dev/termek/gc-light-metal-rotary-valve/" TargetMode="External" Id="rId2266" /><Relationship Type="http://schemas.openxmlformats.org/officeDocument/2006/relationships/hyperlink" Target="https://gnc-systems.com/en/products/lighting-round/" TargetMode="External" Id="rId2267" /><Relationship Type="http://schemas.openxmlformats.org/officeDocument/2006/relationships/hyperlink" Target="https://website-9ib.pages.dev/termek/gc-lighting-round/" TargetMode="External" Id="rId2268" /><Relationship Type="http://schemas.openxmlformats.org/officeDocument/2006/relationships/hyperlink" Target="https://gnc-systems.com/en/products/lighting-rectangle/" TargetMode="External" Id="rId2269" /><Relationship Type="http://schemas.openxmlformats.org/officeDocument/2006/relationships/hyperlink" Target="https://website-9ib.pages.dev/termek/gc-lighting-rectangle/" TargetMode="External" Id="rId2270" /><Relationship Type="http://schemas.openxmlformats.org/officeDocument/2006/relationships/hyperlink" Target="https://gnc-systems.com/en/products/le-mans-ll/" TargetMode="External" Id="rId2271" /><Relationship Type="http://schemas.openxmlformats.org/officeDocument/2006/relationships/hyperlink" Target="https://website-9ib.pages.dev/termek/gc-le-mans-ll/" TargetMode="External" Id="rId2272" /><Relationship Type="http://schemas.openxmlformats.org/officeDocument/2006/relationships/hyperlink" Target="https://gnc-systems.com/en/products/air-purifier-small/" TargetMode="External" Id="rId2273" /><Relationship Type="http://schemas.openxmlformats.org/officeDocument/2006/relationships/hyperlink" Target="https://website-9ib.pages.dev/termek/gc-air-purifier-small/" TargetMode="External" Id="rId2274" /><Relationship Type="http://schemas.openxmlformats.org/officeDocument/2006/relationships/hyperlink" Target="https://gnc-systems.com/en/products/air-purifier-large/" TargetMode="External" Id="rId2275" /><Relationship Type="http://schemas.openxmlformats.org/officeDocument/2006/relationships/hyperlink" Target="https://website-9ib.pages.dev/termek/gc-air-purifier-large/" TargetMode="External" Id="rId2276" /><Relationship Type="http://schemas.openxmlformats.org/officeDocument/2006/relationships/hyperlink" Target="https://gnc-systems.com/en/products/floor-ventilator/" TargetMode="External" Id="rId2277" /><Relationship Type="http://schemas.openxmlformats.org/officeDocument/2006/relationships/hyperlink" Target="https://website-9ib.pages.dev/termek/gc-floor-ventilator/" TargetMode="External" Id="rId2278" /><Relationship Type="http://schemas.openxmlformats.org/officeDocument/2006/relationships/hyperlink" Target="https://gnc-systems.com/en/products/floor-ventilator-2/" TargetMode="External" Id="rId2279" /><Relationship Type="http://schemas.openxmlformats.org/officeDocument/2006/relationships/hyperlink" Target="https://website-9ib.pages.dev/termek/gc-floor-ventilator-2/" TargetMode="External" Id="rId2280" /><Relationship Type="http://schemas.openxmlformats.org/officeDocument/2006/relationships/hyperlink" Target="https://gnc-systems.com/en/products/radial-ventilator/" TargetMode="External" Id="rId2281" /><Relationship Type="http://schemas.openxmlformats.org/officeDocument/2006/relationships/hyperlink" Target="https://website-9ib.pages.dev/termek/gc-radial-ventilator/" TargetMode="External" Id="rId2282" /><Relationship Type="http://schemas.openxmlformats.org/officeDocument/2006/relationships/hyperlink" Target="https://gnc-systems.com/en/products/rooftop_ventilators/" TargetMode="External" Id="rId2283" /><Relationship Type="http://schemas.openxmlformats.org/officeDocument/2006/relationships/hyperlink" Target="https://website-9ib.pages.dev/termek/gc-rooftop-ventilators/" TargetMode="External" Id="rId2284" /><Relationship Type="http://schemas.openxmlformats.org/officeDocument/2006/relationships/hyperlink" Target="https://gnc-systems.com/en/products/winglet/" TargetMode="External" Id="rId2285" /><Relationship Type="http://schemas.openxmlformats.org/officeDocument/2006/relationships/hyperlink" Target="https://website-9ib.pages.dev/termek/gc-winglet/" TargetMode="External" Id="rId2286" /><Relationship Type="http://schemas.openxmlformats.org/officeDocument/2006/relationships/hyperlink" Target="https://www.rubberselect.com/en/products/matting/entrance-ringmat" TargetMode="External" Id="rId2287" /><Relationship Type="http://schemas.openxmlformats.org/officeDocument/2006/relationships/hyperlink" Target="https://website-9ib.pages.dev/termek/bejarati-lyukacsos-gumiszonyeg-rme-12-0-900-1500/" TargetMode="External" Id="rId2288" /><Relationship Type="http://schemas.openxmlformats.org/officeDocument/2006/relationships/hyperlink" Target="https://www.rubberselect.com/en/products/sponge-rubber/epdm-sponge-rubber" TargetMode="External" Id="rId2289" /><Relationship Type="http://schemas.openxmlformats.org/officeDocument/2006/relationships/hyperlink" Target="https://website-9ib.pages.dev/termek/epdm-moosgumi-szivacsgumi-em-10-0-1-2-10/" TargetMode="External" Id="rId2290" /><Relationship Type="http://schemas.openxmlformats.org/officeDocument/2006/relationships/hyperlink" Target="https://www.rubberselect.com/en/products/sponge-rubber/epdm-sponge-rubber" TargetMode="External" Id="rId2291" /><Relationship Type="http://schemas.openxmlformats.org/officeDocument/2006/relationships/hyperlink" Target="https://website-9ib.pages.dev/termek/epdm-moosgumi-szivacsgumi-em-12-0-1-2-2/" TargetMode="External" Id="rId2292" /><Relationship Type="http://schemas.openxmlformats.org/officeDocument/2006/relationships/hyperlink" Target="https://www.rubberselect.com/en/products/sponge-rubber/epdm-sponge-rubber" TargetMode="External" Id="rId2293" /><Relationship Type="http://schemas.openxmlformats.org/officeDocument/2006/relationships/hyperlink" Target="https://website-9ib.pages.dev/termek/epdm-moosgumi-szivacsgumi-em-15-0-1-2/" TargetMode="External" Id="rId2294" /><Relationship Type="http://schemas.openxmlformats.org/officeDocument/2006/relationships/hyperlink" Target="https://www.rubberselect.com/en/products/sponge-rubber/epdm-sponge-rubber" TargetMode="External" Id="rId2295" /><Relationship Type="http://schemas.openxmlformats.org/officeDocument/2006/relationships/hyperlink" Target="https://website-9ib.pages.dev/termek/epdm-moosgumi-szivacsgumi-em-2-0-1-2-10/" TargetMode="External" Id="rId2296" /><Relationship Type="http://schemas.openxmlformats.org/officeDocument/2006/relationships/hyperlink" Target="https://www.rubberselect.com/en/products/sponge-rubber/epdm-sponge-rubber" TargetMode="External" Id="rId2297" /><Relationship Type="http://schemas.openxmlformats.org/officeDocument/2006/relationships/hyperlink" Target="https://website-9ib.pages.dev/termek/epdm-moosgumi-szivacsgumi-em-20-0-1-2-2/" TargetMode="External" Id="rId2298" /><Relationship Type="http://schemas.openxmlformats.org/officeDocument/2006/relationships/hyperlink" Target="https://www.rubberselect.com/en/products/sponge-rubber/epdm-sponge-rubber" TargetMode="External" Id="rId2299" /><Relationship Type="http://schemas.openxmlformats.org/officeDocument/2006/relationships/hyperlink" Target="https://website-9ib.pages.dev/termek/epdm-moosgumi-szivacsgumi-em-3-0-1-2-10/" TargetMode="External" Id="rId2300" /><Relationship Type="http://schemas.openxmlformats.org/officeDocument/2006/relationships/hyperlink" Target="https://www.rubberselect.com/en/products/sponge-rubber/epdm-sponge-rubber" TargetMode="External" Id="rId2301" /><Relationship Type="http://schemas.openxmlformats.org/officeDocument/2006/relationships/hyperlink" Target="https://website-9ib.pages.dev/termek/epdm-moosgumi-szivacsgumi-em-4-0-1-2-10/" TargetMode="External" Id="rId2302" /><Relationship Type="http://schemas.openxmlformats.org/officeDocument/2006/relationships/hyperlink" Target="https://www.rubberselect.com/en/products/sponge-rubber/epdm-sponge-rubber" TargetMode="External" Id="rId2303" /><Relationship Type="http://schemas.openxmlformats.org/officeDocument/2006/relationships/hyperlink" Target="https://website-9ib.pages.dev/termek/epdm-moosgumi-szivacsgumi-em-5-0-1-2-10/" TargetMode="External" Id="rId2304" /><Relationship Type="http://schemas.openxmlformats.org/officeDocument/2006/relationships/hyperlink" Target="https://www.rubberselect.com/en/products/sponge-rubber/epdm-sponge-rubber" TargetMode="External" Id="rId2305" /><Relationship Type="http://schemas.openxmlformats.org/officeDocument/2006/relationships/hyperlink" Target="https://website-9ib.pages.dev/termek/epdm-moosgumi-szivacsgumi-em-6-0-1-2-10/" TargetMode="External" Id="rId2306" /><Relationship Type="http://schemas.openxmlformats.org/officeDocument/2006/relationships/hyperlink" Target="https://www.rubberselect.com/en/products/sponge-rubber/epdm-sponge-rubber" TargetMode="External" Id="rId2307" /><Relationship Type="http://schemas.openxmlformats.org/officeDocument/2006/relationships/hyperlink" Target="https://website-9ib.pages.dev/termek/epdm-moosgumi-szivacsgumi-em-8-0-1-2-10/" TargetMode="External" Id="rId2308" /><Relationship Type="http://schemas.openxmlformats.org/officeDocument/2006/relationships/hyperlink" Target="https://www.rubberselect.com/en/products/granulate/protection-mat-strong" TargetMode="External" Id="rId2309" /><Relationship Type="http://schemas.openxmlformats.org/officeDocument/2006/relationships/hyperlink" Target="https://website-9ib.pages.dev/termek/erositett-gumigranulatum-vedolap-pm850-10-0-1-25-10/" TargetMode="External" Id="rId2310" /><Relationship Type="http://schemas.openxmlformats.org/officeDocument/2006/relationships/hyperlink" Target="https://www.rubberselect.com/en/products/granulate/protection-mat-strong" TargetMode="External" Id="rId2311" /><Relationship Type="http://schemas.openxmlformats.org/officeDocument/2006/relationships/hyperlink" Target="https://website-9ib.pages.dev/termek/erositett-gumigranulatum-vedolap-pm850-3-0-1-25-10/" TargetMode="External" Id="rId2312" /><Relationship Type="http://schemas.openxmlformats.org/officeDocument/2006/relationships/hyperlink" Target="https://www.rubberselect.com/en/products/granulate/protection-mat-strong" TargetMode="External" Id="rId2313" /><Relationship Type="http://schemas.openxmlformats.org/officeDocument/2006/relationships/hyperlink" Target="https://website-9ib.pages.dev/termek/erositett-gumigranulatum-vedolap-pm850-4-0-1-25-10/" TargetMode="External" Id="rId2314" /><Relationship Type="http://schemas.openxmlformats.org/officeDocument/2006/relationships/hyperlink" Target="https://www.rubberselect.com/en/products/granulate/protection-mat-strong" TargetMode="External" Id="rId2315" /><Relationship Type="http://schemas.openxmlformats.org/officeDocument/2006/relationships/hyperlink" Target="https://website-9ib.pages.dev/termek/erositett-gumigranulatum-vedolap-pm850-5-0-1-25-10/" TargetMode="External" Id="rId2316" /><Relationship Type="http://schemas.openxmlformats.org/officeDocument/2006/relationships/hyperlink" Target="https://www.rubberselect.com/en/products/granulate/protection-mat-strong" TargetMode="External" Id="rId2317" /><Relationship Type="http://schemas.openxmlformats.org/officeDocument/2006/relationships/hyperlink" Target="https://website-9ib.pages.dev/termek/erositett-gumigranulatum-vedolap-pm850-6-0-1-25-10/" TargetMode="External" Id="rId2318" /><Relationship Type="http://schemas.openxmlformats.org/officeDocument/2006/relationships/hyperlink" Target="https://www.rubberselect.com/en/products/granulate/protection-mat-strong" TargetMode="External" Id="rId2319" /><Relationship Type="http://schemas.openxmlformats.org/officeDocument/2006/relationships/hyperlink" Target="https://website-9ib.pages.dev/termek/erositett-gumigranulatum-vedolap-pm850-8-0-1-25-10/" TargetMode="External" Id="rId2320" /><Relationship Type="http://schemas.openxmlformats.org/officeDocument/2006/relationships/hyperlink" Target="https://www.rubberselect.com/en/products/pvc/hanging-set" TargetMode="External" Id="rId2321" /><Relationship Type="http://schemas.openxmlformats.org/officeDocument/2006/relationships/hyperlink" Target="https://website-9ib.pages.dev/termek/felfuggeszto-keszlet-pvc-fuggonyhoz-pvcklem-200-200/" TargetMode="External" Id="rId2322" /><Relationship Type="http://schemas.openxmlformats.org/officeDocument/2006/relationships/hyperlink" Target="https://www.rubberselect.com/en/products/pvc/hanging-set" TargetMode="External" Id="rId2323" /><Relationship Type="http://schemas.openxmlformats.org/officeDocument/2006/relationships/hyperlink" Target="https://website-9ib.pages.dev/termek/felfuggeszto-keszlet-pvc-fuggonyhoz-pvcklem-300-300/" TargetMode="External" Id="rId2324" /><Relationship Type="http://schemas.openxmlformats.org/officeDocument/2006/relationships/hyperlink" Target="https://www.rubberselect.com/en/products/pvc/hanging-set" TargetMode="External" Id="rId2325" /><Relationship Type="http://schemas.openxmlformats.org/officeDocument/2006/relationships/hyperlink" Target="https://website-9ib.pages.dev/termek/felfuggeszto-keszlet-pvc-fuggonyhoz-pvcklem-400-400/" TargetMode="External" Id="rId2326" /><Relationship Type="http://schemas.openxmlformats.org/officeDocument/2006/relationships/hyperlink" Target="https://www.rubberselect.com/en/products/pvc/suspension-rail" TargetMode="External" Id="rId2327" /><Relationship Type="http://schemas.openxmlformats.org/officeDocument/2006/relationships/hyperlink" Target="https://website-9ib.pages.dev/termek/felfuggeszto-sin-pvc-fuggonyhoz-pvcrail-1/" TargetMode="External" Id="rId2328" /><Relationship Type="http://schemas.openxmlformats.org/officeDocument/2006/relationships/hyperlink" Target="https://www.rubberselect.com/en/products/matting/fine-rib-mat" TargetMode="External" Id="rId2329" /><Relationship Type="http://schemas.openxmlformats.org/officeDocument/2006/relationships/hyperlink" Target="https://website-9ib.pages.dev/termek/finombordas-gumiszonyeg-fr-3-0-1000-10000/" TargetMode="External" Id="rId2330" /><Relationship Type="http://schemas.openxmlformats.org/officeDocument/2006/relationships/hyperlink" Target="https://www.rubberselect.com/en/products/matting/fine-rib-mat" TargetMode="External" Id="rId2331" /><Relationship Type="http://schemas.openxmlformats.org/officeDocument/2006/relationships/hyperlink" Target="https://website-9ib.pages.dev/termek/finombordas-gumiszonyeg-fr-3-0-1200-10000/" TargetMode="External" Id="rId2332" /><Relationship Type="http://schemas.openxmlformats.org/officeDocument/2006/relationships/hyperlink" Target="https://www.rubberselect.com/en/products/matting/fine-rib-mat" TargetMode="External" Id="rId2333" /><Relationship Type="http://schemas.openxmlformats.org/officeDocument/2006/relationships/hyperlink" Target="https://website-9ib.pages.dev/termek/finombordas-gumiszonyeg-fr-3-1-1200-10000/" TargetMode="External" Id="rId2334" /><Relationship Type="http://schemas.openxmlformats.org/officeDocument/2006/relationships/hyperlink" Target="https://www.rubberselect.com/en/products/matting/fine-rib-mat" TargetMode="External" Id="rId2335" /><Relationship Type="http://schemas.openxmlformats.org/officeDocument/2006/relationships/hyperlink" Target="https://website-9ib.pages.dev/termek/finombordas-gumiszonyeg-fr-3-0-1-8-1800-10000/" TargetMode="External" Id="rId2336" /><Relationship Type="http://schemas.openxmlformats.org/officeDocument/2006/relationships/hyperlink" Target="https://www.rubberselect.com/en/products/matting/fine-rib-mat" TargetMode="External" Id="rId2337" /><Relationship Type="http://schemas.openxmlformats.org/officeDocument/2006/relationships/hyperlink" Target="https://website-9ib.pages.dev/termek/finombordas-gumiszonyeg-fr-3-0-2-2000-10000/" TargetMode="External" Id="rId2338" /><Relationship Type="http://schemas.openxmlformats.org/officeDocument/2006/relationships/hyperlink" Target="https://www.rubberselect.com/en/products/granulate/sportsflooring" TargetMode="External" Id="rId2339" /><Relationship Type="http://schemas.openxmlformats.org/officeDocument/2006/relationships/hyperlink" Target="https://website-9ib.pages.dev/termek/gumigranulatum-padlolap-sfb-6-0-1-25-10/" TargetMode="External" Id="rId2340" /><Relationship Type="http://schemas.openxmlformats.org/officeDocument/2006/relationships/hyperlink" Target="https://www.rubberselect.com/en/products/granulate/sportsflooring" TargetMode="External" Id="rId2341" /><Relationship Type="http://schemas.openxmlformats.org/officeDocument/2006/relationships/hyperlink" Target="https://website-9ib.pages.dev/termek/gumigranulatum-padlolap-sf-6-0-1-25-10/" TargetMode="External" Id="rId2342" /><Relationship Type="http://schemas.openxmlformats.org/officeDocument/2006/relationships/hyperlink" Target="https://www.rubberselect.com/en/products/granulate/sportsflooring" TargetMode="External" Id="rId2343" /><Relationship Type="http://schemas.openxmlformats.org/officeDocument/2006/relationships/hyperlink" Target="https://website-9ib.pages.dev/termek/gumigranulatum-padlolap-sf-6-0-1-25-10-2/" TargetMode="External" Id="rId2344" /><Relationship Type="http://schemas.openxmlformats.org/officeDocument/2006/relationships/hyperlink" Target="https://www.rubberselect.com/en/products/granulate/sportsflooring" TargetMode="External" Id="rId2345" /><Relationship Type="http://schemas.openxmlformats.org/officeDocument/2006/relationships/hyperlink" Target="https://website-9ib.pages.dev/termek/gumigranulatum-padlolap-sfb-8-0-1-25-10/" TargetMode="External" Id="rId2346" /><Relationship Type="http://schemas.openxmlformats.org/officeDocument/2006/relationships/hyperlink" Target="https://www.rubberselect.com/en/products/granulate/sportsflooring" TargetMode="External" Id="rId2347" /><Relationship Type="http://schemas.openxmlformats.org/officeDocument/2006/relationships/hyperlink" Target="https://website-9ib.pages.dev/termek/gumigranulatum-padlolap-sf-8-0-1-25-10/" TargetMode="External" Id="rId2348" /><Relationship Type="http://schemas.openxmlformats.org/officeDocument/2006/relationships/hyperlink" Target="https://www.rubberselect.com/en/products/granulate/sportsflooring" TargetMode="External" Id="rId2349" /><Relationship Type="http://schemas.openxmlformats.org/officeDocument/2006/relationships/hyperlink" Target="https://website-9ib.pages.dev/termek/gumigranulatum-padlolap-sf-8-0-1-25-10-2/" TargetMode="External" Id="rId2350" /><Relationship Type="http://schemas.openxmlformats.org/officeDocument/2006/relationships/hyperlink" Target="https://www.rubberselect.com/en/products/granulate/protection-mat-standard" TargetMode="External" Id="rId2351" /><Relationship Type="http://schemas.openxmlformats.org/officeDocument/2006/relationships/hyperlink" Target="https://website-9ib.pages.dev/termek/gumigranulatum-vedolap-pm730-10-0-1-25-10/" TargetMode="External" Id="rId2352" /><Relationship Type="http://schemas.openxmlformats.org/officeDocument/2006/relationships/hyperlink" Target="https://www.rubberselect.com/en/products/granulate/protection-mat-standard" TargetMode="External" Id="rId2353" /><Relationship Type="http://schemas.openxmlformats.org/officeDocument/2006/relationships/hyperlink" Target="https://website-9ib.pages.dev/termek/gumigranulatum-vedolap-pm730-15-0-1-25-10/" TargetMode="External" Id="rId2354" /><Relationship Type="http://schemas.openxmlformats.org/officeDocument/2006/relationships/hyperlink" Target="https://www.rubberselect.com/en/products/granulate/protection-mat-standard" TargetMode="External" Id="rId2355" /><Relationship Type="http://schemas.openxmlformats.org/officeDocument/2006/relationships/hyperlink" Target="https://website-9ib.pages.dev/termek/gumigranulatum-vedolap-pm730-20-0-1-25-10/" TargetMode="External" Id="rId2356" /><Relationship Type="http://schemas.openxmlformats.org/officeDocument/2006/relationships/hyperlink" Target="https://www.rubberselect.com/en/products/granulate/protection-mat-standard" TargetMode="External" Id="rId2357" /><Relationship Type="http://schemas.openxmlformats.org/officeDocument/2006/relationships/hyperlink" Target="https://website-9ib.pages.dev/termek/gumigranulatum-vedolap-pm730-5-0-1-25-10/" TargetMode="External" Id="rId2358" /><Relationship Type="http://schemas.openxmlformats.org/officeDocument/2006/relationships/hyperlink" Target="https://www.rubberselect.com/en/products/granulate/protection-mat-standard" TargetMode="External" Id="rId2359" /><Relationship Type="http://schemas.openxmlformats.org/officeDocument/2006/relationships/hyperlink" Target="https://website-9ib.pages.dev/termek/gumigranulatum-vedolap-pm730-6-0-1-25-10/" TargetMode="External" Id="rId2360" /><Relationship Type="http://schemas.openxmlformats.org/officeDocument/2006/relationships/hyperlink" Target="https://www.rubberselect.com/en/products/granulate/protection-mat-standard" TargetMode="External" Id="rId2361" /><Relationship Type="http://schemas.openxmlformats.org/officeDocument/2006/relationships/hyperlink" Target="https://website-9ib.pages.dev/termek/gumigranulatum-vedolap-pm730-8-0-1-25-10/" TargetMode="External" Id="rId2362" /><Relationship Type="http://schemas.openxmlformats.org/officeDocument/2006/relationships/hyperlink" Target="https://www.rubberselect.com/en/products/nrsbr-rubber-sheets/allpac-plate" TargetMode="External" Id="rId2363" /><Relationship Type="http://schemas.openxmlformats.org/officeDocument/2006/relationships/hyperlink" Target="https://website-9ib.pages.dev/termek/gumilap-nr-sbr-sbr-100-0-1x1-1-1/" TargetMode="External" Id="rId2364" /><Relationship Type="http://schemas.openxmlformats.org/officeDocument/2006/relationships/hyperlink" Target="https://www.rubberselect.com/en/products/nrsbr-rubber-sheets/allpac-plate" TargetMode="External" Id="rId2365" /><Relationship Type="http://schemas.openxmlformats.org/officeDocument/2006/relationships/hyperlink" Target="https://website-9ib.pages.dev/termek/gumilap-nr-sbr-sbr-15-0-1x1-1-1/" TargetMode="External" Id="rId2366" /><Relationship Type="http://schemas.openxmlformats.org/officeDocument/2006/relationships/hyperlink" Target="https://www.rubberselect.com/en/products/nrsbr-rubber-sheets/allpac-plate" TargetMode="External" Id="rId2367" /><Relationship Type="http://schemas.openxmlformats.org/officeDocument/2006/relationships/hyperlink" Target="https://website-9ib.pages.dev/termek/gumilap-nr-sbr-sbr-20-0-1x1-1-1/" TargetMode="External" Id="rId2368" /><Relationship Type="http://schemas.openxmlformats.org/officeDocument/2006/relationships/hyperlink" Target="https://www.rubberselect.com/en/products/nrsbr-rubber-sheets/allpac-plate" TargetMode="External" Id="rId2369" /><Relationship Type="http://schemas.openxmlformats.org/officeDocument/2006/relationships/hyperlink" Target="https://website-9ib.pages.dev/termek/gumilap-nr-sbr-sbr-30-0-1-4-2/" TargetMode="External" Id="rId2370" /><Relationship Type="http://schemas.openxmlformats.org/officeDocument/2006/relationships/hyperlink" Target="https://www.rubberselect.com/en/products/nrsbr-rubber-sheets/allpac-plate" TargetMode="External" Id="rId2371" /><Relationship Type="http://schemas.openxmlformats.org/officeDocument/2006/relationships/hyperlink" Target="https://website-9ib.pages.dev/termek/gumilap-nr-sbr-sbr-30-0-1x1-1-1/" TargetMode="External" Id="rId2372" /><Relationship Type="http://schemas.openxmlformats.org/officeDocument/2006/relationships/hyperlink" Target="https://www.rubberselect.com/en/products/nrsbr-rubber-sheets/allpac-plate" TargetMode="External" Id="rId2373" /><Relationship Type="http://schemas.openxmlformats.org/officeDocument/2006/relationships/hyperlink" Target="https://website-9ib.pages.dev/termek/gumilap-nr-sbr-sbr-40-0-1-4-2/" TargetMode="External" Id="rId2374" /><Relationship Type="http://schemas.openxmlformats.org/officeDocument/2006/relationships/hyperlink" Target="https://www.rubberselect.com/en/products/nrsbr-rubber-sheets/allpac-plate" TargetMode="External" Id="rId2375" /><Relationship Type="http://schemas.openxmlformats.org/officeDocument/2006/relationships/hyperlink" Target="https://website-9ib.pages.dev/termek/gumilap-nr-sbr-sbr-40-0-1x1-1-1/" TargetMode="External" Id="rId2376" /><Relationship Type="http://schemas.openxmlformats.org/officeDocument/2006/relationships/hyperlink" Target="https://www.rubberselect.com/en/products/nrsbr-rubber-sheets/allpac-plate" TargetMode="External" Id="rId2377" /><Relationship Type="http://schemas.openxmlformats.org/officeDocument/2006/relationships/hyperlink" Target="https://website-9ib.pages.dev/termek/gumilap-nr-sbr-sbr-50-0-1-4-2/" TargetMode="External" Id="rId2378" /><Relationship Type="http://schemas.openxmlformats.org/officeDocument/2006/relationships/hyperlink" Target="https://www.rubberselect.com/en/products/nrsbr-rubber-sheets/allpac-plate" TargetMode="External" Id="rId2379" /><Relationship Type="http://schemas.openxmlformats.org/officeDocument/2006/relationships/hyperlink" Target="https://website-9ib.pages.dev/termek/gumilap-nr-sbr-sbr-50-0-1x1-1-1/" TargetMode="External" Id="rId2380" /><Relationship Type="http://schemas.openxmlformats.org/officeDocument/2006/relationships/hyperlink" Target="https://www.rubberselect.com/en/products/nrsbr-rubber-sheets/allpac-plate" TargetMode="External" Id="rId2381" /><Relationship Type="http://schemas.openxmlformats.org/officeDocument/2006/relationships/hyperlink" Target="https://website-9ib.pages.dev/termek/gumilap-nr-sbr-sbr-80-0-1x1-1-1/" TargetMode="External" Id="rId2382" /><Relationship Type="http://schemas.openxmlformats.org/officeDocument/2006/relationships/hyperlink" Target="https://www.rubberselect.com/en/products/nrsbr-rubber-sheets/allpac" TargetMode="External" Id="rId2383" /><Relationship Type="http://schemas.openxmlformats.org/officeDocument/2006/relationships/hyperlink" Target="https://website-9ib.pages.dev/termek/gumilemez-nr-sbr-sbr-1-0-1-2-10/" TargetMode="External" Id="rId2384" /><Relationship Type="http://schemas.openxmlformats.org/officeDocument/2006/relationships/hyperlink" Target="https://www.rubberselect.com/en/products/nrsbr-rubber-sheets/allpac" TargetMode="External" Id="rId2385" /><Relationship Type="http://schemas.openxmlformats.org/officeDocument/2006/relationships/hyperlink" Target="https://website-9ib.pages.dev/termek/gumilemez-nr-sbr-sbr-1-0-1-2-20/" TargetMode="External" Id="rId2386" /><Relationship Type="http://schemas.openxmlformats.org/officeDocument/2006/relationships/hyperlink" Target="https://www.rubberselect.com/en/products/nrsbr-rubber-sheets/allpac" TargetMode="External" Id="rId2387" /><Relationship Type="http://schemas.openxmlformats.org/officeDocument/2006/relationships/hyperlink" Target="https://website-9ib.pages.dev/termek/gumilemez-nr-sbr-sbr-1-0-1-4-10/" TargetMode="External" Id="rId2388" /><Relationship Type="http://schemas.openxmlformats.org/officeDocument/2006/relationships/hyperlink" Target="https://www.rubberselect.com/en/products/nrsbr-rubber-sheets/allpac" TargetMode="External" Id="rId2389" /><Relationship Type="http://schemas.openxmlformats.org/officeDocument/2006/relationships/hyperlink" Target="https://website-9ib.pages.dev/termek/gumilemez-nr-sbr-sbr-1-0-1-4-20/" TargetMode="External" Id="rId2390" /><Relationship Type="http://schemas.openxmlformats.org/officeDocument/2006/relationships/hyperlink" Target="https://www.rubberselect.com/en/products/nrsbr-rubber-sheets/allpac" TargetMode="External" Id="rId2391" /><Relationship Type="http://schemas.openxmlformats.org/officeDocument/2006/relationships/hyperlink" Target="https://website-9ib.pages.dev/termek/gumilemez-nr-sbr-sbr-1-0-1-20/" TargetMode="External" Id="rId2392" /><Relationship Type="http://schemas.openxmlformats.org/officeDocument/2006/relationships/hyperlink" Target="https://www.rubberselect.com/en/products/nrsbr-rubber-sheets/allpac" TargetMode="External" Id="rId2393" /><Relationship Type="http://schemas.openxmlformats.org/officeDocument/2006/relationships/hyperlink" Target="https://website-9ib.pages.dev/termek/gumilemez-nr-sbr-sbr-1-5-0-1-4-10/" TargetMode="External" Id="rId2394" /><Relationship Type="http://schemas.openxmlformats.org/officeDocument/2006/relationships/hyperlink" Target="https://www.rubberselect.com/en/products/nrsbr-rubber-sheets/allpac" TargetMode="External" Id="rId2395" /><Relationship Type="http://schemas.openxmlformats.org/officeDocument/2006/relationships/hyperlink" Target="https://website-9ib.pages.dev/termek/gumilemez-nr-sbr-sbr-1-5-0-1-4-15/" TargetMode="External" Id="rId2396" /><Relationship Type="http://schemas.openxmlformats.org/officeDocument/2006/relationships/hyperlink" Target="https://www.rubberselect.com/en/products/nrsbr-rubber-sheets/allpac" TargetMode="External" Id="rId2397" /><Relationship Type="http://schemas.openxmlformats.org/officeDocument/2006/relationships/hyperlink" Target="https://website-9ib.pages.dev/termek/gumilemez-nr-sbr-sbr-10-0-1-2-10/" TargetMode="External" Id="rId2398" /><Relationship Type="http://schemas.openxmlformats.org/officeDocument/2006/relationships/hyperlink" Target="https://www.rubberselect.com/en/products/nrsbr-rubber-sheets/allpac" TargetMode="External" Id="rId2399" /><Relationship Type="http://schemas.openxmlformats.org/officeDocument/2006/relationships/hyperlink" Target="https://website-9ib.pages.dev/termek/gumilemez-nr-sbr-sbr-10-0-1-2-5/" TargetMode="External" Id="rId2400" /><Relationship Type="http://schemas.openxmlformats.org/officeDocument/2006/relationships/hyperlink" Target="https://www.rubberselect.com/en/products/nrsbr-rubber-sheets/allpac" TargetMode="External" Id="rId2401" /><Relationship Type="http://schemas.openxmlformats.org/officeDocument/2006/relationships/hyperlink" Target="https://website-9ib.pages.dev/termek/gumilemez-nr-sbr-sbr-10-0-1-4-10/" TargetMode="External" Id="rId2402" /><Relationship Type="http://schemas.openxmlformats.org/officeDocument/2006/relationships/hyperlink" Target="https://www.rubberselect.com/en/products/nrsbr-rubber-sheets/allpac" TargetMode="External" Id="rId2403" /><Relationship Type="http://schemas.openxmlformats.org/officeDocument/2006/relationships/hyperlink" Target="https://website-9ib.pages.dev/termek/gumilemez-nr-sbr-sbr-10-0-1-4-5/" TargetMode="External" Id="rId2404" /><Relationship Type="http://schemas.openxmlformats.org/officeDocument/2006/relationships/hyperlink" Target="https://www.rubberselect.com/en/products/nrsbr-rubber-sheets/allpac" TargetMode="External" Id="rId2405" /><Relationship Type="http://schemas.openxmlformats.org/officeDocument/2006/relationships/hyperlink" Target="https://website-9ib.pages.dev/termek/gumilemez-nr-sbr-sbr-12-0-1-2-10/" TargetMode="External" Id="rId2406" /><Relationship Type="http://schemas.openxmlformats.org/officeDocument/2006/relationships/hyperlink" Target="https://www.rubberselect.com/en/products/nrsbr-rubber-sheets/allpac" TargetMode="External" Id="rId2407" /><Relationship Type="http://schemas.openxmlformats.org/officeDocument/2006/relationships/hyperlink" Target="https://website-9ib.pages.dev/termek/gumilemez-nr-sbr-sbr-12-0-1-4-10/" TargetMode="External" Id="rId2408" /><Relationship Type="http://schemas.openxmlformats.org/officeDocument/2006/relationships/hyperlink" Target="https://www.rubberselect.com/en/products/nrsbr-rubber-sheets/allpac" TargetMode="External" Id="rId2409" /><Relationship Type="http://schemas.openxmlformats.org/officeDocument/2006/relationships/hyperlink" Target="https://website-9ib.pages.dev/termek/gumilemez-nr-sbr-sbr-12-0-1-4-5/" TargetMode="External" Id="rId2410" /><Relationship Type="http://schemas.openxmlformats.org/officeDocument/2006/relationships/hyperlink" Target="https://www.rubberselect.com/en/products/nrsbr-rubber-sheets/allpac" TargetMode="External" Id="rId2411" /><Relationship Type="http://schemas.openxmlformats.org/officeDocument/2006/relationships/hyperlink" Target="https://website-9ib.pages.dev/termek/gumilemez-nr-sbr-sbr-15-0-1-4-10/" TargetMode="External" Id="rId2412" /><Relationship Type="http://schemas.openxmlformats.org/officeDocument/2006/relationships/hyperlink" Target="https://www.rubberselect.com/en/products/nrsbr-rubber-sheets/allpac" TargetMode="External" Id="rId2413" /><Relationship Type="http://schemas.openxmlformats.org/officeDocument/2006/relationships/hyperlink" Target="https://website-9ib.pages.dev/termek/gumilemez-nr-sbr-sbr-15-0-1-4-5/" TargetMode="External" Id="rId2414" /><Relationship Type="http://schemas.openxmlformats.org/officeDocument/2006/relationships/hyperlink" Target="https://www.rubberselect.com/en/products/nrsbr-rubber-sheets/allpac" TargetMode="External" Id="rId2415" /><Relationship Type="http://schemas.openxmlformats.org/officeDocument/2006/relationships/hyperlink" Target="https://website-9ib.pages.dev/termek/gumilemez-nr-sbr-sbr-2-0-1-2-10/" TargetMode="External" Id="rId2416" /><Relationship Type="http://schemas.openxmlformats.org/officeDocument/2006/relationships/hyperlink" Target="https://www.rubberselect.com/en/products/nrsbr-rubber-sheets/allpac" TargetMode="External" Id="rId2417" /><Relationship Type="http://schemas.openxmlformats.org/officeDocument/2006/relationships/hyperlink" Target="https://website-9ib.pages.dev/termek/gumilemez-nr-sbr-sbr-2-0-1-4-10/" TargetMode="External" Id="rId2418" /><Relationship Type="http://schemas.openxmlformats.org/officeDocument/2006/relationships/hyperlink" Target="https://www.rubberselect.com/en/products/nrsbr-rubber-sheets/allpac" TargetMode="External" Id="rId2419" /><Relationship Type="http://schemas.openxmlformats.org/officeDocument/2006/relationships/hyperlink" Target="https://website-9ib.pages.dev/termek/gumilemez-nr-sbr-sbr-2-0-1-4-20/" TargetMode="External" Id="rId2420" /><Relationship Type="http://schemas.openxmlformats.org/officeDocument/2006/relationships/hyperlink" Target="https://www.rubberselect.com/en/products/nrsbr-rubber-sheets/allpac" TargetMode="External" Id="rId2421" /><Relationship Type="http://schemas.openxmlformats.org/officeDocument/2006/relationships/hyperlink" Target="https://website-9ib.pages.dev/termek/gumilemez-nr-sbr-sbr-20-0-1-4-10/" TargetMode="External" Id="rId2422" /><Relationship Type="http://schemas.openxmlformats.org/officeDocument/2006/relationships/hyperlink" Target="https://www.rubberselect.com/en/products/nrsbr-rubber-sheets/allpac" TargetMode="External" Id="rId2423" /><Relationship Type="http://schemas.openxmlformats.org/officeDocument/2006/relationships/hyperlink" Target="https://website-9ib.pages.dev/termek/gumilemez-nr-sbr-sbr-20-0-1-4-5/" TargetMode="External" Id="rId2424" /><Relationship Type="http://schemas.openxmlformats.org/officeDocument/2006/relationships/hyperlink" Target="https://www.rubberselect.com/en/products/nrsbr-rubber-sheets/allpac" TargetMode="External" Id="rId2425" /><Relationship Type="http://schemas.openxmlformats.org/officeDocument/2006/relationships/hyperlink" Target="https://website-9ib.pages.dev/termek/gumilemez-nr-sbr-sbr-25-0-1-4-10/" TargetMode="External" Id="rId2426" /><Relationship Type="http://schemas.openxmlformats.org/officeDocument/2006/relationships/hyperlink" Target="https://www.rubberselect.com/en/products/nrsbr-rubber-sheets/allpac" TargetMode="External" Id="rId2427" /><Relationship Type="http://schemas.openxmlformats.org/officeDocument/2006/relationships/hyperlink" Target="https://website-9ib.pages.dev/termek/gumilemez-nr-sbr-sbr-25-0-1-4-5/" TargetMode="External" Id="rId2428" /><Relationship Type="http://schemas.openxmlformats.org/officeDocument/2006/relationships/hyperlink" Target="https://www.rubberselect.com/en/products/nrsbr-rubber-sheets/allpac" TargetMode="External" Id="rId2429" /><Relationship Type="http://schemas.openxmlformats.org/officeDocument/2006/relationships/hyperlink" Target="https://website-9ib.pages.dev/termek/gumilemez-nr-sbr-sbr-3-0-1-2-10/" TargetMode="External" Id="rId2430" /><Relationship Type="http://schemas.openxmlformats.org/officeDocument/2006/relationships/hyperlink" Target="https://www.rubberselect.com/en/products/nrsbr-rubber-sheets/allpac" TargetMode="External" Id="rId2431" /><Relationship Type="http://schemas.openxmlformats.org/officeDocument/2006/relationships/hyperlink" Target="https://website-9ib.pages.dev/termek/gumilemez-nr-sbr-sbr-3-0-1-4-10/" TargetMode="External" Id="rId2432" /><Relationship Type="http://schemas.openxmlformats.org/officeDocument/2006/relationships/hyperlink" Target="https://www.rubberselect.com/en/products/nrsbr-rubber-sheets/allpac" TargetMode="External" Id="rId2433" /><Relationship Type="http://schemas.openxmlformats.org/officeDocument/2006/relationships/hyperlink" Target="https://website-9ib.pages.dev/termek/gumilemez-nr-sbr-sbr-3-0-1-4-20/" TargetMode="External" Id="rId2434" /><Relationship Type="http://schemas.openxmlformats.org/officeDocument/2006/relationships/hyperlink" Target="https://www.rubberselect.com/en/products/nrsbr-rubber-sheets/allpac" TargetMode="External" Id="rId2435" /><Relationship Type="http://schemas.openxmlformats.org/officeDocument/2006/relationships/hyperlink" Target="https://website-9ib.pages.dev/termek/gumilemez-nr-sbr-sbr-30-0-1-4-10/" TargetMode="External" Id="rId2436" /><Relationship Type="http://schemas.openxmlformats.org/officeDocument/2006/relationships/hyperlink" Target="https://www.rubberselect.com/en/products/nrsbr-rubber-sheets/allpac" TargetMode="External" Id="rId2437" /><Relationship Type="http://schemas.openxmlformats.org/officeDocument/2006/relationships/hyperlink" Target="https://website-9ib.pages.dev/termek/gumilemez-nr-sbr-sbr-30-0-1-4-5/" TargetMode="External" Id="rId2438" /><Relationship Type="http://schemas.openxmlformats.org/officeDocument/2006/relationships/hyperlink" Target="https://www.rubberselect.com/en/products/nrsbr-rubber-sheets/allpac" TargetMode="External" Id="rId2439" /><Relationship Type="http://schemas.openxmlformats.org/officeDocument/2006/relationships/hyperlink" Target="https://website-9ib.pages.dev/termek/gumilemez-nr-sbr-sbr-4-0-1-2-10/" TargetMode="External" Id="rId2440" /><Relationship Type="http://schemas.openxmlformats.org/officeDocument/2006/relationships/hyperlink" Target="https://www.rubberselect.com/en/products/nrsbr-rubber-sheets/allpac" TargetMode="External" Id="rId2441" /><Relationship Type="http://schemas.openxmlformats.org/officeDocument/2006/relationships/hyperlink" Target="https://website-9ib.pages.dev/termek/gumilemez-nr-sbr-sbr-4-0-1-4-10/" TargetMode="External" Id="rId2442" /><Relationship Type="http://schemas.openxmlformats.org/officeDocument/2006/relationships/hyperlink" Target="https://www.rubberselect.com/en/products/nrsbr-rubber-sheets/allpac" TargetMode="External" Id="rId2443" /><Relationship Type="http://schemas.openxmlformats.org/officeDocument/2006/relationships/hyperlink" Target="https://website-9ib.pages.dev/termek/gumilemez-nr-sbr-sbr-5-0-1-2-10/" TargetMode="External" Id="rId2444" /><Relationship Type="http://schemas.openxmlformats.org/officeDocument/2006/relationships/hyperlink" Target="https://www.rubberselect.com/en/products/nrsbr-rubber-sheets/allpac" TargetMode="External" Id="rId2445" /><Relationship Type="http://schemas.openxmlformats.org/officeDocument/2006/relationships/hyperlink" Target="https://website-9ib.pages.dev/termek/gumilemez-nr-sbr-sbr-5-0-1-4-10/" TargetMode="External" Id="rId2446" /><Relationship Type="http://schemas.openxmlformats.org/officeDocument/2006/relationships/hyperlink" Target="https://www.rubberselect.com/en/products/nrsbr-rubber-sheets/allpac" TargetMode="External" Id="rId2447" /><Relationship Type="http://schemas.openxmlformats.org/officeDocument/2006/relationships/hyperlink" Target="https://website-9ib.pages.dev/termek/gumilemez-nr-sbr-sbr-6-0-1-2-10/" TargetMode="External" Id="rId2448" /><Relationship Type="http://schemas.openxmlformats.org/officeDocument/2006/relationships/hyperlink" Target="https://www.rubberselect.com/en/products/nrsbr-rubber-sheets/allpac" TargetMode="External" Id="rId2449" /><Relationship Type="http://schemas.openxmlformats.org/officeDocument/2006/relationships/hyperlink" Target="https://website-9ib.pages.dev/termek/gumilemez-nr-sbr-sbr-6-0-1-4-10/" TargetMode="External" Id="rId2450" /><Relationship Type="http://schemas.openxmlformats.org/officeDocument/2006/relationships/hyperlink" Target="https://www.rubberselect.com/en/products/nrsbr-rubber-sheets/allpac" TargetMode="External" Id="rId2451" /><Relationship Type="http://schemas.openxmlformats.org/officeDocument/2006/relationships/hyperlink" Target="https://website-9ib.pages.dev/termek/gumilemez-nr-sbr-sbr-8-0-1-2-10/" TargetMode="External" Id="rId2452" /><Relationship Type="http://schemas.openxmlformats.org/officeDocument/2006/relationships/hyperlink" Target="https://www.rubberselect.com/en/products/nrsbr-rubber-sheets/allpac" TargetMode="External" Id="rId2453" /><Relationship Type="http://schemas.openxmlformats.org/officeDocument/2006/relationships/hyperlink" Target="https://website-9ib.pages.dev/termek/gumilemez-nr-sbr-sbr-8-0-1-2-5/" TargetMode="External" Id="rId2454" /><Relationship Type="http://schemas.openxmlformats.org/officeDocument/2006/relationships/hyperlink" Target="https://www.rubberselect.com/en/products/nrsbr-rubber-sheets/allpac" TargetMode="External" Id="rId2455" /><Relationship Type="http://schemas.openxmlformats.org/officeDocument/2006/relationships/hyperlink" Target="https://website-9ib.pages.dev/termek/gumilemez-nr-sbr-sbr-8-0-1-4-10/" TargetMode="External" Id="rId2456" /><Relationship Type="http://schemas.openxmlformats.org/officeDocument/2006/relationships/hyperlink" Target="https://www.rubberselect.com/en/products/nrsbr-rubber-sheets/allpac" TargetMode="External" Id="rId2457" /><Relationship Type="http://schemas.openxmlformats.org/officeDocument/2006/relationships/hyperlink" Target="https://website-9ib.pages.dev/termek/gumilemez-nr-sbr-sbr-8-0-1-4-5/" TargetMode="External" Id="rId2458" /><Relationship Type="http://schemas.openxmlformats.org/officeDocument/2006/relationships/hyperlink" Target="https://www.rubberselect.com/en/products/matting/diamond-mat" TargetMode="External" Id="rId2459" /><Relationship Type="http://schemas.openxmlformats.org/officeDocument/2006/relationships/hyperlink" Target="https://website-9ib.pages.dev/termek/gyemantmintas-gumiszonyeg-dm-3-0-1500-10000/" TargetMode="External" Id="rId2460" /><Relationship Type="http://schemas.openxmlformats.org/officeDocument/2006/relationships/hyperlink" Target="https://www.rubberselect.com/en/products/matting/fishbone-mat" TargetMode="External" Id="rId2461" /><Relationship Type="http://schemas.openxmlformats.org/officeDocument/2006/relationships/hyperlink" Target="https://website-9ib.pages.dev/termek/halszalkamintas-gumiszonyeg-fm-3-0-1000-10000/" TargetMode="External" Id="rId2462" /><Relationship Type="http://schemas.openxmlformats.org/officeDocument/2006/relationships/hyperlink" Target="https://www.rubberselect.com/en/products/matting/fishbone-mat" TargetMode="External" Id="rId2463" /><Relationship Type="http://schemas.openxmlformats.org/officeDocument/2006/relationships/hyperlink" Target="https://website-9ib.pages.dev/termek/halszalkamintas-gumiszonyeg-fm-3-0-1200-10000/" TargetMode="External" Id="rId2464" /><Relationship Type="http://schemas.openxmlformats.org/officeDocument/2006/relationships/hyperlink" Target="https://www.rubberselect.com/en/products/matting/stablemat" TargetMode="External" Id="rId2465" /><Relationship Type="http://schemas.openxmlformats.org/officeDocument/2006/relationships/hyperlink" Target="https://website-9ib.pages.dev/termek/istallo-gumiszonyeg-sbm-17-0-1220-1830/" TargetMode="External" Id="rId2466" /><Relationship Type="http://schemas.openxmlformats.org/officeDocument/2006/relationships/hyperlink" Target="https://www.rubberselect.com/en/products/matting/stablemat" TargetMode="External" Id="rId2467" /><Relationship Type="http://schemas.openxmlformats.org/officeDocument/2006/relationships/hyperlink" Target="https://website-9ib.pages.dev/termek/istallo-gumiszonyeg-sbms-17-0-900-1200/" TargetMode="External" Id="rId2468" /><Relationship Type="http://schemas.openxmlformats.org/officeDocument/2006/relationships/hyperlink" Target="https://www.rubberselect.com/en/products/matting/hammerblow-mat" TargetMode="External" Id="rId2469" /><Relationship Type="http://schemas.openxmlformats.org/officeDocument/2006/relationships/hyperlink" Target="https://website-9ib.pages.dev/termek/kalapacsutes-mintas-gumiszonyeg-hm-10-0-1800-10000/" TargetMode="External" Id="rId2470" /><Relationship Type="http://schemas.openxmlformats.org/officeDocument/2006/relationships/hyperlink" Target="https://www.rubberselect.com/en/products/matting/hammerblow-mat" TargetMode="External" Id="rId2471" /><Relationship Type="http://schemas.openxmlformats.org/officeDocument/2006/relationships/hyperlink" Target="https://website-9ib.pages.dev/termek/kalapacsutes-mintas-gumiszonyeg-hm-10-0-2000-10000/" TargetMode="External" Id="rId2472" /><Relationship Type="http://schemas.openxmlformats.org/officeDocument/2006/relationships/hyperlink" Target="https://www.rubberselect.com/en/products/matting/hammerblow-mat" TargetMode="External" Id="rId2473" /><Relationship Type="http://schemas.openxmlformats.org/officeDocument/2006/relationships/hyperlink" Target="https://website-9ib.pages.dev/termek/kalapacsutes-mintas-gumiszonyeg-hm-10-0-2-5-2500-10000/" TargetMode="External" Id="rId2474" /><Relationship Type="http://schemas.openxmlformats.org/officeDocument/2006/relationships/hyperlink" Target="https://www.rubberselect.com/en/products/matting/hammerblow-mat" TargetMode="External" Id="rId2475" /><Relationship Type="http://schemas.openxmlformats.org/officeDocument/2006/relationships/hyperlink" Target="https://website-9ib.pages.dev/termek/kalapacsutes-mintas-gumiszonyeg-hm-6-0-1650-10000/" TargetMode="External" Id="rId2476" /><Relationship Type="http://schemas.openxmlformats.org/officeDocument/2006/relationships/hyperlink" Target="https://www.rubberselect.com/en/products/matting/hammerblow-mat" TargetMode="External" Id="rId2477" /><Relationship Type="http://schemas.openxmlformats.org/officeDocument/2006/relationships/hyperlink" Target="https://website-9ib.pages.dev/termek/kalapacsutes-mintas-gumiszonyeg-hm-6-0-1800-10000/" TargetMode="External" Id="rId2478" /><Relationship Type="http://schemas.openxmlformats.org/officeDocument/2006/relationships/hyperlink" Target="https://www.rubberselect.com/en/products/matting/hammerblow-mat" TargetMode="External" Id="rId2479" /><Relationship Type="http://schemas.openxmlformats.org/officeDocument/2006/relationships/hyperlink" Target="https://website-9ib.pages.dev/termek/kalapacsutes-mintas-gumiszonyeg-hm-6-0-2000-10000/" TargetMode="External" Id="rId2480" /><Relationship Type="http://schemas.openxmlformats.org/officeDocument/2006/relationships/hyperlink" Target="https://www.rubberselect.com/en/products/matting/hammerblow-mat" TargetMode="External" Id="rId2481" /><Relationship Type="http://schemas.openxmlformats.org/officeDocument/2006/relationships/hyperlink" Target="https://website-9ib.pages.dev/termek/kalapacsutes-mintas-gumiszonyeg-hm-8-0-1650-10000/" TargetMode="External" Id="rId2482" /><Relationship Type="http://schemas.openxmlformats.org/officeDocument/2006/relationships/hyperlink" Target="https://www.rubberselect.com/en/products/matting/hammerblow-mat" TargetMode="External" Id="rId2483" /><Relationship Type="http://schemas.openxmlformats.org/officeDocument/2006/relationships/hyperlink" Target="https://website-9ib.pages.dev/termek/kalapacsutes-mintas-gumiszonyeg-hm-8-0-1800-10000/" TargetMode="External" Id="rId2484" /><Relationship Type="http://schemas.openxmlformats.org/officeDocument/2006/relationships/hyperlink" Target="https://www.rubberselect.com/en/products/matting/hammerblow-mat" TargetMode="External" Id="rId2485" /><Relationship Type="http://schemas.openxmlformats.org/officeDocument/2006/relationships/hyperlink" Target="https://website-9ib.pages.dev/termek/kalapacsutes-mintas-gumiszonyeg-hm-8-0-2000-10000/" TargetMode="External" Id="rId2486" /><Relationship Type="http://schemas.openxmlformats.org/officeDocument/2006/relationships/hyperlink" Target="https://www.rubberselect.com/en/products/matting/checker-mat" TargetMode="External" Id="rId2487" /><Relationship Type="http://schemas.openxmlformats.org/officeDocument/2006/relationships/hyperlink" Target="https://website-9ib.pages.dev/termek/kockamintas-gumiszonyeg-cm-3-0-1000-10000/" TargetMode="External" Id="rId2488" /><Relationship Type="http://schemas.openxmlformats.org/officeDocument/2006/relationships/hyperlink" Target="https://www.rubberselect.com/en/products/matting/checker-mat" TargetMode="External" Id="rId2489" /><Relationship Type="http://schemas.openxmlformats.org/officeDocument/2006/relationships/hyperlink" Target="https://website-9ib.pages.dev/termek/kockamintas-gumiszonyeg-cm-3-0-1200-10000/" TargetMode="External" Id="rId2490" /><Relationship Type="http://schemas.openxmlformats.org/officeDocument/2006/relationships/hyperlink" Target="https://www.rubberselect.com/en/products/matting/checker-mat" TargetMode="External" Id="rId2491" /><Relationship Type="http://schemas.openxmlformats.org/officeDocument/2006/relationships/hyperlink" Target="https://website-9ib.pages.dev/termek/kockamintas-gumiszonyeg-cm-3-0-1400-10000/" TargetMode="External" Id="rId2492" /><Relationship Type="http://schemas.openxmlformats.org/officeDocument/2006/relationships/hyperlink" Target="https://www.rubberselect.com/en/products/matting/checker-mat" TargetMode="External" Id="rId2493" /><Relationship Type="http://schemas.openxmlformats.org/officeDocument/2006/relationships/hyperlink" Target="https://website-9ib.pages.dev/termek/kockamintas-gumiszonyeg-cm-3-0-2-2000-10000/" TargetMode="External" Id="rId2494" /><Relationship Type="http://schemas.openxmlformats.org/officeDocument/2006/relationships/hyperlink" Target="https://www.rubberselect.com/en/products/matting/checker-mat" TargetMode="External" Id="rId2495" /><Relationship Type="http://schemas.openxmlformats.org/officeDocument/2006/relationships/hyperlink" Target="https://website-9ib.pages.dev/termek/kockamintas-gumiszonyeg-cm-5-0-1400-10000/" TargetMode="External" Id="rId2496" /><Relationship Type="http://schemas.openxmlformats.org/officeDocument/2006/relationships/hyperlink" Target="https://www.rubberselect.com/en/products/matting/checker-mat" TargetMode="External" Id="rId2497" /><Relationship Type="http://schemas.openxmlformats.org/officeDocument/2006/relationships/hyperlink" Target="https://website-9ib.pages.dev/termek/kockamintas-gumiszonyeg-cm-5-0-2-2000-10000/" TargetMode="External" Id="rId2498" /><Relationship Type="http://schemas.openxmlformats.org/officeDocument/2006/relationships/hyperlink" Target="https://www.rubberselect.com/en/products/matting/combi-rib-mat" TargetMode="External" Id="rId2499" /><Relationship Type="http://schemas.openxmlformats.org/officeDocument/2006/relationships/hyperlink" Target="https://website-9ib.pages.dev/termek/kombi-bordas-gumiszonyeg-comr-3-0-1200-10000/" TargetMode="External" Id="rId2500" /><Relationship Type="http://schemas.openxmlformats.org/officeDocument/2006/relationships/hyperlink" Target="https://www.rubberselect.com/en/products/matting/combi-rib-mat" TargetMode="External" Id="rId2501" /><Relationship Type="http://schemas.openxmlformats.org/officeDocument/2006/relationships/hyperlink" Target="https://website-9ib.pages.dev/termek/kombi-bordas-gumiszonyeg-comr-3-0-1400-10000/" TargetMode="External" Id="rId2502" /><Relationship Type="http://schemas.openxmlformats.org/officeDocument/2006/relationships/hyperlink" Target="https://www.rubberselect.com/en/products/matting/combi-rib-mat" TargetMode="External" Id="rId2503" /><Relationship Type="http://schemas.openxmlformats.org/officeDocument/2006/relationships/hyperlink" Target="https://website-9ib.pages.dev/termek/kombi-bordas-gumiszonyeg-comr-3-0-1500-10000/" TargetMode="External" Id="rId2504" /><Relationship Type="http://schemas.openxmlformats.org/officeDocument/2006/relationships/hyperlink" Target="https://www.rubberselect.com/en/products/pu/high-wear-resistant-pu" TargetMode="External" Id="rId2505" /><Relationship Type="http://schemas.openxmlformats.org/officeDocument/2006/relationships/hyperlink" Target="https://website-9ib.pages.dev/termek/kopasallo-poliuretan-pu-lemez-pur63-10-0-1400-10000/" TargetMode="External" Id="rId2506" /><Relationship Type="http://schemas.openxmlformats.org/officeDocument/2006/relationships/hyperlink" Target="https://www.rubberselect.com/en/products/pu/high-wear-resistant-pu" TargetMode="External" Id="rId2507" /><Relationship Type="http://schemas.openxmlformats.org/officeDocument/2006/relationships/hyperlink" Target="https://website-9ib.pages.dev/termek/kopasallo-poliuretan-pu-lemez-pur63-6-0-1400-10000/" TargetMode="External" Id="rId2508" /><Relationship Type="http://schemas.openxmlformats.org/officeDocument/2006/relationships/hyperlink" Target="https://www.rubberselect.com/en/products/pu/high-wear-resistant-pu" TargetMode="External" Id="rId2509" /><Relationship Type="http://schemas.openxmlformats.org/officeDocument/2006/relationships/hyperlink" Target="https://website-9ib.pages.dev/termek/kopasallo-poliuretan-pu-lemez-pur63-8-0-1400-10000/" TargetMode="External" Id="rId2510" /><Relationship Type="http://schemas.openxmlformats.org/officeDocument/2006/relationships/hyperlink" Target="https://www.rubberselect.com/en/products/matting/ringmat-roll-light" TargetMode="External" Id="rId2511" /><Relationship Type="http://schemas.openxmlformats.org/officeDocument/2006/relationships/hyperlink" Target="https://website-9ib.pages.dev/termek/konnyu-lyukacsos-gumiszonyeg-tekercsben-rmr-10-0-1-83-1830-10000/" TargetMode="External" Id="rId2512" /><Relationship Type="http://schemas.openxmlformats.org/officeDocument/2006/relationships/hyperlink" Target="https://www.rubberselect.com/en/products/matting/ringmat-roll-light" TargetMode="External" Id="rId2513" /><Relationship Type="http://schemas.openxmlformats.org/officeDocument/2006/relationships/hyperlink" Target="https://website-9ib.pages.dev/termek/konnyu-lyukacsos-gumiszonyeg-tekercsben-rmr-10-0-0-9-900-10000/" TargetMode="External" Id="rId2514" /><Relationship Type="http://schemas.openxmlformats.org/officeDocument/2006/relationships/hyperlink" Target="https://www.rubberselect.com/en/products/matting/standard-ringmat" TargetMode="External" Id="rId2515" /><Relationship Type="http://schemas.openxmlformats.org/officeDocument/2006/relationships/hyperlink" Target="https://website-9ib.pages.dev/termek/lyukacsos-gyurus-gumiszonyeg-rm-22-0-1x1-1000-1000/" TargetMode="External" Id="rId2516" /><Relationship Type="http://schemas.openxmlformats.org/officeDocument/2006/relationships/hyperlink" Target="https://www.rubberselect.com/en/products/matting/standard-ringmat" TargetMode="External" Id="rId2517" /><Relationship Type="http://schemas.openxmlformats.org/officeDocument/2006/relationships/hyperlink" Target="https://website-9ib.pages.dev/termek/lyukacsos-gyurus-gumiszonyeg-rm-22-0-1-5x1-1500-1000/" TargetMode="External" Id="rId2518" /><Relationship Type="http://schemas.openxmlformats.org/officeDocument/2006/relationships/hyperlink" Target="https://www.rubberselect.com/en/products/matting/standard-ringmat" TargetMode="External" Id="rId2519" /><Relationship Type="http://schemas.openxmlformats.org/officeDocument/2006/relationships/hyperlink" Target="https://website-9ib.pages.dev/termek/lyukacsos-gyurus-gumiszonyeg-rm-22-0-0-4x0-6-400-600/" TargetMode="External" Id="rId2520" /><Relationship Type="http://schemas.openxmlformats.org/officeDocument/2006/relationships/hyperlink" Target="https://www.rubberselect.com/en/products/matting/standard-ringmat" TargetMode="External" Id="rId2521" /><Relationship Type="http://schemas.openxmlformats.org/officeDocument/2006/relationships/hyperlink" Target="https://website-9ib.pages.dev/termek/lyukacsos-gyurus-gumiszonyeg-rm-22-0-0-5x1-500-1000/" TargetMode="External" Id="rId2522" /><Relationship Type="http://schemas.openxmlformats.org/officeDocument/2006/relationships/hyperlink" Target="https://www.rubberselect.com/en/products/matting/standard-ringmat" TargetMode="External" Id="rId2523" /><Relationship Type="http://schemas.openxmlformats.org/officeDocument/2006/relationships/hyperlink" Target="https://website-9ib.pages.dev/termek/lyukacsos-gyurus-gumiszonyeg-rm-22-0-0-75x1-750-1000/" TargetMode="External" Id="rId2524" /><Relationship Type="http://schemas.openxmlformats.org/officeDocument/2006/relationships/hyperlink" Target="https://www.rubberselect.com/en/products/matting/standard-ringmat" TargetMode="External" Id="rId2525" /><Relationship Type="http://schemas.openxmlformats.org/officeDocument/2006/relationships/hyperlink" Target="https://website-9ib.pages.dev/termek/lyukacsos-gyurus-gumiszonyeg-rm-22-0-0-8x1-2-800-1200/" TargetMode="External" Id="rId2526" /><Relationship Type="http://schemas.openxmlformats.org/officeDocument/2006/relationships/hyperlink" Target="https://www.rubberselect.com/en/products/matting/standard-ringmat-roll" TargetMode="External" Id="rId2527" /><Relationship Type="http://schemas.openxmlformats.org/officeDocument/2006/relationships/hyperlink" Target="https://website-9ib.pages.dev/termek/lyukacsos-gumiszonyeg-tekercsben-rmr-22-0-1-1000-10500/" TargetMode="External" Id="rId2528" /><Relationship Type="http://schemas.openxmlformats.org/officeDocument/2006/relationships/hyperlink" Target="https://www.rubberselect.com/en/products/matting/standard-ringmat-roll" TargetMode="External" Id="rId2529" /><Relationship Type="http://schemas.openxmlformats.org/officeDocument/2006/relationships/hyperlink" Target="https://website-9ib.pages.dev/termek/lyukacsos-gumiszonyeg-tekercsben-rmr-22-0-1-2-1200-10000/" TargetMode="External" Id="rId2530" /><Relationship Type="http://schemas.openxmlformats.org/officeDocument/2006/relationships/hyperlink" Target="https://www.rubberselect.com/en/products/matting/standard-ringmat-roll" TargetMode="External" Id="rId2531" /><Relationship Type="http://schemas.openxmlformats.org/officeDocument/2006/relationships/hyperlink" Target="https://website-9ib.pages.dev/termek/lyukacsos-gumiszonyeg-tekercsben-rmr-22-0-1-5-1500-10000/" TargetMode="External" Id="rId2532" /><Relationship Type="http://schemas.openxmlformats.org/officeDocument/2006/relationships/hyperlink" Target="https://www.rubberselect.com/en/products/matting/standard-ringmat-roll" TargetMode="External" Id="rId2533" /><Relationship Type="http://schemas.openxmlformats.org/officeDocument/2006/relationships/hyperlink" Target="https://website-9ib.pages.dev/termek/lyukacsos-gumiszonyeg-tekercsben-rmr-22-0-0-4-400-10000/" TargetMode="External" Id="rId2534" /><Relationship Type="http://schemas.openxmlformats.org/officeDocument/2006/relationships/hyperlink" Target="https://www.rubberselect.com/en/products/matting/standard-ringmat-roll" TargetMode="External" Id="rId2535" /><Relationship Type="http://schemas.openxmlformats.org/officeDocument/2006/relationships/hyperlink" Target="https://website-9ib.pages.dev/termek/lyukacsos-gumiszonyeg-tekercsben-rmr-22-0-0-5-500-10500/" TargetMode="External" Id="rId2536" /><Relationship Type="http://schemas.openxmlformats.org/officeDocument/2006/relationships/hyperlink" Target="https://www.rubberselect.com/en/products/matting/standard-ringmat-roll" TargetMode="External" Id="rId2537" /><Relationship Type="http://schemas.openxmlformats.org/officeDocument/2006/relationships/hyperlink" Target="https://website-9ib.pages.dev/termek/lyukacsos-gumiszonyeg-tekercsben-rmr-22-0-0-6-600-10000/" TargetMode="External" Id="rId2538" /><Relationship Type="http://schemas.openxmlformats.org/officeDocument/2006/relationships/hyperlink" Target="https://www.rubberselect.com/en/products/matting/standard-ringmat-roll" TargetMode="External" Id="rId2539" /><Relationship Type="http://schemas.openxmlformats.org/officeDocument/2006/relationships/hyperlink" Target="https://website-9ib.pages.dev/termek/lyukacsos-gumiszonyeg-tekercsben-rmr-22-0-0-8-800-10000/" TargetMode="External" Id="rId2540" /><Relationship Type="http://schemas.openxmlformats.org/officeDocument/2006/relationships/hyperlink" Target="https://www.rubberselect.com/en/products/matting/mini-stud" TargetMode="External" Id="rId2541" /><Relationship Type="http://schemas.openxmlformats.org/officeDocument/2006/relationships/hyperlink" Target="https://website-9ib.pages.dev/termek/mini-noppos-gumiszonyeg-smm-3-0-1200-10000/" TargetMode="External" Id="rId2542" /><Relationship Type="http://schemas.openxmlformats.org/officeDocument/2006/relationships/hyperlink" Target="https://www.rubberselect.com/en/products/matting/workplace-mat" TargetMode="External" Id="rId2543" /><Relationship Type="http://schemas.openxmlformats.org/officeDocument/2006/relationships/hyperlink" Target="https://website-9ib.pages.dev/termek/munkahelyi-gumiszonyeg-wp-15-0-0-6x0-9-600-900/" TargetMode="External" Id="rId2544" /><Relationship Type="http://schemas.openxmlformats.org/officeDocument/2006/relationships/hyperlink" Target="https://www.rubberselect.com/en/products/matting/workplace-mat" TargetMode="External" Id="rId2545" /><Relationship Type="http://schemas.openxmlformats.org/officeDocument/2006/relationships/hyperlink" Target="https://website-9ib.pages.dev/termek/munkahelyi-gumiszonyeg-wp-15-0-0-9x01-2-900-1200/" TargetMode="External" Id="rId2546" /><Relationship Type="http://schemas.openxmlformats.org/officeDocument/2006/relationships/hyperlink" Target="https://www.rubberselect.com/en/products/matting/workplace-mat-yellow-border" TargetMode="External" Id="rId2547" /><Relationship Type="http://schemas.openxmlformats.org/officeDocument/2006/relationships/hyperlink" Target="https://website-9ib.pages.dev/termek/munkahelyi-gumiszonyeg-sarga-szegellyel-wpy-15-0-0-6x0-9-600-900/" TargetMode="External" Id="rId2548" /><Relationship Type="http://schemas.openxmlformats.org/officeDocument/2006/relationships/hyperlink" Target="https://www.rubberselect.com/en/products/matting/workplace-mat-yellow-border" TargetMode="External" Id="rId2549" /><Relationship Type="http://schemas.openxmlformats.org/officeDocument/2006/relationships/hyperlink" Target="https://website-9ib.pages.dev/termek/munkahelyi-gumiszonyeg-sarga-szegellyel-wpy-15-0-0-9x1-2-900-1200/" TargetMode="External" Id="rId2550" /><Relationship Type="http://schemas.openxmlformats.org/officeDocument/2006/relationships/hyperlink" Target="https://www.rubberselect.com/en/products/matting/workplace-mat-yellow-border-roll" TargetMode="External" Id="rId2551" /><Relationship Type="http://schemas.openxmlformats.org/officeDocument/2006/relationships/hyperlink" Target="https://website-9ib.pages.dev/termek/munkahelyi-gumiszonyeg-sarga-szegellyel-tekercsben-wpyr-15-0-910-10000/" TargetMode="External" Id="rId2552" /><Relationship Type="http://schemas.openxmlformats.org/officeDocument/2006/relationships/hyperlink" Target="https://www.rubberselect.com/en/products/matting/workplace-mat-roll" TargetMode="External" Id="rId2553" /><Relationship Type="http://schemas.openxmlformats.org/officeDocument/2006/relationships/hyperlink" Target="https://website-9ib.pages.dev/termek/munkahelyi-gumiszonyeg-tekercsben-wpr-15-0-910-10000/" TargetMode="External" Id="rId2554" /><Relationship Type="http://schemas.openxmlformats.org/officeDocument/2006/relationships/hyperlink" Target="https://www.rubberselect.com/en/products/matting/heavy-duty-ring-mat" TargetMode="External" Id="rId2555" /><Relationship Type="http://schemas.openxmlformats.org/officeDocument/2006/relationships/hyperlink" Target="https://website-9ib.pages.dev/termek/nagy-teherbirasu-lyukacsos-gumiszonyeg-rmh-23-0-1-5x1-1500-1000/" TargetMode="External" Id="rId2556" /><Relationship Type="http://schemas.openxmlformats.org/officeDocument/2006/relationships/hyperlink" Target="https://www.rubberselect.com/en/products/matting/heavy-duty-ring-mat" TargetMode="External" Id="rId2557" /><Relationship Type="http://schemas.openxmlformats.org/officeDocument/2006/relationships/hyperlink" Target="https://website-9ib.pages.dev/termek/nagy-teherbirasu-lyukacsos-gumiszonyeg-rmh-23-0-0-75x1-750-1000/" TargetMode="External" Id="rId2558" /><Relationship Type="http://schemas.openxmlformats.org/officeDocument/2006/relationships/hyperlink" Target="https://www.rubberselect.com/en/products/matting/wide-rib-mat" TargetMode="External" Id="rId2559" /><Relationship Type="http://schemas.openxmlformats.org/officeDocument/2006/relationships/hyperlink" Target="https://website-9ib.pages.dev/termek/nagybordas-gumiszonyeg-wr-6-0-1000-10000/" TargetMode="External" Id="rId2560" /><Relationship Type="http://schemas.openxmlformats.org/officeDocument/2006/relationships/hyperlink" Target="https://www.rubberselect.com/en/products/matting/wide-rib-mat" TargetMode="External" Id="rId2561" /><Relationship Type="http://schemas.openxmlformats.org/officeDocument/2006/relationships/hyperlink" Target="https://website-9ib.pages.dev/termek/nagybordas-gumiszonyeg-wr-6-0-1000-10000-2/" TargetMode="External" Id="rId2562" /><Relationship Type="http://schemas.openxmlformats.org/officeDocument/2006/relationships/hyperlink" Target="https://www.rubberselect.com/en/products/matting/wide-rib-mat" TargetMode="External" Id="rId2563" /><Relationship Type="http://schemas.openxmlformats.org/officeDocument/2006/relationships/hyperlink" Target="https://website-9ib.pages.dev/termek/nagybordas-gumiszonyeg-wr-6-0-1200-10000/" TargetMode="External" Id="rId2564" /><Relationship Type="http://schemas.openxmlformats.org/officeDocument/2006/relationships/hyperlink" Target="https://www.rubberselect.com/en/products/matting/stud-mat" TargetMode="External" Id="rId2565" /><Relationship Type="http://schemas.openxmlformats.org/officeDocument/2006/relationships/hyperlink" Target="https://website-9ib.pages.dev/termek/noppos-gumiszonyeg-sm-3-0-1000-10000/" TargetMode="External" Id="rId2566" /><Relationship Type="http://schemas.openxmlformats.org/officeDocument/2006/relationships/hyperlink" Target="https://www.rubberselect.com/en/products/matting/stud-mat" TargetMode="External" Id="rId2567" /><Relationship Type="http://schemas.openxmlformats.org/officeDocument/2006/relationships/hyperlink" Target="https://website-9ib.pages.dev/termek/noppos-gumiszonyeg-sm-3-0-1200-10000/" TargetMode="External" Id="rId2568" /><Relationship Type="http://schemas.openxmlformats.org/officeDocument/2006/relationships/hyperlink" Target="https://www.rubberselect.com/en/products/matting/stud-mat" TargetMode="External" Id="rId2569" /><Relationship Type="http://schemas.openxmlformats.org/officeDocument/2006/relationships/hyperlink" Target="https://website-9ib.pages.dev/termek/noppos-gumiszonyeg-sm-3-0-1400-10000/" TargetMode="External" Id="rId2570" /><Relationship Type="http://schemas.openxmlformats.org/officeDocument/2006/relationships/hyperlink" Target="https://www.rubberselect.com/en/products/matting/stud-mat" TargetMode="External" Id="rId2571" /><Relationship Type="http://schemas.openxmlformats.org/officeDocument/2006/relationships/hyperlink" Target="https://website-9ib.pages.dev/termek/noppos-gumiszonyeg-sm-3-0-1500-10000/" TargetMode="External" Id="rId2572" /><Relationship Type="http://schemas.openxmlformats.org/officeDocument/2006/relationships/hyperlink" Target="https://www.rubberselect.com/en/products/matting/stud-mat" TargetMode="External" Id="rId2573" /><Relationship Type="http://schemas.openxmlformats.org/officeDocument/2006/relationships/hyperlink" Target="https://website-9ib.pages.dev/termek/noppos-gumiszonyeg-sm-3-0-2-2000-10000/" TargetMode="External" Id="rId2574" /><Relationship Type="http://schemas.openxmlformats.org/officeDocument/2006/relationships/hyperlink" Target="https://www.rubberselect.com/en/products/matting/stud-mat" TargetMode="External" Id="rId2575" /><Relationship Type="http://schemas.openxmlformats.org/officeDocument/2006/relationships/hyperlink" Target="https://website-9ib.pages.dev/termek/noppos-gumiszonyeg-sm-3-0-0-4-400-10000/" TargetMode="External" Id="rId2576" /><Relationship Type="http://schemas.openxmlformats.org/officeDocument/2006/relationships/hyperlink" Target="https://www.rubberselect.com/en/products/matting/stud-mat" TargetMode="External" Id="rId2577" /><Relationship Type="http://schemas.openxmlformats.org/officeDocument/2006/relationships/hyperlink" Target="https://website-9ib.pages.dev/termek/noppos-gumiszonyeg-sm-3-0-0-5-500-10000/" TargetMode="External" Id="rId2578" /><Relationship Type="http://schemas.openxmlformats.org/officeDocument/2006/relationships/hyperlink" Target="https://www.rubberselect.com/en/products/matting/stud-mat" TargetMode="External" Id="rId2579" /><Relationship Type="http://schemas.openxmlformats.org/officeDocument/2006/relationships/hyperlink" Target="https://website-9ib.pages.dev/termek/noppos-gumiszonyeg-sm-3-0-0-6-600-10000/" TargetMode="External" Id="rId2580" /><Relationship Type="http://schemas.openxmlformats.org/officeDocument/2006/relationships/hyperlink" Target="https://www.rubberselect.com/en/products/matting/stud-mat" TargetMode="External" Id="rId2581" /><Relationship Type="http://schemas.openxmlformats.org/officeDocument/2006/relationships/hyperlink" Target="https://website-9ib.pages.dev/termek/noppos-gumiszonyeg-sm-3-0-0-7-700-10000/" TargetMode="External" Id="rId2582" /><Relationship Type="http://schemas.openxmlformats.org/officeDocument/2006/relationships/hyperlink" Target="https://www.rubberselect.com/en/products/matting/stud-mat" TargetMode="External" Id="rId2583" /><Relationship Type="http://schemas.openxmlformats.org/officeDocument/2006/relationships/hyperlink" Target="https://website-9ib.pages.dev/termek/noppos-gumiszonyeg-sm-3-0-0-8-800-10000/" TargetMode="External" Id="rId2584" /><Relationship Type="http://schemas.openxmlformats.org/officeDocument/2006/relationships/hyperlink" Target="https://www.rubberselect.com/en/products/matting/stud-mat" TargetMode="External" Id="rId2585" /><Relationship Type="http://schemas.openxmlformats.org/officeDocument/2006/relationships/hyperlink" Target="https://website-9ib.pages.dev/termek/noppos-gumiszonyeg-sm-4-0-1200-10000/" TargetMode="External" Id="rId2586" /><Relationship Type="http://schemas.openxmlformats.org/officeDocument/2006/relationships/hyperlink" Target="https://www.rubberselect.com/en/products/matting/stud-mat-4012" TargetMode="External" Id="rId2587" /><Relationship Type="http://schemas.openxmlformats.org/officeDocument/2006/relationships/hyperlink" Target="https://website-9ib.pages.dev/termek/noppos-gumiszonyeg-4012-4012-4-0-1500-10000/" TargetMode="External" Id="rId2588" /><Relationship Type="http://schemas.openxmlformats.org/officeDocument/2006/relationships/hyperlink" Target="https://www.rubberselect.com/en/products/matting/stud-mat-4012" TargetMode="External" Id="rId2589" /><Relationship Type="http://schemas.openxmlformats.org/officeDocument/2006/relationships/hyperlink" Target="https://website-9ib.pages.dev/termek/noppos-gumiszonyeg-4012-4012g-4-0-1500-10000/" TargetMode="External" Id="rId2590" /><Relationship Type="http://schemas.openxmlformats.org/officeDocument/2006/relationships/hyperlink" Target="https://www.rubberselect.com/en/products/matting/stud-mat-in45" TargetMode="External" Id="rId2591" /><Relationship Type="http://schemas.openxmlformats.org/officeDocument/2006/relationships/hyperlink" Target="https://website-9ib.pages.dev/termek/noppos-gumiszonyeg-in45-in45-4-5-0-1000-10000/" TargetMode="External" Id="rId2592" /><Relationship Type="http://schemas.openxmlformats.org/officeDocument/2006/relationships/hyperlink" Target="https://www.rubberselect.com/en/products/matting/stud-mat-nobra" TargetMode="External" Id="rId2593" /><Relationship Type="http://schemas.openxmlformats.org/officeDocument/2006/relationships/hyperlink" Target="https://website-9ib.pages.dev/termek/noppos-gumiszonyeg-nobra-nobra-4-0-1450-10000/" TargetMode="External" Id="rId2594" /><Relationship Type="http://schemas.openxmlformats.org/officeDocument/2006/relationships/hyperlink" Target="https://www.rubberselect.com/en/products/matting/square-stud-mat" TargetMode="External" Id="rId2595" /><Relationship Type="http://schemas.openxmlformats.org/officeDocument/2006/relationships/hyperlink" Target="https://website-9ib.pages.dev/termek/negyzetes-noppos-gumiszonyeg-km-8-1-1000-10000/" TargetMode="External" Id="rId2596" /><Relationship Type="http://schemas.openxmlformats.org/officeDocument/2006/relationships/hyperlink" Target="https://www.rubberselect.com/en/products/matting/square-stud-mat" TargetMode="External" Id="rId2597" /><Relationship Type="http://schemas.openxmlformats.org/officeDocument/2006/relationships/hyperlink" Target="https://website-9ib.pages.dev/termek/negyzetes-noppos-gumiszonyeg-km-8-1-1200-10000/" TargetMode="External" Id="rId2598" /><Relationship Type="http://schemas.openxmlformats.org/officeDocument/2006/relationships/hyperlink" Target="https://www.rubberselect.com/en/products/pvc/pvc-strips" TargetMode="External" Id="rId2599" /><Relationship Type="http://schemas.openxmlformats.org/officeDocument/2006/relationships/hyperlink" Target="https://website-9ib.pages.dev/termek/pvc-fuggonycsik-pvc-2x200-200-50/" TargetMode="External" Id="rId2600" /><Relationship Type="http://schemas.openxmlformats.org/officeDocument/2006/relationships/hyperlink" Target="https://www.rubberselect.com/en/products/pvc/pvc-strips" TargetMode="External" Id="rId2601" /><Relationship Type="http://schemas.openxmlformats.org/officeDocument/2006/relationships/hyperlink" Target="https://website-9ib.pages.dev/termek/pvc-fuggonycsik-pvc-2x300-300-50/" TargetMode="External" Id="rId2602" /><Relationship Type="http://schemas.openxmlformats.org/officeDocument/2006/relationships/hyperlink" Target="https://www.rubberselect.com/en/products/pvc/pvc-strips" TargetMode="External" Id="rId2603" /><Relationship Type="http://schemas.openxmlformats.org/officeDocument/2006/relationships/hyperlink" Target="https://website-9ib.pages.dev/termek/pvc-fuggonycsik-pvc-3x200-200-50/" TargetMode="External" Id="rId2604" /><Relationship Type="http://schemas.openxmlformats.org/officeDocument/2006/relationships/hyperlink" Target="https://www.rubberselect.com/en/products/pvc/pvc-strips" TargetMode="External" Id="rId2605" /><Relationship Type="http://schemas.openxmlformats.org/officeDocument/2006/relationships/hyperlink" Target="https://website-9ib.pages.dev/termek/pvc-fuggonycsik-pvc-3x300-300-50/" TargetMode="External" Id="rId2606" /><Relationship Type="http://schemas.openxmlformats.org/officeDocument/2006/relationships/hyperlink" Target="https://www.rubberselect.com/en/products/pvc/pvc-strips" TargetMode="External" Id="rId2607" /><Relationship Type="http://schemas.openxmlformats.org/officeDocument/2006/relationships/hyperlink" Target="https://website-9ib.pages.dev/termek/pvc-fuggonycsik-pvc-3x400-400-50/" TargetMode="External" Id="rId2608" /><Relationship Type="http://schemas.openxmlformats.org/officeDocument/2006/relationships/hyperlink" Target="https://www.rubberselect.com/en/products/pvc/pvc-strips" TargetMode="External" Id="rId2609" /><Relationship Type="http://schemas.openxmlformats.org/officeDocument/2006/relationships/hyperlink" Target="https://website-9ib.pages.dev/termek/pvc-fuggonycsik-pvc-4x300-300-50/" TargetMode="External" Id="rId2610" /><Relationship Type="http://schemas.openxmlformats.org/officeDocument/2006/relationships/hyperlink" Target="https://www.rubberselect.com/en/products/pvc/pvc-strips" TargetMode="External" Id="rId2611" /><Relationship Type="http://schemas.openxmlformats.org/officeDocument/2006/relationships/hyperlink" Target="https://website-9ib.pages.dev/termek/pvc-fuggonycsik-pvc-4x400-400-50/" TargetMode="External" Id="rId2612" /><Relationship Type="http://schemas.openxmlformats.org/officeDocument/2006/relationships/hyperlink" Target="https://www.rubberselect.com/en/products/pu/pu-70-shore" TargetMode="External" Id="rId2613" /><Relationship Type="http://schemas.openxmlformats.org/officeDocument/2006/relationships/hyperlink" Target="https://website-9ib.pages.dev/termek/poliuretan-pu-lemez-70-shore-a-pu70-1-0-1-2-4/" TargetMode="External" Id="rId2614" /><Relationship Type="http://schemas.openxmlformats.org/officeDocument/2006/relationships/hyperlink" Target="https://www.rubberselect.com/en/products/pu/pu-70-shore" TargetMode="External" Id="rId2615" /><Relationship Type="http://schemas.openxmlformats.org/officeDocument/2006/relationships/hyperlink" Target="https://website-9ib.pages.dev/termek/poliuretan-pu-lemez-70-shore-a-pu70-10-0-1-2-4/" TargetMode="External" Id="rId2616" /><Relationship Type="http://schemas.openxmlformats.org/officeDocument/2006/relationships/hyperlink" Target="https://www.rubberselect.com/en/products/pu/pu-70-shore" TargetMode="External" Id="rId2617" /><Relationship Type="http://schemas.openxmlformats.org/officeDocument/2006/relationships/hyperlink" Target="https://website-9ib.pages.dev/termek/poliuretan-pu-lemez-70-shore-a-pu70-12-0-1-2-4/" TargetMode="External" Id="rId2618" /><Relationship Type="http://schemas.openxmlformats.org/officeDocument/2006/relationships/hyperlink" Target="https://www.rubberselect.com/en/products/pu/pu-70-shore" TargetMode="External" Id="rId2619" /><Relationship Type="http://schemas.openxmlformats.org/officeDocument/2006/relationships/hyperlink" Target="https://website-9ib.pages.dev/termek/poliuretan-pu-lemez-70-shore-a-pu70-14-0-1-2-4/" TargetMode="External" Id="rId2620" /><Relationship Type="http://schemas.openxmlformats.org/officeDocument/2006/relationships/hyperlink" Target="https://www.rubberselect.com/en/products/pu/pu-70-shore" TargetMode="External" Id="rId2621" /><Relationship Type="http://schemas.openxmlformats.org/officeDocument/2006/relationships/hyperlink" Target="https://website-9ib.pages.dev/termek/poliuretan-pu-lemez-70-shore-a-pu70-15-0-1-2-4/" TargetMode="External" Id="rId2622" /><Relationship Type="http://schemas.openxmlformats.org/officeDocument/2006/relationships/hyperlink" Target="https://www.rubberselect.com/en/products/pu/pu-70-shore" TargetMode="External" Id="rId2623" /><Relationship Type="http://schemas.openxmlformats.org/officeDocument/2006/relationships/hyperlink" Target="https://website-9ib.pages.dev/termek/poliuretan-pu-lemez-70-shore-a-pu70-2-0-1-2-4/" TargetMode="External" Id="rId2624" /><Relationship Type="http://schemas.openxmlformats.org/officeDocument/2006/relationships/hyperlink" Target="https://www.rubberselect.com/en/products/pu/pu-70-shore" TargetMode="External" Id="rId2625" /><Relationship Type="http://schemas.openxmlformats.org/officeDocument/2006/relationships/hyperlink" Target="https://website-9ib.pages.dev/termek/poliuretan-pu-lemez-70-shore-a-pu70-20-0-1-2-4/" TargetMode="External" Id="rId2626" /><Relationship Type="http://schemas.openxmlformats.org/officeDocument/2006/relationships/hyperlink" Target="https://www.rubberselect.com/en/products/pu/pu-70-shore" TargetMode="External" Id="rId2627" /><Relationship Type="http://schemas.openxmlformats.org/officeDocument/2006/relationships/hyperlink" Target="https://website-9ib.pages.dev/termek/poliuretan-pu-lemez-70-shore-a-pu70-25-0-1-2/" TargetMode="External" Id="rId2628" /><Relationship Type="http://schemas.openxmlformats.org/officeDocument/2006/relationships/hyperlink" Target="https://www.rubberselect.com/en/products/pu/pu-70-shore" TargetMode="External" Id="rId2629" /><Relationship Type="http://schemas.openxmlformats.org/officeDocument/2006/relationships/hyperlink" Target="https://website-9ib.pages.dev/termek/poliuretan-pu-lemez-70-shore-a-pu70-3-0-1-2-4/" TargetMode="External" Id="rId2630" /><Relationship Type="http://schemas.openxmlformats.org/officeDocument/2006/relationships/hyperlink" Target="https://www.rubberselect.com/en/products/pu/pu-70-shore" TargetMode="External" Id="rId2631" /><Relationship Type="http://schemas.openxmlformats.org/officeDocument/2006/relationships/hyperlink" Target="https://website-9ib.pages.dev/termek/poliuretan-pu-lemez-70-shore-a-pu70-30-0-1-2/" TargetMode="External" Id="rId2632" /><Relationship Type="http://schemas.openxmlformats.org/officeDocument/2006/relationships/hyperlink" Target="https://www.rubberselect.com/en/products/pu/pu-70-shore" TargetMode="External" Id="rId2633" /><Relationship Type="http://schemas.openxmlformats.org/officeDocument/2006/relationships/hyperlink" Target="https://website-9ib.pages.dev/termek/poliuretan-pu-lemez-70-shore-a-pu70-4-0-1-2-4/" TargetMode="External" Id="rId2634" /><Relationship Type="http://schemas.openxmlformats.org/officeDocument/2006/relationships/hyperlink" Target="https://www.rubberselect.com/en/products/pu/pu-70-shore" TargetMode="External" Id="rId2635" /><Relationship Type="http://schemas.openxmlformats.org/officeDocument/2006/relationships/hyperlink" Target="https://website-9ib.pages.dev/termek/poliuretan-pu-lemez-70-shore-a-pu70-5-0-1-2-4/" TargetMode="External" Id="rId2636" /><Relationship Type="http://schemas.openxmlformats.org/officeDocument/2006/relationships/hyperlink" Target="https://www.rubberselect.com/en/products/pu/pu-70-shore" TargetMode="External" Id="rId2637" /><Relationship Type="http://schemas.openxmlformats.org/officeDocument/2006/relationships/hyperlink" Target="https://website-9ib.pages.dev/termek/poliuretan-pu-lemez-70-shore-a-pu70-6-0-1-2-4/" TargetMode="External" Id="rId2638" /><Relationship Type="http://schemas.openxmlformats.org/officeDocument/2006/relationships/hyperlink" Target="https://www.rubberselect.com/en/products/pu/pu-70-shore" TargetMode="External" Id="rId2639" /><Relationship Type="http://schemas.openxmlformats.org/officeDocument/2006/relationships/hyperlink" Target="https://website-9ib.pages.dev/termek/poliuretan-pu-lemez-70-shore-a-pu70-8-0-1-2-4/" TargetMode="External" Id="rId2640" /><Relationship Type="http://schemas.openxmlformats.org/officeDocument/2006/relationships/hyperlink" Target="https://www.rubberselect.com/en/products/pu/pu-80-shore" TargetMode="External" Id="rId2641" /><Relationship Type="http://schemas.openxmlformats.org/officeDocument/2006/relationships/hyperlink" Target="https://website-9ib.pages.dev/termek/poliuretan-pu-lemez-80-shore-a-pu80-1-0-1-2-4/" TargetMode="External" Id="rId2642" /><Relationship Type="http://schemas.openxmlformats.org/officeDocument/2006/relationships/hyperlink" Target="https://www.rubberselect.com/en/products/pu/pu-80-shore" TargetMode="External" Id="rId2643" /><Relationship Type="http://schemas.openxmlformats.org/officeDocument/2006/relationships/hyperlink" Target="https://website-9ib.pages.dev/termek/poliuretan-pu-lemez-80-shore-a-pu80-10-0-1-2-4/" TargetMode="External" Id="rId2644" /><Relationship Type="http://schemas.openxmlformats.org/officeDocument/2006/relationships/hyperlink" Target="https://www.rubberselect.com/en/products/pu/pu-80-shore" TargetMode="External" Id="rId2645" /><Relationship Type="http://schemas.openxmlformats.org/officeDocument/2006/relationships/hyperlink" Target="https://website-9ib.pages.dev/termek/poliuretan-pu-lemez-80-shore-a-pu80-12-0-1-2-4/" TargetMode="External" Id="rId2646" /><Relationship Type="http://schemas.openxmlformats.org/officeDocument/2006/relationships/hyperlink" Target="https://www.rubberselect.com/en/products/pu/pu-80-shore" TargetMode="External" Id="rId2647" /><Relationship Type="http://schemas.openxmlformats.org/officeDocument/2006/relationships/hyperlink" Target="https://website-9ib.pages.dev/termek/poliuretan-pu-lemez-80-shore-a-pu80-14-0-1-2-4/" TargetMode="External" Id="rId2648" /><Relationship Type="http://schemas.openxmlformats.org/officeDocument/2006/relationships/hyperlink" Target="https://www.rubberselect.com/en/products/pu/pu-80-shore" TargetMode="External" Id="rId2649" /><Relationship Type="http://schemas.openxmlformats.org/officeDocument/2006/relationships/hyperlink" Target="https://website-9ib.pages.dev/termek/poliuretan-pu-lemez-80-shore-a-pu80-15-0-1-2-4/" TargetMode="External" Id="rId2650" /><Relationship Type="http://schemas.openxmlformats.org/officeDocument/2006/relationships/hyperlink" Target="https://www.rubberselect.com/en/products/pu/pu-80-shore" TargetMode="External" Id="rId2651" /><Relationship Type="http://schemas.openxmlformats.org/officeDocument/2006/relationships/hyperlink" Target="https://website-9ib.pages.dev/termek/poliuretan-pu-lemez-80-shore-a-pu80-2-0-1-2-4/" TargetMode="External" Id="rId2652" /><Relationship Type="http://schemas.openxmlformats.org/officeDocument/2006/relationships/hyperlink" Target="https://www.rubberselect.com/en/products/pu/pu-80-shore" TargetMode="External" Id="rId2653" /><Relationship Type="http://schemas.openxmlformats.org/officeDocument/2006/relationships/hyperlink" Target="https://website-9ib.pages.dev/termek/poliuretan-pu-lemez-80-shore-a-pu80-20-0-1-2-4/" TargetMode="External" Id="rId2654" /><Relationship Type="http://schemas.openxmlformats.org/officeDocument/2006/relationships/hyperlink" Target="https://www.rubberselect.com/en/products/pu/pu-80-shore" TargetMode="External" Id="rId2655" /><Relationship Type="http://schemas.openxmlformats.org/officeDocument/2006/relationships/hyperlink" Target="https://website-9ib.pages.dev/termek/poliuretan-pu-lemez-80-shore-a-pu80-25-0-1-2/" TargetMode="External" Id="rId2656" /><Relationship Type="http://schemas.openxmlformats.org/officeDocument/2006/relationships/hyperlink" Target="https://www.rubberselect.com/en/products/pu/pu-80-shore" TargetMode="External" Id="rId2657" /><Relationship Type="http://schemas.openxmlformats.org/officeDocument/2006/relationships/hyperlink" Target="https://website-9ib.pages.dev/termek/poliuretan-pu-lemez-80-shore-a-pu80-3-0-1-2-4/" TargetMode="External" Id="rId2658" /><Relationship Type="http://schemas.openxmlformats.org/officeDocument/2006/relationships/hyperlink" Target="https://www.rubberselect.com/en/products/pu/pu-80-shore" TargetMode="External" Id="rId2659" /><Relationship Type="http://schemas.openxmlformats.org/officeDocument/2006/relationships/hyperlink" Target="https://website-9ib.pages.dev/termek/poliuretan-pu-lemez-80-shore-a-pu80-30-0-1-2/" TargetMode="External" Id="rId2660" /><Relationship Type="http://schemas.openxmlformats.org/officeDocument/2006/relationships/hyperlink" Target="https://www.rubberselect.com/en/products/pu/pu-80-shore" TargetMode="External" Id="rId2661" /><Relationship Type="http://schemas.openxmlformats.org/officeDocument/2006/relationships/hyperlink" Target="https://website-9ib.pages.dev/termek/poliuretan-pu-lemez-80-shore-a-pu80-4-0-1-2-4/" TargetMode="External" Id="rId2662" /><Relationship Type="http://schemas.openxmlformats.org/officeDocument/2006/relationships/hyperlink" Target="https://www.rubberselect.com/en/products/pu/pu-80-shore" TargetMode="External" Id="rId2663" /><Relationship Type="http://schemas.openxmlformats.org/officeDocument/2006/relationships/hyperlink" Target="https://website-9ib.pages.dev/termek/poliuretan-pu-lemez-80-shore-a-pu80-5-0-1-2-4/" TargetMode="External" Id="rId2664" /><Relationship Type="http://schemas.openxmlformats.org/officeDocument/2006/relationships/hyperlink" Target="https://www.rubberselect.com/en/products/pu/pu-80-shore" TargetMode="External" Id="rId2665" /><Relationship Type="http://schemas.openxmlformats.org/officeDocument/2006/relationships/hyperlink" Target="https://website-9ib.pages.dev/termek/poliuretan-pu-lemez-80-shore-a-pu80-6-0-1-2-4/" TargetMode="External" Id="rId2666" /><Relationship Type="http://schemas.openxmlformats.org/officeDocument/2006/relationships/hyperlink" Target="https://www.rubberselect.com/en/products/pu/pu-80-shore" TargetMode="External" Id="rId2667" /><Relationship Type="http://schemas.openxmlformats.org/officeDocument/2006/relationships/hyperlink" Target="https://website-9ib.pages.dev/termek/poliuretan-pu-lemez-80-shore-a-pu80-8-0-1-2-4/" TargetMode="External" Id="rId2668" /><Relationship Type="http://schemas.openxmlformats.org/officeDocument/2006/relationships/hyperlink" Target="https://www.rubberselect.com/en/products/pu/pu-90-shore" TargetMode="External" Id="rId2669" /><Relationship Type="http://schemas.openxmlformats.org/officeDocument/2006/relationships/hyperlink" Target="https://website-9ib.pages.dev/termek/poliuretan-pu-lemez-90-shore-a-pu90-1-0-1-2-4/" TargetMode="External" Id="rId2670" /><Relationship Type="http://schemas.openxmlformats.org/officeDocument/2006/relationships/hyperlink" Target="https://www.rubberselect.com/en/products/pu/pu-90-shore" TargetMode="External" Id="rId2671" /><Relationship Type="http://schemas.openxmlformats.org/officeDocument/2006/relationships/hyperlink" Target="https://website-9ib.pages.dev/termek/poliuretan-pu-lemez-90-shore-a-pu90-10-0-1-2-4/" TargetMode="External" Id="rId2672" /><Relationship Type="http://schemas.openxmlformats.org/officeDocument/2006/relationships/hyperlink" Target="https://www.rubberselect.com/en/products/pu/pu-90-shore" TargetMode="External" Id="rId2673" /><Relationship Type="http://schemas.openxmlformats.org/officeDocument/2006/relationships/hyperlink" Target="https://website-9ib.pages.dev/termek/poliuretan-pu-lemez-90-shore-a-pu90-12-0-1-2-4/" TargetMode="External" Id="rId2674" /><Relationship Type="http://schemas.openxmlformats.org/officeDocument/2006/relationships/hyperlink" Target="https://www.rubberselect.com/en/products/pu/pu-90-shore" TargetMode="External" Id="rId2675" /><Relationship Type="http://schemas.openxmlformats.org/officeDocument/2006/relationships/hyperlink" Target="https://website-9ib.pages.dev/termek/poliuretan-pu-lemez-90-shore-a-pu90-14-0-1-2-4/" TargetMode="External" Id="rId2676" /><Relationship Type="http://schemas.openxmlformats.org/officeDocument/2006/relationships/hyperlink" Target="https://www.rubberselect.com/en/products/pu/pu-90-shore" TargetMode="External" Id="rId2677" /><Relationship Type="http://schemas.openxmlformats.org/officeDocument/2006/relationships/hyperlink" Target="https://website-9ib.pages.dev/termek/poliuretan-pu-lemez-90-shore-a-pu90-15-0-1-2-4/" TargetMode="External" Id="rId2678" /><Relationship Type="http://schemas.openxmlformats.org/officeDocument/2006/relationships/hyperlink" Target="https://www.rubberselect.com/en/products/pu/pu-90-shore" TargetMode="External" Id="rId2679" /><Relationship Type="http://schemas.openxmlformats.org/officeDocument/2006/relationships/hyperlink" Target="https://website-9ib.pages.dev/termek/poliuretan-pu-lemez-90-shore-a-pu90-2-0-1-2-4/" TargetMode="External" Id="rId2680" /><Relationship Type="http://schemas.openxmlformats.org/officeDocument/2006/relationships/hyperlink" Target="https://www.rubberselect.com/en/products/pu/pu-90-shore" TargetMode="External" Id="rId2681" /><Relationship Type="http://schemas.openxmlformats.org/officeDocument/2006/relationships/hyperlink" Target="https://website-9ib.pages.dev/termek/poliuretan-pu-lemez-90-shore-a-pu90-20-0-1-2-4/" TargetMode="External" Id="rId2682" /><Relationship Type="http://schemas.openxmlformats.org/officeDocument/2006/relationships/hyperlink" Target="https://www.rubberselect.com/en/products/pu/pu-90-shore" TargetMode="External" Id="rId2683" /><Relationship Type="http://schemas.openxmlformats.org/officeDocument/2006/relationships/hyperlink" Target="https://website-9ib.pages.dev/termek/poliuretan-pu-lemez-90-shore-a-pu90-25-0-1-2/" TargetMode="External" Id="rId2684" /><Relationship Type="http://schemas.openxmlformats.org/officeDocument/2006/relationships/hyperlink" Target="https://www.rubberselect.com/en/products/pu/pu-90-shore" TargetMode="External" Id="rId2685" /><Relationship Type="http://schemas.openxmlformats.org/officeDocument/2006/relationships/hyperlink" Target="https://website-9ib.pages.dev/termek/poliuretan-pu-lemez-90-shore-a-pu90-3-0-1-2-4/" TargetMode="External" Id="rId2686" /><Relationship Type="http://schemas.openxmlformats.org/officeDocument/2006/relationships/hyperlink" Target="https://www.rubberselect.com/en/products/pu/pu-90-shore" TargetMode="External" Id="rId2687" /><Relationship Type="http://schemas.openxmlformats.org/officeDocument/2006/relationships/hyperlink" Target="https://website-9ib.pages.dev/termek/poliuretan-pu-lemez-90-shore-a-pu90-30-0-1-2/" TargetMode="External" Id="rId2688" /><Relationship Type="http://schemas.openxmlformats.org/officeDocument/2006/relationships/hyperlink" Target="https://www.rubberselect.com/en/products/pu/pu-90-shore" TargetMode="External" Id="rId2689" /><Relationship Type="http://schemas.openxmlformats.org/officeDocument/2006/relationships/hyperlink" Target="https://website-9ib.pages.dev/termek/poliuretan-pu-lemez-90-shore-a-pu90-4-0-1-2-4/" TargetMode="External" Id="rId2690" /><Relationship Type="http://schemas.openxmlformats.org/officeDocument/2006/relationships/hyperlink" Target="https://www.rubberselect.com/en/products/pu/pu-90-shore" TargetMode="External" Id="rId2691" /><Relationship Type="http://schemas.openxmlformats.org/officeDocument/2006/relationships/hyperlink" Target="https://website-9ib.pages.dev/termek/poliuretan-pu-lemez-90-shore-a-pu90-5-0-1-2-4/" TargetMode="External" Id="rId2692" /><Relationship Type="http://schemas.openxmlformats.org/officeDocument/2006/relationships/hyperlink" Target="https://www.rubberselect.com/en/products/pu/pu-90-shore" TargetMode="External" Id="rId2693" /><Relationship Type="http://schemas.openxmlformats.org/officeDocument/2006/relationships/hyperlink" Target="https://website-9ib.pages.dev/termek/poliuretan-pu-lemez-90-shore-a-pu90-6-0-1-2-4/" TargetMode="External" Id="rId2694" /><Relationship Type="http://schemas.openxmlformats.org/officeDocument/2006/relationships/hyperlink" Target="https://www.rubberselect.com/en/products/pu/pu-90-shore" TargetMode="External" Id="rId2695" /><Relationship Type="http://schemas.openxmlformats.org/officeDocument/2006/relationships/hyperlink" Target="https://website-9ib.pages.dev/termek/poliuretan-pu-lemez-90-shore-a-pu90-8-0-1-2-4/" TargetMode="External" Id="rId2696" /><Relationship Type="http://schemas.openxmlformats.org/officeDocument/2006/relationships/hyperlink" Target="https://www.rubberselect.com/en/products/pu/premium-pu" TargetMode="External" Id="rId2697" /><Relationship Type="http://schemas.openxmlformats.org/officeDocument/2006/relationships/hyperlink" Target="https://website-9ib.pages.dev/termek/premium-poliuretan-pu-lemez-ppu90-10-0-1000-2000/" TargetMode="External" Id="rId2698" /><Relationship Type="http://schemas.openxmlformats.org/officeDocument/2006/relationships/hyperlink" Target="https://www.rubberselect.com/en/products/pu/premium-pu" TargetMode="External" Id="rId2699" /><Relationship Type="http://schemas.openxmlformats.org/officeDocument/2006/relationships/hyperlink" Target="https://website-9ib.pages.dev/termek/premium-poliuretan-pu-lemez-ppu90-10-0-1000-4000/" TargetMode="External" Id="rId2700" /><Relationship Type="http://schemas.openxmlformats.org/officeDocument/2006/relationships/hyperlink" Target="https://www.rubberselect.com/en/products/pu/premium-pu" TargetMode="External" Id="rId2701" /><Relationship Type="http://schemas.openxmlformats.org/officeDocument/2006/relationships/hyperlink" Target="https://website-9ib.pages.dev/termek/premium-poliuretan-pu-lemez-ppu90-3-0-1000-2000/" TargetMode="External" Id="rId2702" /><Relationship Type="http://schemas.openxmlformats.org/officeDocument/2006/relationships/hyperlink" Target="https://www.rubberselect.com/en/products/pu/premium-pu" TargetMode="External" Id="rId2703" /><Relationship Type="http://schemas.openxmlformats.org/officeDocument/2006/relationships/hyperlink" Target="https://website-9ib.pages.dev/termek/premium-poliuretan-pu-lemez-ppu90-3-0-1000-4000/" TargetMode="External" Id="rId2704" /><Relationship Type="http://schemas.openxmlformats.org/officeDocument/2006/relationships/hyperlink" Target="https://www.rubberselect.com/en/products/pu/premium-pu" TargetMode="External" Id="rId2705" /><Relationship Type="http://schemas.openxmlformats.org/officeDocument/2006/relationships/hyperlink" Target="https://website-9ib.pages.dev/termek/premium-poliuretan-pu-lemez-ppu90-6-0-1000-2000/" TargetMode="External" Id="rId2706" /><Relationship Type="http://schemas.openxmlformats.org/officeDocument/2006/relationships/hyperlink" Target="https://www.rubberselect.com/en/products/pu/premium-pu" TargetMode="External" Id="rId2707" /><Relationship Type="http://schemas.openxmlformats.org/officeDocument/2006/relationships/hyperlink" Target="https://website-9ib.pages.dev/termek/premium-poliuretan-pu-lemez-ppu90-6-0-1000-4000/" TargetMode="External" Id="rId2708" /><Relationship Type="http://schemas.openxmlformats.org/officeDocument/2006/relationships/hyperlink" Target="https://www.rubberselect.com/en/products/matting/broad-rib-mat" TargetMode="External" Id="rId2709" /><Relationship Type="http://schemas.openxmlformats.org/officeDocument/2006/relationships/hyperlink" Target="https://website-9ib.pages.dev/termek/szeles-bordas-gumiszonyeg-mr-3-0-1000-10000/" TargetMode="External" Id="rId2710" /><Relationship Type="http://schemas.openxmlformats.org/officeDocument/2006/relationships/hyperlink" Target="https://www.rubberselect.com/en/products/matting/broad-rib-mat" TargetMode="External" Id="rId2711" /><Relationship Type="http://schemas.openxmlformats.org/officeDocument/2006/relationships/hyperlink" Target="https://website-9ib.pages.dev/termek/szeles-bordas-gumiszonyeg-mr-3-0-1200-10000/" TargetMode="External" Id="rId2712" /><Relationship Type="http://schemas.openxmlformats.org/officeDocument/2006/relationships/hyperlink" Target="https://www.rubberselect.com/en/products/nrsbr-rubber-sheets/allpac-insertions" TargetMode="External" Id="rId2713" /><Relationship Type="http://schemas.openxmlformats.org/officeDocument/2006/relationships/hyperlink" Target="https://website-9ib.pages.dev/termek/szovetbetetes-gumilemez-nr-sbr-sbr-10-2-1-4-10/" TargetMode="External" Id="rId2714" /><Relationship Type="http://schemas.openxmlformats.org/officeDocument/2006/relationships/hyperlink" Target="https://www.rubberselect.com/en/products/nrsbr-rubber-sheets/allpac-insertions" TargetMode="External" Id="rId2715" /><Relationship Type="http://schemas.openxmlformats.org/officeDocument/2006/relationships/hyperlink" Target="https://website-9ib.pages.dev/termek/szovetbetetes-gumilemez-nr-sbr-sbr-10-2-1-4-5/" TargetMode="External" Id="rId2716" /><Relationship Type="http://schemas.openxmlformats.org/officeDocument/2006/relationships/hyperlink" Target="https://www.rubberselect.com/en/products/nrsbr-rubber-sheets/allpac-insertions" TargetMode="External" Id="rId2717" /><Relationship Type="http://schemas.openxmlformats.org/officeDocument/2006/relationships/hyperlink" Target="https://website-9ib.pages.dev/termek/szovetbetetes-gumilemez-nr-sbr-sbr-2-1-1-2-10/" TargetMode="External" Id="rId2718" /><Relationship Type="http://schemas.openxmlformats.org/officeDocument/2006/relationships/hyperlink" Target="https://www.rubberselect.com/en/products/nrsbr-rubber-sheets/allpac-insertions" TargetMode="External" Id="rId2719" /><Relationship Type="http://schemas.openxmlformats.org/officeDocument/2006/relationships/hyperlink" Target="https://website-9ib.pages.dev/termek/szovetbetetes-gumilemez-nr-sbr-sbr-2-1-1-4-10/" TargetMode="External" Id="rId2720" /><Relationship Type="http://schemas.openxmlformats.org/officeDocument/2006/relationships/hyperlink" Target="https://www.rubberselect.com/en/products/nrsbr-rubber-sheets/allpac-insertions" TargetMode="External" Id="rId2721" /><Relationship Type="http://schemas.openxmlformats.org/officeDocument/2006/relationships/hyperlink" Target="https://website-9ib.pages.dev/termek/szovetbetetes-gumilemez-nr-sbr-sbr-3-1-1-2-10/" TargetMode="External" Id="rId2722" /><Relationship Type="http://schemas.openxmlformats.org/officeDocument/2006/relationships/hyperlink" Target="https://www.rubberselect.com/en/products/nrsbr-rubber-sheets/allpac-insertions" TargetMode="External" Id="rId2723" /><Relationship Type="http://schemas.openxmlformats.org/officeDocument/2006/relationships/hyperlink" Target="https://website-9ib.pages.dev/termek/szovetbetetes-gumilemez-nr-sbr-sbr-3-2-1-2-10/" TargetMode="External" Id="rId2724" /><Relationship Type="http://schemas.openxmlformats.org/officeDocument/2006/relationships/hyperlink" Target="https://www.rubberselect.com/en/products/nrsbr-rubber-sheets/allpac-insertions" TargetMode="External" Id="rId2725" /><Relationship Type="http://schemas.openxmlformats.org/officeDocument/2006/relationships/hyperlink" Target="https://website-9ib.pages.dev/termek/szovetbetetes-gumilemez-nr-sbr-sbr-3-1-1-4-10/" TargetMode="External" Id="rId2726" /><Relationship Type="http://schemas.openxmlformats.org/officeDocument/2006/relationships/hyperlink" Target="https://www.rubberselect.com/en/products/nrsbr-rubber-sheets/allpac-insertions" TargetMode="External" Id="rId2727" /><Relationship Type="http://schemas.openxmlformats.org/officeDocument/2006/relationships/hyperlink" Target="https://website-9ib.pages.dev/termek/szovetbetetes-gumilemez-nr-sbr-sbr-3-2-1-4-10/" TargetMode="External" Id="rId2728" /><Relationship Type="http://schemas.openxmlformats.org/officeDocument/2006/relationships/hyperlink" Target="https://www.rubberselect.com/en/products/nrsbr-rubber-sheets/allpac-insertions" TargetMode="External" Id="rId2729" /><Relationship Type="http://schemas.openxmlformats.org/officeDocument/2006/relationships/hyperlink" Target="https://website-9ib.pages.dev/termek/szovetbetetes-gumilemez-nr-sbr-sbr-4-1-1-2-10/" TargetMode="External" Id="rId2730" /><Relationship Type="http://schemas.openxmlformats.org/officeDocument/2006/relationships/hyperlink" Target="https://www.rubberselect.com/en/products/nrsbr-rubber-sheets/allpac-insertions" TargetMode="External" Id="rId2731" /><Relationship Type="http://schemas.openxmlformats.org/officeDocument/2006/relationships/hyperlink" Target="https://website-9ib.pages.dev/termek/szovetbetetes-gumilemez-nr-sbr-sbr-4-2-1-2-10/" TargetMode="External" Id="rId2732" /><Relationship Type="http://schemas.openxmlformats.org/officeDocument/2006/relationships/hyperlink" Target="https://www.rubberselect.com/en/products/nrsbr-rubber-sheets/allpac-insertions" TargetMode="External" Id="rId2733" /><Relationship Type="http://schemas.openxmlformats.org/officeDocument/2006/relationships/hyperlink" Target="https://website-9ib.pages.dev/termek/szovetbetetes-gumilemez-nr-sbr-sbr-4-1-1-4-10/" TargetMode="External" Id="rId2734" /><Relationship Type="http://schemas.openxmlformats.org/officeDocument/2006/relationships/hyperlink" Target="https://www.rubberselect.com/en/products/nrsbr-rubber-sheets/allpac-insertions" TargetMode="External" Id="rId2735" /><Relationship Type="http://schemas.openxmlformats.org/officeDocument/2006/relationships/hyperlink" Target="https://website-9ib.pages.dev/termek/szovetbetetes-gumilemez-nr-sbr-sbr-4-2-1-4-10/" TargetMode="External" Id="rId2736" /><Relationship Type="http://schemas.openxmlformats.org/officeDocument/2006/relationships/hyperlink" Target="https://www.rubberselect.com/en/products/nrsbr-rubber-sheets/allpac-insertions" TargetMode="External" Id="rId2737" /><Relationship Type="http://schemas.openxmlformats.org/officeDocument/2006/relationships/hyperlink" Target="https://website-9ib.pages.dev/termek/szovetbetetes-gumilemez-nr-sbr-sbr-5-1-1-2-10/" TargetMode="External" Id="rId2738" /><Relationship Type="http://schemas.openxmlformats.org/officeDocument/2006/relationships/hyperlink" Target="https://www.rubberselect.com/en/products/nrsbr-rubber-sheets/allpac-insertions" TargetMode="External" Id="rId2739" /><Relationship Type="http://schemas.openxmlformats.org/officeDocument/2006/relationships/hyperlink" Target="https://website-9ib.pages.dev/termek/szovetbetetes-gumilemez-nr-sbr-sbr-5-2-1-2-10/" TargetMode="External" Id="rId2740" /><Relationship Type="http://schemas.openxmlformats.org/officeDocument/2006/relationships/hyperlink" Target="https://www.rubberselect.com/en/products/nrsbr-rubber-sheets/allpac-insertions" TargetMode="External" Id="rId2741" /><Relationship Type="http://schemas.openxmlformats.org/officeDocument/2006/relationships/hyperlink" Target="https://website-9ib.pages.dev/termek/szovetbetetes-gumilemez-nr-sbr-sbr-5-1-1-4-10/" TargetMode="External" Id="rId2742" /><Relationship Type="http://schemas.openxmlformats.org/officeDocument/2006/relationships/hyperlink" Target="https://www.rubberselect.com/en/products/nrsbr-rubber-sheets/allpac-insertions" TargetMode="External" Id="rId2743" /><Relationship Type="http://schemas.openxmlformats.org/officeDocument/2006/relationships/hyperlink" Target="https://website-9ib.pages.dev/termek/szovetbetetes-gumilemez-nr-sbr-sbr-5-2-1-4-10/" TargetMode="External" Id="rId2744" /><Relationship Type="http://schemas.openxmlformats.org/officeDocument/2006/relationships/hyperlink" Target="https://www.rubberselect.com/en/products/nrsbr-rubber-sheets/allpac-insertions" TargetMode="External" Id="rId2745" /><Relationship Type="http://schemas.openxmlformats.org/officeDocument/2006/relationships/hyperlink" Target="https://website-9ib.pages.dev/termek/szovetbetetes-gumilemez-nr-sbr-sbr-6-1-1-2-10/" TargetMode="External" Id="rId2746" /><Relationship Type="http://schemas.openxmlformats.org/officeDocument/2006/relationships/hyperlink" Target="https://www.rubberselect.com/en/products/nrsbr-rubber-sheets/allpac-insertions" TargetMode="External" Id="rId2747" /><Relationship Type="http://schemas.openxmlformats.org/officeDocument/2006/relationships/hyperlink" Target="https://website-9ib.pages.dev/termek/szovetbetetes-gumilemez-nr-sbr-sbr-6-2-1-2-10/" TargetMode="External" Id="rId2748" /><Relationship Type="http://schemas.openxmlformats.org/officeDocument/2006/relationships/hyperlink" Target="https://www.rubberselect.com/en/products/nrsbr-rubber-sheets/allpac-insertions" TargetMode="External" Id="rId2749" /><Relationship Type="http://schemas.openxmlformats.org/officeDocument/2006/relationships/hyperlink" Target="https://website-9ib.pages.dev/termek/szovetbetetes-gumilemez-nr-sbr-sbr-6-1-1-4-10/" TargetMode="External" Id="rId2750" /><Relationship Type="http://schemas.openxmlformats.org/officeDocument/2006/relationships/hyperlink" Target="https://www.rubberselect.com/en/products/nrsbr-rubber-sheets/allpac-insertions" TargetMode="External" Id="rId2751" /><Relationship Type="http://schemas.openxmlformats.org/officeDocument/2006/relationships/hyperlink" Target="https://website-9ib.pages.dev/termek/szovetbetetes-gumilemez-nr-sbr-sbr-6-2-1-4-10/" TargetMode="External" Id="rId2752" /><Relationship Type="http://schemas.openxmlformats.org/officeDocument/2006/relationships/hyperlink" Target="https://www.rubberselect.com/en/products/nrsbr-rubber-sheets/allpac-insertions" TargetMode="External" Id="rId2753" /><Relationship Type="http://schemas.openxmlformats.org/officeDocument/2006/relationships/hyperlink" Target="https://website-9ib.pages.dev/termek/szovetbetetes-gumilemez-nr-sbr-sbr-8-2-1-2-10/" TargetMode="External" Id="rId2754" /><Relationship Type="http://schemas.openxmlformats.org/officeDocument/2006/relationships/hyperlink" Target="https://www.rubberselect.com/en/products/nrsbr-rubber-sheets/allpac-insertions" TargetMode="External" Id="rId2755" /><Relationship Type="http://schemas.openxmlformats.org/officeDocument/2006/relationships/hyperlink" Target="https://website-9ib.pages.dev/termek/szovetbetetes-gumilemez-nr-sbr-sbr-8-2-1-4-10/" TargetMode="External" Id="rId2756" /><Relationship Type="http://schemas.openxmlformats.org/officeDocument/2006/relationships/hyperlink" Target="https://www.rubberselect.com/en/products/nrsbr-rubber-sheets/allpac-insertions" TargetMode="External" Id="rId2757" /><Relationship Type="http://schemas.openxmlformats.org/officeDocument/2006/relationships/hyperlink" Target="https://website-9ib.pages.dev/termek/szovetbetetes-gumilemez-nr-sbr-sbr-8-2-1-4-5/" TargetMode="External" Id="rId2758" /><Relationship Type="http://schemas.openxmlformats.org/officeDocument/2006/relationships/hyperlink" Target="https://www.rubberselect.com/en/products/matting/trailermat" TargetMode="External" Id="rId2759" /><Relationship Type="http://schemas.openxmlformats.org/officeDocument/2006/relationships/hyperlink" Target="https://website-9ib.pages.dev/termek/utanfuto-es-loszallito-gumiszonyeg-lm-17-0-1550-1750/" TargetMode="External" Id="rId2760" /><Relationship Type="http://schemas.openxmlformats.org/officeDocument/2006/relationships/hyperlink" Target="https://www.rubberselect.com/en/products/matting/trailermat" TargetMode="External" Id="rId2761" /><Relationship Type="http://schemas.openxmlformats.org/officeDocument/2006/relationships/hyperlink" Target="https://website-9ib.pages.dev/termek/utanfuto-es-loszallito-gumiszonyeg-tm-27-0-1200-2400/" TargetMode="External" Id="rId2762" /><Relationship Type="http://schemas.openxmlformats.org/officeDocument/2006/relationships/hyperlink" Target="https://www.rubberselect.com/en/products/pvc/pvc-sheeting" TargetMode="External" Id="rId2763" /><Relationship Type="http://schemas.openxmlformats.org/officeDocument/2006/relationships/hyperlink" Target="https://website-9ib.pages.dev/termek/viztiszta-pvc-lemez-pvc-1x1200-1-2-20/" TargetMode="External" Id="rId2764" /><Relationship Type="http://schemas.openxmlformats.org/officeDocument/2006/relationships/hyperlink" Target="https://www.rubberselect.com/en/products/pvc/pvc-sheeting" TargetMode="External" Id="rId2765" /><Relationship Type="http://schemas.openxmlformats.org/officeDocument/2006/relationships/hyperlink" Target="https://website-9ib.pages.dev/termek/viztiszta-pvc-lemez-pvc-1x1000-1-20/" TargetMode="External" Id="rId2766" /><Relationship Type="http://schemas.openxmlformats.org/officeDocument/2006/relationships/hyperlink" Target="https://www.rubberselect.com/en/products/pvc/pvc-sheeting" TargetMode="External" Id="rId2767" /><Relationship Type="http://schemas.openxmlformats.org/officeDocument/2006/relationships/hyperlink" Target="https://website-9ib.pages.dev/termek/viztiszta-pvc-lemez-pvc-2x1200-1-2-20/" TargetMode="External" Id="rId2768" /><Relationship Type="http://schemas.openxmlformats.org/officeDocument/2006/relationships/hyperlink" Target="https://www.rubberselect.com/en/products/pvc/pvc-sheeting" TargetMode="External" Id="rId2769" /><Relationship Type="http://schemas.openxmlformats.org/officeDocument/2006/relationships/hyperlink" Target="https://website-9ib.pages.dev/termek/viztiszta-pvc-lemez-pvc-2x1500-1-5-20/" TargetMode="External" Id="rId2770" /><Relationship Type="http://schemas.openxmlformats.org/officeDocument/2006/relationships/hyperlink" Target="https://www.rubberselect.com/en/products/pvc/pvc-sheeting" TargetMode="External" Id="rId2771" /><Relationship Type="http://schemas.openxmlformats.org/officeDocument/2006/relationships/hyperlink" Target="https://website-9ib.pages.dev/termek/viztiszta-pvc-lemez-pvc-2x1000-1-20/" TargetMode="External" Id="rId2772" /><Relationship Type="http://schemas.openxmlformats.org/officeDocument/2006/relationships/hyperlink" Target="https://www.rubberselect.com/en/products/pvc/pvc-sheeting" TargetMode="External" Id="rId2773" /><Relationship Type="http://schemas.openxmlformats.org/officeDocument/2006/relationships/hyperlink" Target="https://website-9ib.pages.dev/termek/viztiszta-pvc-lemez-pvc-3x1200-1-2-20/" TargetMode="External" Id="rId2774" /><Relationship Type="http://schemas.openxmlformats.org/officeDocument/2006/relationships/hyperlink" Target="https://www.rubberselect.com/en/products/pvc/pvc-sheeting" TargetMode="External" Id="rId2775" /><Relationship Type="http://schemas.openxmlformats.org/officeDocument/2006/relationships/hyperlink" Target="https://website-9ib.pages.dev/termek/viztiszta-pvc-lemez-pvc-3x1500-1-5-20/" TargetMode="External" Id="rId2776" /><Relationship Type="http://schemas.openxmlformats.org/officeDocument/2006/relationships/hyperlink" Target="https://www.rubberselect.com/en/products/pvc/pvc-sheeting" TargetMode="External" Id="rId2777" /><Relationship Type="http://schemas.openxmlformats.org/officeDocument/2006/relationships/hyperlink" Target="https://website-9ib.pages.dev/termek/viztiszta-pvc-lemez-pvc-3x1000-1-20/" TargetMode="External" Id="rId2778" /><Relationship Type="http://schemas.openxmlformats.org/officeDocument/2006/relationships/hyperlink" Target="https://www.rubberselect.com/en/products/pvc/pvc-sheeting" TargetMode="External" Id="rId2779" /><Relationship Type="http://schemas.openxmlformats.org/officeDocument/2006/relationships/hyperlink" Target="https://website-9ib.pages.dev/termek/viztiszta-pvc-lemez-pvc-4x1200-1-2-20/" TargetMode="External" Id="rId2780" /><Relationship Type="http://schemas.openxmlformats.org/officeDocument/2006/relationships/hyperlink" Target="https://www.rubberselect.com/en/products/pvc/pvc-sheeting" TargetMode="External" Id="rId2781" /><Relationship Type="http://schemas.openxmlformats.org/officeDocument/2006/relationships/hyperlink" Target="https://website-9ib.pages.dev/termek/viztiszta-pvc-lemez-pvc-4x1500-1-5-20/" TargetMode="External" Id="rId2782" /><Relationship Type="http://schemas.openxmlformats.org/officeDocument/2006/relationships/hyperlink" Target="https://www.rubberselect.com/en/products/pvc/pvc-sheeting" TargetMode="External" Id="rId2783" /><Relationship Type="http://schemas.openxmlformats.org/officeDocument/2006/relationships/hyperlink" Target="https://website-9ib.pages.dev/termek/viztiszta-pvc-lemez-pvc-4x1000-1-20/" TargetMode="External" Id="rId2784" /><Relationship Type="http://schemas.openxmlformats.org/officeDocument/2006/relationships/hyperlink" Target="https://www.rubberselect.com/en/products/pvc/pvc-sheeting" TargetMode="External" Id="rId2785" /><Relationship Type="http://schemas.openxmlformats.org/officeDocument/2006/relationships/hyperlink" Target="https://website-9ib.pages.dev/termek/viztiszta-pvc-lemez-pvc-5x1200-1-2-20/" TargetMode="External" Id="rId2786" /><Relationship Type="http://schemas.openxmlformats.org/officeDocument/2006/relationships/hyperlink" Target="https://www.rubberselect.com/en/products/pvc/pvc-sheeting" TargetMode="External" Id="rId2787" /><Relationship Type="http://schemas.openxmlformats.org/officeDocument/2006/relationships/hyperlink" Target="https://website-9ib.pages.dev/termek/viztiszta-pvc-lemez-pvc-5x1500-1-5-20/" TargetMode="External" Id="rId2788" /><Relationship Type="http://schemas.openxmlformats.org/officeDocument/2006/relationships/hyperlink" Target="https://www.rubberselect.com/en/products/pvc/pvc-sheeting" TargetMode="External" Id="rId2789" /><Relationship Type="http://schemas.openxmlformats.org/officeDocument/2006/relationships/hyperlink" Target="https://website-9ib.pages.dev/termek/viztiszta-pvc-lemez-pvc-5x1000-1-20/" TargetMode="External" Id="rId2790" /><Relationship Type="http://schemas.openxmlformats.org/officeDocument/2006/relationships/hyperlink" Target="https://www.rubberselect.com/en/products/pvc/pvc-sheeting" TargetMode="External" Id="rId2791" /><Relationship Type="http://schemas.openxmlformats.org/officeDocument/2006/relationships/hyperlink" Target="https://website-9ib.pages.dev/termek/viztiszta-pvc-lemez-pvc-7x1200-1-2-10/" TargetMode="External" Id="rId2792" /><Relationship Type="http://schemas.openxmlformats.org/officeDocument/2006/relationships/hyperlink" Target="https://www.rubberselect.com/en/products/pvc/pvc-sheeting" TargetMode="External" Id="rId2793" /><Relationship Type="http://schemas.openxmlformats.org/officeDocument/2006/relationships/hyperlink" Target="https://website-9ib.pages.dev/termek/viztiszta-pvc-lemez-pvc-7x1500-1-5-10/" TargetMode="External" Id="rId2794" /><Relationship Type="http://schemas.openxmlformats.org/officeDocument/2006/relationships/hyperlink" Target="https://www.rubberselect.com/en/products/pvc/pvc-sheeting" TargetMode="External" Id="rId2795" /><Relationship Type="http://schemas.openxmlformats.org/officeDocument/2006/relationships/hyperlink" Target="https://website-9ib.pages.dev/termek/viztiszta-pvc-lemez-pvc-7x1000-1-10/" TargetMode="External" Id="rId2796" /><Relationship Type="http://schemas.openxmlformats.org/officeDocument/2006/relationships/hyperlink" Target="https://www.rubberselect.com/en/products/matting/cowmat" TargetMode="External" Id="rId2797" /><Relationship Type="http://schemas.openxmlformats.org/officeDocument/2006/relationships/hyperlink" Target="https://website-9ib.pages.dev/termek/allattarto-gumiszonyeg-sbc-23-0-1830-1200/" TargetMode="External" Id="rId2798" /><Relationship Type="http://schemas.openxmlformats.org/officeDocument/2006/relationships/hyperlink" Target="https://www.rubberselect.com/en/products/matting/connective-ringmat" TargetMode="External" Id="rId2799" /><Relationship Type="http://schemas.openxmlformats.org/officeDocument/2006/relationships/hyperlink" Target="https://website-9ib.pages.dev/termek/osszekapcsolhato-lyukacsos-gumiszonyeg-rms-14-0-900-900/" TargetMode="External" Id="rId2800" /><Relationship Type="http://schemas.openxmlformats.org/officeDocument/2006/relationships/hyperlink" Target="https://www.rubberselect.com/en/products/matting/ring-mat-connector" TargetMode="External" Id="rId2801" /><Relationship Type="http://schemas.openxmlformats.org/officeDocument/2006/relationships/hyperlink" Target="https://website-9ib.pages.dev/termek/osszekoto-elem-lyukacsos-gumiszonyeghez-con/" TargetMode="External" Id="rId2802" /><Relationship Type="http://schemas.openxmlformats.org/officeDocument/2006/relationships/hyperlink" Target="https://www.sandprofile.com/media/gesamtkatalog_en.pdf#page=67" TargetMode="External" Id="rId2803" /><Relationship Type="http://schemas.openxmlformats.org/officeDocument/2006/relationships/hyperlink" Target="https://website-9ib.pages.dev/termek/sp-d1-137/" TargetMode="External" Id="rId2804" /><Relationship Type="http://schemas.openxmlformats.org/officeDocument/2006/relationships/hyperlink" Target="https://www.sandprofile.com/media/gesamtkatalog_en.pdf#page=67" TargetMode="External" Id="rId2805" /><Relationship Type="http://schemas.openxmlformats.org/officeDocument/2006/relationships/hyperlink" Target="https://website-9ib.pages.dev/termek/sp-d2-230/" TargetMode="External" Id="rId2806" /><Relationship Type="http://schemas.openxmlformats.org/officeDocument/2006/relationships/hyperlink" Target="https://www.sandprofile.com/media/gesamtkatalog_en.pdf#page=67" TargetMode="External" Id="rId2807" /><Relationship Type="http://schemas.openxmlformats.org/officeDocument/2006/relationships/hyperlink" Target="https://website-9ib.pages.dev/termek/sp-d2-796/" TargetMode="External" Id="rId2808" /><Relationship Type="http://schemas.openxmlformats.org/officeDocument/2006/relationships/hyperlink" Target="https://www.sandprofile.com/media/gesamtkatalog_en.pdf#page=54" TargetMode="External" Id="rId2809" /><Relationship Type="http://schemas.openxmlformats.org/officeDocument/2006/relationships/hyperlink" Target="https://website-9ib.pages.dev/termek/sp-b1-117/" TargetMode="External" Id="rId2810" /><Relationship Type="http://schemas.openxmlformats.org/officeDocument/2006/relationships/hyperlink" Target="https://www.sandprofile.com/media/gesamtkatalog_en.pdf#page=54" TargetMode="External" Id="rId2811" /><Relationship Type="http://schemas.openxmlformats.org/officeDocument/2006/relationships/hyperlink" Target="https://website-9ib.pages.dev/termek/sp-b1-155/" TargetMode="External" Id="rId2812" /><Relationship Type="http://schemas.openxmlformats.org/officeDocument/2006/relationships/hyperlink" Target="https://www.sandprofile.com/media/gesamtkatalog_en.pdf#page=54" TargetMode="External" Id="rId2813" /><Relationship Type="http://schemas.openxmlformats.org/officeDocument/2006/relationships/hyperlink" Target="https://website-9ib.pages.dev/termek/sp-b2-144/" TargetMode="External" Id="rId2814" /><Relationship Type="http://schemas.openxmlformats.org/officeDocument/2006/relationships/hyperlink" Target="https://www.sandprofile.com/media/gesamtkatalog_en.pdf#page=54" TargetMode="External" Id="rId2815" /><Relationship Type="http://schemas.openxmlformats.org/officeDocument/2006/relationships/hyperlink" Target="https://website-9ib.pages.dev/termek/sp-b2-149/" TargetMode="External" Id="rId2816" /><Relationship Type="http://schemas.openxmlformats.org/officeDocument/2006/relationships/hyperlink" Target="https://www.sandprofile.com/media/gesamtkatalog_en.pdf#page=53" TargetMode="External" Id="rId2817" /><Relationship Type="http://schemas.openxmlformats.org/officeDocument/2006/relationships/hyperlink" Target="https://website-9ib.pages.dev/termek/sp-c1-200/" TargetMode="External" Id="rId2818" /><Relationship Type="http://schemas.openxmlformats.org/officeDocument/2006/relationships/hyperlink" Target="https://www.sandprofile.com/media/gesamtkatalog_en.pdf#page=53" TargetMode="External" Id="rId2819" /><Relationship Type="http://schemas.openxmlformats.org/officeDocument/2006/relationships/hyperlink" Target="https://website-9ib.pages.dev/termek/sp-c1-201/" TargetMode="External" Id="rId2820" /><Relationship Type="http://schemas.openxmlformats.org/officeDocument/2006/relationships/hyperlink" Target="https://www.sandprofile.com/media/gesamtkatalog_en.pdf#page=53" TargetMode="External" Id="rId2821" /><Relationship Type="http://schemas.openxmlformats.org/officeDocument/2006/relationships/hyperlink" Target="https://website-9ib.pages.dev/termek/sp-c1-202/" TargetMode="External" Id="rId2822" /><Relationship Type="http://schemas.openxmlformats.org/officeDocument/2006/relationships/hyperlink" Target="https://www.sandprofile.com/media/gesamtkatalog_en.pdf#page=53" TargetMode="External" Id="rId2823" /><Relationship Type="http://schemas.openxmlformats.org/officeDocument/2006/relationships/hyperlink" Target="https://website-9ib.pages.dev/termek/sp-c1-250/" TargetMode="External" Id="rId2824" /><Relationship Type="http://schemas.openxmlformats.org/officeDocument/2006/relationships/hyperlink" Target="https://www.sandprofile.com/media/gesamtkatalog_en.pdf#page=53" TargetMode="External" Id="rId2825" /><Relationship Type="http://schemas.openxmlformats.org/officeDocument/2006/relationships/hyperlink" Target="https://website-9ib.pages.dev/termek/sp-c1-251/" TargetMode="External" Id="rId2826" /><Relationship Type="http://schemas.openxmlformats.org/officeDocument/2006/relationships/hyperlink" Target="https://www.sandprofile.com/media/gesamtkatalog_en.pdf#page=53" TargetMode="External" Id="rId2827" /><Relationship Type="http://schemas.openxmlformats.org/officeDocument/2006/relationships/hyperlink" Target="https://website-9ib.pages.dev/termek/sp-c1-252/" TargetMode="External" Id="rId2828" /><Relationship Type="http://schemas.openxmlformats.org/officeDocument/2006/relationships/hyperlink" Target="https://www.sandprofile.com/media/gesamtkatalog_en.pdf#page=53" TargetMode="External" Id="rId2829" /><Relationship Type="http://schemas.openxmlformats.org/officeDocument/2006/relationships/hyperlink" Target="https://website-9ib.pages.dev/termek/sp-c1-253/" TargetMode="External" Id="rId2830" /><Relationship Type="http://schemas.openxmlformats.org/officeDocument/2006/relationships/hyperlink" Target="https://www.sandprofile.com/media/gesamtkatalog_en.pdf#page=56" TargetMode="External" Id="rId2831" /><Relationship Type="http://schemas.openxmlformats.org/officeDocument/2006/relationships/hyperlink" Target="https://website-9ib.pages.dev/termek/sp-d1-010/" TargetMode="External" Id="rId2832" /><Relationship Type="http://schemas.openxmlformats.org/officeDocument/2006/relationships/hyperlink" Target="https://www.sandprofile.com/media/gesamtkatalog_en.pdf#page=56" TargetMode="External" Id="rId2833" /><Relationship Type="http://schemas.openxmlformats.org/officeDocument/2006/relationships/hyperlink" Target="https://website-9ib.pages.dev/termek/sp-d1-011/" TargetMode="External" Id="rId2834" /><Relationship Type="http://schemas.openxmlformats.org/officeDocument/2006/relationships/hyperlink" Target="https://www.sandprofile.com/media/gesamtkatalog_en.pdf#page=56" TargetMode="External" Id="rId2835" /><Relationship Type="http://schemas.openxmlformats.org/officeDocument/2006/relationships/hyperlink" Target="https://website-9ib.pages.dev/termek/sp-d1-012/" TargetMode="External" Id="rId2836" /><Relationship Type="http://schemas.openxmlformats.org/officeDocument/2006/relationships/hyperlink" Target="https://www.sandprofile.com/media/gesamtkatalog_en.pdf#page=55" TargetMode="External" Id="rId2837" /><Relationship Type="http://schemas.openxmlformats.org/officeDocument/2006/relationships/hyperlink" Target="https://website-9ib.pages.dev/termek/sp-d1-013/" TargetMode="External" Id="rId2838" /><Relationship Type="http://schemas.openxmlformats.org/officeDocument/2006/relationships/hyperlink" Target="https://www.sandprofile.com/media/gesamtkatalog_en.pdf#page=57" TargetMode="External" Id="rId2839" /><Relationship Type="http://schemas.openxmlformats.org/officeDocument/2006/relationships/hyperlink" Target="https://website-9ib.pages.dev/termek/sp-d1-014/" TargetMode="External" Id="rId2840" /><Relationship Type="http://schemas.openxmlformats.org/officeDocument/2006/relationships/hyperlink" Target="https://www.sandprofile.com/media/gesamtkatalog_en.pdf#page=57" TargetMode="External" Id="rId2841" /><Relationship Type="http://schemas.openxmlformats.org/officeDocument/2006/relationships/hyperlink" Target="https://website-9ib.pages.dev/termek/sp-d1-015/" TargetMode="External" Id="rId2842" /><Relationship Type="http://schemas.openxmlformats.org/officeDocument/2006/relationships/hyperlink" Target="https://www.sandprofile.com/media/gesamtkatalog_en.pdf#page=56" TargetMode="External" Id="rId2843" /><Relationship Type="http://schemas.openxmlformats.org/officeDocument/2006/relationships/hyperlink" Target="https://website-9ib.pages.dev/termek/sp-d1-020/" TargetMode="External" Id="rId2844" /><Relationship Type="http://schemas.openxmlformats.org/officeDocument/2006/relationships/hyperlink" Target="https://www.sandprofile.com/media/gesamtkatalog_en.pdf#page=56" TargetMode="External" Id="rId2845" /><Relationship Type="http://schemas.openxmlformats.org/officeDocument/2006/relationships/hyperlink" Target="https://website-9ib.pages.dev/termek/sp-d1-021/" TargetMode="External" Id="rId2846" /><Relationship Type="http://schemas.openxmlformats.org/officeDocument/2006/relationships/hyperlink" Target="https://www.sandprofile.com/media/gesamtkatalog_en.pdf#page=57" TargetMode="External" Id="rId2847" /><Relationship Type="http://schemas.openxmlformats.org/officeDocument/2006/relationships/hyperlink" Target="https://website-9ib.pages.dev/termek/sp-d1-022/" TargetMode="External" Id="rId2848" /><Relationship Type="http://schemas.openxmlformats.org/officeDocument/2006/relationships/hyperlink" Target="https://www.sandprofile.com/media/gesamtkatalog_en.pdf#page=57" TargetMode="External" Id="rId2849" /><Relationship Type="http://schemas.openxmlformats.org/officeDocument/2006/relationships/hyperlink" Target="https://website-9ib.pages.dev/termek/sp-d1-024/" TargetMode="External" Id="rId2850" /><Relationship Type="http://schemas.openxmlformats.org/officeDocument/2006/relationships/hyperlink" Target="https://www.sandprofile.com/media/gesamtkatalog_en.pdf#page=57" TargetMode="External" Id="rId2851" /><Relationship Type="http://schemas.openxmlformats.org/officeDocument/2006/relationships/hyperlink" Target="https://website-9ib.pages.dev/termek/sp-d1-025/" TargetMode="External" Id="rId2852" /><Relationship Type="http://schemas.openxmlformats.org/officeDocument/2006/relationships/hyperlink" Target="https://www.sandprofile.com/media/gesamtkatalog_en.pdf#page=57" TargetMode="External" Id="rId2853" /><Relationship Type="http://schemas.openxmlformats.org/officeDocument/2006/relationships/hyperlink" Target="https://website-9ib.pages.dev/termek/sp-d1-026/" TargetMode="External" Id="rId2854" /><Relationship Type="http://schemas.openxmlformats.org/officeDocument/2006/relationships/hyperlink" Target="https://www.sandprofile.com/media/gesamtkatalog_en.pdf#page=56" TargetMode="External" Id="rId2855" /><Relationship Type="http://schemas.openxmlformats.org/officeDocument/2006/relationships/hyperlink" Target="https://website-9ib.pages.dev/termek/sp-d1-028/" TargetMode="External" Id="rId2856" /><Relationship Type="http://schemas.openxmlformats.org/officeDocument/2006/relationships/hyperlink" Target="https://www.sandprofile.com/media/gesamtkatalog_en.pdf#page=57" TargetMode="External" Id="rId2857" /><Relationship Type="http://schemas.openxmlformats.org/officeDocument/2006/relationships/hyperlink" Target="https://website-9ib.pages.dev/termek/sp-d1-034/" TargetMode="External" Id="rId2858" /><Relationship Type="http://schemas.openxmlformats.org/officeDocument/2006/relationships/hyperlink" Target="https://www.sandprofile.com/media/gesamtkatalog_en.pdf#page=55" TargetMode="External" Id="rId2859" /><Relationship Type="http://schemas.openxmlformats.org/officeDocument/2006/relationships/hyperlink" Target="https://website-9ib.pages.dev/termek/sp-d1-123/" TargetMode="External" Id="rId2860" /><Relationship Type="http://schemas.openxmlformats.org/officeDocument/2006/relationships/hyperlink" Target="https://www.sandprofile.com/media/gesamtkatalog_en.pdf#page=55" TargetMode="External" Id="rId2861" /><Relationship Type="http://schemas.openxmlformats.org/officeDocument/2006/relationships/hyperlink" Target="https://website-9ib.pages.dev/termek/sp-d2-199/" TargetMode="External" Id="rId2862" /><Relationship Type="http://schemas.openxmlformats.org/officeDocument/2006/relationships/hyperlink" Target="https://www.sandprofile.com/media/gesamtkatalog_en.pdf#page=55" TargetMode="External" Id="rId2863" /><Relationship Type="http://schemas.openxmlformats.org/officeDocument/2006/relationships/hyperlink" Target="https://website-9ib.pages.dev/termek/sp-d2-499/" TargetMode="External" Id="rId2864" /><Relationship Type="http://schemas.openxmlformats.org/officeDocument/2006/relationships/hyperlink" Target="https://www.sandprofile.com/media/gesamtkatalog_en.pdf#page=56" TargetMode="External" Id="rId2865" /><Relationship Type="http://schemas.openxmlformats.org/officeDocument/2006/relationships/hyperlink" Target="https://website-9ib.pages.dev/termek/sp-d2-539/" TargetMode="External" Id="rId2866" /><Relationship Type="http://schemas.openxmlformats.org/officeDocument/2006/relationships/hyperlink" Target="https://www.sandprofile.com/media/gesamtkatalog_en.pdf#page=55" TargetMode="External" Id="rId2867" /><Relationship Type="http://schemas.openxmlformats.org/officeDocument/2006/relationships/hyperlink" Target="https://website-9ib.pages.dev/termek/sp-d2-553/" TargetMode="External" Id="rId2868" /><Relationship Type="http://schemas.openxmlformats.org/officeDocument/2006/relationships/hyperlink" Target="https://www.sandprofile.com/media/gesamtkatalog_en.pdf#page=47" TargetMode="External" Id="rId2869" /><Relationship Type="http://schemas.openxmlformats.org/officeDocument/2006/relationships/hyperlink" Target="https://website-9ib.pages.dev/termek/sp-a1-500/" TargetMode="External" Id="rId2870" /><Relationship Type="http://schemas.openxmlformats.org/officeDocument/2006/relationships/hyperlink" Target="https://www.sandprofile.com/media/gesamtkatalog_en.pdf#page=47" TargetMode="External" Id="rId2871" /><Relationship Type="http://schemas.openxmlformats.org/officeDocument/2006/relationships/hyperlink" Target="https://website-9ib.pages.dev/termek/sp-a1-501/" TargetMode="External" Id="rId2872" /><Relationship Type="http://schemas.openxmlformats.org/officeDocument/2006/relationships/hyperlink" Target="https://www.sandprofile.com/media/gesamtkatalog_en.pdf#page=47" TargetMode="External" Id="rId2873" /><Relationship Type="http://schemas.openxmlformats.org/officeDocument/2006/relationships/hyperlink" Target="https://website-9ib.pages.dev/termek/sp-a1-502/" TargetMode="External" Id="rId2874" /><Relationship Type="http://schemas.openxmlformats.org/officeDocument/2006/relationships/hyperlink" Target="https://www.sandprofile.com/media/gesamtkatalog_en.pdf#page=35" TargetMode="External" Id="rId2875" /><Relationship Type="http://schemas.openxmlformats.org/officeDocument/2006/relationships/hyperlink" Target="https://website-9ib.pages.dev/termek/sp-a1-512/" TargetMode="External" Id="rId2876" /><Relationship Type="http://schemas.openxmlformats.org/officeDocument/2006/relationships/hyperlink" Target="https://www.sandprofile.com/media/gesamtkatalog_en.pdf#page=36" TargetMode="External" Id="rId2877" /><Relationship Type="http://schemas.openxmlformats.org/officeDocument/2006/relationships/hyperlink" Target="https://website-9ib.pages.dev/termek/sp-a1-513/" TargetMode="External" Id="rId2878" /><Relationship Type="http://schemas.openxmlformats.org/officeDocument/2006/relationships/hyperlink" Target="https://www.sandprofile.com/media/gesamtkatalog_en.pdf#page=36" TargetMode="External" Id="rId2879" /><Relationship Type="http://schemas.openxmlformats.org/officeDocument/2006/relationships/hyperlink" Target="https://website-9ib.pages.dev/termek/sp-a1-517/" TargetMode="External" Id="rId2880" /><Relationship Type="http://schemas.openxmlformats.org/officeDocument/2006/relationships/hyperlink" Target="https://www.sandprofile.com/media/gesamtkatalog_en.pdf#page=50" TargetMode="External" Id="rId2881" /><Relationship Type="http://schemas.openxmlformats.org/officeDocument/2006/relationships/hyperlink" Target="https://website-9ib.pages.dev/termek/sp-a1-520/" TargetMode="External" Id="rId2882" /><Relationship Type="http://schemas.openxmlformats.org/officeDocument/2006/relationships/hyperlink" Target="https://www.sandprofile.com/media/gesamtkatalog_en.pdf#page=47" TargetMode="External" Id="rId2883" /><Relationship Type="http://schemas.openxmlformats.org/officeDocument/2006/relationships/hyperlink" Target="https://website-9ib.pages.dev/termek/sp-a1-521/" TargetMode="External" Id="rId2884" /><Relationship Type="http://schemas.openxmlformats.org/officeDocument/2006/relationships/hyperlink" Target="https://www.sandprofile.com/media/gesamtkatalog_en.pdf#page=38" TargetMode="External" Id="rId2885" /><Relationship Type="http://schemas.openxmlformats.org/officeDocument/2006/relationships/hyperlink" Target="https://website-9ib.pages.dev/termek/sp-a1-525/" TargetMode="External" Id="rId2886" /><Relationship Type="http://schemas.openxmlformats.org/officeDocument/2006/relationships/hyperlink" Target="https://www.sandprofile.com/media/gesamtkatalog_en.pdf#page=50" TargetMode="External" Id="rId2887" /><Relationship Type="http://schemas.openxmlformats.org/officeDocument/2006/relationships/hyperlink" Target="https://website-9ib.pages.dev/termek/sp-a1-526/" TargetMode="External" Id="rId2888" /><Relationship Type="http://schemas.openxmlformats.org/officeDocument/2006/relationships/hyperlink" Target="https://www.sandprofile.com/media/gesamtkatalog_en.pdf#page=50" TargetMode="External" Id="rId2889" /><Relationship Type="http://schemas.openxmlformats.org/officeDocument/2006/relationships/hyperlink" Target="https://website-9ib.pages.dev/termek/sp-a1-528/" TargetMode="External" Id="rId2890" /><Relationship Type="http://schemas.openxmlformats.org/officeDocument/2006/relationships/hyperlink" Target="https://www.sandprofile.com/media/gesamtkatalog_en.pdf#page=37" TargetMode="External" Id="rId2891" /><Relationship Type="http://schemas.openxmlformats.org/officeDocument/2006/relationships/hyperlink" Target="https://website-9ib.pages.dev/termek/sp-a1-538/" TargetMode="External" Id="rId2892" /><Relationship Type="http://schemas.openxmlformats.org/officeDocument/2006/relationships/hyperlink" Target="https://www.sandprofile.com/media/gesamtkatalog_en.pdf#page=40" TargetMode="External" Id="rId2893" /><Relationship Type="http://schemas.openxmlformats.org/officeDocument/2006/relationships/hyperlink" Target="https://website-9ib.pages.dev/termek/sp-a1-549epdm/" TargetMode="External" Id="rId2894" /><Relationship Type="http://schemas.openxmlformats.org/officeDocument/2006/relationships/hyperlink" Target="https://www.sandprofile.com/media/gesamtkatalog_en.pdf#page=40" TargetMode="External" Id="rId2895" /><Relationship Type="http://schemas.openxmlformats.org/officeDocument/2006/relationships/hyperlink" Target="https://website-9ib.pages.dev/termek/sp-a1-550nbr/" TargetMode="External" Id="rId2896" /><Relationship Type="http://schemas.openxmlformats.org/officeDocument/2006/relationships/hyperlink" Target="https://www.sandprofile.com/media/gesamtkatalog_en.pdf#page=40" TargetMode="External" Id="rId2897" /><Relationship Type="http://schemas.openxmlformats.org/officeDocument/2006/relationships/hyperlink" Target="https://website-9ib.pages.dev/termek/sp-a2-506s/" TargetMode="External" Id="rId2898" /><Relationship Type="http://schemas.openxmlformats.org/officeDocument/2006/relationships/hyperlink" Target="https://www.sandprofile.com/media/gesamtkatalog_en.pdf#page=40" TargetMode="External" Id="rId2899" /><Relationship Type="http://schemas.openxmlformats.org/officeDocument/2006/relationships/hyperlink" Target="https://website-9ib.pages.dev/termek/sp-a2-507/" TargetMode="External" Id="rId2900" /><Relationship Type="http://schemas.openxmlformats.org/officeDocument/2006/relationships/hyperlink" Target="https://www.sandprofile.com/media/gesamtkatalog_en.pdf#page=49" TargetMode="External" Id="rId2901" /><Relationship Type="http://schemas.openxmlformats.org/officeDocument/2006/relationships/hyperlink" Target="https://website-9ib.pages.dev/termek/sp-a2-511/" TargetMode="External" Id="rId2902" /><Relationship Type="http://schemas.openxmlformats.org/officeDocument/2006/relationships/hyperlink" Target="https://www.sandprofile.com/media/gesamtkatalog_en.pdf#page=36" TargetMode="External" Id="rId2903" /><Relationship Type="http://schemas.openxmlformats.org/officeDocument/2006/relationships/hyperlink" Target="https://website-9ib.pages.dev/termek/sp-a2-513epdm/" TargetMode="External" Id="rId2904" /><Relationship Type="http://schemas.openxmlformats.org/officeDocument/2006/relationships/hyperlink" Target="https://www.sandprofile.com/media/gesamtkatalog_en.pdf#page=36" TargetMode="External" Id="rId2905" /><Relationship Type="http://schemas.openxmlformats.org/officeDocument/2006/relationships/hyperlink" Target="https://website-9ib.pages.dev/termek/sp-a2-513nbr/" TargetMode="External" Id="rId2906" /><Relationship Type="http://schemas.openxmlformats.org/officeDocument/2006/relationships/hyperlink" Target="https://www.sandprofile.com/media/gesamtkatalog_en.pdf#page=37" TargetMode="External" Id="rId2907" /><Relationship Type="http://schemas.openxmlformats.org/officeDocument/2006/relationships/hyperlink" Target="https://website-9ib.pages.dev/termek/sp-a2-514/" TargetMode="External" Id="rId2908" /><Relationship Type="http://schemas.openxmlformats.org/officeDocument/2006/relationships/hyperlink" Target="https://www.sandprofile.com/media/gesamtkatalog_en.pdf#page=37" TargetMode="External" Id="rId2909" /><Relationship Type="http://schemas.openxmlformats.org/officeDocument/2006/relationships/hyperlink" Target="https://website-9ib.pages.dev/termek/sp-a2-516-2/" TargetMode="External" Id="rId2910" /><Relationship Type="http://schemas.openxmlformats.org/officeDocument/2006/relationships/hyperlink" Target="https://www.sandprofile.com/media/gesamtkatalog_en.pdf#page=37" TargetMode="External" Id="rId2911" /><Relationship Type="http://schemas.openxmlformats.org/officeDocument/2006/relationships/hyperlink" Target="https://website-9ib.pages.dev/termek/sp-a2-516-4/" TargetMode="External" Id="rId2912" /><Relationship Type="http://schemas.openxmlformats.org/officeDocument/2006/relationships/hyperlink" Target="https://www.sandprofile.com/media/gesamtkatalog_en.pdf#page=35" TargetMode="External" Id="rId2913" /><Relationship Type="http://schemas.openxmlformats.org/officeDocument/2006/relationships/hyperlink" Target="https://website-9ib.pages.dev/termek/sp-a2-518/" TargetMode="External" Id="rId2914" /><Relationship Type="http://schemas.openxmlformats.org/officeDocument/2006/relationships/hyperlink" Target="https://www.sandprofile.com/media/gesamtkatalog_en.pdf#page=49" TargetMode="External" Id="rId2915" /><Relationship Type="http://schemas.openxmlformats.org/officeDocument/2006/relationships/hyperlink" Target="https://website-9ib.pages.dev/termek/sp-a2-523/" TargetMode="External" Id="rId2916" /><Relationship Type="http://schemas.openxmlformats.org/officeDocument/2006/relationships/hyperlink" Target="https://www.sandprofile.com/media/gesamtkatalog_en.pdf#page=40" TargetMode="External" Id="rId2917" /><Relationship Type="http://schemas.openxmlformats.org/officeDocument/2006/relationships/hyperlink" Target="https://website-9ib.pages.dev/termek/sp-a2-533/" TargetMode="External" Id="rId2918" /><Relationship Type="http://schemas.openxmlformats.org/officeDocument/2006/relationships/hyperlink" Target="https://www.sandprofile.com/media/gesamtkatalog_en.pdf#page=35" TargetMode="External" Id="rId2919" /><Relationship Type="http://schemas.openxmlformats.org/officeDocument/2006/relationships/hyperlink" Target="https://website-9ib.pages.dev/termek/sp-a2-544/" TargetMode="External" Id="rId2920" /><Relationship Type="http://schemas.openxmlformats.org/officeDocument/2006/relationships/hyperlink" Target="https://www.sandprofile.com/media/gesamtkatalog_en.pdf#page=40" TargetMode="External" Id="rId2921" /><Relationship Type="http://schemas.openxmlformats.org/officeDocument/2006/relationships/hyperlink" Target="https://website-9ib.pages.dev/termek/sp-a2-545/" TargetMode="External" Id="rId2922" /><Relationship Type="http://schemas.openxmlformats.org/officeDocument/2006/relationships/hyperlink" Target="https://www.sandprofile.com/media/gesamtkatalog_en.pdf#page=37" TargetMode="External" Id="rId2923" /><Relationship Type="http://schemas.openxmlformats.org/officeDocument/2006/relationships/hyperlink" Target="https://website-9ib.pages.dev/termek/sp-a2-546/" TargetMode="External" Id="rId2924" /><Relationship Type="http://schemas.openxmlformats.org/officeDocument/2006/relationships/hyperlink" Target="https://www.sandprofile.com/media/gesamtkatalog_en.pdf#page=46" TargetMode="External" Id="rId2925" /><Relationship Type="http://schemas.openxmlformats.org/officeDocument/2006/relationships/hyperlink" Target="https://website-9ib.pages.dev/termek/sp-a2-548/" TargetMode="External" Id="rId2926" /><Relationship Type="http://schemas.openxmlformats.org/officeDocument/2006/relationships/hyperlink" Target="https://www.sandprofile.com/media/gesamtkatalog_en.pdf#page=44" TargetMode="External" Id="rId2927" /><Relationship Type="http://schemas.openxmlformats.org/officeDocument/2006/relationships/hyperlink" Target="https://website-9ib.pages.dev/termek/sp-a2-558-cr/" TargetMode="External" Id="rId2928" /><Relationship Type="http://schemas.openxmlformats.org/officeDocument/2006/relationships/hyperlink" Target="https://www.sandprofile.com/media/gesamtkatalog_en.pdf#page=48" TargetMode="External" Id="rId2929" /><Relationship Type="http://schemas.openxmlformats.org/officeDocument/2006/relationships/hyperlink" Target="https://website-9ib.pages.dev/termek/sp-a2-612/" TargetMode="External" Id="rId2930" /><Relationship Type="http://schemas.openxmlformats.org/officeDocument/2006/relationships/hyperlink" Target="https://www.sandprofile.com/media/gesamtkatalog_en.pdf#page=49" TargetMode="External" Id="rId2931" /><Relationship Type="http://schemas.openxmlformats.org/officeDocument/2006/relationships/hyperlink" Target="https://website-9ib.pages.dev/termek/sp-a3-074/" TargetMode="External" Id="rId2932" /><Relationship Type="http://schemas.openxmlformats.org/officeDocument/2006/relationships/hyperlink" Target="https://www.sandprofile.com/media/gesamtkatalog_en.pdf#page=45" TargetMode="External" Id="rId2933" /><Relationship Type="http://schemas.openxmlformats.org/officeDocument/2006/relationships/hyperlink" Target="https://website-9ib.pages.dev/termek/sp-a3-104/" TargetMode="External" Id="rId2934" /><Relationship Type="http://schemas.openxmlformats.org/officeDocument/2006/relationships/hyperlink" Target="https://www.sandprofile.com/media/gesamtkatalog_en.pdf#page=43" TargetMode="External" Id="rId2935" /><Relationship Type="http://schemas.openxmlformats.org/officeDocument/2006/relationships/hyperlink" Target="https://website-9ib.pages.dev/termek/sp-a3-114/" TargetMode="External" Id="rId2936" /><Relationship Type="http://schemas.openxmlformats.org/officeDocument/2006/relationships/hyperlink" Target="https://www.sandprofile.com/media/gesamtkatalog_en.pdf#page=44" TargetMode="External" Id="rId2937" /><Relationship Type="http://schemas.openxmlformats.org/officeDocument/2006/relationships/hyperlink" Target="https://website-9ib.pages.dev/termek/sp-a3-145/" TargetMode="External" Id="rId2938" /><Relationship Type="http://schemas.openxmlformats.org/officeDocument/2006/relationships/hyperlink" Target="https://www.sandprofile.com/media/gesamtkatalog_en.pdf#page=46" TargetMode="External" Id="rId2939" /><Relationship Type="http://schemas.openxmlformats.org/officeDocument/2006/relationships/hyperlink" Target="https://website-9ib.pages.dev/termek/sp-a3-156/" TargetMode="External" Id="rId2940" /><Relationship Type="http://schemas.openxmlformats.org/officeDocument/2006/relationships/hyperlink" Target="https://www.sandprofile.com/media/gesamtkatalog_en.pdf#page=43" TargetMode="External" Id="rId2941" /><Relationship Type="http://schemas.openxmlformats.org/officeDocument/2006/relationships/hyperlink" Target="https://website-9ib.pages.dev/termek/sp-a3-169/" TargetMode="External" Id="rId2942" /><Relationship Type="http://schemas.openxmlformats.org/officeDocument/2006/relationships/hyperlink" Target="https://www.sandprofile.com/media/gesamtkatalog_en.pdf#page=35" TargetMode="External" Id="rId2943" /><Relationship Type="http://schemas.openxmlformats.org/officeDocument/2006/relationships/hyperlink" Target="https://website-9ib.pages.dev/termek/sp-a3-196/" TargetMode="External" Id="rId2944" /><Relationship Type="http://schemas.openxmlformats.org/officeDocument/2006/relationships/hyperlink" Target="https://www.sandprofile.com/media/gesamtkatalog_en.pdf#page=43" TargetMode="External" Id="rId2945" /><Relationship Type="http://schemas.openxmlformats.org/officeDocument/2006/relationships/hyperlink" Target="https://website-9ib.pages.dev/termek/sp-a3-224-2/" TargetMode="External" Id="rId2946" /><Relationship Type="http://schemas.openxmlformats.org/officeDocument/2006/relationships/hyperlink" Target="https://www.sandprofile.com/media/gesamtkatalog_en.pdf#page=43" TargetMode="External" Id="rId2947" /><Relationship Type="http://schemas.openxmlformats.org/officeDocument/2006/relationships/hyperlink" Target="https://website-9ib.pages.dev/termek/sp-a3-224-6/" TargetMode="External" Id="rId2948" /><Relationship Type="http://schemas.openxmlformats.org/officeDocument/2006/relationships/hyperlink" Target="https://www.sandprofile.com/media/gesamtkatalog_en.pdf#page=49" TargetMode="External" Id="rId2949" /><Relationship Type="http://schemas.openxmlformats.org/officeDocument/2006/relationships/hyperlink" Target="https://website-9ib.pages.dev/termek/sp-a3-228/" TargetMode="External" Id="rId2950" /><Relationship Type="http://schemas.openxmlformats.org/officeDocument/2006/relationships/hyperlink" Target="https://www.sandprofile.com/media/gesamtkatalog_en.pdf#page=42" TargetMode="External" Id="rId2951" /><Relationship Type="http://schemas.openxmlformats.org/officeDocument/2006/relationships/hyperlink" Target="https://website-9ib.pages.dev/termek/sp-a3-229/" TargetMode="External" Id="rId2952" /><Relationship Type="http://schemas.openxmlformats.org/officeDocument/2006/relationships/hyperlink" Target="https://www.sandprofile.com/media/gesamtkatalog_en.pdf#page=50" TargetMode="External" Id="rId2953" /><Relationship Type="http://schemas.openxmlformats.org/officeDocument/2006/relationships/hyperlink" Target="https://website-9ib.pages.dev/termek/sp-a3-276/" TargetMode="External" Id="rId2954" /><Relationship Type="http://schemas.openxmlformats.org/officeDocument/2006/relationships/hyperlink" Target="https://www.sandprofile.com/media/gesamtkatalog_en.pdf#page=36" TargetMode="External" Id="rId2955" /><Relationship Type="http://schemas.openxmlformats.org/officeDocument/2006/relationships/hyperlink" Target="https://website-9ib.pages.dev/termek/sp-a3-280/" TargetMode="External" Id="rId2956" /><Relationship Type="http://schemas.openxmlformats.org/officeDocument/2006/relationships/hyperlink" Target="https://www.sandprofile.com/media/gesamtkatalog_en.pdf#page=38" TargetMode="External" Id="rId2957" /><Relationship Type="http://schemas.openxmlformats.org/officeDocument/2006/relationships/hyperlink" Target="https://website-9ib.pages.dev/termek/sp-a3-289/" TargetMode="External" Id="rId2958" /><Relationship Type="http://schemas.openxmlformats.org/officeDocument/2006/relationships/hyperlink" Target="https://www.sandprofile.com/media/gesamtkatalog_en.pdf#page=42" TargetMode="External" Id="rId2959" /><Relationship Type="http://schemas.openxmlformats.org/officeDocument/2006/relationships/hyperlink" Target="https://website-9ib.pages.dev/termek/sp-a3-297/" TargetMode="External" Id="rId2960" /><Relationship Type="http://schemas.openxmlformats.org/officeDocument/2006/relationships/hyperlink" Target="https://www.sandprofile.com/media/gesamtkatalog_en.pdf#page=48" TargetMode="External" Id="rId2961" /><Relationship Type="http://schemas.openxmlformats.org/officeDocument/2006/relationships/hyperlink" Target="https://website-9ib.pages.dev/termek/sp-a3-300/" TargetMode="External" Id="rId2962" /><Relationship Type="http://schemas.openxmlformats.org/officeDocument/2006/relationships/hyperlink" Target="https://www.sandprofile.com/media/gesamtkatalog_en.pdf#page=49" TargetMode="External" Id="rId2963" /><Relationship Type="http://schemas.openxmlformats.org/officeDocument/2006/relationships/hyperlink" Target="https://website-9ib.pages.dev/termek/sp-a3-343/" TargetMode="External" Id="rId2964" /><Relationship Type="http://schemas.openxmlformats.org/officeDocument/2006/relationships/hyperlink" Target="https://www.sandprofile.com/media/gesamtkatalog_en.pdf#page=45" TargetMode="External" Id="rId2965" /><Relationship Type="http://schemas.openxmlformats.org/officeDocument/2006/relationships/hyperlink" Target="https://website-9ib.pages.dev/termek/sp-a3-348/" TargetMode="External" Id="rId2966" /><Relationship Type="http://schemas.openxmlformats.org/officeDocument/2006/relationships/hyperlink" Target="https://www.sandprofile.com/media/gesamtkatalog_en.pdf#page=42" TargetMode="External" Id="rId2967" /><Relationship Type="http://schemas.openxmlformats.org/officeDocument/2006/relationships/hyperlink" Target="https://website-9ib.pages.dev/termek/sp-a3-361-4/" TargetMode="External" Id="rId2968" /><Relationship Type="http://schemas.openxmlformats.org/officeDocument/2006/relationships/hyperlink" Target="https://www.sandprofile.com/media/gesamtkatalog_en.pdf#page=42" TargetMode="External" Id="rId2969" /><Relationship Type="http://schemas.openxmlformats.org/officeDocument/2006/relationships/hyperlink" Target="https://website-9ib.pages.dev/termek/sp-a3-361-6/" TargetMode="External" Id="rId2970" /><Relationship Type="http://schemas.openxmlformats.org/officeDocument/2006/relationships/hyperlink" Target="https://www.sandprofile.com/media/gesamtkatalog_en.pdf#page=41" TargetMode="External" Id="rId2971" /><Relationship Type="http://schemas.openxmlformats.org/officeDocument/2006/relationships/hyperlink" Target="https://website-9ib.pages.dev/termek/sp-a3-379/" TargetMode="External" Id="rId2972" /><Relationship Type="http://schemas.openxmlformats.org/officeDocument/2006/relationships/hyperlink" Target="https://www.sandprofile.com/media/gesamtkatalog_en.pdf#page=35" TargetMode="External" Id="rId2973" /><Relationship Type="http://schemas.openxmlformats.org/officeDocument/2006/relationships/hyperlink" Target="https://website-9ib.pages.dev/termek/sp-a3-432/" TargetMode="External" Id="rId2974" /><Relationship Type="http://schemas.openxmlformats.org/officeDocument/2006/relationships/hyperlink" Target="https://www.sandprofile.com/media/gesamtkatalog_en.pdf#page=45" TargetMode="External" Id="rId2975" /><Relationship Type="http://schemas.openxmlformats.org/officeDocument/2006/relationships/hyperlink" Target="https://website-9ib.pages.dev/termek/sp-a3-467/" TargetMode="External" Id="rId2976" /><Relationship Type="http://schemas.openxmlformats.org/officeDocument/2006/relationships/hyperlink" Target="https://www.sandprofile.com/media/gesamtkatalog_en.pdf#page=45" TargetMode="External" Id="rId2977" /><Relationship Type="http://schemas.openxmlformats.org/officeDocument/2006/relationships/hyperlink" Target="https://website-9ib.pages.dev/termek/sp-a3-467-bu/" TargetMode="External" Id="rId2978" /><Relationship Type="http://schemas.openxmlformats.org/officeDocument/2006/relationships/hyperlink" Target="https://www.sandprofile.com/media/gesamtkatalog_en.pdf#page=40" TargetMode="External" Id="rId2979" /><Relationship Type="http://schemas.openxmlformats.org/officeDocument/2006/relationships/hyperlink" Target="https://website-9ib.pages.dev/termek/sp-a3-471/" TargetMode="External" Id="rId2980" /><Relationship Type="http://schemas.openxmlformats.org/officeDocument/2006/relationships/hyperlink" Target="https://www.sandprofile.com/media/gesamtkatalog_en.pdf#page=39" TargetMode="External" Id="rId2981" /><Relationship Type="http://schemas.openxmlformats.org/officeDocument/2006/relationships/hyperlink" Target="https://website-9ib.pages.dev/termek/sp-a3-500/" TargetMode="External" Id="rId2982" /><Relationship Type="http://schemas.openxmlformats.org/officeDocument/2006/relationships/hyperlink" Target="https://www.sandprofile.com/media/gesamtkatalog_en.pdf#page=50" TargetMode="External" Id="rId2983" /><Relationship Type="http://schemas.openxmlformats.org/officeDocument/2006/relationships/hyperlink" Target="https://website-9ib.pages.dev/termek/sp-a3-518/" TargetMode="External" Id="rId2984" /><Relationship Type="http://schemas.openxmlformats.org/officeDocument/2006/relationships/hyperlink" Target="https://www.sandprofile.com/media/gesamtkatalog_en.pdf#page=43" TargetMode="External" Id="rId2985" /><Relationship Type="http://schemas.openxmlformats.org/officeDocument/2006/relationships/hyperlink" Target="https://website-9ib.pages.dev/termek/sp-a3-547/" TargetMode="External" Id="rId2986" /><Relationship Type="http://schemas.openxmlformats.org/officeDocument/2006/relationships/hyperlink" Target="https://www.sandprofile.com/media/gesamtkatalog_en.pdf#page=44" TargetMode="External" Id="rId2987" /><Relationship Type="http://schemas.openxmlformats.org/officeDocument/2006/relationships/hyperlink" Target="https://website-9ib.pages.dev/termek/sp-a3-549/" TargetMode="External" Id="rId2988" /><Relationship Type="http://schemas.openxmlformats.org/officeDocument/2006/relationships/hyperlink" Target="https://www.sandprofile.com/media/gesamtkatalog_en.pdf#page=46" TargetMode="External" Id="rId2989" /><Relationship Type="http://schemas.openxmlformats.org/officeDocument/2006/relationships/hyperlink" Target="https://website-9ib.pages.dev/termek/sp-a3-560/" TargetMode="External" Id="rId2990" /><Relationship Type="http://schemas.openxmlformats.org/officeDocument/2006/relationships/hyperlink" Target="https://www.sandprofile.com/media/gesamtkatalog_en.pdf#page=45" TargetMode="External" Id="rId2991" /><Relationship Type="http://schemas.openxmlformats.org/officeDocument/2006/relationships/hyperlink" Target="https://website-9ib.pages.dev/termek/sp-a3-578/" TargetMode="External" Id="rId2992" /><Relationship Type="http://schemas.openxmlformats.org/officeDocument/2006/relationships/hyperlink" Target="https://www.sandprofile.com/media/gesamtkatalog_en.pdf#page=47" TargetMode="External" Id="rId2993" /><Relationship Type="http://schemas.openxmlformats.org/officeDocument/2006/relationships/hyperlink" Target="https://website-9ib.pages.dev/termek/sp-a3-592/" TargetMode="External" Id="rId2994" /><Relationship Type="http://schemas.openxmlformats.org/officeDocument/2006/relationships/hyperlink" Target="https://www.sandprofile.com/media/gesamtkatalog_en.pdf#page=47" TargetMode="External" Id="rId2995" /><Relationship Type="http://schemas.openxmlformats.org/officeDocument/2006/relationships/hyperlink" Target="https://website-9ib.pages.dev/termek/sp-a3-605/" TargetMode="External" Id="rId2996" /><Relationship Type="http://schemas.openxmlformats.org/officeDocument/2006/relationships/hyperlink" Target="https://www.sandprofile.com/media/gesamtkatalog_en.pdf#page=48" TargetMode="External" Id="rId2997" /><Relationship Type="http://schemas.openxmlformats.org/officeDocument/2006/relationships/hyperlink" Target="https://website-9ib.pages.dev/termek/sp-a3-655/" TargetMode="External" Id="rId2998" /><Relationship Type="http://schemas.openxmlformats.org/officeDocument/2006/relationships/hyperlink" Target="https://www.sandprofile.com/media/gesamtkatalog_en.pdf#page=45" TargetMode="External" Id="rId2999" /><Relationship Type="http://schemas.openxmlformats.org/officeDocument/2006/relationships/hyperlink" Target="https://website-9ib.pages.dev/termek/sp-a3-725/" TargetMode="External" Id="rId3000" /><Relationship Type="http://schemas.openxmlformats.org/officeDocument/2006/relationships/hyperlink" Target="https://www.sandprofile.com/media/gesamtkatalog_en.pdf#page=45" TargetMode="External" Id="rId3001" /><Relationship Type="http://schemas.openxmlformats.org/officeDocument/2006/relationships/hyperlink" Target="https://website-9ib.pages.dev/termek/sp-a3-725-bu/" TargetMode="External" Id="rId3002" /><Relationship Type="http://schemas.openxmlformats.org/officeDocument/2006/relationships/hyperlink" Target="https://www.sandprofile.com/media/gesamtkatalog_en.pdf#page=45" TargetMode="External" Id="rId3003" /><Relationship Type="http://schemas.openxmlformats.org/officeDocument/2006/relationships/hyperlink" Target="https://website-9ib.pages.dev/termek/sp-a3-729/" TargetMode="External" Id="rId3004" /><Relationship Type="http://schemas.openxmlformats.org/officeDocument/2006/relationships/hyperlink" Target="https://www.sandprofile.com/media/gesamtkatalog_en.pdf#page=42" TargetMode="External" Id="rId3005" /><Relationship Type="http://schemas.openxmlformats.org/officeDocument/2006/relationships/hyperlink" Target="https://website-9ib.pages.dev/termek/sp-a3-752/" TargetMode="External" Id="rId3006" /><Relationship Type="http://schemas.openxmlformats.org/officeDocument/2006/relationships/hyperlink" Target="https://www.sandprofile.com/media/gesamtkatalog_en.pdf#page=43" TargetMode="External" Id="rId3007" /><Relationship Type="http://schemas.openxmlformats.org/officeDocument/2006/relationships/hyperlink" Target="https://website-9ib.pages.dev/termek/sp-a3-757/" TargetMode="External" Id="rId3008" /><Relationship Type="http://schemas.openxmlformats.org/officeDocument/2006/relationships/hyperlink" Target="https://www.sandprofile.com/media/gesamtkatalog_en.pdf#page=41" TargetMode="External" Id="rId3009" /><Relationship Type="http://schemas.openxmlformats.org/officeDocument/2006/relationships/hyperlink" Target="https://website-9ib.pages.dev/termek/sp-a3-767/" TargetMode="External" Id="rId3010" /><Relationship Type="http://schemas.openxmlformats.org/officeDocument/2006/relationships/hyperlink" Target="https://www.sandprofile.com/media/gesamtkatalog_en.pdf#page=37" TargetMode="External" Id="rId3011" /><Relationship Type="http://schemas.openxmlformats.org/officeDocument/2006/relationships/hyperlink" Target="https://website-9ib.pages.dev/termek/sp-a3-806/" TargetMode="External" Id="rId3012" /><Relationship Type="http://schemas.openxmlformats.org/officeDocument/2006/relationships/hyperlink" Target="https://www.sandprofile.com/media/gesamtkatalog_en.pdf#page=39" TargetMode="External" Id="rId3013" /><Relationship Type="http://schemas.openxmlformats.org/officeDocument/2006/relationships/hyperlink" Target="https://website-9ib.pages.dev/termek/sp-a3-807/" TargetMode="External" Id="rId3014" /><Relationship Type="http://schemas.openxmlformats.org/officeDocument/2006/relationships/hyperlink" Target="https://www.sandprofile.com/media/gesamtkatalog_en.pdf#page=43" TargetMode="External" Id="rId3015" /><Relationship Type="http://schemas.openxmlformats.org/officeDocument/2006/relationships/hyperlink" Target="https://website-9ib.pages.dev/termek/sp-a3-812/" TargetMode="External" Id="rId3016" /><Relationship Type="http://schemas.openxmlformats.org/officeDocument/2006/relationships/hyperlink" Target="https://www.sandprofile.com/media/gesamtkatalog_en.pdf#page=44" TargetMode="External" Id="rId3017" /><Relationship Type="http://schemas.openxmlformats.org/officeDocument/2006/relationships/hyperlink" Target="https://website-9ib.pages.dev/termek/sp-a3-813/" TargetMode="External" Id="rId3018" /><Relationship Type="http://schemas.openxmlformats.org/officeDocument/2006/relationships/hyperlink" Target="https://www.sandprofile.com/media/gesamtkatalog_en.pdf#page=40" TargetMode="External" Id="rId3019" /><Relationship Type="http://schemas.openxmlformats.org/officeDocument/2006/relationships/hyperlink" Target="https://website-9ib.pages.dev/termek/sp-a3-860/" TargetMode="External" Id="rId3020" /><Relationship Type="http://schemas.openxmlformats.org/officeDocument/2006/relationships/hyperlink" Target="https://www.sandprofile.com/media/gesamtkatalog_en.pdf#page=41" TargetMode="External" Id="rId3021" /><Relationship Type="http://schemas.openxmlformats.org/officeDocument/2006/relationships/hyperlink" Target="https://website-9ib.pages.dev/termek/sp-a3-911/" TargetMode="External" Id="rId3022" /><Relationship Type="http://schemas.openxmlformats.org/officeDocument/2006/relationships/hyperlink" Target="https://www.sandprofile.com/media/gesamtkatalog_en.pdf#page=47" TargetMode="External" Id="rId3023" /><Relationship Type="http://schemas.openxmlformats.org/officeDocument/2006/relationships/hyperlink" Target="https://website-9ib.pages.dev/termek/sp-a4-322/" TargetMode="External" Id="rId3024" /><Relationship Type="http://schemas.openxmlformats.org/officeDocument/2006/relationships/hyperlink" Target="https://www.sandprofile.com/media/gesamtkatalog_en.pdf#page=38" TargetMode="External" Id="rId3025" /><Relationship Type="http://schemas.openxmlformats.org/officeDocument/2006/relationships/hyperlink" Target="https://website-9ib.pages.dev/termek/sp-a4-421/" TargetMode="External" Id="rId3026" /><Relationship Type="http://schemas.openxmlformats.org/officeDocument/2006/relationships/hyperlink" Target="https://www.sandprofile.com/media/gesamtkatalog_en.pdf#page=38" TargetMode="External" Id="rId3027" /><Relationship Type="http://schemas.openxmlformats.org/officeDocument/2006/relationships/hyperlink" Target="https://website-9ib.pages.dev/termek/sp-a4-422/" TargetMode="External" Id="rId3028" /><Relationship Type="http://schemas.openxmlformats.org/officeDocument/2006/relationships/hyperlink" Target="https://www.sandprofile.com/media/gesamtkatalog_en.pdf#page=39" TargetMode="External" Id="rId3029" /><Relationship Type="http://schemas.openxmlformats.org/officeDocument/2006/relationships/hyperlink" Target="https://website-9ib.pages.dev/termek/sp-a4-423/" TargetMode="External" Id="rId3030" /><Relationship Type="http://schemas.openxmlformats.org/officeDocument/2006/relationships/hyperlink" Target="https://www.sandprofile.com/media/gesamtkatalog_en.pdf#page=36" TargetMode="External" Id="rId3031" /><Relationship Type="http://schemas.openxmlformats.org/officeDocument/2006/relationships/hyperlink" Target="https://website-9ib.pages.dev/termek/sp-a4-466-bu/" TargetMode="External" Id="rId3032" /><Relationship Type="http://schemas.openxmlformats.org/officeDocument/2006/relationships/hyperlink" Target="https://www.sandprofile.com/media/gesamtkatalog_en.pdf#page=45" TargetMode="External" Id="rId3033" /><Relationship Type="http://schemas.openxmlformats.org/officeDocument/2006/relationships/hyperlink" Target="https://website-9ib.pages.dev/termek/sp-a4-576/" TargetMode="External" Id="rId3034" /><Relationship Type="http://schemas.openxmlformats.org/officeDocument/2006/relationships/hyperlink" Target="https://www.sandprofile.com/media/gesamtkatalog_en.pdf#page=46" TargetMode="External" Id="rId3035" /><Relationship Type="http://schemas.openxmlformats.org/officeDocument/2006/relationships/hyperlink" Target="https://website-9ib.pages.dev/termek/sp-a4-667-bu/" TargetMode="External" Id="rId3036" /><Relationship Type="http://schemas.openxmlformats.org/officeDocument/2006/relationships/hyperlink" Target="https://www.sandprofile.com/media/gesamtkatalog_en.pdf#page=42" TargetMode="External" Id="rId3037" /><Relationship Type="http://schemas.openxmlformats.org/officeDocument/2006/relationships/hyperlink" Target="https://website-9ib.pages.dev/termek/sp-a4-713/" TargetMode="External" Id="rId3038" /><Relationship Type="http://schemas.openxmlformats.org/officeDocument/2006/relationships/hyperlink" Target="https://www.sandprofile.com/media/gesamtkatalog_en.pdf#page=46" TargetMode="External" Id="rId3039" /><Relationship Type="http://schemas.openxmlformats.org/officeDocument/2006/relationships/hyperlink" Target="https://website-9ib.pages.dev/termek/sp-a4-714/" TargetMode="External" Id="rId3040" /><Relationship Type="http://schemas.openxmlformats.org/officeDocument/2006/relationships/hyperlink" Target="https://www.sandprofile.com/media/gesamtkatalog_en.pdf#page=46" TargetMode="External" Id="rId3041" /><Relationship Type="http://schemas.openxmlformats.org/officeDocument/2006/relationships/hyperlink" Target="https://website-9ib.pages.dev/termek/sp-a4-718-bu/" TargetMode="External" Id="rId3042" /><Relationship Type="http://schemas.openxmlformats.org/officeDocument/2006/relationships/hyperlink" Target="https://www.sandprofile.com/media/gesamtkatalog_en.pdf#page=42" TargetMode="External" Id="rId3043" /><Relationship Type="http://schemas.openxmlformats.org/officeDocument/2006/relationships/hyperlink" Target="https://website-9ib.pages.dev/termek/sp-a4-803/" TargetMode="External" Id="rId3044" /><Relationship Type="http://schemas.openxmlformats.org/officeDocument/2006/relationships/hyperlink" Target="https://www.sandprofile.com/media/gesamtkatalog_en.pdf#page=39" TargetMode="External" Id="rId3045" /><Relationship Type="http://schemas.openxmlformats.org/officeDocument/2006/relationships/hyperlink" Target="https://website-9ib.pages.dev/termek/sp-a4-807/" TargetMode="External" Id="rId3046" /><Relationship Type="http://schemas.openxmlformats.org/officeDocument/2006/relationships/hyperlink" Target="https://www.sandprofile.com/media/gesamtkatalog_en.pdf#page=44" TargetMode="External" Id="rId3047" /><Relationship Type="http://schemas.openxmlformats.org/officeDocument/2006/relationships/hyperlink" Target="https://website-9ib.pages.dev/termek/sp-a4-844-bu/" TargetMode="External" Id="rId3048" /><Relationship Type="http://schemas.openxmlformats.org/officeDocument/2006/relationships/hyperlink" Target="https://www.sandprofile.com/media/gesamtkatalog_en.pdf#page=46" TargetMode="External" Id="rId3049" /><Relationship Type="http://schemas.openxmlformats.org/officeDocument/2006/relationships/hyperlink" Target="https://website-9ib.pages.dev/termek/sp-a4-949/" TargetMode="External" Id="rId3050" /><Relationship Type="http://schemas.openxmlformats.org/officeDocument/2006/relationships/hyperlink" Target="https://www.sandprofile.com/media/gesamtkatalog_en.pdf#page=52" TargetMode="External" Id="rId3051" /><Relationship Type="http://schemas.openxmlformats.org/officeDocument/2006/relationships/hyperlink" Target="https://website-9ib.pages.dev/termek/sp-b1-102/" TargetMode="External" Id="rId3052" /><Relationship Type="http://schemas.openxmlformats.org/officeDocument/2006/relationships/hyperlink" Target="https://www.sandprofile.com/media/gesamtkatalog_en.pdf#page=52" TargetMode="External" Id="rId3053" /><Relationship Type="http://schemas.openxmlformats.org/officeDocument/2006/relationships/hyperlink" Target="https://website-9ib.pages.dev/termek/sp-b1-103/" TargetMode="External" Id="rId3054" /><Relationship Type="http://schemas.openxmlformats.org/officeDocument/2006/relationships/hyperlink" Target="https://www.sandprofile.com/media/gesamtkatalog_en.pdf#page=52" TargetMode="External" Id="rId3055" /><Relationship Type="http://schemas.openxmlformats.org/officeDocument/2006/relationships/hyperlink" Target="https://website-9ib.pages.dev/termek/sp-b1-104/" TargetMode="External" Id="rId3056" /><Relationship Type="http://schemas.openxmlformats.org/officeDocument/2006/relationships/hyperlink" Target="https://www.sandprofile.com/media/gesamtkatalog_en.pdf#page=52" TargetMode="External" Id="rId3057" /><Relationship Type="http://schemas.openxmlformats.org/officeDocument/2006/relationships/hyperlink" Target="https://website-9ib.pages.dev/termek/sp-b1-106/" TargetMode="External" Id="rId3058" /><Relationship Type="http://schemas.openxmlformats.org/officeDocument/2006/relationships/hyperlink" Target="https://www.sandprofile.com/media/gesamtkatalog_en.pdf#page=52" TargetMode="External" Id="rId3059" /><Relationship Type="http://schemas.openxmlformats.org/officeDocument/2006/relationships/hyperlink" Target="https://website-9ib.pages.dev/termek/sp-b1-107/" TargetMode="External" Id="rId3060" /><Relationship Type="http://schemas.openxmlformats.org/officeDocument/2006/relationships/hyperlink" Target="https://www.sandprofile.com/media/gesamtkatalog_en.pdf#page=52" TargetMode="External" Id="rId3061" /><Relationship Type="http://schemas.openxmlformats.org/officeDocument/2006/relationships/hyperlink" Target="https://website-9ib.pages.dev/termek/sp-b1-108/" TargetMode="External" Id="rId3062" /><Relationship Type="http://schemas.openxmlformats.org/officeDocument/2006/relationships/hyperlink" Target="https://www.sandprofile.com/media/gesamtkatalog_en.pdf#page=52" TargetMode="External" Id="rId3063" /><Relationship Type="http://schemas.openxmlformats.org/officeDocument/2006/relationships/hyperlink" Target="https://website-9ib.pages.dev/termek/sp-b1-110/" TargetMode="External" Id="rId3064" /><Relationship Type="http://schemas.openxmlformats.org/officeDocument/2006/relationships/hyperlink" Target="https://www.sandprofile.com/media/gesamtkatalog_en.pdf#page=52" TargetMode="External" Id="rId3065" /><Relationship Type="http://schemas.openxmlformats.org/officeDocument/2006/relationships/hyperlink" Target="https://website-9ib.pages.dev/termek/sp-b1-112/" TargetMode="External" Id="rId3066" /><Relationship Type="http://schemas.openxmlformats.org/officeDocument/2006/relationships/hyperlink" Target="https://www.sandprofile.com/media/gesamtkatalog_en.pdf#page=52" TargetMode="External" Id="rId3067" /><Relationship Type="http://schemas.openxmlformats.org/officeDocument/2006/relationships/hyperlink" Target="https://website-9ib.pages.dev/termek/sp-b1-113/" TargetMode="External" Id="rId3068" /><Relationship Type="http://schemas.openxmlformats.org/officeDocument/2006/relationships/hyperlink" Target="https://www.sandprofile.com/media/gesamtkatalog_en.pdf#page=52" TargetMode="External" Id="rId3069" /><Relationship Type="http://schemas.openxmlformats.org/officeDocument/2006/relationships/hyperlink" Target="https://website-9ib.pages.dev/termek/sp-b1-114/" TargetMode="External" Id="rId3070" /><Relationship Type="http://schemas.openxmlformats.org/officeDocument/2006/relationships/hyperlink" Target="https://www.sandprofile.com/media/gesamtkatalog_en.pdf#page=52" TargetMode="External" Id="rId3071" /><Relationship Type="http://schemas.openxmlformats.org/officeDocument/2006/relationships/hyperlink" Target="https://website-9ib.pages.dev/termek/sp-b1-115/" TargetMode="External" Id="rId3072" /><Relationship Type="http://schemas.openxmlformats.org/officeDocument/2006/relationships/hyperlink" Target="https://www.sandprofile.com/media/gesamtkatalog_en.pdf#page=52" TargetMode="External" Id="rId3073" /><Relationship Type="http://schemas.openxmlformats.org/officeDocument/2006/relationships/hyperlink" Target="https://website-9ib.pages.dev/termek/sp-b1-118/" TargetMode="External" Id="rId3074" /><Relationship Type="http://schemas.openxmlformats.org/officeDocument/2006/relationships/hyperlink" Target="https://www.sandprofile.com/media/gesamtkatalog_en.pdf#page=52" TargetMode="External" Id="rId3075" /><Relationship Type="http://schemas.openxmlformats.org/officeDocument/2006/relationships/hyperlink" Target="https://website-9ib.pages.dev/termek/sp-b1-119/" TargetMode="External" Id="rId3076" /><Relationship Type="http://schemas.openxmlformats.org/officeDocument/2006/relationships/hyperlink" Target="https://www.sandprofile.com/media/gesamtkatalog_en.pdf#page=52" TargetMode="External" Id="rId3077" /><Relationship Type="http://schemas.openxmlformats.org/officeDocument/2006/relationships/hyperlink" Target="https://website-9ib.pages.dev/termek/sp-b1-120/" TargetMode="External" Id="rId3078" /><Relationship Type="http://schemas.openxmlformats.org/officeDocument/2006/relationships/hyperlink" Target="https://www.sandprofile.com/media/gesamtkatalog_en.pdf#page=52" TargetMode="External" Id="rId3079" /><Relationship Type="http://schemas.openxmlformats.org/officeDocument/2006/relationships/hyperlink" Target="https://website-9ib.pages.dev/termek/sp-b1-121/" TargetMode="External" Id="rId3080" /><Relationship Type="http://schemas.openxmlformats.org/officeDocument/2006/relationships/hyperlink" Target="https://www.sandprofile.com/media/gesamtkatalog_en.pdf#page=52" TargetMode="External" Id="rId3081" /><Relationship Type="http://schemas.openxmlformats.org/officeDocument/2006/relationships/hyperlink" Target="https://website-9ib.pages.dev/termek/sp-b1-122/" TargetMode="External" Id="rId3082" /><Relationship Type="http://schemas.openxmlformats.org/officeDocument/2006/relationships/hyperlink" Target="https://www.sandprofile.com/media/gesamtkatalog_en.pdf#page=52" TargetMode="External" Id="rId3083" /><Relationship Type="http://schemas.openxmlformats.org/officeDocument/2006/relationships/hyperlink" Target="https://website-9ib.pages.dev/termek/sp-b1-123/" TargetMode="External" Id="rId3084" /><Relationship Type="http://schemas.openxmlformats.org/officeDocument/2006/relationships/hyperlink" Target="https://www.sandprofile.com/media/gesamtkatalog_en.pdf#page=52" TargetMode="External" Id="rId3085" /><Relationship Type="http://schemas.openxmlformats.org/officeDocument/2006/relationships/hyperlink" Target="https://website-9ib.pages.dev/termek/sp-b1-124/" TargetMode="External" Id="rId3086" /><Relationship Type="http://schemas.openxmlformats.org/officeDocument/2006/relationships/hyperlink" Target="https://www.sandprofile.com/media/gesamtkatalog_en.pdf#page=52" TargetMode="External" Id="rId3087" /><Relationship Type="http://schemas.openxmlformats.org/officeDocument/2006/relationships/hyperlink" Target="https://website-9ib.pages.dev/termek/sp-b1-125/" TargetMode="External" Id="rId3088" /><Relationship Type="http://schemas.openxmlformats.org/officeDocument/2006/relationships/hyperlink" Target="https://www.sandprofile.com/media/gesamtkatalog_en.pdf#page=52" TargetMode="External" Id="rId3089" /><Relationship Type="http://schemas.openxmlformats.org/officeDocument/2006/relationships/hyperlink" Target="https://website-9ib.pages.dev/termek/sp-b1-127/" TargetMode="External" Id="rId3090" /><Relationship Type="http://schemas.openxmlformats.org/officeDocument/2006/relationships/hyperlink" Target="https://www.sandprofile.com/media/gesamtkatalog_en.pdf#page=52" TargetMode="External" Id="rId3091" /><Relationship Type="http://schemas.openxmlformats.org/officeDocument/2006/relationships/hyperlink" Target="https://website-9ib.pages.dev/termek/sp-b1-134/" TargetMode="External" Id="rId3092" /><Relationship Type="http://schemas.openxmlformats.org/officeDocument/2006/relationships/hyperlink" Target="https://www.sandprofile.com/media/gesamtkatalog_en.pdf#page=52" TargetMode="External" Id="rId3093" /><Relationship Type="http://schemas.openxmlformats.org/officeDocument/2006/relationships/hyperlink" Target="https://website-9ib.pages.dev/termek/sp-b1-139/" TargetMode="External" Id="rId3094" /><Relationship Type="http://schemas.openxmlformats.org/officeDocument/2006/relationships/hyperlink" Target="https://www.sandprofile.com/media/gesamtkatalog_en.pdf#page=52" TargetMode="External" Id="rId3095" /><Relationship Type="http://schemas.openxmlformats.org/officeDocument/2006/relationships/hyperlink" Target="https://website-9ib.pages.dev/termek/sp-b1-142/" TargetMode="External" Id="rId3096" /><Relationship Type="http://schemas.openxmlformats.org/officeDocument/2006/relationships/hyperlink" Target="https://www.sandprofile.com/media/gesamtkatalog_en.pdf#page=52" TargetMode="External" Id="rId3097" /><Relationship Type="http://schemas.openxmlformats.org/officeDocument/2006/relationships/hyperlink" Target="https://website-9ib.pages.dev/termek/sp-b1-148/" TargetMode="External" Id="rId3098" /><Relationship Type="http://schemas.openxmlformats.org/officeDocument/2006/relationships/hyperlink" Target="https://www.sandprofile.com/media/gesamtkatalog_en.pdf#page=52" TargetMode="External" Id="rId3099" /><Relationship Type="http://schemas.openxmlformats.org/officeDocument/2006/relationships/hyperlink" Target="https://website-9ib.pages.dev/termek/sp-b1-159/" TargetMode="External" Id="rId3100" /><Relationship Type="http://schemas.openxmlformats.org/officeDocument/2006/relationships/hyperlink" Target="https://www.sandprofile.com/media/gesamtkatalog_en.pdf#page=52" TargetMode="External" Id="rId3101" /><Relationship Type="http://schemas.openxmlformats.org/officeDocument/2006/relationships/hyperlink" Target="https://website-9ib.pages.dev/termek/sp-b1-181/" TargetMode="External" Id="rId3102" /><Relationship Type="http://schemas.openxmlformats.org/officeDocument/2006/relationships/hyperlink" Target="https://www.sandprofile.com/media/gesamtkatalog_en.pdf#page=52" TargetMode="External" Id="rId3103" /><Relationship Type="http://schemas.openxmlformats.org/officeDocument/2006/relationships/hyperlink" Target="https://website-9ib.pages.dev/termek/sp-b2-122-nbr/" TargetMode="External" Id="rId3104" /><Relationship Type="http://schemas.openxmlformats.org/officeDocument/2006/relationships/hyperlink" Target="https://www.sandprofile.com/media/gesamtkatalog_en.pdf#page=52" TargetMode="External" Id="rId3105" /><Relationship Type="http://schemas.openxmlformats.org/officeDocument/2006/relationships/hyperlink" Target="https://website-9ib.pages.dev/termek/sp-b2-130/" TargetMode="External" Id="rId3106" /><Relationship Type="http://schemas.openxmlformats.org/officeDocument/2006/relationships/hyperlink" Target="https://www.sandprofile.com/media/gesamtkatalog_en.pdf#page=52" TargetMode="External" Id="rId3107" /><Relationship Type="http://schemas.openxmlformats.org/officeDocument/2006/relationships/hyperlink" Target="https://website-9ib.pages.dev/termek/sp-b2-133/" TargetMode="External" Id="rId3108" /><Relationship Type="http://schemas.openxmlformats.org/officeDocument/2006/relationships/hyperlink" Target="https://www.sandprofile.com/media/gesamtkatalog_en.pdf#page=52" TargetMode="External" Id="rId3109" /><Relationship Type="http://schemas.openxmlformats.org/officeDocument/2006/relationships/hyperlink" Target="https://website-9ib.pages.dev/termek/sp-b2-164/" TargetMode="External" Id="rId3110" /><Relationship Type="http://schemas.openxmlformats.org/officeDocument/2006/relationships/hyperlink" Target="https://www.sandprofile.com/media/gesamtkatalog_en.pdf#page=52" TargetMode="External" Id="rId3111" /><Relationship Type="http://schemas.openxmlformats.org/officeDocument/2006/relationships/hyperlink" Target="https://website-9ib.pages.dev/termek/sp-b2-173/" TargetMode="External" Id="rId3112" /><Relationship Type="http://schemas.openxmlformats.org/officeDocument/2006/relationships/hyperlink" Target="https://www.sandprofile.com/media/gesamtkatalog_en.pdf#page=49" TargetMode="External" Id="rId3113" /><Relationship Type="http://schemas.openxmlformats.org/officeDocument/2006/relationships/hyperlink" Target="https://website-9ib.pages.dev/termek/sp-brokenor/" TargetMode="External" Id="rId3114" /><Relationship Type="http://schemas.openxmlformats.org/officeDocument/2006/relationships/hyperlink" Target="https://www.sandprofile.com/media/gesamtkatalog_en.pdf#page=35" TargetMode="External" Id="rId3115" /><Relationship Type="http://schemas.openxmlformats.org/officeDocument/2006/relationships/hyperlink" Target="https://website-9ib.pages.dev/termek/sp-centrebar/" TargetMode="External" Id="rId3116" /><Relationship Type="http://schemas.openxmlformats.org/officeDocument/2006/relationships/hyperlink" Target="https://www.sandprofile.com/media/gesamtkatalog_en.pdf#page=35" TargetMode="External" Id="rId3117" /><Relationship Type="http://schemas.openxmlformats.org/officeDocument/2006/relationships/hyperlink" Target="https://website-9ib.pages.dev/termek/sp-coating/" TargetMode="External" Id="rId3118" /><Relationship Type="http://schemas.openxmlformats.org/officeDocument/2006/relationships/hyperlink" Target="https://www.sandprofile.com/media/gesamtkatalog_en.pdf#page=36" TargetMode="External" Id="rId3119" /><Relationship Type="http://schemas.openxmlformats.org/officeDocument/2006/relationships/hyperlink" Target="https://website-9ib.pages.dev/termek/sp-oilresistant/" TargetMode="External" Id="rId3120" /><Relationship Type="http://schemas.openxmlformats.org/officeDocument/2006/relationships/hyperlink" Target="https://www.sandprofile.com/media/gesamtkatalog_en.pdf#page=50" TargetMode="External" Id="rId3121" /><Relationship Type="http://schemas.openxmlformats.org/officeDocument/2006/relationships/hyperlink" Target="https://website-9ib.pages.dev/termek/sp-one-sidedbroken/" TargetMode="External" Id="rId3122" /><Relationship Type="http://schemas.openxmlformats.org/officeDocument/2006/relationships/hyperlink" Target="https://www.sandprofile.com/media/gesamtkatalog_en.pdf#page=48" TargetMode="External" Id="rId3123" /><Relationship Type="http://schemas.openxmlformats.org/officeDocument/2006/relationships/hyperlink" Target="https://website-9ib.pages.dev/termek/sp-withoutmetal/" TargetMode="External" Id="rId3124" /><Relationship Type="http://schemas.openxmlformats.org/officeDocument/2006/relationships/hyperlink" Target="https://www.sandprofile.com/media/gesamtkatalog_en.pdf#page=35" TargetMode="External" Id="rId3125" /><Relationship Type="http://schemas.openxmlformats.org/officeDocument/2006/relationships/hyperlink" Target="https://website-9ib.pages.dev/termek/sp-withslidingvarnish/" TargetMode="External" Id="rId3126" /><Relationship Type="http://schemas.openxmlformats.org/officeDocument/2006/relationships/hyperlink" Target="https://www.sandprofile.com/media/gesamtkatalog_en.pdf#page=65" TargetMode="External" Id="rId3127" /><Relationship Type="http://schemas.openxmlformats.org/officeDocument/2006/relationships/hyperlink" Target="https://website-9ib.pages.dev/termek/sp-d2-193/" TargetMode="External" Id="rId3128" /><Relationship Type="http://schemas.openxmlformats.org/officeDocument/2006/relationships/hyperlink" Target="https://www.sandprofile.com/media/gesamtkatalog_en.pdf#page=65" TargetMode="External" Id="rId3129" /><Relationship Type="http://schemas.openxmlformats.org/officeDocument/2006/relationships/hyperlink" Target="https://website-9ib.pages.dev/termek/sp-e-d2407/" TargetMode="External" Id="rId3130" /><Relationship Type="http://schemas.openxmlformats.org/officeDocument/2006/relationships/hyperlink" Target="https://www.sandprofile.com/media/gesamtkatalog_en.pdf#page=76" TargetMode="External" Id="rId3131" /><Relationship Type="http://schemas.openxmlformats.org/officeDocument/2006/relationships/hyperlink" Target="https://website-9ib.pages.dev/termek/sp-e1-500d/" TargetMode="External" Id="rId3132" /><Relationship Type="http://schemas.openxmlformats.org/officeDocument/2006/relationships/hyperlink" Target="https://www.sandprofile.com/media/gesamtkatalog_en.pdf#page=76" TargetMode="External" Id="rId3133" /><Relationship Type="http://schemas.openxmlformats.org/officeDocument/2006/relationships/hyperlink" Target="https://website-9ib.pages.dev/termek/sp-e1-501d/" TargetMode="External" Id="rId3134" /><Relationship Type="http://schemas.openxmlformats.org/officeDocument/2006/relationships/hyperlink" Target="https://www.sandprofile.com/media/gesamtkatalog_en.pdf#page=76" TargetMode="External" Id="rId3135" /><Relationship Type="http://schemas.openxmlformats.org/officeDocument/2006/relationships/hyperlink" Target="https://website-9ib.pages.dev/termek/sp-e1-503d/" TargetMode="External" Id="rId3136" /><Relationship Type="http://schemas.openxmlformats.org/officeDocument/2006/relationships/hyperlink" Target="https://www.sandprofile.com/media/gesamtkatalog_en.pdf#page=76" TargetMode="External" Id="rId3137" /><Relationship Type="http://schemas.openxmlformats.org/officeDocument/2006/relationships/hyperlink" Target="https://website-9ib.pages.dev/termek/sp-e1-504d/" TargetMode="External" Id="rId3138" /><Relationship Type="http://schemas.openxmlformats.org/officeDocument/2006/relationships/hyperlink" Target="https://www.sandprofile.com/media/gesamtkatalog_en.pdf#page=76" TargetMode="External" Id="rId3139" /><Relationship Type="http://schemas.openxmlformats.org/officeDocument/2006/relationships/hyperlink" Target="https://website-9ib.pages.dev/termek/sp-e1-506d/" TargetMode="External" Id="rId3140" /><Relationship Type="http://schemas.openxmlformats.org/officeDocument/2006/relationships/hyperlink" Target="https://www.sandprofile.com/media/gesamtkatalog_en.pdf#page=76" TargetMode="External" Id="rId3141" /><Relationship Type="http://schemas.openxmlformats.org/officeDocument/2006/relationships/hyperlink" Target="https://website-9ib.pages.dev/termek/sp-e1-509d/" TargetMode="External" Id="rId3142" /><Relationship Type="http://schemas.openxmlformats.org/officeDocument/2006/relationships/hyperlink" Target="https://www.sandprofile.com/media/gesamtkatalog_en.pdf#page=76" TargetMode="External" Id="rId3143" /><Relationship Type="http://schemas.openxmlformats.org/officeDocument/2006/relationships/hyperlink" Target="https://website-9ib.pages.dev/termek/sp-e1-510d/" TargetMode="External" Id="rId3144" /><Relationship Type="http://schemas.openxmlformats.org/officeDocument/2006/relationships/hyperlink" Target="https://www.sandprofile.com/media/gesamtkatalog_en.pdf#page=76" TargetMode="External" Id="rId3145" /><Relationship Type="http://schemas.openxmlformats.org/officeDocument/2006/relationships/hyperlink" Target="https://website-9ib.pages.dev/termek/sp-e1-511d/" TargetMode="External" Id="rId3146" /><Relationship Type="http://schemas.openxmlformats.org/officeDocument/2006/relationships/hyperlink" Target="https://www.sandprofile.com/media/gesamtkatalog_en.pdf#page=76" TargetMode="External" Id="rId3147" /><Relationship Type="http://schemas.openxmlformats.org/officeDocument/2006/relationships/hyperlink" Target="https://website-9ib.pages.dev/termek/sp-e1-512d/" TargetMode="External" Id="rId3148" /><Relationship Type="http://schemas.openxmlformats.org/officeDocument/2006/relationships/hyperlink" Target="https://www.sandprofile.com/media/gesamtkatalog_en.pdf#page=76" TargetMode="External" Id="rId3149" /><Relationship Type="http://schemas.openxmlformats.org/officeDocument/2006/relationships/hyperlink" Target="https://website-9ib.pages.dev/termek/sp-e1-514d/" TargetMode="External" Id="rId3150" /><Relationship Type="http://schemas.openxmlformats.org/officeDocument/2006/relationships/hyperlink" Target="https://www.sandprofile.com/media/gesamtkatalog_en.pdf#page=76" TargetMode="External" Id="rId3151" /><Relationship Type="http://schemas.openxmlformats.org/officeDocument/2006/relationships/hyperlink" Target="https://website-9ib.pages.dev/termek/sp-e1-515d/" TargetMode="External" Id="rId3152" /><Relationship Type="http://schemas.openxmlformats.org/officeDocument/2006/relationships/hyperlink" Target="https://www.sandprofile.com/media/gesamtkatalog_en.pdf#page=76" TargetMode="External" Id="rId3153" /><Relationship Type="http://schemas.openxmlformats.org/officeDocument/2006/relationships/hyperlink" Target="https://website-9ib.pages.dev/termek/sp-e1-516d/" TargetMode="External" Id="rId3154" /><Relationship Type="http://schemas.openxmlformats.org/officeDocument/2006/relationships/hyperlink" Target="https://www.sandprofile.com/media/gesamtkatalog_en.pdf#page=76" TargetMode="External" Id="rId3155" /><Relationship Type="http://schemas.openxmlformats.org/officeDocument/2006/relationships/hyperlink" Target="https://website-9ib.pages.dev/termek/sp-e1-517d/" TargetMode="External" Id="rId3156" /><Relationship Type="http://schemas.openxmlformats.org/officeDocument/2006/relationships/hyperlink" Target="https://www.sandprofile.com/media/gesamtkatalog_en.pdf#page=76" TargetMode="External" Id="rId3157" /><Relationship Type="http://schemas.openxmlformats.org/officeDocument/2006/relationships/hyperlink" Target="https://website-9ib.pages.dev/termek/sp-e1-519d/" TargetMode="External" Id="rId3158" /><Relationship Type="http://schemas.openxmlformats.org/officeDocument/2006/relationships/hyperlink" Target="https://www.sandprofile.com/media/gesamtkatalog_en.pdf#page=76" TargetMode="External" Id="rId3159" /><Relationship Type="http://schemas.openxmlformats.org/officeDocument/2006/relationships/hyperlink" Target="https://website-9ib.pages.dev/termek/sp-e1-520d/" TargetMode="External" Id="rId3160" /><Relationship Type="http://schemas.openxmlformats.org/officeDocument/2006/relationships/hyperlink" Target="https://www.sandprofile.com/media/gesamtkatalog_en.pdf#page=76" TargetMode="External" Id="rId3161" /><Relationship Type="http://schemas.openxmlformats.org/officeDocument/2006/relationships/hyperlink" Target="https://website-9ib.pages.dev/termek/sp-e1-521d/" TargetMode="External" Id="rId3162" /><Relationship Type="http://schemas.openxmlformats.org/officeDocument/2006/relationships/hyperlink" Target="https://www.sandprofile.com/media/gesamtkatalog_en.pdf#page=76" TargetMode="External" Id="rId3163" /><Relationship Type="http://schemas.openxmlformats.org/officeDocument/2006/relationships/hyperlink" Target="https://website-9ib.pages.dev/termek/sp-e1-522d/" TargetMode="External" Id="rId3164" /><Relationship Type="http://schemas.openxmlformats.org/officeDocument/2006/relationships/hyperlink" Target="https://www.sandprofile.com/media/gesamtkatalog_en.pdf#page=76" TargetMode="External" Id="rId3165" /><Relationship Type="http://schemas.openxmlformats.org/officeDocument/2006/relationships/hyperlink" Target="https://website-9ib.pages.dev/termek/sp-e1-523d/" TargetMode="External" Id="rId3166" /><Relationship Type="http://schemas.openxmlformats.org/officeDocument/2006/relationships/hyperlink" Target="https://www.sandprofile.com/media/gesamtkatalog_en.pdf#page=76" TargetMode="External" Id="rId3167" /><Relationship Type="http://schemas.openxmlformats.org/officeDocument/2006/relationships/hyperlink" Target="https://website-9ib.pages.dev/termek/sp-e1-524d/" TargetMode="External" Id="rId3168" /><Relationship Type="http://schemas.openxmlformats.org/officeDocument/2006/relationships/hyperlink" Target="https://www.sandprofile.com/media/gesamtkatalog_en.pdf#page=76" TargetMode="External" Id="rId3169" /><Relationship Type="http://schemas.openxmlformats.org/officeDocument/2006/relationships/hyperlink" Target="https://website-9ib.pages.dev/termek/sp-e1-525d/" TargetMode="External" Id="rId3170" /><Relationship Type="http://schemas.openxmlformats.org/officeDocument/2006/relationships/hyperlink" Target="https://www.sandprofile.com/media/gesamtkatalog_en.pdf#page=76" TargetMode="External" Id="rId3171" /><Relationship Type="http://schemas.openxmlformats.org/officeDocument/2006/relationships/hyperlink" Target="https://website-9ib.pages.dev/termek/sp-e1-526d/" TargetMode="External" Id="rId3172" /><Relationship Type="http://schemas.openxmlformats.org/officeDocument/2006/relationships/hyperlink" Target="https://www.sandprofile.com/media/gesamtkatalog_en.pdf#page=76" TargetMode="External" Id="rId3173" /><Relationship Type="http://schemas.openxmlformats.org/officeDocument/2006/relationships/hyperlink" Target="https://website-9ib.pages.dev/termek/sp-e1-530d/" TargetMode="External" Id="rId3174" /><Relationship Type="http://schemas.openxmlformats.org/officeDocument/2006/relationships/hyperlink" Target="https://www.sandprofile.com/media/gesamtkatalog_en.pdf#page=66" TargetMode="External" Id="rId3175" /><Relationship Type="http://schemas.openxmlformats.org/officeDocument/2006/relationships/hyperlink" Target="https://website-9ib.pages.dev/termek/sp-d1-135/" TargetMode="External" Id="rId3176" /><Relationship Type="http://schemas.openxmlformats.org/officeDocument/2006/relationships/hyperlink" Target="https://www.sandprofile.com/media/gesamtkatalog_en.pdf#page=66" TargetMode="External" Id="rId3177" /><Relationship Type="http://schemas.openxmlformats.org/officeDocument/2006/relationships/hyperlink" Target="https://website-9ib.pages.dev/termek/sp-m1-001/" TargetMode="External" Id="rId3178" /><Relationship Type="http://schemas.openxmlformats.org/officeDocument/2006/relationships/hyperlink" Target="https://www.sandprofile.com/media/gesamtkatalog_en.pdf#page=23" TargetMode="External" Id="rId3179" /><Relationship Type="http://schemas.openxmlformats.org/officeDocument/2006/relationships/hyperlink" Target="https://website-9ib.pages.dev/termek/sp-firesafetystandard/" TargetMode="External" Id="rId3180" /><Relationship Type="http://schemas.openxmlformats.org/officeDocument/2006/relationships/hyperlink" Target="https://www.sandprofile.com/media/gesamtkatalog_en.pdf#page=22" TargetMode="External" Id="rId3181" /><Relationship Type="http://schemas.openxmlformats.org/officeDocument/2006/relationships/hyperlink" Target="https://website-9ib.pages.dev/termek/sp-tpe/" TargetMode="External" Id="rId3182" /><Relationship Type="http://schemas.openxmlformats.org/officeDocument/2006/relationships/hyperlink" Target="https://www.sandprofile.com/media/gesamtkatalog_en.pdf#page=18" TargetMode="External" Id="rId3183" /><Relationship Type="http://schemas.openxmlformats.org/officeDocument/2006/relationships/hyperlink" Target="https://website-9ib.pages.dev/termek/sp-a1-009/" TargetMode="External" Id="rId3184" /><Relationship Type="http://schemas.openxmlformats.org/officeDocument/2006/relationships/hyperlink" Target="https://www.sandprofile.com/media/gesamtkatalog_en.pdf#page=18" TargetMode="External" Id="rId3185" /><Relationship Type="http://schemas.openxmlformats.org/officeDocument/2006/relationships/hyperlink" Target="https://website-9ib.pages.dev/termek/sp-a1-010/" TargetMode="External" Id="rId3186" /><Relationship Type="http://schemas.openxmlformats.org/officeDocument/2006/relationships/hyperlink" Target="https://www.sandprofile.com/media/gesamtkatalog_en.pdf#page=18" TargetMode="External" Id="rId3187" /><Relationship Type="http://schemas.openxmlformats.org/officeDocument/2006/relationships/hyperlink" Target="https://website-9ib.pages.dev/termek/sp-a1-011/" TargetMode="External" Id="rId3188" /><Relationship Type="http://schemas.openxmlformats.org/officeDocument/2006/relationships/hyperlink" Target="https://www.sandprofile.com/media/gesamtkatalog_en.pdf#page=18" TargetMode="External" Id="rId3189" /><Relationship Type="http://schemas.openxmlformats.org/officeDocument/2006/relationships/hyperlink" Target="https://website-9ib.pages.dev/termek/sp-a1-012/" TargetMode="External" Id="rId3190" /><Relationship Type="http://schemas.openxmlformats.org/officeDocument/2006/relationships/hyperlink" Target="https://www.sandprofile.com/media/gesamtkatalog_en.pdf#page=18" TargetMode="External" Id="rId3191" /><Relationship Type="http://schemas.openxmlformats.org/officeDocument/2006/relationships/hyperlink" Target="https://website-9ib.pages.dev/termek/sp-a1-014/" TargetMode="External" Id="rId3192" /><Relationship Type="http://schemas.openxmlformats.org/officeDocument/2006/relationships/hyperlink" Target="https://www.sandprofile.com/media/gesamtkatalog_en.pdf#page=19" TargetMode="External" Id="rId3193" /><Relationship Type="http://schemas.openxmlformats.org/officeDocument/2006/relationships/hyperlink" Target="https://website-9ib.pages.dev/termek/sp-a1-016/" TargetMode="External" Id="rId3194" /><Relationship Type="http://schemas.openxmlformats.org/officeDocument/2006/relationships/hyperlink" Target="https://www.sandprofile.com/media/gesamtkatalog_en.pdf#page=19" TargetMode="External" Id="rId3195" /><Relationship Type="http://schemas.openxmlformats.org/officeDocument/2006/relationships/hyperlink" Target="https://website-9ib.pages.dev/termek/sp-a1-017/" TargetMode="External" Id="rId3196" /><Relationship Type="http://schemas.openxmlformats.org/officeDocument/2006/relationships/hyperlink" Target="https://www.sandprofile.com/media/gesamtkatalog_en.pdf#page=20" TargetMode="External" Id="rId3197" /><Relationship Type="http://schemas.openxmlformats.org/officeDocument/2006/relationships/hyperlink" Target="https://website-9ib.pages.dev/termek/sp-a1-018/" TargetMode="External" Id="rId3198" /><Relationship Type="http://schemas.openxmlformats.org/officeDocument/2006/relationships/hyperlink" Target="https://www.sandprofile.com/media/gesamtkatalog_en.pdf#page=19" TargetMode="External" Id="rId3199" /><Relationship Type="http://schemas.openxmlformats.org/officeDocument/2006/relationships/hyperlink" Target="https://website-9ib.pages.dev/termek/sp-a1-019-10/" TargetMode="External" Id="rId3200" /><Relationship Type="http://schemas.openxmlformats.org/officeDocument/2006/relationships/hyperlink" Target="https://www.sandprofile.com/media/gesamtkatalog_en.pdf#page=19" TargetMode="External" Id="rId3201" /><Relationship Type="http://schemas.openxmlformats.org/officeDocument/2006/relationships/hyperlink" Target="https://website-9ib.pages.dev/termek/sp-a1-019-8/" TargetMode="External" Id="rId3202" /><Relationship Type="http://schemas.openxmlformats.org/officeDocument/2006/relationships/hyperlink" Target="https://www.sandprofile.com/media/gesamtkatalog_en.pdf#page=19" TargetMode="External" Id="rId3203" /><Relationship Type="http://schemas.openxmlformats.org/officeDocument/2006/relationships/hyperlink" Target="https://website-9ib.pages.dev/termek/sp-a1-020-10/" TargetMode="External" Id="rId3204" /><Relationship Type="http://schemas.openxmlformats.org/officeDocument/2006/relationships/hyperlink" Target="https://www.sandprofile.com/media/gesamtkatalog_en.pdf#page=19" TargetMode="External" Id="rId3205" /><Relationship Type="http://schemas.openxmlformats.org/officeDocument/2006/relationships/hyperlink" Target="https://website-9ib.pages.dev/termek/sp-a1-020-8/" TargetMode="External" Id="rId3206" /><Relationship Type="http://schemas.openxmlformats.org/officeDocument/2006/relationships/hyperlink" Target="https://www.sandprofile.com/media/gesamtkatalog_en.pdf#page=19" TargetMode="External" Id="rId3207" /><Relationship Type="http://schemas.openxmlformats.org/officeDocument/2006/relationships/hyperlink" Target="https://website-9ib.pages.dev/termek/sp-a1-021/" TargetMode="External" Id="rId3208" /><Relationship Type="http://schemas.openxmlformats.org/officeDocument/2006/relationships/hyperlink" Target="https://www.sandprofile.com/media/gesamtkatalog_en.pdf#page=19" TargetMode="External" Id="rId3209" /><Relationship Type="http://schemas.openxmlformats.org/officeDocument/2006/relationships/hyperlink" Target="https://website-9ib.pages.dev/termek/sp-a1-022/" TargetMode="External" Id="rId3210" /><Relationship Type="http://schemas.openxmlformats.org/officeDocument/2006/relationships/hyperlink" Target="https://www.sandprofile.com/media/gesamtkatalog_en.pdf#page=18" TargetMode="External" Id="rId3211" /><Relationship Type="http://schemas.openxmlformats.org/officeDocument/2006/relationships/hyperlink" Target="https://website-9ib.pages.dev/termek/sp-a1-023-2/" TargetMode="External" Id="rId3212" /><Relationship Type="http://schemas.openxmlformats.org/officeDocument/2006/relationships/hyperlink" Target="https://www.sandprofile.com/media/gesamtkatalog_en.pdf#page=18" TargetMode="External" Id="rId3213" /><Relationship Type="http://schemas.openxmlformats.org/officeDocument/2006/relationships/hyperlink" Target="https://website-9ib.pages.dev/termek/sp-a1-023-4/" TargetMode="External" Id="rId3214" /><Relationship Type="http://schemas.openxmlformats.org/officeDocument/2006/relationships/hyperlink" Target="https://www.sandprofile.com/media/gesamtkatalog_en.pdf#page=20" TargetMode="External" Id="rId3215" /><Relationship Type="http://schemas.openxmlformats.org/officeDocument/2006/relationships/hyperlink" Target="https://website-9ib.pages.dev/termek/sp-a1-024-2/" TargetMode="External" Id="rId3216" /><Relationship Type="http://schemas.openxmlformats.org/officeDocument/2006/relationships/hyperlink" Target="https://www.sandprofile.com/media/gesamtkatalog_en.pdf#page=20" TargetMode="External" Id="rId3217" /><Relationship Type="http://schemas.openxmlformats.org/officeDocument/2006/relationships/hyperlink" Target="https://website-9ib.pages.dev/termek/sp-a1-024-4/" TargetMode="External" Id="rId3218" /><Relationship Type="http://schemas.openxmlformats.org/officeDocument/2006/relationships/hyperlink" Target="https://www.sandprofile.com/media/gesamtkatalog_en.pdf#page=20" TargetMode="External" Id="rId3219" /><Relationship Type="http://schemas.openxmlformats.org/officeDocument/2006/relationships/hyperlink" Target="https://website-9ib.pages.dev/termek/sp-a1-024-6/" TargetMode="External" Id="rId3220" /><Relationship Type="http://schemas.openxmlformats.org/officeDocument/2006/relationships/hyperlink" Target="https://www.sandprofile.com/media/gesamtkatalog_en.pdf#page=20" TargetMode="External" Id="rId3221" /><Relationship Type="http://schemas.openxmlformats.org/officeDocument/2006/relationships/hyperlink" Target="https://website-9ib.pages.dev/termek/sp-a1-030/" TargetMode="External" Id="rId3222" /><Relationship Type="http://schemas.openxmlformats.org/officeDocument/2006/relationships/hyperlink" Target="https://www.sandprofile.com/media/gesamtkatalog_en.pdf#page=18" TargetMode="External" Id="rId3223" /><Relationship Type="http://schemas.openxmlformats.org/officeDocument/2006/relationships/hyperlink" Target="https://website-9ib.pages.dev/termek/sp-a1-032/" TargetMode="External" Id="rId3224" /><Relationship Type="http://schemas.openxmlformats.org/officeDocument/2006/relationships/hyperlink" Target="https://www.sandprofile.com/media/gesamtkatalog_en.pdf#page=18" TargetMode="External" Id="rId3225" /><Relationship Type="http://schemas.openxmlformats.org/officeDocument/2006/relationships/hyperlink" Target="https://website-9ib.pages.dev/termek/sp-a1-034/" TargetMode="External" Id="rId3226" /><Relationship Type="http://schemas.openxmlformats.org/officeDocument/2006/relationships/hyperlink" Target="https://www.sandprofile.com/media/gesamtkatalog_en.pdf#page=20" TargetMode="External" Id="rId3227" /><Relationship Type="http://schemas.openxmlformats.org/officeDocument/2006/relationships/hyperlink" Target="https://website-9ib.pages.dev/termek/sp-a1-037/" TargetMode="External" Id="rId3228" /><Relationship Type="http://schemas.openxmlformats.org/officeDocument/2006/relationships/hyperlink" Target="https://www.sandprofile.com/media/gesamtkatalog_en.pdf#page=19" TargetMode="External" Id="rId3229" /><Relationship Type="http://schemas.openxmlformats.org/officeDocument/2006/relationships/hyperlink" Target="https://website-9ib.pages.dev/termek/sp-a1-044/" TargetMode="External" Id="rId3230" /><Relationship Type="http://schemas.openxmlformats.org/officeDocument/2006/relationships/hyperlink" Target="https://www.sandprofile.com/media/gesamtkatalog_en.pdf#page=21" TargetMode="External" Id="rId3231" /><Relationship Type="http://schemas.openxmlformats.org/officeDocument/2006/relationships/hyperlink" Target="https://website-9ib.pages.dev/termek/sp-a1-075/" TargetMode="External" Id="rId3232" /><Relationship Type="http://schemas.openxmlformats.org/officeDocument/2006/relationships/hyperlink" Target="https://www.sandprofile.com/media/gesamtkatalog_en.pdf#page=21" TargetMode="External" Id="rId3233" /><Relationship Type="http://schemas.openxmlformats.org/officeDocument/2006/relationships/hyperlink" Target="https://website-9ib.pages.dev/termek/sp-a1-077/" TargetMode="External" Id="rId3234" /><Relationship Type="http://schemas.openxmlformats.org/officeDocument/2006/relationships/hyperlink" Target="https://www.sandprofile.com/media/gesamtkatalog_en.pdf#page=18" TargetMode="External" Id="rId3235" /><Relationship Type="http://schemas.openxmlformats.org/officeDocument/2006/relationships/hyperlink" Target="https://website-9ib.pages.dev/termek/sp-a2-051/" TargetMode="External" Id="rId3236" /><Relationship Type="http://schemas.openxmlformats.org/officeDocument/2006/relationships/hyperlink" Target="https://www.sandprofile.com/media/gesamtkatalog_en.pdf#page=19" TargetMode="External" Id="rId3237" /><Relationship Type="http://schemas.openxmlformats.org/officeDocument/2006/relationships/hyperlink" Target="https://website-9ib.pages.dev/termek/sp-a2-078/" TargetMode="External" Id="rId3238" /><Relationship Type="http://schemas.openxmlformats.org/officeDocument/2006/relationships/hyperlink" Target="https://www.sandprofile.com/media/gesamtkatalog_en.pdf#page=22" TargetMode="External" Id="rId3239" /><Relationship Type="http://schemas.openxmlformats.org/officeDocument/2006/relationships/hyperlink" Target="https://website-9ib.pages.dev/termek/sp-a2-257/" TargetMode="External" Id="rId3240" /><Relationship Type="http://schemas.openxmlformats.org/officeDocument/2006/relationships/hyperlink" Target="https://www.sandprofile.com/media/gesamtkatalog_en.pdf#page=23" TargetMode="External" Id="rId3241" /><Relationship Type="http://schemas.openxmlformats.org/officeDocument/2006/relationships/hyperlink" Target="https://website-9ib.pages.dev/termek/sp-a2-613/" TargetMode="External" Id="rId3242" /><Relationship Type="http://schemas.openxmlformats.org/officeDocument/2006/relationships/hyperlink" Target="https://www.sandprofile.com/media/gesamtkatalog_en.pdf#page=21" TargetMode="External" Id="rId3243" /><Relationship Type="http://schemas.openxmlformats.org/officeDocument/2006/relationships/hyperlink" Target="https://website-9ib.pages.dev/termek/sp-a2-813/" TargetMode="External" Id="rId3244" /><Relationship Type="http://schemas.openxmlformats.org/officeDocument/2006/relationships/hyperlink" Target="https://www.sandprofile.com/media/gesamtkatalog_en.pdf#page=21" TargetMode="External" Id="rId3245" /><Relationship Type="http://schemas.openxmlformats.org/officeDocument/2006/relationships/hyperlink" Target="https://website-9ib.pages.dev/termek/sp-a3-046/" TargetMode="External" Id="rId3246" /><Relationship Type="http://schemas.openxmlformats.org/officeDocument/2006/relationships/hyperlink" Target="https://www.sandprofile.com/media/gesamtkatalog_en.pdf#page=21" TargetMode="External" Id="rId3247" /><Relationship Type="http://schemas.openxmlformats.org/officeDocument/2006/relationships/hyperlink" Target="https://website-9ib.pages.dev/termek/sp-a3-087/" TargetMode="External" Id="rId3248" /><Relationship Type="http://schemas.openxmlformats.org/officeDocument/2006/relationships/hyperlink" Target="https://www.sandprofile.com/media/gesamtkatalog_en.pdf#page=21" TargetMode="External" Id="rId3249" /><Relationship Type="http://schemas.openxmlformats.org/officeDocument/2006/relationships/hyperlink" Target="https://website-9ib.pages.dev/termek/sp-a3-362-bu/" TargetMode="External" Id="rId3250" /><Relationship Type="http://schemas.openxmlformats.org/officeDocument/2006/relationships/hyperlink" Target="https://www.sandprofile.com/media/gesamtkatalog_en.pdf#page=23" TargetMode="External" Id="rId3251" /><Relationship Type="http://schemas.openxmlformats.org/officeDocument/2006/relationships/hyperlink" Target="https://website-9ib.pages.dev/termek/sp-a3-444/" TargetMode="External" Id="rId3252" /><Relationship Type="http://schemas.openxmlformats.org/officeDocument/2006/relationships/hyperlink" Target="https://www.sandprofile.com/media/gesamtkatalog_en.pdf#page=21" TargetMode="External" Id="rId3253" /><Relationship Type="http://schemas.openxmlformats.org/officeDocument/2006/relationships/hyperlink" Target="https://website-9ib.pages.dev/termek/sp-a3-490/" TargetMode="External" Id="rId3254" /><Relationship Type="http://schemas.openxmlformats.org/officeDocument/2006/relationships/hyperlink" Target="https://www.sandprofile.com/media/gesamtkatalog_en.pdf#page=23" TargetMode="External" Id="rId3255" /><Relationship Type="http://schemas.openxmlformats.org/officeDocument/2006/relationships/hyperlink" Target="https://website-9ib.pages.dev/termek/sp-a3-521/" TargetMode="External" Id="rId3256" /><Relationship Type="http://schemas.openxmlformats.org/officeDocument/2006/relationships/hyperlink" Target="https://www.sandprofile.com/media/gesamtkatalog_en.pdf#page=23" TargetMode="External" Id="rId3257" /><Relationship Type="http://schemas.openxmlformats.org/officeDocument/2006/relationships/hyperlink" Target="https://website-9ib.pages.dev/termek/sp-a3-550/" TargetMode="External" Id="rId3258" /><Relationship Type="http://schemas.openxmlformats.org/officeDocument/2006/relationships/hyperlink" Target="https://www.sandprofile.com/media/gesamtkatalog_en.pdf#page=19" TargetMode="External" Id="rId3259" /><Relationship Type="http://schemas.openxmlformats.org/officeDocument/2006/relationships/hyperlink" Target="https://website-9ib.pages.dev/termek/sp-a3-634/" TargetMode="External" Id="rId3260" /><Relationship Type="http://schemas.openxmlformats.org/officeDocument/2006/relationships/hyperlink" Target="https://www.sandprofile.com/media/gesamtkatalog_en.pdf#page=22" TargetMode="External" Id="rId3261" /><Relationship Type="http://schemas.openxmlformats.org/officeDocument/2006/relationships/hyperlink" Target="https://website-9ib.pages.dev/termek/sp-a4-253-bu/" TargetMode="External" Id="rId3262" /><Relationship Type="http://schemas.openxmlformats.org/officeDocument/2006/relationships/hyperlink" Target="https://www.sandprofile.com/media/gesamtkatalog_en.pdf#page=23" TargetMode="External" Id="rId3263" /><Relationship Type="http://schemas.openxmlformats.org/officeDocument/2006/relationships/hyperlink" Target="https://website-9ib.pages.dev/termek/sp-a4-782/" TargetMode="External" Id="rId3264" /><Relationship Type="http://schemas.openxmlformats.org/officeDocument/2006/relationships/hyperlink" Target="https://www.sandprofile.com/media/gesamtkatalog_en.pdf#page=23" TargetMode="External" Id="rId3265" /><Relationship Type="http://schemas.openxmlformats.org/officeDocument/2006/relationships/hyperlink" Target="https://website-9ib.pages.dev/termek/sp-a4-808-bu/" TargetMode="External" Id="rId3266" /><Relationship Type="http://schemas.openxmlformats.org/officeDocument/2006/relationships/hyperlink" Target="https://www.sandprofile.com/media/gesamtkatalog_en.pdf#page=23" TargetMode="External" Id="rId3267" /><Relationship Type="http://schemas.openxmlformats.org/officeDocument/2006/relationships/hyperlink" Target="https://website-9ib.pages.dev/termek/sp-broken/" TargetMode="External" Id="rId3268" /><Relationship Type="http://schemas.openxmlformats.org/officeDocument/2006/relationships/hyperlink" Target="https://www.sandprofile.com/media/gesamtkatalog_en.pdf#page=22" TargetMode="External" Id="rId3269" /><Relationship Type="http://schemas.openxmlformats.org/officeDocument/2006/relationships/hyperlink" Target="https://website-9ib.pages.dev/termek/sp-carrier/" TargetMode="External" Id="rId3270" /><Relationship Type="http://schemas.openxmlformats.org/officeDocument/2006/relationships/hyperlink" Target="https://www.sandprofile.com/media/gesamtkatalog_en.pdf#page=23" TargetMode="External" Id="rId3271" /><Relationship Type="http://schemas.openxmlformats.org/officeDocument/2006/relationships/hyperlink" Target="https://website-9ib.pages.dev/termek/sp-centerbar/" TargetMode="External" Id="rId3272" /><Relationship Type="http://schemas.openxmlformats.org/officeDocument/2006/relationships/hyperlink" Target="https://www.sandprofile.com/media/gesamtkatalog_en.pdf#page=23" TargetMode="External" Id="rId3273" /><Relationship Type="http://schemas.openxmlformats.org/officeDocument/2006/relationships/hyperlink" Target="https://website-9ib.pages.dev/termek/sp-nff16-101/" TargetMode="External" Id="rId3274" /><Relationship Type="http://schemas.openxmlformats.org/officeDocument/2006/relationships/hyperlink" Target="https://www.sandprofile.com/media/gesamtkatalog_en.pdf#page=22" TargetMode="External" Id="rId3275" /><Relationship Type="http://schemas.openxmlformats.org/officeDocument/2006/relationships/hyperlink" Target="https://website-9ib.pages.dev/termek/sp-stainlessstealwire/" TargetMode="External" Id="rId3276" /><Relationship Type="http://schemas.openxmlformats.org/officeDocument/2006/relationships/hyperlink" Target="https://www.sandprofile.com/media/gesamtkatalog_en.pdf#page=22" TargetMode="External" Id="rId3277" /><Relationship Type="http://schemas.openxmlformats.org/officeDocument/2006/relationships/hyperlink" Target="https://website-9ib.pages.dev/termek/sp-steelcarrier/" TargetMode="External" Id="rId3278" /><Relationship Type="http://schemas.openxmlformats.org/officeDocument/2006/relationships/hyperlink" Target="https://www.sandprofile.com/media/gesamtkatalog_en.pdf#page=22" TargetMode="External" Id="rId3279" /><Relationship Type="http://schemas.openxmlformats.org/officeDocument/2006/relationships/hyperlink" Target="https://website-9ib.pages.dev/termek/sp-unbroken/" TargetMode="External" Id="rId3280" /><Relationship Type="http://schemas.openxmlformats.org/officeDocument/2006/relationships/hyperlink" Target="https://www.sandprofile.com/media/gesamtkatalog_en.pdf#page=23" TargetMode="External" Id="rId3281" /><Relationship Type="http://schemas.openxmlformats.org/officeDocument/2006/relationships/hyperlink" Target="https://website-9ib.pages.dev/termek/sp-wirecarrier/" TargetMode="External" Id="rId3282" /><Relationship Type="http://schemas.openxmlformats.org/officeDocument/2006/relationships/hyperlink" Target="https://www.sandprofile.com/media/gesamtkatalog_en.pdf#page=21" TargetMode="External" Id="rId3283" /><Relationship Type="http://schemas.openxmlformats.org/officeDocument/2006/relationships/hyperlink" Target="https://website-9ib.pages.dev/termek/sp-withbutyl/" TargetMode="External" Id="rId3284" /><Relationship Type="http://schemas.openxmlformats.org/officeDocument/2006/relationships/hyperlink" Target="https://www.sandprofile.com/media/gesamtkatalog_en.pdf#page=31" TargetMode="External" Id="rId3285" /><Relationship Type="http://schemas.openxmlformats.org/officeDocument/2006/relationships/hyperlink" Target="https://website-9ib.pages.dev/termek/sp-a1-100/" TargetMode="External" Id="rId3286" /><Relationship Type="http://schemas.openxmlformats.org/officeDocument/2006/relationships/hyperlink" Target="https://www.sandprofile.com/media/gesamtkatalog_en.pdf#page=31" TargetMode="External" Id="rId3287" /><Relationship Type="http://schemas.openxmlformats.org/officeDocument/2006/relationships/hyperlink" Target="https://website-9ib.pages.dev/termek/sp-a1-101/" TargetMode="External" Id="rId3288" /><Relationship Type="http://schemas.openxmlformats.org/officeDocument/2006/relationships/hyperlink" Target="https://www.sandprofile.com/media/gesamtkatalog_en.pdf#page=28" TargetMode="External" Id="rId3289" /><Relationship Type="http://schemas.openxmlformats.org/officeDocument/2006/relationships/hyperlink" Target="https://website-9ib.pages.dev/termek/sp-a1-102/" TargetMode="External" Id="rId3290" /><Relationship Type="http://schemas.openxmlformats.org/officeDocument/2006/relationships/hyperlink" Target="https://www.sandprofile.com/media/gesamtkatalog_en.pdf#page=33" TargetMode="External" Id="rId3291" /><Relationship Type="http://schemas.openxmlformats.org/officeDocument/2006/relationships/hyperlink" Target="https://website-9ib.pages.dev/termek/sp-a1-103/" TargetMode="External" Id="rId3292" /><Relationship Type="http://schemas.openxmlformats.org/officeDocument/2006/relationships/hyperlink" Target="https://www.sandprofile.com/media/gesamtkatalog_en.pdf#page=28" TargetMode="External" Id="rId3293" /><Relationship Type="http://schemas.openxmlformats.org/officeDocument/2006/relationships/hyperlink" Target="https://website-9ib.pages.dev/termek/sp-a1-104-2/" TargetMode="External" Id="rId3294" /><Relationship Type="http://schemas.openxmlformats.org/officeDocument/2006/relationships/hyperlink" Target="https://www.sandprofile.com/media/gesamtkatalog_en.pdf#page=28" TargetMode="External" Id="rId3295" /><Relationship Type="http://schemas.openxmlformats.org/officeDocument/2006/relationships/hyperlink" Target="https://website-9ib.pages.dev/termek/sp-a1-104-4/" TargetMode="External" Id="rId3296" /><Relationship Type="http://schemas.openxmlformats.org/officeDocument/2006/relationships/hyperlink" Target="https://www.sandprofile.com/media/gesamtkatalog_en.pdf#page=28" TargetMode="External" Id="rId3297" /><Relationship Type="http://schemas.openxmlformats.org/officeDocument/2006/relationships/hyperlink" Target="https://website-9ib.pages.dev/termek/sp-a1-104-6/" TargetMode="External" Id="rId3298" /><Relationship Type="http://schemas.openxmlformats.org/officeDocument/2006/relationships/hyperlink" Target="https://www.sandprofile.com/media/gesamtkatalog_en.pdf#page=30" TargetMode="External" Id="rId3299" /><Relationship Type="http://schemas.openxmlformats.org/officeDocument/2006/relationships/hyperlink" Target="https://website-9ib.pages.dev/termek/sp-a1-105-6/" TargetMode="External" Id="rId3300" /><Relationship Type="http://schemas.openxmlformats.org/officeDocument/2006/relationships/hyperlink" Target="https://www.sandprofile.com/media/gesamtkatalog_en.pdf#page=28" TargetMode="External" Id="rId3301" /><Relationship Type="http://schemas.openxmlformats.org/officeDocument/2006/relationships/hyperlink" Target="https://website-9ib.pages.dev/termek/sp-a1-107/" TargetMode="External" Id="rId3302" /><Relationship Type="http://schemas.openxmlformats.org/officeDocument/2006/relationships/hyperlink" Target="https://www.sandprofile.com/media/gesamtkatalog_en.pdf#page=32" TargetMode="External" Id="rId3303" /><Relationship Type="http://schemas.openxmlformats.org/officeDocument/2006/relationships/hyperlink" Target="https://website-9ib.pages.dev/termek/sp-a1-108/" TargetMode="External" Id="rId3304" /><Relationship Type="http://schemas.openxmlformats.org/officeDocument/2006/relationships/hyperlink" Target="https://www.sandprofile.com/media/gesamtkatalog_en.pdf#page=31" TargetMode="External" Id="rId3305" /><Relationship Type="http://schemas.openxmlformats.org/officeDocument/2006/relationships/hyperlink" Target="https://website-9ib.pages.dev/termek/sp-a1-109/" TargetMode="External" Id="rId3306" /><Relationship Type="http://schemas.openxmlformats.org/officeDocument/2006/relationships/hyperlink" Target="https://www.sandprofile.com/media/gesamtkatalog_en.pdf#page=29" TargetMode="External" Id="rId3307" /><Relationship Type="http://schemas.openxmlformats.org/officeDocument/2006/relationships/hyperlink" Target="https://website-9ib.pages.dev/termek/sp-a1-110/" TargetMode="External" Id="rId3308" /><Relationship Type="http://schemas.openxmlformats.org/officeDocument/2006/relationships/hyperlink" Target="https://www.sandprofile.com/media/gesamtkatalog_en.pdf#page=31" TargetMode="External" Id="rId3309" /><Relationship Type="http://schemas.openxmlformats.org/officeDocument/2006/relationships/hyperlink" Target="https://website-9ib.pages.dev/termek/sp-a1-114/" TargetMode="External" Id="rId3310" /><Relationship Type="http://schemas.openxmlformats.org/officeDocument/2006/relationships/hyperlink" Target="https://www.sandprofile.com/media/gesamtkatalog_en.pdf#page=28" TargetMode="External" Id="rId3311" /><Relationship Type="http://schemas.openxmlformats.org/officeDocument/2006/relationships/hyperlink" Target="https://website-9ib.pages.dev/termek/sp-a1-117/" TargetMode="External" Id="rId3312" /><Relationship Type="http://schemas.openxmlformats.org/officeDocument/2006/relationships/hyperlink" Target="https://www.sandprofile.com/media/gesamtkatalog_en.pdf#page=29" TargetMode="External" Id="rId3313" /><Relationship Type="http://schemas.openxmlformats.org/officeDocument/2006/relationships/hyperlink" Target="https://website-9ib.pages.dev/termek/sp-a1-119/" TargetMode="External" Id="rId3314" /><Relationship Type="http://schemas.openxmlformats.org/officeDocument/2006/relationships/hyperlink" Target="https://www.sandprofile.com/media/gesamtkatalog_en.pdf#page=32" TargetMode="External" Id="rId3315" /><Relationship Type="http://schemas.openxmlformats.org/officeDocument/2006/relationships/hyperlink" Target="https://website-9ib.pages.dev/termek/sp-a1-121-2/" TargetMode="External" Id="rId3316" /><Relationship Type="http://schemas.openxmlformats.org/officeDocument/2006/relationships/hyperlink" Target="https://www.sandprofile.com/media/gesamtkatalog_en.pdf#page=32" TargetMode="External" Id="rId3317" /><Relationship Type="http://schemas.openxmlformats.org/officeDocument/2006/relationships/hyperlink" Target="https://website-9ib.pages.dev/termek/sp-a1-121-4/" TargetMode="External" Id="rId3318" /><Relationship Type="http://schemas.openxmlformats.org/officeDocument/2006/relationships/hyperlink" Target="https://www.sandprofile.com/media/gesamtkatalog_en.pdf#page=32" TargetMode="External" Id="rId3319" /><Relationship Type="http://schemas.openxmlformats.org/officeDocument/2006/relationships/hyperlink" Target="https://website-9ib.pages.dev/termek/sp-a1-121-6/" TargetMode="External" Id="rId3320" /><Relationship Type="http://schemas.openxmlformats.org/officeDocument/2006/relationships/hyperlink" Target="https://www.sandprofile.com/media/gesamtkatalog_en.pdf#page=33" TargetMode="External" Id="rId3321" /><Relationship Type="http://schemas.openxmlformats.org/officeDocument/2006/relationships/hyperlink" Target="https://website-9ib.pages.dev/termek/sp-a1-132/" TargetMode="External" Id="rId3322" /><Relationship Type="http://schemas.openxmlformats.org/officeDocument/2006/relationships/hyperlink" Target="https://www.sandprofile.com/media/gesamtkatalog_en.pdf#page=32" TargetMode="External" Id="rId3323" /><Relationship Type="http://schemas.openxmlformats.org/officeDocument/2006/relationships/hyperlink" Target="https://website-9ib.pages.dev/termek/sp-a1-134-6/" TargetMode="External" Id="rId3324" /><Relationship Type="http://schemas.openxmlformats.org/officeDocument/2006/relationships/hyperlink" Target="https://www.sandprofile.com/media/gesamtkatalog_en.pdf#page=33" TargetMode="External" Id="rId3325" /><Relationship Type="http://schemas.openxmlformats.org/officeDocument/2006/relationships/hyperlink" Target="https://website-9ib.pages.dev/termek/sp-a1-162/" TargetMode="External" Id="rId3326" /><Relationship Type="http://schemas.openxmlformats.org/officeDocument/2006/relationships/hyperlink" Target="https://www.sandprofile.com/media/gesamtkatalog_en.pdf#page=32" TargetMode="External" Id="rId3327" /><Relationship Type="http://schemas.openxmlformats.org/officeDocument/2006/relationships/hyperlink" Target="https://website-9ib.pages.dev/termek/sp-a2-106-4/" TargetMode="External" Id="rId3328" /><Relationship Type="http://schemas.openxmlformats.org/officeDocument/2006/relationships/hyperlink" Target="https://www.sandprofile.com/media/gesamtkatalog_en.pdf#page=32" TargetMode="External" Id="rId3329" /><Relationship Type="http://schemas.openxmlformats.org/officeDocument/2006/relationships/hyperlink" Target="https://website-9ib.pages.dev/termek/sp-a2-106-6/" TargetMode="External" Id="rId3330" /><Relationship Type="http://schemas.openxmlformats.org/officeDocument/2006/relationships/hyperlink" Target="https://www.sandprofile.com/media/gesamtkatalog_en.pdf#page=33" TargetMode="External" Id="rId3331" /><Relationship Type="http://schemas.openxmlformats.org/officeDocument/2006/relationships/hyperlink" Target="https://website-9ib.pages.dev/termek/sp-a2-124/" TargetMode="External" Id="rId3332" /><Relationship Type="http://schemas.openxmlformats.org/officeDocument/2006/relationships/hyperlink" Target="https://www.sandprofile.com/media/gesamtkatalog_en.pdf#page=32" TargetMode="External" Id="rId3333" /><Relationship Type="http://schemas.openxmlformats.org/officeDocument/2006/relationships/hyperlink" Target="https://website-9ib.pages.dev/termek/sp-a2-139/" TargetMode="External" Id="rId3334" /><Relationship Type="http://schemas.openxmlformats.org/officeDocument/2006/relationships/hyperlink" Target="https://www.sandprofile.com/media/gesamtkatalog_en.pdf#page=28" TargetMode="External" Id="rId3335" /><Relationship Type="http://schemas.openxmlformats.org/officeDocument/2006/relationships/hyperlink" Target="https://website-9ib.pages.dev/termek/sp-a2-158/" TargetMode="External" Id="rId3336" /><Relationship Type="http://schemas.openxmlformats.org/officeDocument/2006/relationships/hyperlink" Target="https://www.sandprofile.com/media/gesamtkatalog_en.pdf#page=31" TargetMode="External" Id="rId3337" /><Relationship Type="http://schemas.openxmlformats.org/officeDocument/2006/relationships/hyperlink" Target="https://website-9ib.pages.dev/termek/sp-a2-196/" TargetMode="External" Id="rId3338" /><Relationship Type="http://schemas.openxmlformats.org/officeDocument/2006/relationships/hyperlink" Target="https://www.sandprofile.com/media/gesamtkatalog_en.pdf#page=29" TargetMode="External" Id="rId3339" /><Relationship Type="http://schemas.openxmlformats.org/officeDocument/2006/relationships/hyperlink" Target="https://website-9ib.pages.dev/termek/sp-a2-213/" TargetMode="External" Id="rId3340" /><Relationship Type="http://schemas.openxmlformats.org/officeDocument/2006/relationships/hyperlink" Target="https://www.sandprofile.com/media/gesamtkatalog_en.pdf#page=33" TargetMode="External" Id="rId3341" /><Relationship Type="http://schemas.openxmlformats.org/officeDocument/2006/relationships/hyperlink" Target="https://website-9ib.pages.dev/termek/sp-a2-256/" TargetMode="External" Id="rId3342" /><Relationship Type="http://schemas.openxmlformats.org/officeDocument/2006/relationships/hyperlink" Target="https://www.sandprofile.com/media/gesamtkatalog_en.pdf#page=30" TargetMode="External" Id="rId3343" /><Relationship Type="http://schemas.openxmlformats.org/officeDocument/2006/relationships/hyperlink" Target="https://website-9ib.pages.dev/termek/sp-a3-073/" TargetMode="External" Id="rId3344" /><Relationship Type="http://schemas.openxmlformats.org/officeDocument/2006/relationships/hyperlink" Target="https://www.sandprofile.com/media/gesamtkatalog_en.pdf#page=34" TargetMode="External" Id="rId3345" /><Relationship Type="http://schemas.openxmlformats.org/officeDocument/2006/relationships/hyperlink" Target="https://website-9ib.pages.dev/termek/sp-a3-339/" TargetMode="External" Id="rId3346" /><Relationship Type="http://schemas.openxmlformats.org/officeDocument/2006/relationships/hyperlink" Target="https://www.sandprofile.com/media/gesamtkatalog_en.pdf#page=34" TargetMode="External" Id="rId3347" /><Relationship Type="http://schemas.openxmlformats.org/officeDocument/2006/relationships/hyperlink" Target="https://website-9ib.pages.dev/termek/sp-a3-363/" TargetMode="External" Id="rId3348" /><Relationship Type="http://schemas.openxmlformats.org/officeDocument/2006/relationships/hyperlink" Target="https://www.sandprofile.com/media/gesamtkatalog_en.pdf#page=34" TargetMode="External" Id="rId3349" /><Relationship Type="http://schemas.openxmlformats.org/officeDocument/2006/relationships/hyperlink" Target="https://website-9ib.pages.dev/termek/sp-a3-363-bu/" TargetMode="External" Id="rId3350" /><Relationship Type="http://schemas.openxmlformats.org/officeDocument/2006/relationships/hyperlink" Target="https://www.sandprofile.com/media/gesamtkatalog_en.pdf#page=34" TargetMode="External" Id="rId3351" /><Relationship Type="http://schemas.openxmlformats.org/officeDocument/2006/relationships/hyperlink" Target="https://website-9ib.pages.dev/termek/sp-a3-530/" TargetMode="External" Id="rId3352" /><Relationship Type="http://schemas.openxmlformats.org/officeDocument/2006/relationships/hyperlink" Target="https://www.sandprofile.com/media/gesamtkatalog_en.pdf#page=59" TargetMode="External" Id="rId3353" /><Relationship Type="http://schemas.openxmlformats.org/officeDocument/2006/relationships/hyperlink" Target="https://website-9ib.pages.dev/termek/sp-d1-127/" TargetMode="External" Id="rId3354" /><Relationship Type="http://schemas.openxmlformats.org/officeDocument/2006/relationships/hyperlink" Target="https://www.sandprofile.com/media/gesamtkatalog_en.pdf#page=60" TargetMode="External" Id="rId3355" /><Relationship Type="http://schemas.openxmlformats.org/officeDocument/2006/relationships/hyperlink" Target="https://website-9ib.pages.dev/termek/sp-d2-169e/" TargetMode="External" Id="rId3356" /><Relationship Type="http://schemas.openxmlformats.org/officeDocument/2006/relationships/hyperlink" Target="https://www.sandprofile.com/media/gesamtkatalog_en.pdf#page=61" TargetMode="External" Id="rId3357" /><Relationship Type="http://schemas.openxmlformats.org/officeDocument/2006/relationships/hyperlink" Target="https://website-9ib.pages.dev/termek/sp-d2-184/" TargetMode="External" Id="rId3358" /><Relationship Type="http://schemas.openxmlformats.org/officeDocument/2006/relationships/hyperlink" Target="https://www.sandprofile.com/media/gesamtkatalog_en.pdf#page=59" TargetMode="External" Id="rId3359" /><Relationship Type="http://schemas.openxmlformats.org/officeDocument/2006/relationships/hyperlink" Target="https://website-9ib.pages.dev/termek/sp-d2-274/" TargetMode="External" Id="rId3360" /><Relationship Type="http://schemas.openxmlformats.org/officeDocument/2006/relationships/hyperlink" Target="https://www.sandprofile.com/media/gesamtkatalog_en.pdf#page=61" TargetMode="External" Id="rId3361" /><Relationship Type="http://schemas.openxmlformats.org/officeDocument/2006/relationships/hyperlink" Target="https://website-9ib.pages.dev/termek/sp-d2-311/" TargetMode="External" Id="rId3362" /><Relationship Type="http://schemas.openxmlformats.org/officeDocument/2006/relationships/hyperlink" Target="https://www.sandprofile.com/media/gesamtkatalog_en.pdf#page=60" TargetMode="External" Id="rId3363" /><Relationship Type="http://schemas.openxmlformats.org/officeDocument/2006/relationships/hyperlink" Target="https://website-9ib.pages.dev/termek/sp-d2-363/" TargetMode="External" Id="rId3364" /><Relationship Type="http://schemas.openxmlformats.org/officeDocument/2006/relationships/hyperlink" Target="https://www.sandprofile.com/media/gesamtkatalog_en.pdf#page=61" TargetMode="External" Id="rId3365" /><Relationship Type="http://schemas.openxmlformats.org/officeDocument/2006/relationships/hyperlink" Target="https://website-9ib.pages.dev/termek/sp-d2-382/" TargetMode="External" Id="rId3366" /><Relationship Type="http://schemas.openxmlformats.org/officeDocument/2006/relationships/hyperlink" Target="https://www.sandprofile.com/media/gesamtkatalog_en.pdf#page=62" TargetMode="External" Id="rId3367" /><Relationship Type="http://schemas.openxmlformats.org/officeDocument/2006/relationships/hyperlink" Target="https://website-9ib.pages.dev/termek/sp-d2-390/" TargetMode="External" Id="rId3368" /><Relationship Type="http://schemas.openxmlformats.org/officeDocument/2006/relationships/hyperlink" Target="https://www.sandprofile.com/media/gesamtkatalog_en.pdf#page=60" TargetMode="External" Id="rId3369" /><Relationship Type="http://schemas.openxmlformats.org/officeDocument/2006/relationships/hyperlink" Target="https://website-9ib.pages.dev/termek/sp-d2-419/" TargetMode="External" Id="rId3370" /><Relationship Type="http://schemas.openxmlformats.org/officeDocument/2006/relationships/hyperlink" Target="https://www.sandprofile.com/media/gesamtkatalog_en.pdf#page=62" TargetMode="External" Id="rId3371" /><Relationship Type="http://schemas.openxmlformats.org/officeDocument/2006/relationships/hyperlink" Target="https://website-9ib.pages.dev/termek/sp-d2-421/" TargetMode="External" Id="rId3372" /><Relationship Type="http://schemas.openxmlformats.org/officeDocument/2006/relationships/hyperlink" Target="https://www.sandprofile.com/media/gesamtkatalog_en.pdf#page=63" TargetMode="External" Id="rId3373" /><Relationship Type="http://schemas.openxmlformats.org/officeDocument/2006/relationships/hyperlink" Target="https://website-9ib.pages.dev/termek/sp-d2-421-afh/" TargetMode="External" Id="rId3374" /><Relationship Type="http://schemas.openxmlformats.org/officeDocument/2006/relationships/hyperlink" Target="https://www.sandprofile.com/media/gesamtkatalog_en.pdf#page=64" TargetMode="External" Id="rId3375" /><Relationship Type="http://schemas.openxmlformats.org/officeDocument/2006/relationships/hyperlink" Target="https://website-9ib.pages.dev/termek/sp-d2-528-afh/" TargetMode="External" Id="rId3376" /><Relationship Type="http://schemas.openxmlformats.org/officeDocument/2006/relationships/hyperlink" Target="https://www.sandprofile.com/media/gesamtkatalog_en.pdf#page=61" TargetMode="External" Id="rId3377" /><Relationship Type="http://schemas.openxmlformats.org/officeDocument/2006/relationships/hyperlink" Target="https://website-9ib.pages.dev/termek/sp-d2-537/" TargetMode="External" Id="rId3378" /><Relationship Type="http://schemas.openxmlformats.org/officeDocument/2006/relationships/hyperlink" Target="https://www.sandprofile.com/media/gesamtkatalog_en.pdf#page=61" TargetMode="External" Id="rId3379" /><Relationship Type="http://schemas.openxmlformats.org/officeDocument/2006/relationships/hyperlink" Target="https://website-9ib.pages.dev/termek/sp-d2-538/" TargetMode="External" Id="rId3380" /><Relationship Type="http://schemas.openxmlformats.org/officeDocument/2006/relationships/hyperlink" Target="https://www.sandprofile.com/media/gesamtkatalog_en.pdf#page=62" TargetMode="External" Id="rId3381" /><Relationship Type="http://schemas.openxmlformats.org/officeDocument/2006/relationships/hyperlink" Target="https://website-9ib.pages.dev/termek/sp-d2-541/" TargetMode="External" Id="rId3382" /><Relationship Type="http://schemas.openxmlformats.org/officeDocument/2006/relationships/hyperlink" Target="https://www.sandprofile.com/media/gesamtkatalog_en.pdf#page=60" TargetMode="External" Id="rId3383" /><Relationship Type="http://schemas.openxmlformats.org/officeDocument/2006/relationships/hyperlink" Target="https://website-9ib.pages.dev/termek/sp-d2-544/" TargetMode="External" Id="rId3384" /><Relationship Type="http://schemas.openxmlformats.org/officeDocument/2006/relationships/hyperlink" Target="https://www.sandprofile.com/media/gesamtkatalog_en.pdf#page=60" TargetMode="External" Id="rId3385" /><Relationship Type="http://schemas.openxmlformats.org/officeDocument/2006/relationships/hyperlink" Target="https://website-9ib.pages.dev/termek/sp-d2-545/" TargetMode="External" Id="rId3386" /><Relationship Type="http://schemas.openxmlformats.org/officeDocument/2006/relationships/hyperlink" Target="https://www.sandprofile.com/media/gesamtkatalog_en.pdf#page=64" TargetMode="External" Id="rId3387" /><Relationship Type="http://schemas.openxmlformats.org/officeDocument/2006/relationships/hyperlink" Target="https://website-9ib.pages.dev/termek/sp-d2-998-afh/" TargetMode="External" Id="rId3388" /><Relationship Type="http://schemas.openxmlformats.org/officeDocument/2006/relationships/hyperlink" Target="https://www.sandprofile.com/media/gesamtkatalog_en.pdf#page=63" TargetMode="External" Id="rId3389" /><Relationship Type="http://schemas.openxmlformats.org/officeDocument/2006/relationships/hyperlink" Target="https://website-9ib.pages.dev/termek/sp-d2-999-afh/" TargetMode="External" Id="rId3390" /><Relationship Type="http://schemas.openxmlformats.org/officeDocument/2006/relationships/hyperlink" Target="https://www.sandprofile.com/media/gesamtkatalog_en.pdf#page=64" TargetMode="External" Id="rId3391" /><Relationship Type="http://schemas.openxmlformats.org/officeDocument/2006/relationships/hyperlink" Target="https://website-9ib.pages.dev/termek/sp-d3-013-afh/" TargetMode="External" Id="rId3392" /><Relationship Type="http://schemas.openxmlformats.org/officeDocument/2006/relationships/hyperlink" Target="https://www.sandprofile.com/media/gesamtkatalog_en.pdf#page=63" TargetMode="External" Id="rId3393" /><Relationship Type="http://schemas.openxmlformats.org/officeDocument/2006/relationships/hyperlink" Target="https://website-9ib.pages.dev/termek/sp-d3-024-afh/" TargetMode="External" Id="rId3394" /><Relationship Type="http://schemas.openxmlformats.org/officeDocument/2006/relationships/hyperlink" Target="https://www.sandprofile.com/media/gesamtkatalog_en.pdf#page=62" TargetMode="External" Id="rId3395" /><Relationship Type="http://schemas.openxmlformats.org/officeDocument/2006/relationships/hyperlink" Target="https://website-9ib.pages.dev/termek/sp-d3-041-afh/" TargetMode="External" Id="rId3396" /><Relationship Type="http://schemas.openxmlformats.org/officeDocument/2006/relationships/hyperlink" Target="https://www.sandprofile.com/media/gesamtkatalog_en.pdf#page=62" TargetMode="External" Id="rId3397" /><Relationship Type="http://schemas.openxmlformats.org/officeDocument/2006/relationships/hyperlink" Target="https://website-9ib.pages.dev/termek/sp-d3-061-bu/" TargetMode="External" Id="rId3398" /><Relationship Type="http://schemas.openxmlformats.org/officeDocument/2006/relationships/hyperlink" Target="https://www.sandprofile.com/media/gesamtkatalog_en.pdf#page=59" TargetMode="External" Id="rId3399" /><Relationship Type="http://schemas.openxmlformats.org/officeDocument/2006/relationships/hyperlink" Target="https://website-9ib.pages.dev/termek/sp-g1-101/" TargetMode="External" Id="rId3400" /><Relationship Type="http://schemas.openxmlformats.org/officeDocument/2006/relationships/hyperlink" Target="https://www.sandprofile.com/media/gesamtkatalog_en.pdf#page=59" TargetMode="External" Id="rId3401" /><Relationship Type="http://schemas.openxmlformats.org/officeDocument/2006/relationships/hyperlink" Target="https://website-9ib.pages.dev/termek/sp-g1-104/" TargetMode="External" Id="rId3402" /><Relationship Type="http://schemas.openxmlformats.org/officeDocument/2006/relationships/hyperlink" Target="https://www.sandprofile.com/media/gesamtkatalog_en.pdf#page=59" TargetMode="External" Id="rId3403" /><Relationship Type="http://schemas.openxmlformats.org/officeDocument/2006/relationships/hyperlink" Target="https://website-9ib.pages.dev/termek/sp-g1-106/" TargetMode="External" Id="rId3404" /><Relationship Type="http://schemas.openxmlformats.org/officeDocument/2006/relationships/hyperlink" Target="https://www.sandprofile.com/media/gesamtkatalog_en.pdf#page=59" TargetMode="External" Id="rId3405" /><Relationship Type="http://schemas.openxmlformats.org/officeDocument/2006/relationships/hyperlink" Target="https://website-9ib.pages.dev/termek/sp-g1-108/" TargetMode="External" Id="rId3406" /><Relationship Type="http://schemas.openxmlformats.org/officeDocument/2006/relationships/hyperlink" Target="https://www.sandprofile.com/media/gesamtkatalog_en.pdf#page=29" TargetMode="External" Id="rId3407" /><Relationship Type="http://schemas.openxmlformats.org/officeDocument/2006/relationships/hyperlink" Target="https://website-9ib.pages.dev/termek/sp-steelcarrierbroken/" TargetMode="External" Id="rId3408" /><Relationship Type="http://schemas.openxmlformats.org/officeDocument/2006/relationships/hyperlink" Target="https://www.sandprofile.com/media/gesamtkatalog_en.pdf#page=29" TargetMode="External" Id="rId3409" /><Relationship Type="http://schemas.openxmlformats.org/officeDocument/2006/relationships/hyperlink" Target="https://website-9ib.pages.dev/termek/sp-tube505shorea/" TargetMode="External" Id="rId3410" /><Relationship Type="http://schemas.openxmlformats.org/officeDocument/2006/relationships/hyperlink" Target="https://www.sandprofile.com/media/gesamtkatalog_en.pdf#page=29" TargetMode="External" Id="rId3411" /><Relationship Type="http://schemas.openxmlformats.org/officeDocument/2006/relationships/hyperlink" Target="https://website-9ib.pages.dev/termek/sp-withepdmsoftrubber/" TargetMode="External" Id="rId3412" /><Relationship Type="http://schemas.openxmlformats.org/officeDocument/2006/relationships/hyperlink" Target="https://www.sandprofile.com/media/gesamtkatalog_en.pdf#page=29" TargetMode="External" Id="rId3413" /><Relationship Type="http://schemas.openxmlformats.org/officeDocument/2006/relationships/hyperlink" Target="https://website-9ib.pages.dev/termek/sp-withpu-foamandwire/" TargetMode="External" Id="rId3414" /><Relationship Type="http://schemas.openxmlformats.org/officeDocument/2006/relationships/hyperlink" Target="https://www.sandprofile.com/media/gesamtkatalog_en.pdf#page=58" TargetMode="External" Id="rId3415" /><Relationship Type="http://schemas.openxmlformats.org/officeDocument/2006/relationships/hyperlink" Target="https://website-9ib.pages.dev/termek/sp-a4-635/" TargetMode="External" Id="rId3416" /><Relationship Type="http://schemas.openxmlformats.org/officeDocument/2006/relationships/hyperlink" Target="https://www.sandprofile.com/media/gesamtkatalog_en.pdf#page=58" TargetMode="External" Id="rId3417" /><Relationship Type="http://schemas.openxmlformats.org/officeDocument/2006/relationships/hyperlink" Target="https://website-9ib.pages.dev/termek/sp-a4-800/" TargetMode="External" Id="rId3418" /><Relationship Type="http://schemas.openxmlformats.org/officeDocument/2006/relationships/hyperlink" Target="https://www.sandprofile.com/media/gesamtkatalog_en.pdf#page=58" TargetMode="External" Id="rId3419" /><Relationship Type="http://schemas.openxmlformats.org/officeDocument/2006/relationships/hyperlink" Target="https://website-9ib.pages.dev/termek/sp-d2-335/" TargetMode="External" Id="rId3420" /><Relationship Type="http://schemas.openxmlformats.org/officeDocument/2006/relationships/hyperlink" Target="https://www.sandprofile.com/media/gesamtkatalog_en.pdf#page=58" TargetMode="External" Id="rId3421" /><Relationship Type="http://schemas.openxmlformats.org/officeDocument/2006/relationships/hyperlink" Target="https://website-9ib.pages.dev/termek/sp-d2-358/" TargetMode="External" Id="rId3422" /><Relationship Type="http://schemas.openxmlformats.org/officeDocument/2006/relationships/hyperlink" Target="https://www.sandprofile.com/media/gesamtkatalog_en.pdf#page=58" TargetMode="External" Id="rId3423" /><Relationship Type="http://schemas.openxmlformats.org/officeDocument/2006/relationships/hyperlink" Target="https://website-9ib.pages.dev/termek/sp-d3-321/" TargetMode="External" Id="rId3424" /><Relationship Type="http://schemas.openxmlformats.org/officeDocument/2006/relationships/hyperlink" Target="https://www.sandprofile.com/media/gesamtkatalog_en.pdf#page=58" TargetMode="External" Id="rId3425" /><Relationship Type="http://schemas.openxmlformats.org/officeDocument/2006/relationships/hyperlink" Target="https://website-9ib.pages.dev/termek/sp-d3-453/" TargetMode="External" Id="rId34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Termék-ellenőrző táblázat – Quadris weboldal</t>
        </is>
      </c>
    </row>
    <row r="2">
      <c r="A2" s="2" t="inlineStr"/>
    </row>
    <row r="3">
      <c r="A3" s="3" t="inlineStr">
        <is>
          <t>Mit mutat?</t>
        </is>
      </c>
    </row>
    <row r="4">
      <c r="A4" s="2" t="inlineStr">
        <is>
          <t>A „Termékek” lapon minden termék egy sor: van-e képe és műszaki adata, honnan jött az adat, hol kerestük és hol nem találtuk.</t>
        </is>
      </c>
    </row>
    <row r="5">
      <c r="A5" s="2" t="inlineStr">
        <is>
          <t>A „Beszállítók” lap beszállítónként összesít (képletekkel, a jelölések után is frissül).</t>
        </is>
      </c>
    </row>
    <row r="6">
      <c r="A6" s="2" t="inlineStr"/>
    </row>
    <row r="7">
      <c r="A7" s="3" t="inlineStr">
        <is>
          <t>Mit kell kitölteni? (sárga oszlopok a „Termékek” lapon)</t>
        </is>
      </c>
    </row>
    <row r="8">
      <c r="A8" s="4" t="inlineStr">
        <is>
          <t>Q – TÖRÖLHETŐ: legördülőből „IGEN”, ha a terméket le lehet venni a weboldalról és mindenhonnan (katalógus, kereső, ajánlatkérő).</t>
        </is>
      </c>
    </row>
    <row r="9">
      <c r="A9" s="4" t="inlineStr">
        <is>
          <t>R – Megjegyzés (Quadris): bármi, amit tudnunk kell – pl. „kép: a beszállító új katalógusában a 34. oldalon”, „helyes cikkszám: 7318”, „nem forgalmazzuk”.</t>
        </is>
      </c>
    </row>
    <row r="10">
      <c r="A10" s="2" t="inlineStr">
        <is>
          <t>Példa: Q = IGEN, R = „Kifutott termék, nem rendelhető.”</t>
        </is>
      </c>
    </row>
    <row r="11">
      <c r="A11" s="2" t="inlineStr">
        <is>
          <t>A többi oszlopot kérjük, ne módosítsák – az S oszlop (azonosító) alapján olvassuk vissza a fájlt.</t>
        </is>
      </c>
    </row>
    <row r="12">
      <c r="A12" s="2" t="inlineStr"/>
    </row>
    <row r="13">
      <c r="A13" s="3" t="inlineStr">
        <is>
          <t>Oszlopok jelentése</t>
        </is>
      </c>
    </row>
    <row r="14">
      <c r="A14" s="2" t="inlineStr">
        <is>
          <t>Kép (db) / Műszaki adat (db): a weboldalon megjelenő képek és adatsorok száma.</t>
        </is>
      </c>
    </row>
    <row r="15">
      <c r="A15" s="2" t="inlineStr">
        <is>
          <t>Állapot: Rendben / Nincs kép / Nincs adat / Nincs kép és adat (képlet a két számból).</t>
        </is>
      </c>
    </row>
    <row r="16">
      <c r="A16" s="2" t="inlineStr">
        <is>
          <t>Kerestük?: volt-e ismert beszállítói forrás (weboldal, webáruház, katalógus), ahol a tételt kerestük.</t>
        </is>
      </c>
    </row>
    <row r="17">
      <c r="A17" s="2" t="inlineStr">
        <is>
          <t>Hol kerestük: a beszállító forrásai, amelyekben a tételt kerestük.</t>
        </is>
      </c>
    </row>
    <row r="18">
      <c r="A18" s="2" t="inlineStr">
        <is>
          <t>Eredmény: hol találtuk meg (forrás és egyező gyártói kód), vagy hogy a felsorolt helyeken nem találtuk.</t>
        </is>
      </c>
    </row>
    <row r="19">
      <c r="A19" s="2" t="inlineStr">
        <is>
          <t>„adatlap a Quadris-megnevezésből”: beszállítói adat nincs, a méretek és az elméleti tömeg a megnevezésből számolva.</t>
        </is>
      </c>
    </row>
    <row r="20">
      <c r="A20" s="2" t="inlineStr">
        <is>
          <t>Eredet: „Quadris Excel” = a Quadris terméklistájából; „Teljes kínálat” = a beszállító teljes kínálatából felvett termék.</t>
        </is>
      </c>
    </row>
    <row r="21">
      <c r="A21" s="2" t="inlineStr"/>
    </row>
    <row r="22">
      <c r="A22" s="2" t="inlineStr">
        <is>
          <t>Forrás: a weboldal adatai (src/data/catalog.json, termekadatok.json, bovitett.json) – generálva: scripts/termekadatok/ellenorzo_excel.py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3" customWidth="1" min="6" max="6"/>
    <col width="13" customWidth="1" min="7" max="7"/>
    <col width="10" customWidth="1" min="8" max="8"/>
    <col width="80" customWidth="1" min="9" max="9"/>
    <col width="12" customWidth="1" min="10" max="10"/>
  </cols>
  <sheetData>
    <row r="1">
      <c r="A1" s="5" t="inlineStr">
        <is>
          <t>Beszállító</t>
        </is>
      </c>
      <c r="B1" s="5" t="inlineStr">
        <is>
          <t>Termékek</t>
        </is>
      </c>
      <c r="C1" s="5" t="inlineStr">
        <is>
          <t>Rendben</t>
        </is>
      </c>
      <c r="D1" s="5" t="inlineStr">
        <is>
          <t>Nincs kép</t>
        </is>
      </c>
      <c r="E1" s="5" t="inlineStr">
        <is>
          <t>Nincs adat</t>
        </is>
      </c>
      <c r="F1" s="5" t="inlineStr">
        <is>
          <t>Nincs kép és adat</t>
        </is>
      </c>
      <c r="G1" s="5" t="inlineStr">
        <is>
          <t>Kép nélkül összesen</t>
        </is>
      </c>
      <c r="H1" s="5" t="inlineStr">
        <is>
          <t>Kerestük?</t>
        </is>
      </c>
      <c r="I1" s="5" t="inlineStr">
        <is>
          <t>Hol kerestük</t>
        </is>
      </c>
      <c r="J1" s="5" t="inlineStr">
        <is>
          <t>Törlésre jelölve</t>
        </is>
      </c>
    </row>
    <row r="2">
      <c r="A2" s="6" t="inlineStr">
        <is>
          <t>(nincs megadva)</t>
        </is>
      </c>
      <c r="B2" s="6">
        <f>COUNTIF(Termékek!$E$2:$E$1984,A2)</f>
        <v/>
      </c>
      <c r="C2" s="6">
        <f>COUNTIFS(Termékek!$E$2:$E$1984,A2,Termékek!$K$2:$K$1984,"Rendben")</f>
        <v/>
      </c>
      <c r="D2" s="6">
        <f>COUNTIFS(Termékek!$E$2:$E$1984,A2,Termékek!$K$2:$K$1984,"Nincs kép")</f>
        <v/>
      </c>
      <c r="E2" s="6">
        <f>COUNTIFS(Termékek!$E$2:$E$1984,A2,Termékek!$K$2:$K$1984,"Nincs adat")</f>
        <v/>
      </c>
      <c r="F2" s="6">
        <f>COUNTIFS(Termékek!$E$2:$E$1984,A2,Termékek!$K$2:$K$1984,"Nincs kép és adat")</f>
        <v/>
      </c>
      <c r="G2" s="6">
        <f>D2+F2</f>
        <v/>
      </c>
      <c r="H2" s="6" t="inlineStr">
        <is>
          <t>Nem</t>
        </is>
      </c>
      <c r="I2" s="7" t="inlineStr">
        <is>
          <t>Quadris-megnevezés (nincs beszállítói forrás)</t>
        </is>
      </c>
      <c r="J2" s="6">
        <f>COUNTIFS(Termékek!$E$2:$E$1984,A2,Termékek!$Q$2:$Q$1984,"IGEN")</f>
        <v/>
      </c>
    </row>
    <row r="3">
      <c r="A3" s="6" t="inlineStr">
        <is>
          <t>AC-RIU</t>
        </is>
      </c>
      <c r="B3" s="6">
        <f>COUNTIF(Termékek!$E$2:$E$1984,A3)</f>
        <v/>
      </c>
      <c r="C3" s="6">
        <f>COUNTIFS(Termékek!$E$2:$E$1984,A3,Termékek!$K$2:$K$1984,"Rendben")</f>
        <v/>
      </c>
      <c r="D3" s="6">
        <f>COUNTIFS(Termékek!$E$2:$E$1984,A3,Termékek!$K$2:$K$1984,"Nincs kép")</f>
        <v/>
      </c>
      <c r="E3" s="6">
        <f>COUNTIFS(Termékek!$E$2:$E$1984,A3,Termékek!$K$2:$K$1984,"Nincs adat")</f>
        <v/>
      </c>
      <c r="F3" s="6">
        <f>COUNTIFS(Termékek!$E$2:$E$1984,A3,Termékek!$K$2:$K$1984,"Nincs kép és adat")</f>
        <v/>
      </c>
      <c r="G3" s="6">
        <f>D3+F3</f>
        <v/>
      </c>
      <c r="H3" s="6" t="inlineStr">
        <is>
          <t>Nem</t>
        </is>
      </c>
      <c r="I3" s="7" t="inlineStr">
        <is>
          <t>–</t>
        </is>
      </c>
      <c r="J3" s="6">
        <f>COUNTIFS(Termékek!$E$2:$E$1984,A3,Termékek!$Q$2:$Q$1984,"IGEN")</f>
        <v/>
      </c>
    </row>
    <row r="4">
      <c r="A4" s="6" t="inlineStr">
        <is>
          <t>ADAICO</t>
        </is>
      </c>
      <c r="B4" s="6">
        <f>COUNTIF(Termékek!$E$2:$E$1984,A4)</f>
        <v/>
      </c>
      <c r="C4" s="6">
        <f>COUNTIFS(Termékek!$E$2:$E$1984,A4,Termékek!$K$2:$K$1984,"Rendben")</f>
        <v/>
      </c>
      <c r="D4" s="6">
        <f>COUNTIFS(Termékek!$E$2:$E$1984,A4,Termékek!$K$2:$K$1984,"Nincs kép")</f>
        <v/>
      </c>
      <c r="E4" s="6">
        <f>COUNTIFS(Termékek!$E$2:$E$1984,A4,Termékek!$K$2:$K$1984,"Nincs adat")</f>
        <v/>
      </c>
      <c r="F4" s="6">
        <f>COUNTIFS(Termékek!$E$2:$E$1984,A4,Termékek!$K$2:$K$1984,"Nincs kép és adat")</f>
        <v/>
      </c>
      <c r="G4" s="6">
        <f>D4+F4</f>
        <v/>
      </c>
      <c r="H4" s="6" t="inlineStr">
        <is>
          <t>Igen</t>
        </is>
      </c>
      <c r="I4" s="7" t="inlineStr">
        <is>
          <t>adaico.com webáruház; ADAICO 2025 katalógus (PDF); ADA-Slider vizsgálati jelentés (Drive)</t>
        </is>
      </c>
      <c r="J4" s="6">
        <f>COUNTIFS(Termékek!$E$2:$E$1984,A4,Termékek!$Q$2:$Q$1984,"IGEN")</f>
        <v/>
      </c>
    </row>
    <row r="5">
      <c r="A5" s="6" t="inlineStr">
        <is>
          <t>ALCOMET</t>
        </is>
      </c>
      <c r="B5" s="6">
        <f>COUNTIF(Termékek!$E$2:$E$1984,A5)</f>
        <v/>
      </c>
      <c r="C5" s="6">
        <f>COUNTIFS(Termékek!$E$2:$E$1984,A5,Termékek!$K$2:$K$1984,"Rendben")</f>
        <v/>
      </c>
      <c r="D5" s="6">
        <f>COUNTIFS(Termékek!$E$2:$E$1984,A5,Termékek!$K$2:$K$1984,"Nincs kép")</f>
        <v/>
      </c>
      <c r="E5" s="6">
        <f>COUNTIFS(Termékek!$E$2:$E$1984,A5,Termékek!$K$2:$K$1984,"Nincs adat")</f>
        <v/>
      </c>
      <c r="F5" s="6">
        <f>COUNTIFS(Termékek!$E$2:$E$1984,A5,Termékek!$K$2:$K$1984,"Nincs kép és adat")</f>
        <v/>
      </c>
      <c r="G5" s="6">
        <f>D5+F5</f>
        <v/>
      </c>
      <c r="H5" s="6" t="inlineStr">
        <is>
          <t>Igen</t>
        </is>
      </c>
      <c r="I5" s="7" t="inlineStr">
        <is>
          <t>Alcomet 2017 szabványprofil-katalógus (PDF)</t>
        </is>
      </c>
      <c r="J5" s="6">
        <f>COUNTIFS(Termékek!$E$2:$E$1984,A5,Termékek!$Q$2:$Q$1984,"IGEN")</f>
        <v/>
      </c>
    </row>
    <row r="6">
      <c r="A6" s="6" t="inlineStr">
        <is>
          <t>Allco</t>
        </is>
      </c>
      <c r="B6" s="6">
        <f>COUNTIF(Termékek!$E$2:$E$1984,A6)</f>
        <v/>
      </c>
      <c r="C6" s="6">
        <f>COUNTIFS(Termékek!$E$2:$E$1984,A6,Termékek!$K$2:$K$1984,"Rendben")</f>
        <v/>
      </c>
      <c r="D6" s="6">
        <f>COUNTIFS(Termékek!$E$2:$E$1984,A6,Termékek!$K$2:$K$1984,"Nincs kép")</f>
        <v/>
      </c>
      <c r="E6" s="6">
        <f>COUNTIFS(Termékek!$E$2:$E$1984,A6,Termékek!$K$2:$K$1984,"Nincs adat")</f>
        <v/>
      </c>
      <c r="F6" s="6">
        <f>COUNTIFS(Termékek!$E$2:$E$1984,A6,Termékek!$K$2:$K$1984,"Nincs kép és adat")</f>
        <v/>
      </c>
      <c r="G6" s="6">
        <f>D6+F6</f>
        <v/>
      </c>
      <c r="H6" s="6" t="inlineStr">
        <is>
          <t>Nem</t>
        </is>
      </c>
      <c r="I6" s="7" t="inlineStr">
        <is>
          <t>–</t>
        </is>
      </c>
      <c r="J6" s="6">
        <f>COUNTIFS(Termékek!$E$2:$E$1984,A6,Termékek!$Q$2:$Q$1984,"IGEN")</f>
        <v/>
      </c>
    </row>
    <row r="7">
      <c r="A7" s="6" t="inlineStr">
        <is>
          <t>ALSAP</t>
        </is>
      </c>
      <c r="B7" s="6">
        <f>COUNTIF(Termékek!$E$2:$E$1984,A7)</f>
        <v/>
      </c>
      <c r="C7" s="6">
        <f>COUNTIFS(Termékek!$E$2:$E$1984,A7,Termékek!$K$2:$K$1984,"Rendben")</f>
        <v/>
      </c>
      <c r="D7" s="6">
        <f>COUNTIFS(Termékek!$E$2:$E$1984,A7,Termékek!$K$2:$K$1984,"Nincs kép")</f>
        <v/>
      </c>
      <c r="E7" s="6">
        <f>COUNTIFS(Termékek!$E$2:$E$1984,A7,Termékek!$K$2:$K$1984,"Nincs adat")</f>
        <v/>
      </c>
      <c r="F7" s="6">
        <f>COUNTIFS(Termékek!$E$2:$E$1984,A7,Termékek!$K$2:$K$1984,"Nincs kép és adat")</f>
        <v/>
      </c>
      <c r="G7" s="6">
        <f>D7+F7</f>
        <v/>
      </c>
      <c r="H7" s="6" t="inlineStr">
        <is>
          <t>Nem</t>
        </is>
      </c>
      <c r="I7" s="7" t="inlineStr">
        <is>
          <t>–</t>
        </is>
      </c>
      <c r="J7" s="6">
        <f>COUNTIFS(Termékek!$E$2:$E$1984,A7,Termékek!$Q$2:$Q$1984,"IGEN")</f>
        <v/>
      </c>
    </row>
    <row r="8">
      <c r="A8" s="6" t="inlineStr">
        <is>
          <t>Alu-SV</t>
        </is>
      </c>
      <c r="B8" s="6">
        <f>COUNTIF(Termékek!$E$2:$E$1984,A8)</f>
        <v/>
      </c>
      <c r="C8" s="6">
        <f>COUNTIFS(Termékek!$E$2:$E$1984,A8,Termékek!$K$2:$K$1984,"Rendben")</f>
        <v/>
      </c>
      <c r="D8" s="6">
        <f>COUNTIFS(Termékek!$E$2:$E$1984,A8,Termékek!$K$2:$K$1984,"Nincs kép")</f>
        <v/>
      </c>
      <c r="E8" s="6">
        <f>COUNTIFS(Termékek!$E$2:$E$1984,A8,Termékek!$K$2:$K$1984,"Nincs adat")</f>
        <v/>
      </c>
      <c r="F8" s="6">
        <f>COUNTIFS(Termékek!$E$2:$E$1984,A8,Termékek!$K$2:$K$1984,"Nincs kép és adat")</f>
        <v/>
      </c>
      <c r="G8" s="6">
        <f>D8+F8</f>
        <v/>
      </c>
      <c r="H8" s="6" t="inlineStr">
        <is>
          <t>Igen</t>
        </is>
      </c>
      <c r="I8" s="7" t="inlineStr">
        <is>
          <t>alu-sv.com webáruház, keresés rendelési számra</t>
        </is>
      </c>
      <c r="J8" s="6">
        <f>COUNTIFS(Termékek!$E$2:$E$1984,A8,Termékek!$Q$2:$Q$1984,"IGEN")</f>
        <v/>
      </c>
    </row>
    <row r="9">
      <c r="A9" s="6" t="inlineStr">
        <is>
          <t>BAYU</t>
        </is>
      </c>
      <c r="B9" s="6">
        <f>COUNTIF(Termékek!$E$2:$E$1984,A9)</f>
        <v/>
      </c>
      <c r="C9" s="6">
        <f>COUNTIFS(Termékek!$E$2:$E$1984,A9,Termékek!$K$2:$K$1984,"Rendben")</f>
        <v/>
      </c>
      <c r="D9" s="6">
        <f>COUNTIFS(Termékek!$E$2:$E$1984,A9,Termékek!$K$2:$K$1984,"Nincs kép")</f>
        <v/>
      </c>
      <c r="E9" s="6">
        <f>COUNTIFS(Termékek!$E$2:$E$1984,A9,Termékek!$K$2:$K$1984,"Nincs adat")</f>
        <v/>
      </c>
      <c r="F9" s="6">
        <f>COUNTIFS(Termékek!$E$2:$E$1984,A9,Termékek!$K$2:$K$1984,"Nincs kép és adat")</f>
        <v/>
      </c>
      <c r="G9" s="6">
        <f>D9+F9</f>
        <v/>
      </c>
      <c r="H9" s="6" t="inlineStr">
        <is>
          <t>Nem</t>
        </is>
      </c>
      <c r="I9" s="7" t="inlineStr">
        <is>
          <t>Quadris-megnevezés (nincs beszállítói forrás)</t>
        </is>
      </c>
      <c r="J9" s="6">
        <f>COUNTIFS(Termékek!$E$2:$E$1984,A9,Termékek!$Q$2:$Q$1984,"IGEN")</f>
        <v/>
      </c>
    </row>
    <row r="10">
      <c r="A10" s="6" t="inlineStr">
        <is>
          <t>BMC Flexpar</t>
        </is>
      </c>
      <c r="B10" s="6">
        <f>COUNTIF(Termékek!$E$2:$E$1984,A10)</f>
        <v/>
      </c>
      <c r="C10" s="6">
        <f>COUNTIFS(Termékek!$E$2:$E$1984,A10,Termékek!$K$2:$K$1984,"Rendben")</f>
        <v/>
      </c>
      <c r="D10" s="6">
        <f>COUNTIFS(Termékek!$E$2:$E$1984,A10,Termékek!$K$2:$K$1984,"Nincs kép")</f>
        <v/>
      </c>
      <c r="E10" s="6">
        <f>COUNTIFS(Termékek!$E$2:$E$1984,A10,Termékek!$K$2:$K$1984,"Nincs adat")</f>
        <v/>
      </c>
      <c r="F10" s="6">
        <f>COUNTIFS(Termékek!$E$2:$E$1984,A10,Termékek!$K$2:$K$1984,"Nincs kép és adat")</f>
        <v/>
      </c>
      <c r="G10" s="6">
        <f>D10+F10</f>
        <v/>
      </c>
      <c r="H10" s="6" t="inlineStr">
        <is>
          <t>Igen</t>
        </is>
      </c>
      <c r="I10" s="7" t="inlineStr">
        <is>
          <t>BMC termékoldalak; BMC 2025 katalógus (PDF)</t>
        </is>
      </c>
      <c r="J10" s="6">
        <f>COUNTIFS(Termékek!$E$2:$E$1984,A10,Termékek!$Q$2:$Q$1984,"IGEN")</f>
        <v/>
      </c>
    </row>
    <row r="11">
      <c r="A11" s="6" t="inlineStr">
        <is>
          <t>BODEGA</t>
        </is>
      </c>
      <c r="B11" s="6">
        <f>COUNTIF(Termékek!$E$2:$E$1984,A11)</f>
        <v/>
      </c>
      <c r="C11" s="6">
        <f>COUNTIFS(Termékek!$E$2:$E$1984,A11,Termékek!$K$2:$K$1984,"Rendben")</f>
        <v/>
      </c>
      <c r="D11" s="6">
        <f>COUNTIFS(Termékek!$E$2:$E$1984,A11,Termékek!$K$2:$K$1984,"Nincs kép")</f>
        <v/>
      </c>
      <c r="E11" s="6">
        <f>COUNTIFS(Termékek!$E$2:$E$1984,A11,Termékek!$K$2:$K$1984,"Nincs adat")</f>
        <v/>
      </c>
      <c r="F11" s="6">
        <f>COUNTIFS(Termékek!$E$2:$E$1984,A11,Termékek!$K$2:$K$1984,"Nincs kép és adat")</f>
        <v/>
      </c>
      <c r="G11" s="6">
        <f>D11+F11</f>
        <v/>
      </c>
      <c r="H11" s="6" t="inlineStr">
        <is>
          <t>Igen</t>
        </is>
      </c>
      <c r="I11" s="7" t="inlineStr">
        <is>
          <t>Bodega Bordwände katalógus 2010 (PDF); bodega.it oldaltérkép</t>
        </is>
      </c>
      <c r="J11" s="6">
        <f>COUNTIFS(Termékek!$E$2:$E$1984,A11,Termékek!$Q$2:$Q$1984,"IGEN")</f>
        <v/>
      </c>
    </row>
    <row r="12">
      <c r="A12" s="6" t="inlineStr">
        <is>
          <t>Car-Alu</t>
        </is>
      </c>
      <c r="B12" s="6">
        <f>COUNTIF(Termékek!$E$2:$E$1984,A12)</f>
        <v/>
      </c>
      <c r="C12" s="6">
        <f>COUNTIFS(Termékek!$E$2:$E$1984,A12,Termékek!$K$2:$K$1984,"Rendben")</f>
        <v/>
      </c>
      <c r="D12" s="6">
        <f>COUNTIFS(Termékek!$E$2:$E$1984,A12,Termékek!$K$2:$K$1984,"Nincs kép")</f>
        <v/>
      </c>
      <c r="E12" s="6">
        <f>COUNTIFS(Termékek!$E$2:$E$1984,A12,Termékek!$K$2:$K$1984,"Nincs adat")</f>
        <v/>
      </c>
      <c r="F12" s="6">
        <f>COUNTIFS(Termékek!$E$2:$E$1984,A12,Termékek!$K$2:$K$1984,"Nincs kép és adat")</f>
        <v/>
      </c>
      <c r="G12" s="6">
        <f>D12+F12</f>
        <v/>
      </c>
      <c r="H12" s="6" t="inlineStr">
        <is>
          <t>Igen</t>
        </is>
      </c>
      <c r="I12" s="7" t="inlineStr">
        <is>
          <t>caralushop.nl webshop</t>
        </is>
      </c>
      <c r="J12" s="6">
        <f>COUNTIFS(Termékek!$E$2:$E$1984,A12,Termékek!$Q$2:$Q$1984,"IGEN")</f>
        <v/>
      </c>
    </row>
    <row r="13">
      <c r="A13" s="6" t="inlineStr">
        <is>
          <t>Cargoframes Czech</t>
        </is>
      </c>
      <c r="B13" s="6">
        <f>COUNTIF(Termékek!$E$2:$E$1984,A13)</f>
        <v/>
      </c>
      <c r="C13" s="6">
        <f>COUNTIFS(Termékek!$E$2:$E$1984,A13,Termékek!$K$2:$K$1984,"Rendben")</f>
        <v/>
      </c>
      <c r="D13" s="6">
        <f>COUNTIFS(Termékek!$E$2:$E$1984,A13,Termékek!$K$2:$K$1984,"Nincs kép")</f>
        <v/>
      </c>
      <c r="E13" s="6">
        <f>COUNTIFS(Termékek!$E$2:$E$1984,A13,Termékek!$K$2:$K$1984,"Nincs adat")</f>
        <v/>
      </c>
      <c r="F13" s="6">
        <f>COUNTIFS(Termékek!$E$2:$E$1984,A13,Termékek!$K$2:$K$1984,"Nincs kép és adat")</f>
        <v/>
      </c>
      <c r="G13" s="6">
        <f>D13+F13</f>
        <v/>
      </c>
      <c r="H13" s="6" t="inlineStr">
        <is>
          <t>Igen</t>
        </is>
      </c>
      <c r="I13" s="7" t="inlineStr">
        <is>
          <t>cargoframes.eu oldaltérkép bejárása</t>
        </is>
      </c>
      <c r="J13" s="6">
        <f>COUNTIFS(Termékek!$E$2:$E$1984,A13,Termékek!$Q$2:$Q$1984,"IGEN")</f>
        <v/>
      </c>
    </row>
    <row r="14">
      <c r="A14" s="6" t="inlineStr">
        <is>
          <t>Cimaplast</t>
        </is>
      </c>
      <c r="B14" s="6">
        <f>COUNTIF(Termékek!$E$2:$E$1984,A14)</f>
        <v/>
      </c>
      <c r="C14" s="6">
        <f>COUNTIFS(Termékek!$E$2:$E$1984,A14,Termékek!$K$2:$K$1984,"Rendben")</f>
        <v/>
      </c>
      <c r="D14" s="6">
        <f>COUNTIFS(Termékek!$E$2:$E$1984,A14,Termékek!$K$2:$K$1984,"Nincs kép")</f>
        <v/>
      </c>
      <c r="E14" s="6">
        <f>COUNTIFS(Termékek!$E$2:$E$1984,A14,Termékek!$K$2:$K$1984,"Nincs adat")</f>
        <v/>
      </c>
      <c r="F14" s="6">
        <f>COUNTIFS(Termékek!$E$2:$E$1984,A14,Termékek!$K$2:$K$1984,"Nincs kép és adat")</f>
        <v/>
      </c>
      <c r="G14" s="6">
        <f>D14+F14</f>
        <v/>
      </c>
      <c r="H14" s="6" t="inlineStr">
        <is>
          <t>Igen</t>
        </is>
      </c>
      <c r="I14" s="7" t="inlineStr">
        <is>
          <t>cimaplast.it kategóriaoldalak</t>
        </is>
      </c>
      <c r="J14" s="6">
        <f>COUNTIFS(Termékek!$E$2:$E$1984,A14,Termékek!$Q$2:$Q$1984,"IGEN")</f>
        <v/>
      </c>
    </row>
    <row r="15">
      <c r="A15" s="6" t="inlineStr">
        <is>
          <t>CNT conta</t>
        </is>
      </c>
      <c r="B15" s="6">
        <f>COUNTIF(Termékek!$E$2:$E$1984,A15)</f>
        <v/>
      </c>
      <c r="C15" s="6">
        <f>COUNTIFS(Termékek!$E$2:$E$1984,A15,Termékek!$K$2:$K$1984,"Rendben")</f>
        <v/>
      </c>
      <c r="D15" s="6">
        <f>COUNTIFS(Termékek!$E$2:$E$1984,A15,Termékek!$K$2:$K$1984,"Nincs kép")</f>
        <v/>
      </c>
      <c r="E15" s="6">
        <f>COUNTIFS(Termékek!$E$2:$E$1984,A15,Termékek!$K$2:$K$1984,"Nincs adat")</f>
        <v/>
      </c>
      <c r="F15" s="6">
        <f>COUNTIFS(Termékek!$E$2:$E$1984,A15,Termékek!$K$2:$K$1984,"Nincs kép és adat")</f>
        <v/>
      </c>
      <c r="G15" s="6">
        <f>D15+F15</f>
        <v/>
      </c>
      <c r="H15" s="6" t="inlineStr">
        <is>
          <t>Nem</t>
        </is>
      </c>
      <c r="I15" s="7" t="inlineStr">
        <is>
          <t>–</t>
        </is>
      </c>
      <c r="J15" s="6">
        <f>COUNTIFS(Termékek!$E$2:$E$1984,A15,Termékek!$Q$2:$Q$1984,"IGEN")</f>
        <v/>
      </c>
    </row>
    <row r="16">
      <c r="A16" s="6" t="inlineStr">
        <is>
          <t>Constellium Decin</t>
        </is>
      </c>
      <c r="B16" s="6">
        <f>COUNTIF(Termékek!$E$2:$E$1984,A16)</f>
        <v/>
      </c>
      <c r="C16" s="6">
        <f>COUNTIFS(Termékek!$E$2:$E$1984,A16,Termékek!$K$2:$K$1984,"Rendben")</f>
        <v/>
      </c>
      <c r="D16" s="6">
        <f>COUNTIFS(Termékek!$E$2:$E$1984,A16,Termékek!$K$2:$K$1984,"Nincs kép")</f>
        <v/>
      </c>
      <c r="E16" s="6">
        <f>COUNTIFS(Termékek!$E$2:$E$1984,A16,Termékek!$K$2:$K$1984,"Nincs adat")</f>
        <v/>
      </c>
      <c r="F16" s="6">
        <f>COUNTIFS(Termékek!$E$2:$E$1984,A16,Termékek!$K$2:$K$1984,"Nincs kép és adat")</f>
        <v/>
      </c>
      <c r="G16" s="6">
        <f>D16+F16</f>
        <v/>
      </c>
      <c r="H16" s="6" t="inlineStr">
        <is>
          <t>Igen</t>
        </is>
      </c>
      <c r="I16" s="7" t="inlineStr">
        <is>
          <t>alu-sv.com (a kód utolsó számjegyei); Ital Accessori katalógus; Drive: CONSTELLIUM DECIN Excel – nem letölthető (&gt;10 MB)</t>
        </is>
      </c>
      <c r="J16" s="6">
        <f>COUNTIFS(Termékek!$E$2:$E$1984,A16,Termékek!$Q$2:$Q$1984,"IGEN")</f>
        <v/>
      </c>
    </row>
    <row r="17">
      <c r="A17" s="6" t="inlineStr">
        <is>
          <t>COPAR</t>
        </is>
      </c>
      <c r="B17" s="6">
        <f>COUNTIF(Termékek!$E$2:$E$1984,A17)</f>
        <v/>
      </c>
      <c r="C17" s="6">
        <f>COUNTIFS(Termékek!$E$2:$E$1984,A17,Termékek!$K$2:$K$1984,"Rendben")</f>
        <v/>
      </c>
      <c r="D17" s="6">
        <f>COUNTIFS(Termékek!$E$2:$E$1984,A17,Termékek!$K$2:$K$1984,"Nincs kép")</f>
        <v/>
      </c>
      <c r="E17" s="6">
        <f>COUNTIFS(Termékek!$E$2:$E$1984,A17,Termékek!$K$2:$K$1984,"Nincs adat")</f>
        <v/>
      </c>
      <c r="F17" s="6">
        <f>COUNTIFS(Termékek!$E$2:$E$1984,A17,Termékek!$K$2:$K$1984,"Nincs kép és adat")</f>
        <v/>
      </c>
      <c r="G17" s="6">
        <f>D17+F17</f>
        <v/>
      </c>
      <c r="H17" s="6" t="inlineStr">
        <is>
          <t>Igen</t>
        </is>
      </c>
      <c r="I17" s="7" t="inlineStr">
        <is>
          <t>copar.it oldaltérkép; Co.Par. Mini Box / Nova Box típuslapok (Drive)</t>
        </is>
      </c>
      <c r="J17" s="6">
        <f>COUNTIFS(Termékek!$E$2:$E$1984,A17,Termékek!$Q$2:$Q$1984,"IGEN")</f>
        <v/>
      </c>
    </row>
    <row r="18">
      <c r="A18" s="6" t="inlineStr">
        <is>
          <t>D.LaPorte</t>
        </is>
      </c>
      <c r="B18" s="6">
        <f>COUNTIF(Termékek!$E$2:$E$1984,A18)</f>
        <v/>
      </c>
      <c r="C18" s="6">
        <f>COUNTIFS(Termékek!$E$2:$E$1984,A18,Termékek!$K$2:$K$1984,"Rendben")</f>
        <v/>
      </c>
      <c r="D18" s="6">
        <f>COUNTIFS(Termékek!$E$2:$E$1984,A18,Termékek!$K$2:$K$1984,"Nincs kép")</f>
        <v/>
      </c>
      <c r="E18" s="6">
        <f>COUNTIFS(Termékek!$E$2:$E$1984,A18,Termékek!$K$2:$K$1984,"Nincs adat")</f>
        <v/>
      </c>
      <c r="F18" s="6">
        <f>COUNTIFS(Termékek!$E$2:$E$1984,A18,Termékek!$K$2:$K$1984,"Nincs kép és adat")</f>
        <v/>
      </c>
      <c r="G18" s="6">
        <f>D18+F18</f>
        <v/>
      </c>
      <c r="H18" s="6" t="inlineStr">
        <is>
          <t>Nem</t>
        </is>
      </c>
      <c r="I18" s="7" t="inlineStr">
        <is>
          <t>–</t>
        </is>
      </c>
      <c r="J18" s="6">
        <f>COUNTIFS(Termékek!$E$2:$E$1984,A18,Termékek!$Q$2:$Q$1984,"IGEN")</f>
        <v/>
      </c>
    </row>
    <row r="19">
      <c r="A19" s="6" t="inlineStr">
        <is>
          <t>Demolli</t>
        </is>
      </c>
      <c r="B19" s="6">
        <f>COUNTIF(Termékek!$E$2:$E$1984,A19)</f>
        <v/>
      </c>
      <c r="C19" s="6">
        <f>COUNTIFS(Termékek!$E$2:$E$1984,A19,Termékek!$K$2:$K$1984,"Rendben")</f>
        <v/>
      </c>
      <c r="D19" s="6">
        <f>COUNTIFS(Termékek!$E$2:$E$1984,A19,Termékek!$K$2:$K$1984,"Nincs kép")</f>
        <v/>
      </c>
      <c r="E19" s="6">
        <f>COUNTIFS(Termékek!$E$2:$E$1984,A19,Termékek!$K$2:$K$1984,"Nincs adat")</f>
        <v/>
      </c>
      <c r="F19" s="6">
        <f>COUNTIFS(Termékek!$E$2:$E$1984,A19,Termékek!$K$2:$K$1984,"Nincs kép és adat")</f>
        <v/>
      </c>
      <c r="G19" s="6">
        <f>D19+F19</f>
        <v/>
      </c>
      <c r="H19" s="6" t="inlineStr">
        <is>
          <t>Nem</t>
        </is>
      </c>
      <c r="I19" s="7" t="inlineStr">
        <is>
          <t>–</t>
        </is>
      </c>
      <c r="J19" s="6">
        <f>COUNTIFS(Termékek!$E$2:$E$1984,A19,Termékek!$Q$2:$Q$1984,"IGEN")</f>
        <v/>
      </c>
    </row>
    <row r="20">
      <c r="A20" s="6" t="inlineStr">
        <is>
          <t>DG</t>
        </is>
      </c>
      <c r="B20" s="6">
        <f>COUNTIF(Termékek!$E$2:$E$1984,A20)</f>
        <v/>
      </c>
      <c r="C20" s="6">
        <f>COUNTIFS(Termékek!$E$2:$E$1984,A20,Termékek!$K$2:$K$1984,"Rendben")</f>
        <v/>
      </c>
      <c r="D20" s="6">
        <f>COUNTIFS(Termékek!$E$2:$E$1984,A20,Termékek!$K$2:$K$1984,"Nincs kép")</f>
        <v/>
      </c>
      <c r="E20" s="6">
        <f>COUNTIFS(Termékek!$E$2:$E$1984,A20,Termékek!$K$2:$K$1984,"Nincs adat")</f>
        <v/>
      </c>
      <c r="F20" s="6">
        <f>COUNTIFS(Termékek!$E$2:$E$1984,A20,Termékek!$K$2:$K$1984,"Nincs kép és adat")</f>
        <v/>
      </c>
      <c r="G20" s="6">
        <f>D20+F20</f>
        <v/>
      </c>
      <c r="H20" s="6" t="inlineStr">
        <is>
          <t>Nem</t>
        </is>
      </c>
      <c r="I20" s="7" t="inlineStr">
        <is>
          <t>–</t>
        </is>
      </c>
      <c r="J20" s="6">
        <f>COUNTIFS(Termékek!$E$2:$E$1984,A20,Termékek!$Q$2:$Q$1984,"IGEN")</f>
        <v/>
      </c>
    </row>
    <row r="21">
      <c r="A21" s="6" t="inlineStr">
        <is>
          <t>Dost</t>
        </is>
      </c>
      <c r="B21" s="6">
        <f>COUNTIF(Termékek!$E$2:$E$1984,A21)</f>
        <v/>
      </c>
      <c r="C21" s="6">
        <f>COUNTIFS(Termékek!$E$2:$E$1984,A21,Termékek!$K$2:$K$1984,"Rendben")</f>
        <v/>
      </c>
      <c r="D21" s="6">
        <f>COUNTIFS(Termékek!$E$2:$E$1984,A21,Termékek!$K$2:$K$1984,"Nincs kép")</f>
        <v/>
      </c>
      <c r="E21" s="6">
        <f>COUNTIFS(Termékek!$E$2:$E$1984,A21,Termékek!$K$2:$K$1984,"Nincs adat")</f>
        <v/>
      </c>
      <c r="F21" s="6">
        <f>COUNTIFS(Termékek!$E$2:$E$1984,A21,Termékek!$K$2:$K$1984,"Nincs kép és adat")</f>
        <v/>
      </c>
      <c r="G21" s="6">
        <f>D21+F21</f>
        <v/>
      </c>
      <c r="H21" s="6" t="inlineStr">
        <is>
          <t>Igen</t>
        </is>
      </c>
      <c r="I21" s="7" t="inlineStr">
        <is>
          <t>Dost Teknik 2024 katalógus (PDF)</t>
        </is>
      </c>
      <c r="J21" s="6">
        <f>COUNTIFS(Termékek!$E$2:$E$1984,A21,Termékek!$Q$2:$Q$1984,"IGEN")</f>
        <v/>
      </c>
    </row>
    <row r="22">
      <c r="A22" s="6" t="inlineStr">
        <is>
          <t>Edscha</t>
        </is>
      </c>
      <c r="B22" s="6">
        <f>COUNTIF(Termékek!$E$2:$E$1984,A22)</f>
        <v/>
      </c>
      <c r="C22" s="6">
        <f>COUNTIFS(Termékek!$E$2:$E$1984,A22,Termékek!$K$2:$K$1984,"Rendben")</f>
        <v/>
      </c>
      <c r="D22" s="6">
        <f>COUNTIFS(Termékek!$E$2:$E$1984,A22,Termékek!$K$2:$K$1984,"Nincs kép")</f>
        <v/>
      </c>
      <c r="E22" s="6">
        <f>COUNTIFS(Termékek!$E$2:$E$1984,A22,Termékek!$K$2:$K$1984,"Nincs adat")</f>
        <v/>
      </c>
      <c r="F22" s="6">
        <f>COUNTIFS(Termékek!$E$2:$E$1984,A22,Termékek!$K$2:$K$1984,"Nincs kép és adat")</f>
        <v/>
      </c>
      <c r="G22" s="6">
        <f>D22+F22</f>
        <v/>
      </c>
      <c r="H22" s="6" t="inlineStr">
        <is>
          <t>Igen</t>
        </is>
      </c>
      <c r="I22" s="7" t="inlineStr">
        <is>
          <t>Edscha TS / SESAM alkatrész-katalógus 2024 (edschats.com); Edscha Compact alkatrész-katalógus 2018 (Drive)</t>
        </is>
      </c>
      <c r="J22" s="6">
        <f>COUNTIFS(Termékek!$E$2:$E$1984,A22,Termékek!$Q$2:$Q$1984,"IGEN")</f>
        <v/>
      </c>
    </row>
    <row r="23">
      <c r="A23" s="6" t="inlineStr">
        <is>
          <t>EMEPE</t>
        </is>
      </c>
      <c r="B23" s="6">
        <f>COUNTIF(Termékek!$E$2:$E$1984,A23)</f>
        <v/>
      </c>
      <c r="C23" s="6">
        <f>COUNTIFS(Termékek!$E$2:$E$1984,A23,Termékek!$K$2:$K$1984,"Rendben")</f>
        <v/>
      </c>
      <c r="D23" s="6">
        <f>COUNTIFS(Termékek!$E$2:$E$1984,A23,Termékek!$K$2:$K$1984,"Nincs kép")</f>
        <v/>
      </c>
      <c r="E23" s="6">
        <f>COUNTIFS(Termékek!$E$2:$E$1984,A23,Termékek!$K$2:$K$1984,"Nincs adat")</f>
        <v/>
      </c>
      <c r="F23" s="6">
        <f>COUNTIFS(Termékek!$E$2:$E$1984,A23,Termékek!$K$2:$K$1984,"Nincs kép és adat")</f>
        <v/>
      </c>
      <c r="G23" s="6">
        <f>D23+F23</f>
        <v/>
      </c>
      <c r="H23" s="6" t="inlineStr">
        <is>
          <t>Nem</t>
        </is>
      </c>
      <c r="I23" s="7" t="inlineStr">
        <is>
          <t>–</t>
        </is>
      </c>
      <c r="J23" s="6">
        <f>COUNTIFS(Termékek!$E$2:$E$1984,A23,Termékek!$Q$2:$Q$1984,"IGEN")</f>
        <v/>
      </c>
    </row>
    <row r="24">
      <c r="A24" s="6" t="inlineStr">
        <is>
          <t>ESAL</t>
        </is>
      </c>
      <c r="B24" s="6">
        <f>COUNTIF(Termékek!$E$2:$E$1984,A24)</f>
        <v/>
      </c>
      <c r="C24" s="6">
        <f>COUNTIFS(Termékek!$E$2:$E$1984,A24,Termékek!$K$2:$K$1984,"Rendben")</f>
        <v/>
      </c>
      <c r="D24" s="6">
        <f>COUNTIFS(Termékek!$E$2:$E$1984,A24,Termékek!$K$2:$K$1984,"Nincs kép")</f>
        <v/>
      </c>
      <c r="E24" s="6">
        <f>COUNTIFS(Termékek!$E$2:$E$1984,A24,Termékek!$K$2:$K$1984,"Nincs adat")</f>
        <v/>
      </c>
      <c r="F24" s="6">
        <f>COUNTIFS(Termékek!$E$2:$E$1984,A24,Termékek!$K$2:$K$1984,"Nincs kép és adat")</f>
        <v/>
      </c>
      <c r="G24" s="6">
        <f>D24+F24</f>
        <v/>
      </c>
      <c r="H24" s="6" t="inlineStr">
        <is>
          <t>Igen</t>
        </is>
      </c>
      <c r="I24" s="7" t="inlineStr">
        <is>
          <t>ESAL Catalogo Sponde 2020 (PDF); ESAL Profili commerciali (PDF)</t>
        </is>
      </c>
      <c r="J24" s="6">
        <f>COUNTIFS(Termékek!$E$2:$E$1984,A24,Termékek!$Q$2:$Q$1984,"IGEN")</f>
        <v/>
      </c>
    </row>
    <row r="25">
      <c r="A25" s="6" t="inlineStr">
        <is>
          <t>EXAL</t>
        </is>
      </c>
      <c r="B25" s="6">
        <f>COUNTIF(Termékek!$E$2:$E$1984,A25)</f>
        <v/>
      </c>
      <c r="C25" s="6">
        <f>COUNTIFS(Termékek!$E$2:$E$1984,A25,Termékek!$K$2:$K$1984,"Rendben")</f>
        <v/>
      </c>
      <c r="D25" s="6">
        <f>COUNTIFS(Termékek!$E$2:$E$1984,A25,Termékek!$K$2:$K$1984,"Nincs kép")</f>
        <v/>
      </c>
      <c r="E25" s="6">
        <f>COUNTIFS(Termékek!$E$2:$E$1984,A25,Termékek!$K$2:$K$1984,"Nincs adat")</f>
        <v/>
      </c>
      <c r="F25" s="6">
        <f>COUNTIFS(Termékek!$E$2:$E$1984,A25,Termékek!$K$2:$K$1984,"Nincs kép és adat")</f>
        <v/>
      </c>
      <c r="G25" s="6">
        <f>D25+F25</f>
        <v/>
      </c>
      <c r="H25" s="6" t="inlineStr">
        <is>
          <t>Nem</t>
        </is>
      </c>
      <c r="I25" s="7" t="inlineStr">
        <is>
          <t>Quadris-megnevezés (nincs beszállítói forrás)</t>
        </is>
      </c>
      <c r="J25" s="6">
        <f>COUNTIFS(Termékek!$E$2:$E$1984,A25,Termékek!$Q$2:$Q$1984,"IGEN")</f>
        <v/>
      </c>
    </row>
    <row r="26">
      <c r="A26" s="6" t="inlineStr">
        <is>
          <t>Exlabesa ES</t>
        </is>
      </c>
      <c r="B26" s="6">
        <f>COUNTIF(Termékek!$E$2:$E$1984,A26)</f>
        <v/>
      </c>
      <c r="C26" s="6">
        <f>COUNTIFS(Termékek!$E$2:$E$1984,A26,Termékek!$K$2:$K$1984,"Rendben")</f>
        <v/>
      </c>
      <c r="D26" s="6">
        <f>COUNTIFS(Termékek!$E$2:$E$1984,A26,Termékek!$K$2:$K$1984,"Nincs kép")</f>
        <v/>
      </c>
      <c r="E26" s="6">
        <f>COUNTIFS(Termékek!$E$2:$E$1984,A26,Termékek!$K$2:$K$1984,"Nincs adat")</f>
        <v/>
      </c>
      <c r="F26" s="6">
        <f>COUNTIFS(Termékek!$E$2:$E$1984,A26,Termékek!$K$2:$K$1984,"Nincs kép és adat")</f>
        <v/>
      </c>
      <c r="G26" s="6">
        <f>D26+F26</f>
        <v/>
      </c>
      <c r="H26" s="6" t="inlineStr">
        <is>
          <t>Igen</t>
        </is>
      </c>
      <c r="I26" s="7" t="inlineStr">
        <is>
          <t>Exlabesa 2023 standard katalógus (Drive)</t>
        </is>
      </c>
      <c r="J26" s="6">
        <f>COUNTIFS(Termékek!$E$2:$E$1984,A26,Termékek!$Q$2:$Q$1984,"IGEN")</f>
        <v/>
      </c>
    </row>
    <row r="27">
      <c r="A27" s="6" t="inlineStr">
        <is>
          <t>Exlabesa PL</t>
        </is>
      </c>
      <c r="B27" s="6">
        <f>COUNTIF(Termékek!$E$2:$E$1984,A27)</f>
        <v/>
      </c>
      <c r="C27" s="6">
        <f>COUNTIFS(Termékek!$E$2:$E$1984,A27,Termékek!$K$2:$K$1984,"Rendben")</f>
        <v/>
      </c>
      <c r="D27" s="6">
        <f>COUNTIFS(Termékek!$E$2:$E$1984,A27,Termékek!$K$2:$K$1984,"Nincs kép")</f>
        <v/>
      </c>
      <c r="E27" s="6">
        <f>COUNTIFS(Termékek!$E$2:$E$1984,A27,Termékek!$K$2:$K$1984,"Nincs adat")</f>
        <v/>
      </c>
      <c r="F27" s="6">
        <f>COUNTIFS(Termékek!$E$2:$E$1984,A27,Termékek!$K$2:$K$1984,"Nincs kép és adat")</f>
        <v/>
      </c>
      <c r="G27" s="6">
        <f>D27+F27</f>
        <v/>
      </c>
      <c r="H27" s="6" t="inlineStr">
        <is>
          <t>Igen</t>
        </is>
      </c>
      <c r="I27" s="7" t="inlineStr">
        <is>
          <t>Exlabesa 2023 standard katalógus (Drive)</t>
        </is>
      </c>
      <c r="J27" s="6">
        <f>COUNTIFS(Termékek!$E$2:$E$1984,A27,Termékek!$Q$2:$Q$1984,"IGEN")</f>
        <v/>
      </c>
    </row>
    <row r="28">
      <c r="A28" s="6" t="inlineStr">
        <is>
          <t>FTS</t>
        </is>
      </c>
      <c r="B28" s="6">
        <f>COUNTIF(Termékek!$E$2:$E$1984,A28)</f>
        <v/>
      </c>
      <c r="C28" s="6">
        <f>COUNTIFS(Termékek!$E$2:$E$1984,A28,Termékek!$K$2:$K$1984,"Rendben")</f>
        <v/>
      </c>
      <c r="D28" s="6">
        <f>COUNTIFS(Termékek!$E$2:$E$1984,A28,Termékek!$K$2:$K$1984,"Nincs kép")</f>
        <v/>
      </c>
      <c r="E28" s="6">
        <f>COUNTIFS(Termékek!$E$2:$E$1984,A28,Termékek!$K$2:$K$1984,"Nincs adat")</f>
        <v/>
      </c>
      <c r="F28" s="6">
        <f>COUNTIFS(Termékek!$E$2:$E$1984,A28,Termékek!$K$2:$K$1984,"Nincs kép és adat")</f>
        <v/>
      </c>
      <c r="G28" s="6">
        <f>D28+F28</f>
        <v/>
      </c>
      <c r="H28" s="6" t="inlineStr">
        <is>
          <t>Igen</t>
        </is>
      </c>
      <c r="I28" s="7" t="inlineStr">
        <is>
          <t>fts-farina.it webáruház (WooCommerce API); FTS 2024 katalógus (PDF)</t>
        </is>
      </c>
      <c r="J28" s="6">
        <f>COUNTIFS(Termékek!$E$2:$E$1984,A28,Termékek!$Q$2:$Q$1984,"IGEN")</f>
        <v/>
      </c>
    </row>
    <row r="29">
      <c r="A29" s="6" t="inlineStr">
        <is>
          <t>G&amp;C termékek</t>
        </is>
      </c>
      <c r="B29" s="6">
        <f>COUNTIF(Termékek!$E$2:$E$1984,A29)</f>
        <v/>
      </c>
      <c r="C29" s="6">
        <f>COUNTIFS(Termékek!$E$2:$E$1984,A29,Termékek!$K$2:$K$1984,"Rendben")</f>
        <v/>
      </c>
      <c r="D29" s="6">
        <f>COUNTIFS(Termékek!$E$2:$E$1984,A29,Termékek!$K$2:$K$1984,"Nincs kép")</f>
        <v/>
      </c>
      <c r="E29" s="6">
        <f>COUNTIFS(Termékek!$E$2:$E$1984,A29,Termékek!$K$2:$K$1984,"Nincs adat")</f>
        <v/>
      </c>
      <c r="F29" s="6">
        <f>COUNTIFS(Termékek!$E$2:$E$1984,A29,Termékek!$K$2:$K$1984,"Nincs kép és adat")</f>
        <v/>
      </c>
      <c r="G29" s="6">
        <f>D29+F29</f>
        <v/>
      </c>
      <c r="H29" s="6" t="inlineStr">
        <is>
          <t>Igen</t>
        </is>
      </c>
      <c r="I29" s="7" t="inlineStr">
        <is>
          <t>gnc-systems.com termékoldalak és adatlapok</t>
        </is>
      </c>
      <c r="J29" s="6">
        <f>COUNTIFS(Termékek!$E$2:$E$1984,A29,Termékek!$Q$2:$Q$1984,"IGEN")</f>
        <v/>
      </c>
    </row>
    <row r="30">
      <c r="A30" s="6" t="inlineStr">
        <is>
          <t>Grupa Kęty</t>
        </is>
      </c>
      <c r="B30" s="6">
        <f>COUNTIF(Termékek!$E$2:$E$1984,A30)</f>
        <v/>
      </c>
      <c r="C30" s="6">
        <f>COUNTIFS(Termékek!$E$2:$E$1984,A30,Termékek!$K$2:$K$1984,"Rendben")</f>
        <v/>
      </c>
      <c r="D30" s="6">
        <f>COUNTIFS(Termékek!$E$2:$E$1984,A30,Termékek!$K$2:$K$1984,"Nincs kép")</f>
        <v/>
      </c>
      <c r="E30" s="6">
        <f>COUNTIFS(Termékek!$E$2:$E$1984,A30,Termékek!$K$2:$K$1984,"Nincs adat")</f>
        <v/>
      </c>
      <c r="F30" s="6">
        <f>COUNTIFS(Termékek!$E$2:$E$1984,A30,Termékek!$K$2:$K$1984,"Nincs kép és adat")</f>
        <v/>
      </c>
      <c r="G30" s="6">
        <f>D30+F30</f>
        <v/>
      </c>
      <c r="H30" s="6" t="inlineStr">
        <is>
          <t>Igen</t>
        </is>
      </c>
      <c r="I30" s="7" t="inlineStr">
        <is>
          <t>Grupa Kęty W2850 gyári rajz (Drive)</t>
        </is>
      </c>
      <c r="J30" s="6">
        <f>COUNTIFS(Termékek!$E$2:$E$1984,A30,Termékek!$Q$2:$Q$1984,"IGEN")</f>
        <v/>
      </c>
    </row>
    <row r="31">
      <c r="A31" s="6" t="inlineStr">
        <is>
          <t>Gummitrading</t>
        </is>
      </c>
      <c r="B31" s="6">
        <f>COUNTIF(Termékek!$E$2:$E$1984,A31)</f>
        <v/>
      </c>
      <c r="C31" s="6">
        <f>COUNTIFS(Termékek!$E$2:$E$1984,A31,Termékek!$K$2:$K$1984,"Rendben")</f>
        <v/>
      </c>
      <c r="D31" s="6">
        <f>COUNTIFS(Termékek!$E$2:$E$1984,A31,Termékek!$K$2:$K$1984,"Nincs kép")</f>
        <v/>
      </c>
      <c r="E31" s="6">
        <f>COUNTIFS(Termékek!$E$2:$E$1984,A31,Termékek!$K$2:$K$1984,"Nincs adat")</f>
        <v/>
      </c>
      <c r="F31" s="6">
        <f>COUNTIFS(Termékek!$E$2:$E$1984,A31,Termékek!$K$2:$K$1984,"Nincs kép és adat")</f>
        <v/>
      </c>
      <c r="G31" s="6">
        <f>D31+F31</f>
        <v/>
      </c>
      <c r="H31" s="6" t="inlineStr">
        <is>
          <t>Nem</t>
        </is>
      </c>
      <c r="I31" s="7" t="inlineStr">
        <is>
          <t>Quadris-megnevezés (nincs beszállítói forrás)</t>
        </is>
      </c>
      <c r="J31" s="6">
        <f>COUNTIFS(Termékek!$E$2:$E$1984,A31,Termékek!$Q$2:$Q$1984,"IGEN")</f>
        <v/>
      </c>
    </row>
    <row r="32">
      <c r="A32" s="6" t="inlineStr">
        <is>
          <t>IndesCar</t>
        </is>
      </c>
      <c r="B32" s="6">
        <f>COUNTIF(Termékek!$E$2:$E$1984,A32)</f>
        <v/>
      </c>
      <c r="C32" s="6">
        <f>COUNTIFS(Termékek!$E$2:$E$1984,A32,Termékek!$K$2:$K$1984,"Rendben")</f>
        <v/>
      </c>
      <c r="D32" s="6">
        <f>COUNTIFS(Termékek!$E$2:$E$1984,A32,Termékek!$K$2:$K$1984,"Nincs kép")</f>
        <v/>
      </c>
      <c r="E32" s="6">
        <f>COUNTIFS(Termékek!$E$2:$E$1984,A32,Termékek!$K$2:$K$1984,"Nincs adat")</f>
        <v/>
      </c>
      <c r="F32" s="6">
        <f>COUNTIFS(Termékek!$E$2:$E$1984,A32,Termékek!$K$2:$K$1984,"Nincs kép és adat")</f>
        <v/>
      </c>
      <c r="G32" s="6">
        <f>D32+F32</f>
        <v/>
      </c>
      <c r="H32" s="6" t="inlineStr">
        <is>
          <t>Igen</t>
        </is>
      </c>
      <c r="I32" s="7" t="inlineStr">
        <is>
          <t>indescar.com webáruház (WooCommerce API)</t>
        </is>
      </c>
      <c r="J32" s="6">
        <f>COUNTIFS(Termékek!$E$2:$E$1984,A32,Termékek!$Q$2:$Q$1984,"IGEN")</f>
        <v/>
      </c>
    </row>
    <row r="33">
      <c r="A33" s="6" t="inlineStr">
        <is>
          <t>Industrilas</t>
        </is>
      </c>
      <c r="B33" s="6">
        <f>COUNTIF(Termékek!$E$2:$E$1984,A33)</f>
        <v/>
      </c>
      <c r="C33" s="6">
        <f>COUNTIFS(Termékek!$E$2:$E$1984,A33,Termékek!$K$2:$K$1984,"Rendben")</f>
        <v/>
      </c>
      <c r="D33" s="6">
        <f>COUNTIFS(Termékek!$E$2:$E$1984,A33,Termékek!$K$2:$K$1984,"Nincs kép")</f>
        <v/>
      </c>
      <c r="E33" s="6">
        <f>COUNTIFS(Termékek!$E$2:$E$1984,A33,Termékek!$K$2:$K$1984,"Nincs adat")</f>
        <v/>
      </c>
      <c r="F33" s="6">
        <f>COUNTIFS(Termékek!$E$2:$E$1984,A33,Termékek!$K$2:$K$1984,"Nincs kép és adat")</f>
        <v/>
      </c>
      <c r="G33" s="6">
        <f>D33+F33</f>
        <v/>
      </c>
      <c r="H33" s="6" t="inlineStr">
        <is>
          <t>Igen</t>
        </is>
      </c>
      <c r="I33" s="7" t="inlineStr">
        <is>
          <t>industrilas.com kereső; Industrilås 68-S1 termékkép (Drive)</t>
        </is>
      </c>
      <c r="J33" s="6">
        <f>COUNTIFS(Termékek!$E$2:$E$1984,A33,Termékek!$Q$2:$Q$1984,"IGEN")</f>
        <v/>
      </c>
    </row>
    <row r="34">
      <c r="A34" s="6" t="inlineStr">
        <is>
          <t>Ital Accessori</t>
        </is>
      </c>
      <c r="B34" s="6">
        <f>COUNTIF(Termékek!$E$2:$E$1984,A34)</f>
        <v/>
      </c>
      <c r="C34" s="6">
        <f>COUNTIFS(Termékek!$E$2:$E$1984,A34,Termékek!$K$2:$K$1984,"Rendben")</f>
        <v/>
      </c>
      <c r="D34" s="6">
        <f>COUNTIFS(Termékek!$E$2:$E$1984,A34,Termékek!$K$2:$K$1984,"Nincs kép")</f>
        <v/>
      </c>
      <c r="E34" s="6">
        <f>COUNTIFS(Termékek!$E$2:$E$1984,A34,Termékek!$K$2:$K$1984,"Nincs adat")</f>
        <v/>
      </c>
      <c r="F34" s="6">
        <f>COUNTIFS(Termékek!$E$2:$E$1984,A34,Termékek!$K$2:$K$1984,"Nincs kép és adat")</f>
        <v/>
      </c>
      <c r="G34" s="6">
        <f>D34+F34</f>
        <v/>
      </c>
      <c r="H34" s="6" t="inlineStr">
        <is>
          <t>Igen</t>
        </is>
      </c>
      <c r="I34" s="7" t="inlineStr">
        <is>
          <t>Ital Accessori teljes PDF katalógus (ital-accessori.sk)</t>
        </is>
      </c>
      <c r="J34" s="6">
        <f>COUNTIFS(Termékek!$E$2:$E$1984,A34,Termékek!$Q$2:$Q$1984,"IGEN")</f>
        <v/>
      </c>
    </row>
    <row r="35">
      <c r="A35" s="6" t="inlineStr">
        <is>
          <t>JONESCO</t>
        </is>
      </c>
      <c r="B35" s="6">
        <f>COUNTIF(Termékek!$E$2:$E$1984,A35)</f>
        <v/>
      </c>
      <c r="C35" s="6">
        <f>COUNTIFS(Termékek!$E$2:$E$1984,A35,Termékek!$K$2:$K$1984,"Rendben")</f>
        <v/>
      </c>
      <c r="D35" s="6">
        <f>COUNTIFS(Termékek!$E$2:$E$1984,A35,Termékek!$K$2:$K$1984,"Nincs kép")</f>
        <v/>
      </c>
      <c r="E35" s="6">
        <f>COUNTIFS(Termékek!$E$2:$E$1984,A35,Termékek!$K$2:$K$1984,"Nincs adat")</f>
        <v/>
      </c>
      <c r="F35" s="6">
        <f>COUNTIFS(Termékek!$E$2:$E$1984,A35,Termékek!$K$2:$K$1984,"Nincs kép és adat")</f>
        <v/>
      </c>
      <c r="G35" s="6">
        <f>D35+F35</f>
        <v/>
      </c>
      <c r="H35" s="6" t="inlineStr">
        <is>
          <t>Igen</t>
        </is>
      </c>
      <c r="I35" s="7" t="inlineStr">
        <is>
          <t>jonesco-plastics.com termékoldalak</t>
        </is>
      </c>
      <c r="J35" s="6">
        <f>COUNTIFS(Termékek!$E$2:$E$1984,A35,Termékek!$Q$2:$Q$1984,"IGEN")</f>
        <v/>
      </c>
    </row>
    <row r="36">
      <c r="A36" s="6" t="inlineStr">
        <is>
          <t>Kadia</t>
        </is>
      </c>
      <c r="B36" s="6">
        <f>COUNTIF(Termékek!$E$2:$E$1984,A36)</f>
        <v/>
      </c>
      <c r="C36" s="6">
        <f>COUNTIFS(Termékek!$E$2:$E$1984,A36,Termékek!$K$2:$K$1984,"Rendben")</f>
        <v/>
      </c>
      <c r="D36" s="6">
        <f>COUNTIFS(Termékek!$E$2:$E$1984,A36,Termékek!$K$2:$K$1984,"Nincs kép")</f>
        <v/>
      </c>
      <c r="E36" s="6">
        <f>COUNTIFS(Termékek!$E$2:$E$1984,A36,Termékek!$K$2:$K$1984,"Nincs adat")</f>
        <v/>
      </c>
      <c r="F36" s="6">
        <f>COUNTIFS(Termékek!$E$2:$E$1984,A36,Termékek!$K$2:$K$1984,"Nincs kép és adat")</f>
        <v/>
      </c>
      <c r="G36" s="6">
        <f>D36+F36</f>
        <v/>
      </c>
      <c r="H36" s="6" t="inlineStr">
        <is>
          <t>Nem</t>
        </is>
      </c>
      <c r="I36" s="7" t="inlineStr">
        <is>
          <t>–</t>
        </is>
      </c>
      <c r="J36" s="6">
        <f>COUNTIFS(Termékek!$E$2:$E$1984,A36,Termékek!$Q$2:$Q$1984,"IGEN")</f>
        <v/>
      </c>
    </row>
    <row r="37">
      <c r="A37" s="6" t="inlineStr">
        <is>
          <t>Klöckner</t>
        </is>
      </c>
      <c r="B37" s="6">
        <f>COUNTIF(Termékek!$E$2:$E$1984,A37)</f>
        <v/>
      </c>
      <c r="C37" s="6">
        <f>COUNTIFS(Termékek!$E$2:$E$1984,A37,Termékek!$K$2:$K$1984,"Rendben")</f>
        <v/>
      </c>
      <c r="D37" s="6">
        <f>COUNTIFS(Termékek!$E$2:$E$1984,A37,Termékek!$K$2:$K$1984,"Nincs kép")</f>
        <v/>
      </c>
      <c r="E37" s="6">
        <f>COUNTIFS(Termékek!$E$2:$E$1984,A37,Termékek!$K$2:$K$1984,"Nincs adat")</f>
        <v/>
      </c>
      <c r="F37" s="6">
        <f>COUNTIFS(Termékek!$E$2:$E$1984,A37,Termékek!$K$2:$K$1984,"Nincs kép és adat")</f>
        <v/>
      </c>
      <c r="G37" s="6">
        <f>D37+F37</f>
        <v/>
      </c>
      <c r="H37" s="6" t="inlineStr">
        <is>
          <t>Igen</t>
        </is>
      </c>
      <c r="I37" s="7" t="inlineStr">
        <is>
          <t>shop.kloeckner.at webáruház</t>
        </is>
      </c>
      <c r="J37" s="6">
        <f>COUNTIFS(Termékek!$E$2:$E$1984,A37,Termékek!$Q$2:$Q$1984,"IGEN")</f>
        <v/>
      </c>
    </row>
    <row r="38">
      <c r="A38" s="6" t="inlineStr">
        <is>
          <t>Load Look</t>
        </is>
      </c>
      <c r="B38" s="6">
        <f>COUNTIF(Termékek!$E$2:$E$1984,A38)</f>
        <v/>
      </c>
      <c r="C38" s="6">
        <f>COUNTIFS(Termékek!$E$2:$E$1984,A38,Termékek!$K$2:$K$1984,"Rendben")</f>
        <v/>
      </c>
      <c r="D38" s="6">
        <f>COUNTIFS(Termékek!$E$2:$E$1984,A38,Termékek!$K$2:$K$1984,"Nincs kép")</f>
        <v/>
      </c>
      <c r="E38" s="6">
        <f>COUNTIFS(Termékek!$E$2:$E$1984,A38,Termékek!$K$2:$K$1984,"Nincs adat")</f>
        <v/>
      </c>
      <c r="F38" s="6">
        <f>COUNTIFS(Termékek!$E$2:$E$1984,A38,Termékek!$K$2:$K$1984,"Nincs kép és adat")</f>
        <v/>
      </c>
      <c r="G38" s="6">
        <f>D38+F38</f>
        <v/>
      </c>
      <c r="H38" s="6" t="inlineStr">
        <is>
          <t>Nem</t>
        </is>
      </c>
      <c r="I38" s="7" t="inlineStr">
        <is>
          <t>–</t>
        </is>
      </c>
      <c r="J38" s="6">
        <f>COUNTIFS(Termékek!$E$2:$E$1984,A38,Termékek!$Q$2:$Q$1984,"IGEN")</f>
        <v/>
      </c>
    </row>
    <row r="39">
      <c r="A39" s="6" t="inlineStr">
        <is>
          <t>MetalMec</t>
        </is>
      </c>
      <c r="B39" s="6">
        <f>COUNTIF(Termékek!$E$2:$E$1984,A39)</f>
        <v/>
      </c>
      <c r="C39" s="6">
        <f>COUNTIFS(Termékek!$E$2:$E$1984,A39,Termékek!$K$2:$K$1984,"Rendben")</f>
        <v/>
      </c>
      <c r="D39" s="6">
        <f>COUNTIFS(Termékek!$E$2:$E$1984,A39,Termékek!$K$2:$K$1984,"Nincs kép")</f>
        <v/>
      </c>
      <c r="E39" s="6">
        <f>COUNTIFS(Termékek!$E$2:$E$1984,A39,Termékek!$K$2:$K$1984,"Nincs adat")</f>
        <v/>
      </c>
      <c r="F39" s="6">
        <f>COUNTIFS(Termékek!$E$2:$E$1984,A39,Termékek!$K$2:$K$1984,"Nincs kép és adat")</f>
        <v/>
      </c>
      <c r="G39" s="6">
        <f>D39+F39</f>
        <v/>
      </c>
      <c r="H39" s="6" t="inlineStr">
        <is>
          <t>Nem</t>
        </is>
      </c>
      <c r="I39" s="7" t="inlineStr">
        <is>
          <t>–</t>
        </is>
      </c>
      <c r="J39" s="6">
        <f>COUNTIFS(Termékek!$E$2:$E$1984,A39,Termékek!$Q$2:$Q$1984,"IGEN")</f>
        <v/>
      </c>
    </row>
    <row r="40">
      <c r="A40" s="6" t="inlineStr">
        <is>
          <t>Metra</t>
        </is>
      </c>
      <c r="B40" s="6">
        <f>COUNTIF(Termékek!$E$2:$E$1984,A40)</f>
        <v/>
      </c>
      <c r="C40" s="6">
        <f>COUNTIFS(Termékek!$E$2:$E$1984,A40,Termékek!$K$2:$K$1984,"Rendben")</f>
        <v/>
      </c>
      <c r="D40" s="6">
        <f>COUNTIFS(Termékek!$E$2:$E$1984,A40,Termékek!$K$2:$K$1984,"Nincs kép")</f>
        <v/>
      </c>
      <c r="E40" s="6">
        <f>COUNTIFS(Termékek!$E$2:$E$1984,A40,Termékek!$K$2:$K$1984,"Nincs adat")</f>
        <v/>
      </c>
      <c r="F40" s="6">
        <f>COUNTIFS(Termékek!$E$2:$E$1984,A40,Termékek!$K$2:$K$1984,"Nincs kép és adat")</f>
        <v/>
      </c>
      <c r="G40" s="6">
        <f>D40+F40</f>
        <v/>
      </c>
      <c r="H40" s="6" t="inlineStr">
        <is>
          <t>Igen</t>
        </is>
      </c>
      <c r="I40" s="7" t="inlineStr">
        <is>
          <t>Metra Fahrzeugbau katalógus (Drive)</t>
        </is>
      </c>
      <c r="J40" s="6">
        <f>COUNTIFS(Termékek!$E$2:$E$1984,A40,Termékek!$Q$2:$Q$1984,"IGEN")</f>
        <v/>
      </c>
    </row>
    <row r="41">
      <c r="A41" s="6" t="inlineStr">
        <is>
          <t>Novelis</t>
        </is>
      </c>
      <c r="B41" s="6">
        <f>COUNTIF(Termékek!$E$2:$E$1984,A41)</f>
        <v/>
      </c>
      <c r="C41" s="6">
        <f>COUNTIFS(Termékek!$E$2:$E$1984,A41,Termékek!$K$2:$K$1984,"Rendben")</f>
        <v/>
      </c>
      <c r="D41" s="6">
        <f>COUNTIFS(Termékek!$E$2:$E$1984,A41,Termékek!$K$2:$K$1984,"Nincs kép")</f>
        <v/>
      </c>
      <c r="E41" s="6">
        <f>COUNTIFS(Termékek!$E$2:$E$1984,A41,Termékek!$K$2:$K$1984,"Nincs adat")</f>
        <v/>
      </c>
      <c r="F41" s="6">
        <f>COUNTIFS(Termékek!$E$2:$E$1984,A41,Termékek!$K$2:$K$1984,"Nincs kép és adat")</f>
        <v/>
      </c>
      <c r="G41" s="6">
        <f>D41+F41</f>
        <v/>
      </c>
      <c r="H41" s="6" t="inlineStr">
        <is>
          <t>Nem</t>
        </is>
      </c>
      <c r="I41" s="7" t="inlineStr">
        <is>
          <t>Quadris-megnevezés (nincs beszállítói forrás)</t>
        </is>
      </c>
      <c r="J41" s="6">
        <f>COUNTIFS(Termékek!$E$2:$E$1984,A41,Termékek!$Q$2:$Q$1984,"IGEN")</f>
        <v/>
      </c>
    </row>
    <row r="42">
      <c r="A42" s="6" t="inlineStr">
        <is>
          <t>OTO TRIM</t>
        </is>
      </c>
      <c r="B42" s="6">
        <f>COUNTIF(Termékek!$E$2:$E$1984,A42)</f>
        <v/>
      </c>
      <c r="C42" s="6">
        <f>COUNTIFS(Termékek!$E$2:$E$1984,A42,Termékek!$K$2:$K$1984,"Rendben")</f>
        <v/>
      </c>
      <c r="D42" s="6">
        <f>COUNTIFS(Termékek!$E$2:$E$1984,A42,Termékek!$K$2:$K$1984,"Nincs kép")</f>
        <v/>
      </c>
      <c r="E42" s="6">
        <f>COUNTIFS(Termékek!$E$2:$E$1984,A42,Termékek!$K$2:$K$1984,"Nincs adat")</f>
        <v/>
      </c>
      <c r="F42" s="6">
        <f>COUNTIFS(Termékek!$E$2:$E$1984,A42,Termékek!$K$2:$K$1984,"Nincs kép és adat")</f>
        <v/>
      </c>
      <c r="G42" s="6">
        <f>D42+F42</f>
        <v/>
      </c>
      <c r="H42" s="6" t="inlineStr">
        <is>
          <t>Nem</t>
        </is>
      </c>
      <c r="I42" s="7" t="inlineStr">
        <is>
          <t>–</t>
        </is>
      </c>
      <c r="J42" s="6">
        <f>COUNTIFS(Termékek!$E$2:$E$1984,A42,Termékek!$Q$2:$Q$1984,"IGEN")</f>
        <v/>
      </c>
    </row>
    <row r="43">
      <c r="A43" s="6" t="inlineStr">
        <is>
          <t>PARLOK</t>
        </is>
      </c>
      <c r="B43" s="6">
        <f>COUNTIF(Termékek!$E$2:$E$1984,A43)</f>
        <v/>
      </c>
      <c r="C43" s="6">
        <f>COUNTIFS(Termékek!$E$2:$E$1984,A43,Termékek!$K$2:$K$1984,"Rendben")</f>
        <v/>
      </c>
      <c r="D43" s="6">
        <f>COUNTIFS(Termékek!$E$2:$E$1984,A43,Termékek!$K$2:$K$1984,"Nincs kép")</f>
        <v/>
      </c>
      <c r="E43" s="6">
        <f>COUNTIFS(Termékek!$E$2:$E$1984,A43,Termékek!$K$2:$K$1984,"Nincs adat")</f>
        <v/>
      </c>
      <c r="F43" s="6">
        <f>COUNTIFS(Termékek!$E$2:$E$1984,A43,Termékek!$K$2:$K$1984,"Nincs kép és adat")</f>
        <v/>
      </c>
      <c r="G43" s="6">
        <f>D43+F43</f>
        <v/>
      </c>
      <c r="H43" s="6" t="inlineStr">
        <is>
          <t>Igen</t>
        </is>
      </c>
      <c r="I43" s="7" t="inlineStr">
        <is>
          <t>parlok.com termékoldalak</t>
        </is>
      </c>
      <c r="J43" s="6">
        <f>COUNTIFS(Termékek!$E$2:$E$1984,A43,Termékek!$Q$2:$Q$1984,"IGEN")</f>
        <v/>
      </c>
    </row>
    <row r="44">
      <c r="A44" s="6" t="inlineStr">
        <is>
          <t>Pastore</t>
        </is>
      </c>
      <c r="B44" s="6">
        <f>COUNTIF(Termékek!$E$2:$E$1984,A44)</f>
        <v/>
      </c>
      <c r="C44" s="6">
        <f>COUNTIFS(Termékek!$E$2:$E$1984,A44,Termékek!$K$2:$K$1984,"Rendben")</f>
        <v/>
      </c>
      <c r="D44" s="6">
        <f>COUNTIFS(Termékek!$E$2:$E$1984,A44,Termékek!$K$2:$K$1984,"Nincs kép")</f>
        <v/>
      </c>
      <c r="E44" s="6">
        <f>COUNTIFS(Termékek!$E$2:$E$1984,A44,Termékek!$K$2:$K$1984,"Nincs adat")</f>
        <v/>
      </c>
      <c r="F44" s="6">
        <f>COUNTIFS(Termékek!$E$2:$E$1984,A44,Termékek!$K$2:$K$1984,"Nincs kép és adat")</f>
        <v/>
      </c>
      <c r="G44" s="6">
        <f>D44+F44</f>
        <v/>
      </c>
      <c r="H44" s="6" t="inlineStr">
        <is>
          <t>Igen</t>
        </is>
      </c>
      <c r="I44" s="7" t="inlineStr">
        <is>
          <t>pastorelombardi.com kereső</t>
        </is>
      </c>
      <c r="J44" s="6">
        <f>COUNTIFS(Termékek!$E$2:$E$1984,A44,Termékek!$Q$2:$Q$1984,"IGEN")</f>
        <v/>
      </c>
    </row>
    <row r="45">
      <c r="A45" s="6" t="inlineStr">
        <is>
          <t>PB planen</t>
        </is>
      </c>
      <c r="B45" s="6">
        <f>COUNTIF(Termékek!$E$2:$E$1984,A45)</f>
        <v/>
      </c>
      <c r="C45" s="6">
        <f>COUNTIFS(Termékek!$E$2:$E$1984,A45,Termékek!$K$2:$K$1984,"Rendben")</f>
        <v/>
      </c>
      <c r="D45" s="6">
        <f>COUNTIFS(Termékek!$E$2:$E$1984,A45,Termékek!$K$2:$K$1984,"Nincs kép")</f>
        <v/>
      </c>
      <c r="E45" s="6">
        <f>COUNTIFS(Termékek!$E$2:$E$1984,A45,Termékek!$K$2:$K$1984,"Nincs adat")</f>
        <v/>
      </c>
      <c r="F45" s="6">
        <f>COUNTIFS(Termékek!$E$2:$E$1984,A45,Termékek!$K$2:$K$1984,"Nincs kép és adat")</f>
        <v/>
      </c>
      <c r="G45" s="6">
        <f>D45+F45</f>
        <v/>
      </c>
      <c r="H45" s="6" t="inlineStr">
        <is>
          <t>Nem</t>
        </is>
      </c>
      <c r="I45" s="7" t="inlineStr">
        <is>
          <t>–</t>
        </is>
      </c>
      <c r="J45" s="6">
        <f>COUNTIFS(Termékek!$E$2:$E$1984,A45,Termékek!$Q$2:$Q$1984,"IGEN")</f>
        <v/>
      </c>
    </row>
    <row r="46">
      <c r="A46" s="6" t="inlineStr">
        <is>
          <t>Peri</t>
        </is>
      </c>
      <c r="B46" s="6">
        <f>COUNTIF(Termékek!$E$2:$E$1984,A46)</f>
        <v/>
      </c>
      <c r="C46" s="6">
        <f>COUNTIFS(Termékek!$E$2:$E$1984,A46,Termékek!$K$2:$K$1984,"Rendben")</f>
        <v/>
      </c>
      <c r="D46" s="6">
        <f>COUNTIFS(Termékek!$E$2:$E$1984,A46,Termékek!$K$2:$K$1984,"Nincs kép")</f>
        <v/>
      </c>
      <c r="E46" s="6">
        <f>COUNTIFS(Termékek!$E$2:$E$1984,A46,Termékek!$K$2:$K$1984,"Nincs adat")</f>
        <v/>
      </c>
      <c r="F46" s="6">
        <f>COUNTIFS(Termékek!$E$2:$E$1984,A46,Termékek!$K$2:$K$1984,"Nincs kép és adat")</f>
        <v/>
      </c>
      <c r="G46" s="6">
        <f>D46+F46</f>
        <v/>
      </c>
      <c r="H46" s="6" t="inlineStr">
        <is>
          <t>Nem</t>
        </is>
      </c>
      <c r="I46" s="7" t="inlineStr">
        <is>
          <t>Quadris-megnevezés (nincs beszállítói forrás)</t>
        </is>
      </c>
      <c r="J46" s="6">
        <f>COUNTIFS(Termékek!$E$2:$E$1984,A46,Termékek!$Q$2:$Q$1984,"IGEN")</f>
        <v/>
      </c>
    </row>
    <row r="47">
      <c r="A47" s="6" t="inlineStr">
        <is>
          <t>Plastic Padana</t>
        </is>
      </c>
      <c r="B47" s="6">
        <f>COUNTIF(Termékek!$E$2:$E$1984,A47)</f>
        <v/>
      </c>
      <c r="C47" s="6">
        <f>COUNTIFS(Termékek!$E$2:$E$1984,A47,Termékek!$K$2:$K$1984,"Rendben")</f>
        <v/>
      </c>
      <c r="D47" s="6">
        <f>COUNTIFS(Termékek!$E$2:$E$1984,A47,Termékek!$K$2:$K$1984,"Nincs kép")</f>
        <v/>
      </c>
      <c r="E47" s="6">
        <f>COUNTIFS(Termékek!$E$2:$E$1984,A47,Termékek!$K$2:$K$1984,"Nincs adat")</f>
        <v/>
      </c>
      <c r="F47" s="6">
        <f>COUNTIFS(Termékek!$E$2:$E$1984,A47,Termékek!$K$2:$K$1984,"Nincs kép és adat")</f>
        <v/>
      </c>
      <c r="G47" s="6">
        <f>D47+F47</f>
        <v/>
      </c>
      <c r="H47" s="6" t="inlineStr">
        <is>
          <t>Igen</t>
        </is>
      </c>
      <c r="I47" s="7" t="inlineStr">
        <is>
          <t>plasticpadana.it termékoldalak</t>
        </is>
      </c>
      <c r="J47" s="6">
        <f>COUNTIFS(Termékek!$E$2:$E$1984,A47,Termékek!$Q$2:$Q$1984,"IGEN")</f>
        <v/>
      </c>
    </row>
    <row r="48">
      <c r="A48" s="6" t="inlineStr">
        <is>
          <t>POLSER</t>
        </is>
      </c>
      <c r="B48" s="6">
        <f>COUNTIF(Termékek!$E$2:$E$1984,A48)</f>
        <v/>
      </c>
      <c r="C48" s="6">
        <f>COUNTIFS(Termékek!$E$2:$E$1984,A48,Termékek!$K$2:$K$1984,"Rendben")</f>
        <v/>
      </c>
      <c r="D48" s="6">
        <f>COUNTIFS(Termékek!$E$2:$E$1984,A48,Termékek!$K$2:$K$1984,"Nincs kép")</f>
        <v/>
      </c>
      <c r="E48" s="6">
        <f>COUNTIFS(Termékek!$E$2:$E$1984,A48,Termékek!$K$2:$K$1984,"Nincs adat")</f>
        <v/>
      </c>
      <c r="F48" s="6">
        <f>COUNTIFS(Termékek!$E$2:$E$1984,A48,Termékek!$K$2:$K$1984,"Nincs kép és adat")</f>
        <v/>
      </c>
      <c r="G48" s="6">
        <f>D48+F48</f>
        <v/>
      </c>
      <c r="H48" s="6" t="inlineStr">
        <is>
          <t>Igen</t>
        </is>
      </c>
      <c r="I48" s="7" t="inlineStr">
        <is>
          <t>polser.com Frigoser oldal és adatlap</t>
        </is>
      </c>
      <c r="J48" s="6">
        <f>COUNTIFS(Termékek!$E$2:$E$1984,A48,Termékek!$Q$2:$Q$1984,"IGEN")</f>
        <v/>
      </c>
    </row>
    <row r="49">
      <c r="A49" s="6" t="inlineStr">
        <is>
          <t>Pommier</t>
        </is>
      </c>
      <c r="B49" s="6">
        <f>COUNTIF(Termékek!$E$2:$E$1984,A49)</f>
        <v/>
      </c>
      <c r="C49" s="6">
        <f>COUNTIFS(Termékek!$E$2:$E$1984,A49,Termékek!$K$2:$K$1984,"Rendben")</f>
        <v/>
      </c>
      <c r="D49" s="6">
        <f>COUNTIFS(Termékek!$E$2:$E$1984,A49,Termékek!$K$2:$K$1984,"Nincs kép")</f>
        <v/>
      </c>
      <c r="E49" s="6">
        <f>COUNTIFS(Termékek!$E$2:$E$1984,A49,Termékek!$K$2:$K$1984,"Nincs adat")</f>
        <v/>
      </c>
      <c r="F49" s="6">
        <f>COUNTIFS(Termékek!$E$2:$E$1984,A49,Termékek!$K$2:$K$1984,"Nincs kép és adat")</f>
        <v/>
      </c>
      <c r="G49" s="6">
        <f>D49+F49</f>
        <v/>
      </c>
      <c r="H49" s="6" t="inlineStr">
        <is>
          <t>Igen</t>
        </is>
      </c>
      <c r="I49" s="7" t="inlineStr">
        <is>
          <t>pommier.eu termékoldalak; Pommier 2023–24 katalógus (PDF)</t>
        </is>
      </c>
      <c r="J49" s="6">
        <f>COUNTIFS(Termékek!$E$2:$E$1984,A49,Termékek!$Q$2:$Q$1984,"IGEN")</f>
        <v/>
      </c>
    </row>
    <row r="50">
      <c r="A50" s="6" t="inlineStr">
        <is>
          <t>Pommier Furgocar</t>
        </is>
      </c>
      <c r="B50" s="6">
        <f>COUNTIF(Termékek!$E$2:$E$1984,A50)</f>
        <v/>
      </c>
      <c r="C50" s="6">
        <f>COUNTIFS(Termékek!$E$2:$E$1984,A50,Termékek!$K$2:$K$1984,"Rendben")</f>
        <v/>
      </c>
      <c r="D50" s="6">
        <f>COUNTIFS(Termékek!$E$2:$E$1984,A50,Termékek!$K$2:$K$1984,"Nincs kép")</f>
        <v/>
      </c>
      <c r="E50" s="6">
        <f>COUNTIFS(Termékek!$E$2:$E$1984,A50,Termékek!$K$2:$K$1984,"Nincs adat")</f>
        <v/>
      </c>
      <c r="F50" s="6">
        <f>COUNTIFS(Termékek!$E$2:$E$1984,A50,Termékek!$K$2:$K$1984,"Nincs kép és adat")</f>
        <v/>
      </c>
      <c r="G50" s="6">
        <f>D50+F50</f>
        <v/>
      </c>
      <c r="H50" s="6" t="inlineStr">
        <is>
          <t>Igen</t>
        </is>
      </c>
      <c r="I50" s="7" t="inlineStr">
        <is>
          <t>pommier.eu termékoldalak; Pommier 2023–24 katalógus (PDF)</t>
        </is>
      </c>
      <c r="J50" s="6">
        <f>COUNTIFS(Termékek!$E$2:$E$1984,A50,Termékek!$Q$2:$Q$1984,"IGEN")</f>
        <v/>
      </c>
    </row>
    <row r="51">
      <c r="A51" s="6" t="inlineStr">
        <is>
          <t>Profilpol</t>
        </is>
      </c>
      <c r="B51" s="6">
        <f>COUNTIF(Termékek!$E$2:$E$1984,A51)</f>
        <v/>
      </c>
      <c r="C51" s="6">
        <f>COUNTIFS(Termékek!$E$2:$E$1984,A51,Termékek!$K$2:$K$1984,"Rendben")</f>
        <v/>
      </c>
      <c r="D51" s="6">
        <f>COUNTIFS(Termékek!$E$2:$E$1984,A51,Termékek!$K$2:$K$1984,"Nincs kép")</f>
        <v/>
      </c>
      <c r="E51" s="6">
        <f>COUNTIFS(Termékek!$E$2:$E$1984,A51,Termékek!$K$2:$K$1984,"Nincs adat")</f>
        <v/>
      </c>
      <c r="F51" s="6">
        <f>COUNTIFS(Termékek!$E$2:$E$1984,A51,Termékek!$K$2:$K$1984,"Nincs kép és adat")</f>
        <v/>
      </c>
      <c r="G51" s="6">
        <f>D51+F51</f>
        <v/>
      </c>
      <c r="H51" s="6" t="inlineStr">
        <is>
          <t>Igen</t>
        </is>
      </c>
      <c r="I51" s="7" t="inlineStr">
        <is>
          <t>profilpolsystem.pl oldaltérkép bejárása</t>
        </is>
      </c>
      <c r="J51" s="6">
        <f>COUNTIFS(Termékek!$E$2:$E$1984,A51,Termékek!$Q$2:$Q$1984,"IGEN")</f>
        <v/>
      </c>
    </row>
    <row r="52">
      <c r="A52" s="6" t="inlineStr">
        <is>
          <t>profilpol boyritec</t>
        </is>
      </c>
      <c r="B52" s="6">
        <f>COUNTIF(Termékek!$E$2:$E$1984,A52)</f>
        <v/>
      </c>
      <c r="C52" s="6">
        <f>COUNTIFS(Termékek!$E$2:$E$1984,A52,Termékek!$K$2:$K$1984,"Rendben")</f>
        <v/>
      </c>
      <c r="D52" s="6">
        <f>COUNTIFS(Termékek!$E$2:$E$1984,A52,Termékek!$K$2:$K$1984,"Nincs kép")</f>
        <v/>
      </c>
      <c r="E52" s="6">
        <f>COUNTIFS(Termékek!$E$2:$E$1984,A52,Termékek!$K$2:$K$1984,"Nincs adat")</f>
        <v/>
      </c>
      <c r="F52" s="6">
        <f>COUNTIFS(Termékek!$E$2:$E$1984,A52,Termékek!$K$2:$K$1984,"Nincs kép és adat")</f>
        <v/>
      </c>
      <c r="G52" s="6">
        <f>D52+F52</f>
        <v/>
      </c>
      <c r="H52" s="6" t="inlineStr">
        <is>
          <t>Nem</t>
        </is>
      </c>
      <c r="I52" s="7" t="inlineStr">
        <is>
          <t>–</t>
        </is>
      </c>
      <c r="J52" s="6">
        <f>COUNTIFS(Termékek!$E$2:$E$1984,A52,Termékek!$Q$2:$Q$1984,"IGEN")</f>
        <v/>
      </c>
    </row>
    <row r="53">
      <c r="A53" s="6" t="inlineStr">
        <is>
          <t>RE-ALL</t>
        </is>
      </c>
      <c r="B53" s="6">
        <f>COUNTIF(Termékek!$E$2:$E$1984,A53)</f>
        <v/>
      </c>
      <c r="C53" s="6">
        <f>COUNTIFS(Termékek!$E$2:$E$1984,A53,Termékek!$K$2:$K$1984,"Rendben")</f>
        <v/>
      </c>
      <c r="D53" s="6">
        <f>COUNTIFS(Termékek!$E$2:$E$1984,A53,Termékek!$K$2:$K$1984,"Nincs kép")</f>
        <v/>
      </c>
      <c r="E53" s="6">
        <f>COUNTIFS(Termékek!$E$2:$E$1984,A53,Termékek!$K$2:$K$1984,"Nincs adat")</f>
        <v/>
      </c>
      <c r="F53" s="6">
        <f>COUNTIFS(Termékek!$E$2:$E$1984,A53,Termékek!$K$2:$K$1984,"Nincs kép és adat")</f>
        <v/>
      </c>
      <c r="G53" s="6">
        <f>D53+F53</f>
        <v/>
      </c>
      <c r="H53" s="6" t="inlineStr">
        <is>
          <t>Igen</t>
        </is>
      </c>
      <c r="I53" s="7" t="inlineStr">
        <is>
          <t>re-all.it katalógusfejezetek (PDF) és oldaltérkép; RE-ALL 19 / 21 katalógus (Drive)</t>
        </is>
      </c>
      <c r="J53" s="6">
        <f>COUNTIFS(Termékek!$E$2:$E$1984,A53,Termékek!$Q$2:$Q$1984,"IGEN")</f>
        <v/>
      </c>
    </row>
    <row r="54">
      <c r="A54" s="6" t="inlineStr">
        <is>
          <t>Sachermayer</t>
        </is>
      </c>
      <c r="B54" s="6">
        <f>COUNTIF(Termékek!$E$2:$E$1984,A54)</f>
        <v/>
      </c>
      <c r="C54" s="6">
        <f>COUNTIFS(Termékek!$E$2:$E$1984,A54,Termékek!$K$2:$K$1984,"Rendben")</f>
        <v/>
      </c>
      <c r="D54" s="6">
        <f>COUNTIFS(Termékek!$E$2:$E$1984,A54,Termékek!$K$2:$K$1984,"Nincs kép")</f>
        <v/>
      </c>
      <c r="E54" s="6">
        <f>COUNTIFS(Termékek!$E$2:$E$1984,A54,Termékek!$K$2:$K$1984,"Nincs adat")</f>
        <v/>
      </c>
      <c r="F54" s="6">
        <f>COUNTIFS(Termékek!$E$2:$E$1984,A54,Termékek!$K$2:$K$1984,"Nincs kép és adat")</f>
        <v/>
      </c>
      <c r="G54" s="6">
        <f>D54+F54</f>
        <v/>
      </c>
      <c r="H54" s="6" t="inlineStr">
        <is>
          <t>Nem</t>
        </is>
      </c>
      <c r="I54" s="7" t="inlineStr">
        <is>
          <t>–</t>
        </is>
      </c>
      <c r="J54" s="6">
        <f>COUNTIFS(Termékek!$E$2:$E$1984,A54,Termékek!$Q$2:$Q$1984,"IGEN")</f>
        <v/>
      </c>
    </row>
    <row r="55">
      <c r="A55" s="6" t="inlineStr">
        <is>
          <t>Sand-Profile</t>
        </is>
      </c>
      <c r="B55" s="6">
        <f>COUNTIF(Termékek!$E$2:$E$1984,A55)</f>
        <v/>
      </c>
      <c r="C55" s="6">
        <f>COUNTIFS(Termékek!$E$2:$E$1984,A55,Termékek!$K$2:$K$1984,"Rendben")</f>
        <v/>
      </c>
      <c r="D55" s="6">
        <f>COUNTIFS(Termékek!$E$2:$E$1984,A55,Termékek!$K$2:$K$1984,"Nincs kép")</f>
        <v/>
      </c>
      <c r="E55" s="6">
        <f>COUNTIFS(Termékek!$E$2:$E$1984,A55,Termékek!$K$2:$K$1984,"Nincs adat")</f>
        <v/>
      </c>
      <c r="F55" s="6">
        <f>COUNTIFS(Termékek!$E$2:$E$1984,A55,Termékek!$K$2:$K$1984,"Nincs kép és adat")</f>
        <v/>
      </c>
      <c r="G55" s="6">
        <f>D55+F55</f>
        <v/>
      </c>
      <c r="H55" s="6" t="inlineStr">
        <is>
          <t>Igen</t>
        </is>
      </c>
      <c r="I55" s="7" t="inlineStr">
        <is>
          <t>SAND Profile teljes PDF katalógus</t>
        </is>
      </c>
      <c r="J55" s="6">
        <f>COUNTIFS(Termékek!$E$2:$E$1984,A55,Termékek!$Q$2:$Q$1984,"IGEN")</f>
        <v/>
      </c>
    </row>
    <row r="56">
      <c r="A56" s="6" t="inlineStr">
        <is>
          <t>Sarolta</t>
        </is>
      </c>
      <c r="B56" s="6">
        <f>COUNTIF(Termékek!$E$2:$E$1984,A56)</f>
        <v/>
      </c>
      <c r="C56" s="6">
        <f>COUNTIFS(Termékek!$E$2:$E$1984,A56,Termékek!$K$2:$K$1984,"Rendben")</f>
        <v/>
      </c>
      <c r="D56" s="6">
        <f>COUNTIFS(Termékek!$E$2:$E$1984,A56,Termékek!$K$2:$K$1984,"Nincs kép")</f>
        <v/>
      </c>
      <c r="E56" s="6">
        <f>COUNTIFS(Termékek!$E$2:$E$1984,A56,Termékek!$K$2:$K$1984,"Nincs adat")</f>
        <v/>
      </c>
      <c r="F56" s="6">
        <f>COUNTIFS(Termékek!$E$2:$E$1984,A56,Termékek!$K$2:$K$1984,"Nincs kép és adat")</f>
        <v/>
      </c>
      <c r="G56" s="6">
        <f>D56+F56</f>
        <v/>
      </c>
      <c r="H56" s="6" t="inlineStr">
        <is>
          <t>Nem</t>
        </is>
      </c>
      <c r="I56" s="7" t="inlineStr">
        <is>
          <t>–</t>
        </is>
      </c>
      <c r="J56" s="6">
        <f>COUNTIFS(Termékek!$E$2:$E$1984,A56,Termékek!$Q$2:$Q$1984,"IGEN")</f>
        <v/>
      </c>
    </row>
    <row r="57">
      <c r="A57" s="6" t="inlineStr">
        <is>
          <t>Takler</t>
        </is>
      </c>
      <c r="B57" s="6">
        <f>COUNTIF(Termékek!$E$2:$E$1984,A57)</f>
        <v/>
      </c>
      <c r="C57" s="6">
        <f>COUNTIFS(Termékek!$E$2:$E$1984,A57,Termékek!$K$2:$K$1984,"Rendben")</f>
        <v/>
      </c>
      <c r="D57" s="6">
        <f>COUNTIFS(Termékek!$E$2:$E$1984,A57,Termékek!$K$2:$K$1984,"Nincs kép")</f>
        <v/>
      </c>
      <c r="E57" s="6">
        <f>COUNTIFS(Termékek!$E$2:$E$1984,A57,Termékek!$K$2:$K$1984,"Nincs adat")</f>
        <v/>
      </c>
      <c r="F57" s="6">
        <f>COUNTIFS(Termékek!$E$2:$E$1984,A57,Termékek!$K$2:$K$1984,"Nincs kép és adat")</f>
        <v/>
      </c>
      <c r="G57" s="6">
        <f>D57+F57</f>
        <v/>
      </c>
      <c r="H57" s="6" t="inlineStr">
        <is>
          <t>Igen</t>
        </is>
      </c>
      <c r="I57" s="7" t="inlineStr">
        <is>
          <t>taklergroup.com oldaltérkép bejárása</t>
        </is>
      </c>
      <c r="J57" s="6">
        <f>COUNTIFS(Termékek!$E$2:$E$1984,A57,Termékek!$Q$2:$Q$1984,"IGEN")</f>
        <v/>
      </c>
    </row>
    <row r="58">
      <c r="A58" s="6" t="inlineStr">
        <is>
          <t>takler vagy esal</t>
        </is>
      </c>
      <c r="B58" s="6">
        <f>COUNTIF(Termékek!$E$2:$E$1984,A58)</f>
        <v/>
      </c>
      <c r="C58" s="6">
        <f>COUNTIFS(Termékek!$E$2:$E$1984,A58,Termékek!$K$2:$K$1984,"Rendben")</f>
        <v/>
      </c>
      <c r="D58" s="6">
        <f>COUNTIFS(Termékek!$E$2:$E$1984,A58,Termékek!$K$2:$K$1984,"Nincs kép")</f>
        <v/>
      </c>
      <c r="E58" s="6">
        <f>COUNTIFS(Termékek!$E$2:$E$1984,A58,Termékek!$K$2:$K$1984,"Nincs adat")</f>
        <v/>
      </c>
      <c r="F58" s="6">
        <f>COUNTIFS(Termékek!$E$2:$E$1984,A58,Termékek!$K$2:$K$1984,"Nincs kép és adat")</f>
        <v/>
      </c>
      <c r="G58" s="6">
        <f>D58+F58</f>
        <v/>
      </c>
      <c r="H58" s="6" t="inlineStr">
        <is>
          <t>Nem</t>
        </is>
      </c>
      <c r="I58" s="7" t="inlineStr">
        <is>
          <t>–</t>
        </is>
      </c>
      <c r="J58" s="6">
        <f>COUNTIFS(Termékek!$E$2:$E$1984,A58,Termékek!$Q$2:$Q$1984,"IGEN")</f>
        <v/>
      </c>
    </row>
    <row r="59">
      <c r="A59" s="6" t="inlineStr">
        <is>
          <t>Titgemeyer</t>
        </is>
      </c>
      <c r="B59" s="6">
        <f>COUNTIF(Termékek!$E$2:$E$1984,A59)</f>
        <v/>
      </c>
      <c r="C59" s="6">
        <f>COUNTIFS(Termékek!$E$2:$E$1984,A59,Termékek!$K$2:$K$1984,"Rendben")</f>
        <v/>
      </c>
      <c r="D59" s="6">
        <f>COUNTIFS(Termékek!$E$2:$E$1984,A59,Termékek!$K$2:$K$1984,"Nincs kép")</f>
        <v/>
      </c>
      <c r="E59" s="6">
        <f>COUNTIFS(Termékek!$E$2:$E$1984,A59,Termékek!$K$2:$K$1984,"Nincs adat")</f>
        <v/>
      </c>
      <c r="F59" s="6">
        <f>COUNTIFS(Termékek!$E$2:$E$1984,A59,Termékek!$K$2:$K$1984,"Nincs kép és adat")</f>
        <v/>
      </c>
      <c r="G59" s="6">
        <f>D59+F59</f>
        <v/>
      </c>
      <c r="H59" s="6" t="inlineStr">
        <is>
          <t>Nem</t>
        </is>
      </c>
      <c r="I59" s="7" t="inlineStr">
        <is>
          <t>–</t>
        </is>
      </c>
      <c r="J59" s="6">
        <f>COUNTIFS(Termékek!$E$2:$E$1984,A59,Termékek!$Q$2:$Q$1984,"IGEN")</f>
        <v/>
      </c>
    </row>
    <row r="60">
      <c r="A60" s="6" t="inlineStr">
        <is>
          <t>TT-Parts</t>
        </is>
      </c>
      <c r="B60" s="6">
        <f>COUNTIF(Termékek!$E$2:$E$1984,A60)</f>
        <v/>
      </c>
      <c r="C60" s="6">
        <f>COUNTIFS(Termékek!$E$2:$E$1984,A60,Termékek!$K$2:$K$1984,"Rendben")</f>
        <v/>
      </c>
      <c r="D60" s="6">
        <f>COUNTIFS(Termékek!$E$2:$E$1984,A60,Termékek!$K$2:$K$1984,"Nincs kép")</f>
        <v/>
      </c>
      <c r="E60" s="6">
        <f>COUNTIFS(Termékek!$E$2:$E$1984,A60,Termékek!$K$2:$K$1984,"Nincs adat")</f>
        <v/>
      </c>
      <c r="F60" s="6">
        <f>COUNTIFS(Termékek!$E$2:$E$1984,A60,Termékek!$K$2:$K$1984,"Nincs kép és adat")</f>
        <v/>
      </c>
      <c r="G60" s="6">
        <f>D60+F60</f>
        <v/>
      </c>
      <c r="H60" s="6" t="inlineStr">
        <is>
          <t>Nem</t>
        </is>
      </c>
      <c r="I60" s="7" t="inlineStr">
        <is>
          <t>–</t>
        </is>
      </c>
      <c r="J60" s="6">
        <f>COUNTIFS(Termékek!$E$2:$E$1984,A60,Termékek!$Q$2:$Q$1984,"IGEN")</f>
        <v/>
      </c>
    </row>
    <row r="61">
      <c r="A61" s="6" t="inlineStr">
        <is>
          <t>Versus</t>
        </is>
      </c>
      <c r="B61" s="6">
        <f>COUNTIF(Termékek!$E$2:$E$1984,A61)</f>
        <v/>
      </c>
      <c r="C61" s="6">
        <f>COUNTIFS(Termékek!$E$2:$E$1984,A61,Termékek!$K$2:$K$1984,"Rendben")</f>
        <v/>
      </c>
      <c r="D61" s="6">
        <f>COUNTIFS(Termékek!$E$2:$E$1984,A61,Termékek!$K$2:$K$1984,"Nincs kép")</f>
        <v/>
      </c>
      <c r="E61" s="6">
        <f>COUNTIFS(Termékek!$E$2:$E$1984,A61,Termékek!$K$2:$K$1984,"Nincs adat")</f>
        <v/>
      </c>
      <c r="F61" s="6">
        <f>COUNTIFS(Termékek!$E$2:$E$1984,A61,Termékek!$K$2:$K$1984,"Nincs kép és adat")</f>
        <v/>
      </c>
      <c r="G61" s="6">
        <f>D61+F61</f>
        <v/>
      </c>
      <c r="H61" s="6" t="inlineStr">
        <is>
          <t>Igen</t>
        </is>
      </c>
      <c r="I61" s="7" t="inlineStr">
        <is>
          <t>versus-omega.com termékoldalak; Duo Trike Light alkatrész-PDF (Drive); Versus-Omega online katalógus 2026 (FlippingBook)</t>
        </is>
      </c>
      <c r="J61" s="6">
        <f>COUNTIFS(Termékek!$E$2:$E$1984,A61,Termékek!$Q$2:$Q$1984,"IGEN")</f>
        <v/>
      </c>
    </row>
    <row r="62">
      <c r="A62" s="6" t="inlineStr">
        <is>
          <t>VR-Trade</t>
        </is>
      </c>
      <c r="B62" s="6">
        <f>COUNTIF(Termékek!$E$2:$E$1984,A62)</f>
        <v/>
      </c>
      <c r="C62" s="6">
        <f>COUNTIFS(Termékek!$E$2:$E$1984,A62,Termékek!$K$2:$K$1984,"Rendben")</f>
        <v/>
      </c>
      <c r="D62" s="6">
        <f>COUNTIFS(Termékek!$E$2:$E$1984,A62,Termékek!$K$2:$K$1984,"Nincs kép")</f>
        <v/>
      </c>
      <c r="E62" s="6">
        <f>COUNTIFS(Termékek!$E$2:$E$1984,A62,Termékek!$K$2:$K$1984,"Nincs adat")</f>
        <v/>
      </c>
      <c r="F62" s="6">
        <f>COUNTIFS(Termékek!$E$2:$E$1984,A62,Termékek!$K$2:$K$1984,"Nincs kép és adat")</f>
        <v/>
      </c>
      <c r="G62" s="6">
        <f>D62+F62</f>
        <v/>
      </c>
      <c r="H62" s="6" t="inlineStr">
        <is>
          <t>Nem</t>
        </is>
      </c>
      <c r="I62" s="7" t="inlineStr">
        <is>
          <t>Quadris-megnevezés (nincs beszállítói forrás)</t>
        </is>
      </c>
      <c r="J62" s="6">
        <f>COUNTIFS(Termékek!$E$2:$E$1984,A62,Termékek!$Q$2:$Q$1984,"IGEN")</f>
        <v/>
      </c>
    </row>
    <row r="63">
      <c r="A63" s="6" t="inlineStr">
        <is>
          <t>Westfalia</t>
        </is>
      </c>
      <c r="B63" s="6">
        <f>COUNTIF(Termékek!$E$2:$E$1984,A63)</f>
        <v/>
      </c>
      <c r="C63" s="6">
        <f>COUNTIFS(Termékek!$E$2:$E$1984,A63,Termékek!$K$2:$K$1984,"Rendben")</f>
        <v/>
      </c>
      <c r="D63" s="6">
        <f>COUNTIFS(Termékek!$E$2:$E$1984,A63,Termékek!$K$2:$K$1984,"Nincs kép")</f>
        <v/>
      </c>
      <c r="E63" s="6">
        <f>COUNTIFS(Termékek!$E$2:$E$1984,A63,Termékek!$K$2:$K$1984,"Nincs adat")</f>
        <v/>
      </c>
      <c r="F63" s="6">
        <f>COUNTIFS(Termékek!$E$2:$E$1984,A63,Termékek!$K$2:$K$1984,"Nincs kép és adat")</f>
        <v/>
      </c>
      <c r="G63" s="6">
        <f>D63+F63</f>
        <v/>
      </c>
      <c r="H63" s="6" t="inlineStr">
        <is>
          <t>Nem</t>
        </is>
      </c>
      <c r="I63" s="7" t="inlineStr">
        <is>
          <t>–</t>
        </is>
      </c>
      <c r="J63" s="6">
        <f>COUNTIFS(Termékek!$E$2:$E$1984,A63,Termékek!$Q$2:$Q$1984,"IGEN")</f>
        <v/>
      </c>
    </row>
    <row r="64">
      <c r="A64" s="6" t="inlineStr">
        <is>
          <t>Wistra</t>
        </is>
      </c>
      <c r="B64" s="6">
        <f>COUNTIF(Termékek!$E$2:$E$1984,A64)</f>
        <v/>
      </c>
      <c r="C64" s="6">
        <f>COUNTIFS(Termékek!$E$2:$E$1984,A64,Termékek!$K$2:$K$1984,"Rendben")</f>
        <v/>
      </c>
      <c r="D64" s="6">
        <f>COUNTIFS(Termékek!$E$2:$E$1984,A64,Termékek!$K$2:$K$1984,"Nincs kép")</f>
        <v/>
      </c>
      <c r="E64" s="6">
        <f>COUNTIFS(Termékek!$E$2:$E$1984,A64,Termékek!$K$2:$K$1984,"Nincs adat")</f>
        <v/>
      </c>
      <c r="F64" s="6">
        <f>COUNTIFS(Termékek!$E$2:$E$1984,A64,Termékek!$K$2:$K$1984,"Nincs kép és adat")</f>
        <v/>
      </c>
      <c r="G64" s="6">
        <f>D64+F64</f>
        <v/>
      </c>
      <c r="H64" s="6" t="inlineStr">
        <is>
          <t>Nem</t>
        </is>
      </c>
      <c r="I64" s="7" t="inlineStr">
        <is>
          <t>–</t>
        </is>
      </c>
      <c r="J64" s="6">
        <f>COUNTIFS(Termékek!$E$2:$E$1984,A64,Termékek!$Q$2:$Q$1984,"IGEN")</f>
        <v/>
      </c>
    </row>
    <row r="65">
      <c r="A65" s="6" t="inlineStr">
        <is>
          <t>Fuhrmann</t>
        </is>
      </c>
      <c r="B65" s="6">
        <f>COUNTIF(Termékek!$E$2:$E$1984,A65)</f>
        <v/>
      </c>
      <c r="C65" s="6">
        <f>COUNTIFS(Termékek!$E$2:$E$1984,A65,Termékek!$K$2:$K$1984,"Rendben")</f>
        <v/>
      </c>
      <c r="D65" s="6">
        <f>COUNTIFS(Termékek!$E$2:$E$1984,A65,Termékek!$K$2:$K$1984,"Nincs kép")</f>
        <v/>
      </c>
      <c r="E65" s="6">
        <f>COUNTIFS(Termékek!$E$2:$E$1984,A65,Termékek!$K$2:$K$1984,"Nincs adat")</f>
        <v/>
      </c>
      <c r="F65" s="6">
        <f>COUNTIFS(Termékek!$E$2:$E$1984,A65,Termékek!$K$2:$K$1984,"Nincs kép és adat")</f>
        <v/>
      </c>
      <c r="G65" s="6">
        <f>D65+F65</f>
        <v/>
      </c>
      <c r="H65" s="6" t="inlineStr">
        <is>
          <t>Igen</t>
        </is>
      </c>
      <c r="I65" s="7" t="inlineStr">
        <is>
          <t>Fuhrmann teljes kínálata (gyártói katalógus / weboldal)</t>
        </is>
      </c>
      <c r="J65" s="6">
        <f>COUNTIFS(Termékek!$E$2:$E$1984,A65,Termékek!$Q$2:$Q$1984,"IGEN")</f>
        <v/>
      </c>
    </row>
    <row r="66">
      <c r="A66" s="6" t="inlineStr">
        <is>
          <t>Rubber Select</t>
        </is>
      </c>
      <c r="B66" s="6">
        <f>COUNTIF(Termékek!$E$2:$E$1984,A66)</f>
        <v/>
      </c>
      <c r="C66" s="6">
        <f>COUNTIFS(Termékek!$E$2:$E$1984,A66,Termékek!$K$2:$K$1984,"Rendben")</f>
        <v/>
      </c>
      <c r="D66" s="6">
        <f>COUNTIFS(Termékek!$E$2:$E$1984,A66,Termékek!$K$2:$K$1984,"Nincs kép")</f>
        <v/>
      </c>
      <c r="E66" s="6">
        <f>COUNTIFS(Termékek!$E$2:$E$1984,A66,Termékek!$K$2:$K$1984,"Nincs adat")</f>
        <v/>
      </c>
      <c r="F66" s="6">
        <f>COUNTIFS(Termékek!$E$2:$E$1984,A66,Termékek!$K$2:$K$1984,"Nincs kép és adat")</f>
        <v/>
      </c>
      <c r="G66" s="6">
        <f>D66+F66</f>
        <v/>
      </c>
      <c r="H66" s="6" t="inlineStr">
        <is>
          <t>Igen</t>
        </is>
      </c>
      <c r="I66" s="7" t="inlineStr">
        <is>
          <t>Rubber Select teljes kínálata (gyártói katalógus / weboldal)</t>
        </is>
      </c>
      <c r="J66" s="6">
        <f>COUNTIFS(Termékek!$E$2:$E$1984,A66,Termékek!$Q$2:$Q$1984,"IGEN")</f>
        <v/>
      </c>
    </row>
    <row r="67">
      <c r="A67" s="8" t="inlineStr">
        <is>
          <t>Összesen</t>
        </is>
      </c>
      <c r="B67" s="8">
        <f>SUM(B2:B66)</f>
        <v/>
      </c>
      <c r="C67" s="8">
        <f>SUM(C2:C66)</f>
        <v/>
      </c>
      <c r="D67" s="8">
        <f>SUM(D2:D66)</f>
        <v/>
      </c>
      <c r="E67" s="8">
        <f>SUM(E2:E66)</f>
        <v/>
      </c>
      <c r="F67" s="8">
        <f>SUM(F2:F66)</f>
        <v/>
      </c>
      <c r="G67" s="8">
        <f>SUM(G2:G66)</f>
        <v/>
      </c>
      <c r="H67" s="8" t="n"/>
      <c r="I67" s="9" t="n"/>
      <c r="J67" s="8">
        <f>SUM(J2:J66)</f>
        <v/>
      </c>
    </row>
  </sheetData>
  <autoFilter ref="A1:J66"/>
  <conditionalFormatting sqref="G2:G66">
    <cfRule type="expression" priority="1" dxfId="0">
      <formula>G2&gt;0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26" customWidth="1" min="3" max="3"/>
    <col width="26" customWidth="1" min="4" max="4"/>
    <col width="18" customWidth="1" min="5" max="5"/>
    <col width="18" customWidth="1" min="6" max="6"/>
    <col width="14" customWidth="1" min="7" max="7"/>
    <col width="9" customWidth="1" min="8" max="8"/>
    <col width="11" customWidth="1" min="9" max="9"/>
    <col width="9" customWidth="1" min="10" max="10"/>
    <col width="20" customWidth="1" min="11" max="11"/>
    <col width="11" customWidth="1" min="12" max="12"/>
    <col width="52" customWidth="1" min="13" max="13"/>
    <col width="52" customWidth="1" min="14" max="14"/>
    <col width="40" customWidth="1" min="15" max="15"/>
    <col width="40" customWidth="1" min="16" max="16"/>
    <col width="13" customWidth="1" min="17" max="17"/>
    <col width="36" customWidth="1" min="18" max="18"/>
    <col width="36" customWidth="1" min="19" max="19"/>
  </cols>
  <sheetData>
    <row r="1" ht="30" customHeight="1">
      <c r="A1" s="5" t="inlineStr">
        <is>
          <t>Quadris cikkszám</t>
        </is>
      </c>
      <c r="B1" s="5" t="inlineStr">
        <is>
          <t>Megnevezés</t>
        </is>
      </c>
      <c r="C1" s="5" t="inlineStr">
        <is>
          <t>Termékcsoport</t>
        </is>
      </c>
      <c r="D1" s="5" t="inlineStr">
        <is>
          <t>Kategória</t>
        </is>
      </c>
      <c r="E1" s="5" t="inlineStr">
        <is>
          <t>Beszállító</t>
        </is>
      </c>
      <c r="F1" s="5" t="inlineStr">
        <is>
          <t>Beszállítói kód</t>
        </is>
      </c>
      <c r="G1" s="5" t="inlineStr">
        <is>
          <t>Eredet</t>
        </is>
      </c>
      <c r="H1" s="5" t="inlineStr">
        <is>
          <t>Kép (db)</t>
        </is>
      </c>
      <c r="I1" s="5" t="inlineStr">
        <is>
          <t>Műszaki adat (db)</t>
        </is>
      </c>
      <c r="J1" s="5" t="inlineStr">
        <is>
          <t>Leírás</t>
        </is>
      </c>
      <c r="K1" s="5" t="inlineStr">
        <is>
          <t>Állapot</t>
        </is>
      </c>
      <c r="L1" s="5" t="inlineStr">
        <is>
          <t>Kerestük?</t>
        </is>
      </c>
      <c r="M1" s="5" t="inlineStr">
        <is>
          <t>Hol kerestük</t>
        </is>
      </c>
      <c r="N1" s="5" t="inlineStr">
        <is>
          <t>Eredmény / hol nem találtuk</t>
        </is>
      </c>
      <c r="O1" s="5" t="inlineStr">
        <is>
          <t>Adatforrás</t>
        </is>
      </c>
      <c r="P1" s="5" t="inlineStr">
        <is>
          <t>Weboldal</t>
        </is>
      </c>
      <c r="Q1" s="10" t="inlineStr">
        <is>
          <t>TÖRÖLHETŐ</t>
        </is>
      </c>
      <c r="R1" s="10" t="inlineStr">
        <is>
          <t>Megjegyzés (Quadris)</t>
        </is>
      </c>
      <c r="S1" s="5" t="inlineStr">
        <is>
          <t>Azonosító (slug)</t>
        </is>
      </c>
    </row>
    <row r="2">
      <c r="A2" s="6" t="inlineStr"/>
      <c r="B2" s="7" t="inlineStr">
        <is>
          <t>S 1,5x1500x3000mm Fehér festett lemez RAL9010</t>
        </is>
      </c>
      <c r="C2" s="6" t="inlineStr">
        <is>
          <t>Alumínium lemezek</t>
        </is>
      </c>
      <c r="D2" s="6" t="inlineStr">
        <is>
          <t>Festett lemez</t>
        </is>
      </c>
      <c r="E2" s="6" t="inlineStr">
        <is>
          <t>(nincs megadva)</t>
        </is>
      </c>
      <c r="F2" s="6" t="inlineStr"/>
      <c r="G2" s="6" t="inlineStr">
        <is>
          <t>Quadris Excel</t>
        </is>
      </c>
      <c r="H2" s="6" t="n">
        <v>3</v>
      </c>
      <c r="I2" s="6" t="n">
        <v>6</v>
      </c>
      <c r="J2" s="6" t="inlineStr">
        <is>
          <t>nincs</t>
        </is>
      </c>
      <c r="K2" s="6">
        <f>IF(AND(H2&gt;0,I2&gt;0),"Rendben",IF(AND(H2=0,I2=0),"Nincs kép és adat",IF(H2=0,"Nincs kép","Nincs adat")))</f>
        <v/>
      </c>
      <c r="L2" s="6" t="inlineStr">
        <is>
          <t>Nem</t>
        </is>
      </c>
      <c r="M2" s="7" t="inlineStr">
        <is>
          <t>Quadris-megnevezés (nincs beszállítói forrás)</t>
        </is>
      </c>
      <c r="N2" s="7" t="inlineStr">
        <is>
          <t>Beszállítói forrás nincs – adatlap a Quadris-megnevezésből (méretek, elméleti tömeg)</t>
        </is>
      </c>
      <c r="O2" s="6" t="inlineStr"/>
      <c r="P2" s="11" t="inlineStr">
        <is>
          <t>https://website-9ib.pages.dev/termek/s-1-5x1500x3000mm-feher-festett-lemez-ral9010/</t>
        </is>
      </c>
      <c r="Q2" s="12" t="inlineStr"/>
      <c r="R2" s="13" t="inlineStr"/>
      <c r="S2" s="6" t="inlineStr">
        <is>
          <t>s-1-5x1500x3000mm-feher-festett-lemez-ral9010</t>
        </is>
      </c>
    </row>
    <row r="3">
      <c r="A3" s="6" t="inlineStr"/>
      <c r="B3" s="7" t="inlineStr">
        <is>
          <t>S 1x1250 mm FF RAL9016 SZALAG H42</t>
        </is>
      </c>
      <c r="C3" s="6" t="inlineStr">
        <is>
          <t>Alumínium lemezek</t>
        </is>
      </c>
      <c r="D3" s="6" t="inlineStr">
        <is>
          <t>Festett lemez</t>
        </is>
      </c>
      <c r="E3" s="6" t="inlineStr">
        <is>
          <t>(nincs megadva)</t>
        </is>
      </c>
      <c r="F3" s="6" t="inlineStr"/>
      <c r="G3" s="6" t="inlineStr">
        <is>
          <t>Quadris Excel</t>
        </is>
      </c>
      <c r="H3" s="6" t="n">
        <v>3</v>
      </c>
      <c r="I3" s="6" t="n">
        <v>6</v>
      </c>
      <c r="J3" s="6" t="inlineStr">
        <is>
          <t>nincs</t>
        </is>
      </c>
      <c r="K3" s="6">
        <f>IF(AND(H3&gt;0,I3&gt;0),"Rendben",IF(AND(H3=0,I3=0),"Nincs kép és adat",IF(H3=0,"Nincs kép","Nincs adat")))</f>
        <v/>
      </c>
      <c r="L3" s="6" t="inlineStr">
        <is>
          <t>Nem</t>
        </is>
      </c>
      <c r="M3" s="7" t="inlineStr">
        <is>
          <t>Quadris-megnevezés (nincs beszállítói forrás)</t>
        </is>
      </c>
      <c r="N3" s="7" t="inlineStr">
        <is>
          <t>Beszállítói forrás nincs – adatlap a Quadris-megnevezésből (méretek, elméleti tömeg)</t>
        </is>
      </c>
      <c r="O3" s="6" t="inlineStr"/>
      <c r="P3" s="11" t="inlineStr">
        <is>
          <t>https://website-9ib.pages.dev/termek/s-1x1250-mm-ff-ral9016-szalag-h42/</t>
        </is>
      </c>
      <c r="Q3" s="12" t="inlineStr"/>
      <c r="R3" s="13" t="inlineStr"/>
      <c r="S3" s="6" t="inlineStr">
        <is>
          <t>s-1x1250-mm-ff-ral9016-szalag-h42</t>
        </is>
      </c>
    </row>
    <row r="4">
      <c r="A4" s="6" t="inlineStr"/>
      <c r="B4" s="7" t="inlineStr">
        <is>
          <t>S 2x1250x2500mm Fehér festett lemez RAL9016</t>
        </is>
      </c>
      <c r="C4" s="6" t="inlineStr">
        <is>
          <t>Alumínium lemezek</t>
        </is>
      </c>
      <c r="D4" s="6" t="inlineStr">
        <is>
          <t>Festett lemez</t>
        </is>
      </c>
      <c r="E4" s="6" t="inlineStr">
        <is>
          <t>(nincs megadva)</t>
        </is>
      </c>
      <c r="F4" s="6" t="inlineStr"/>
      <c r="G4" s="6" t="inlineStr">
        <is>
          <t>Quadris Excel</t>
        </is>
      </c>
      <c r="H4" s="6" t="n">
        <v>3</v>
      </c>
      <c r="I4" s="6" t="n">
        <v>6</v>
      </c>
      <c r="J4" s="6" t="inlineStr">
        <is>
          <t>nincs</t>
        </is>
      </c>
      <c r="K4" s="6">
        <f>IF(AND(H4&gt;0,I4&gt;0),"Rendben",IF(AND(H4=0,I4=0),"Nincs kép és adat",IF(H4=0,"Nincs kép","Nincs adat")))</f>
        <v/>
      </c>
      <c r="L4" s="6" t="inlineStr">
        <is>
          <t>Nem</t>
        </is>
      </c>
      <c r="M4" s="7" t="inlineStr">
        <is>
          <t>Quadris-megnevezés (nincs beszállítói forrás)</t>
        </is>
      </c>
      <c r="N4" s="7" t="inlineStr">
        <is>
          <t>Beszállítói forrás nincs – adatlap a Quadris-megnevezésből (méretek, elméleti tömeg)</t>
        </is>
      </c>
      <c r="O4" s="6" t="inlineStr"/>
      <c r="P4" s="11" t="inlineStr">
        <is>
          <t>https://website-9ib.pages.dev/termek/s-2x1250x2500mm-feher-festett-lemez-ral9016/</t>
        </is>
      </c>
      <c r="Q4" s="12" t="inlineStr"/>
      <c r="R4" s="13" t="inlineStr"/>
      <c r="S4" s="6" t="inlineStr">
        <is>
          <t>s-2x1250x2500mm-feher-festett-lemez-ral9016</t>
        </is>
      </c>
    </row>
    <row r="5">
      <c r="A5" s="6" t="inlineStr"/>
      <c r="B5" s="7" t="inlineStr">
        <is>
          <t>S 2x1500x3000 mm ELOX Alu lemez EN AW-5005 H12/H14/H24</t>
        </is>
      </c>
      <c r="C5" s="6" t="inlineStr">
        <is>
          <t>Alumínium lemezek</t>
        </is>
      </c>
      <c r="D5" s="6" t="inlineStr">
        <is>
          <t>Sima lemez</t>
        </is>
      </c>
      <c r="E5" s="6" t="inlineStr">
        <is>
          <t>(nincs megadva)</t>
        </is>
      </c>
      <c r="F5" s="6" t="inlineStr"/>
      <c r="G5" s="6" t="inlineStr">
        <is>
          <t>Quadris Excel</t>
        </is>
      </c>
      <c r="H5" s="6" t="n">
        <v>3</v>
      </c>
      <c r="I5" s="6" t="n">
        <v>8</v>
      </c>
      <c r="J5" s="6" t="inlineStr">
        <is>
          <t>nincs</t>
        </is>
      </c>
      <c r="K5" s="6">
        <f>IF(AND(H5&gt;0,I5&gt;0),"Rendben",IF(AND(H5=0,I5=0),"Nincs kép és adat",IF(H5=0,"Nincs kép","Nincs adat")))</f>
        <v/>
      </c>
      <c r="L5" s="6" t="inlineStr">
        <is>
          <t>Nem</t>
        </is>
      </c>
      <c r="M5" s="7" t="inlineStr">
        <is>
          <t>Quadris-megnevezés (nincs beszállítói forrás)</t>
        </is>
      </c>
      <c r="N5" s="7" t="inlineStr">
        <is>
          <t>Beszállítói forrás nincs – adatlap a Quadris-megnevezésből (méretek, elméleti tömeg)</t>
        </is>
      </c>
      <c r="O5" s="6" t="inlineStr"/>
      <c r="P5" s="11" t="inlineStr">
        <is>
          <t>https://website-9ib.pages.dev/termek/s-2x1500x3000-mm-elox-alu-lemez-en-aw-5005-h12-h14-h24/</t>
        </is>
      </c>
      <c r="Q5" s="12" t="inlineStr"/>
      <c r="R5" s="13" t="inlineStr"/>
      <c r="S5" s="6" t="inlineStr">
        <is>
          <t>s-2x1500x3000-mm-elox-alu-lemez-en-aw-5005-h12-h14-h24</t>
        </is>
      </c>
    </row>
    <row r="6">
      <c r="A6" s="6" t="inlineStr"/>
      <c r="B6" s="7" t="inlineStr">
        <is>
          <t>S 3x1000x2000 mm ELOX Alu lemez EN AW-5002</t>
        </is>
      </c>
      <c r="C6" s="6" t="inlineStr">
        <is>
          <t>Alumínium lemezek</t>
        </is>
      </c>
      <c r="D6" s="6" t="inlineStr">
        <is>
          <t>Sima lemez</t>
        </is>
      </c>
      <c r="E6" s="6" t="inlineStr">
        <is>
          <t>(nincs megadva)</t>
        </is>
      </c>
      <c r="F6" s="6" t="inlineStr"/>
      <c r="G6" s="6" t="inlineStr">
        <is>
          <t>Quadris Excel</t>
        </is>
      </c>
      <c r="H6" s="6" t="n">
        <v>3</v>
      </c>
      <c r="I6" s="6" t="n">
        <v>7</v>
      </c>
      <c r="J6" s="6" t="inlineStr">
        <is>
          <t>nincs</t>
        </is>
      </c>
      <c r="K6" s="6">
        <f>IF(AND(H6&gt;0,I6&gt;0),"Rendben",IF(AND(H6=0,I6=0),"Nincs kép és adat",IF(H6=0,"Nincs kép","Nincs adat")))</f>
        <v/>
      </c>
      <c r="L6" s="6" t="inlineStr">
        <is>
          <t>Nem</t>
        </is>
      </c>
      <c r="M6" s="7" t="inlineStr">
        <is>
          <t>Quadris-megnevezés (nincs beszállítói forrás)</t>
        </is>
      </c>
      <c r="N6" s="7" t="inlineStr">
        <is>
          <t>Beszállítói forrás nincs – adatlap a Quadris-megnevezésből (méretek, elméleti tömeg)</t>
        </is>
      </c>
      <c r="O6" s="6" t="inlineStr"/>
      <c r="P6" s="11" t="inlineStr">
        <is>
          <t>https://website-9ib.pages.dev/termek/s-3x1000x2000-mm-elox-alu-lemez-en-aw-5002/</t>
        </is>
      </c>
      <c r="Q6" s="12" t="inlineStr"/>
      <c r="R6" s="13" t="inlineStr"/>
      <c r="S6" s="6" t="inlineStr">
        <is>
          <t>s-3x1000x2000-mm-elox-alu-lemez-en-aw-5002</t>
        </is>
      </c>
    </row>
    <row r="7">
      <c r="A7" s="6" t="inlineStr"/>
      <c r="B7" s="7" t="inlineStr">
        <is>
          <t>S 3x1250x3200 mm Alu lemez EN AW-1050A H14/H24</t>
        </is>
      </c>
      <c r="C7" s="6" t="inlineStr">
        <is>
          <t>Alumínium lemezek</t>
        </is>
      </c>
      <c r="D7" s="6" t="inlineStr">
        <is>
          <t>Sima lemez</t>
        </is>
      </c>
      <c r="E7" s="6" t="inlineStr">
        <is>
          <t>(nincs megadva)</t>
        </is>
      </c>
      <c r="F7" s="6" t="inlineStr"/>
      <c r="G7" s="6" t="inlineStr">
        <is>
          <t>Quadris Excel</t>
        </is>
      </c>
      <c r="H7" s="6" t="n">
        <v>3</v>
      </c>
      <c r="I7" s="6" t="n">
        <v>7</v>
      </c>
      <c r="J7" s="6" t="inlineStr">
        <is>
          <t>nincs</t>
        </is>
      </c>
      <c r="K7" s="6">
        <f>IF(AND(H7&gt;0,I7&gt;0),"Rendben",IF(AND(H7=0,I7=0),"Nincs kép és adat",IF(H7=0,"Nincs kép","Nincs adat")))</f>
        <v/>
      </c>
      <c r="L7" s="6" t="inlineStr">
        <is>
          <t>Nem</t>
        </is>
      </c>
      <c r="M7" s="7" t="inlineStr">
        <is>
          <t>Quadris-megnevezés (nincs beszállítói forrás)</t>
        </is>
      </c>
      <c r="N7" s="7" t="inlineStr">
        <is>
          <t>Beszállítói forrás nincs – adatlap a Quadris-megnevezésből (méretek, elméleti tömeg)</t>
        </is>
      </c>
      <c r="O7" s="6" t="inlineStr"/>
      <c r="P7" s="11" t="inlineStr">
        <is>
          <t>https://website-9ib.pages.dev/termek/s-3x1250x3200-mm-alu-lemez-en-aw-1050a-h14-h24/</t>
        </is>
      </c>
      <c r="Q7" s="12" t="inlineStr"/>
      <c r="R7" s="13" t="inlineStr"/>
      <c r="S7" s="6" t="inlineStr">
        <is>
          <t>s-3x1250x3200-mm-alu-lemez-en-aw-1050a-h14-h24</t>
        </is>
      </c>
    </row>
    <row r="8">
      <c r="A8" s="6" t="inlineStr"/>
      <c r="B8" s="7" t="inlineStr">
        <is>
          <t>S 3x1250x5000 mm Alu lemez EN AW-1050A H14/H24</t>
        </is>
      </c>
      <c r="C8" s="6" t="inlineStr">
        <is>
          <t>Alumínium lemezek</t>
        </is>
      </c>
      <c r="D8" s="6" t="inlineStr">
        <is>
          <t>Sima lemez</t>
        </is>
      </c>
      <c r="E8" s="6" t="inlineStr">
        <is>
          <t>(nincs megadva)</t>
        </is>
      </c>
      <c r="F8" s="6" t="inlineStr"/>
      <c r="G8" s="6" t="inlineStr">
        <is>
          <t>Quadris Excel</t>
        </is>
      </c>
      <c r="H8" s="6" t="n">
        <v>3</v>
      </c>
      <c r="I8" s="6" t="n">
        <v>7</v>
      </c>
      <c r="J8" s="6" t="inlineStr">
        <is>
          <t>nincs</t>
        </is>
      </c>
      <c r="K8" s="6">
        <f>IF(AND(H8&gt;0,I8&gt;0),"Rendben",IF(AND(H8=0,I8=0),"Nincs kép és adat",IF(H8=0,"Nincs kép","Nincs adat")))</f>
        <v/>
      </c>
      <c r="L8" s="6" t="inlineStr">
        <is>
          <t>Nem</t>
        </is>
      </c>
      <c r="M8" s="7" t="inlineStr">
        <is>
          <t>Quadris-megnevezés (nincs beszállítói forrás)</t>
        </is>
      </c>
      <c r="N8" s="7" t="inlineStr">
        <is>
          <t>Beszállítói forrás nincs – adatlap a Quadris-megnevezésből (méretek, elméleti tömeg)</t>
        </is>
      </c>
      <c r="O8" s="6" t="inlineStr"/>
      <c r="P8" s="11" t="inlineStr">
        <is>
          <t>https://website-9ib.pages.dev/termek/s-3x1250x5000-mm-alu-lemez-en-aw-1050a-h14-h24/</t>
        </is>
      </c>
      <c r="Q8" s="12" t="inlineStr"/>
      <c r="R8" s="13" t="inlineStr"/>
      <c r="S8" s="6" t="inlineStr">
        <is>
          <t>s-3x1250x5000-mm-alu-lemez-en-aw-1050a-h14-h24</t>
        </is>
      </c>
    </row>
    <row r="9">
      <c r="A9" s="6" t="inlineStr"/>
      <c r="B9" s="7" t="inlineStr">
        <is>
          <t>S 3x1250x6000 mm Alu lemez EN AW-1050A H14/H24</t>
        </is>
      </c>
      <c r="C9" s="6" t="inlineStr">
        <is>
          <t>Alumínium lemezek</t>
        </is>
      </c>
      <c r="D9" s="6" t="inlineStr">
        <is>
          <t>Sima lemez</t>
        </is>
      </c>
      <c r="E9" s="6" t="inlineStr">
        <is>
          <t>(nincs megadva)</t>
        </is>
      </c>
      <c r="F9" s="6" t="inlineStr"/>
      <c r="G9" s="6" t="inlineStr">
        <is>
          <t>Quadris Excel</t>
        </is>
      </c>
      <c r="H9" s="6" t="n">
        <v>3</v>
      </c>
      <c r="I9" s="6" t="n">
        <v>7</v>
      </c>
      <c r="J9" s="6" t="inlineStr">
        <is>
          <t>nincs</t>
        </is>
      </c>
      <c r="K9" s="6">
        <f>IF(AND(H9&gt;0,I9&gt;0),"Rendben",IF(AND(H9=0,I9=0),"Nincs kép és adat",IF(H9=0,"Nincs kép","Nincs adat")))</f>
        <v/>
      </c>
      <c r="L9" s="6" t="inlineStr">
        <is>
          <t>Nem</t>
        </is>
      </c>
      <c r="M9" s="7" t="inlineStr">
        <is>
          <t>Quadris-megnevezés (nincs beszállítói forrás)</t>
        </is>
      </c>
      <c r="N9" s="7" t="inlineStr">
        <is>
          <t>Beszállítói forrás nincs – adatlap a Quadris-megnevezésből (méretek, elméleti tömeg)</t>
        </is>
      </c>
      <c r="O9" s="6" t="inlineStr"/>
      <c r="P9" s="11" t="inlineStr">
        <is>
          <t>https://website-9ib.pages.dev/termek/s-3x1250x6000-mm-alu-lemez-en-aw-1050a-h14-h24/</t>
        </is>
      </c>
      <c r="Q9" s="12" t="inlineStr"/>
      <c r="R9" s="13" t="inlineStr"/>
      <c r="S9" s="6" t="inlineStr">
        <is>
          <t>s-3x1250x6000-mm-alu-lemez-en-aw-1050a-h14-h24</t>
        </is>
      </c>
    </row>
    <row r="10">
      <c r="A10" s="6" t="inlineStr"/>
      <c r="B10" s="7" t="inlineStr">
        <is>
          <t>S 3x1500x3200 mm Alu lemez EN AW-1050A H14/H24</t>
        </is>
      </c>
      <c r="C10" s="6" t="inlineStr">
        <is>
          <t>Alumínium lemezek</t>
        </is>
      </c>
      <c r="D10" s="6" t="inlineStr">
        <is>
          <t>Sima lemez</t>
        </is>
      </c>
      <c r="E10" s="6" t="inlineStr">
        <is>
          <t>(nincs megadva)</t>
        </is>
      </c>
      <c r="F10" s="6" t="inlineStr"/>
      <c r="G10" s="6" t="inlineStr">
        <is>
          <t>Quadris Excel</t>
        </is>
      </c>
      <c r="H10" s="6" t="n">
        <v>3</v>
      </c>
      <c r="I10" s="6" t="n">
        <v>7</v>
      </c>
      <c r="J10" s="6" t="inlineStr">
        <is>
          <t>nincs</t>
        </is>
      </c>
      <c r="K10" s="6">
        <f>IF(AND(H10&gt;0,I10&gt;0),"Rendben",IF(AND(H10=0,I10=0),"Nincs kép és adat",IF(H10=0,"Nincs kép","Nincs adat")))</f>
        <v/>
      </c>
      <c r="L10" s="6" t="inlineStr">
        <is>
          <t>Nem</t>
        </is>
      </c>
      <c r="M10" s="7" t="inlineStr">
        <is>
          <t>Quadris-megnevezés (nincs beszállítói forrás)</t>
        </is>
      </c>
      <c r="N10" s="7" t="inlineStr">
        <is>
          <t>Beszállítói forrás nincs – adatlap a Quadris-megnevezésből (méretek, elméleti tömeg)</t>
        </is>
      </c>
      <c r="O10" s="6" t="inlineStr"/>
      <c r="P10" s="11" t="inlineStr">
        <is>
          <t>https://website-9ib.pages.dev/termek/s-3x1500x3200-mm-alu-lemez-en-aw-1050a-h14-h24/</t>
        </is>
      </c>
      <c r="Q10" s="12" t="inlineStr"/>
      <c r="R10" s="13" t="inlineStr"/>
      <c r="S10" s="6" t="inlineStr">
        <is>
          <t>s-3x1500x3200-mm-alu-lemez-en-aw-1050a-h14-h24</t>
        </is>
      </c>
    </row>
    <row r="11">
      <c r="A11" s="6" t="inlineStr"/>
      <c r="B11" s="7" t="inlineStr">
        <is>
          <t>S 3x1500x5000 mm Alu lemez EN AW-1050A H14/H24</t>
        </is>
      </c>
      <c r="C11" s="6" t="inlineStr">
        <is>
          <t>Alumínium lemezek</t>
        </is>
      </c>
      <c r="D11" s="6" t="inlineStr">
        <is>
          <t>Sima lemez</t>
        </is>
      </c>
      <c r="E11" s="6" t="inlineStr">
        <is>
          <t>(nincs megadva)</t>
        </is>
      </c>
      <c r="F11" s="6" t="inlineStr"/>
      <c r="G11" s="6" t="inlineStr">
        <is>
          <t>Quadris Excel</t>
        </is>
      </c>
      <c r="H11" s="6" t="n">
        <v>3</v>
      </c>
      <c r="I11" s="6" t="n">
        <v>7</v>
      </c>
      <c r="J11" s="6" t="inlineStr">
        <is>
          <t>nincs</t>
        </is>
      </c>
      <c r="K11" s="6">
        <f>IF(AND(H11&gt;0,I11&gt;0),"Rendben",IF(AND(H11=0,I11=0),"Nincs kép és adat",IF(H11=0,"Nincs kép","Nincs adat")))</f>
        <v/>
      </c>
      <c r="L11" s="6" t="inlineStr">
        <is>
          <t>Nem</t>
        </is>
      </c>
      <c r="M11" s="7" t="inlineStr">
        <is>
          <t>Quadris-megnevezés (nincs beszállítói forrás)</t>
        </is>
      </c>
      <c r="N11" s="7" t="inlineStr">
        <is>
          <t>Beszállítói forrás nincs – adatlap a Quadris-megnevezésből (méretek, elméleti tömeg)</t>
        </is>
      </c>
      <c r="O11" s="6" t="inlineStr"/>
      <c r="P11" s="11" t="inlineStr">
        <is>
          <t>https://website-9ib.pages.dev/termek/s-3x1500x5000-mm-alu-lemez-en-aw-1050a-h14-h24/</t>
        </is>
      </c>
      <c r="Q11" s="12" t="inlineStr"/>
      <c r="R11" s="13" t="inlineStr"/>
      <c r="S11" s="6" t="inlineStr">
        <is>
          <t>s-3x1500x5000-mm-alu-lemez-en-aw-1050a-h14-h24</t>
        </is>
      </c>
    </row>
    <row r="12">
      <c r="A12" s="6" t="inlineStr"/>
      <c r="B12" s="7" t="inlineStr">
        <is>
          <t>S 3x1500x6000 mm Alu lemez EN AW-1050A H14/H24</t>
        </is>
      </c>
      <c r="C12" s="6" t="inlineStr">
        <is>
          <t>Alumínium lemezek</t>
        </is>
      </c>
      <c r="D12" s="6" t="inlineStr">
        <is>
          <t>Sima lemez</t>
        </is>
      </c>
      <c r="E12" s="6" t="inlineStr">
        <is>
          <t>(nincs megadva)</t>
        </is>
      </c>
      <c r="F12" s="6" t="inlineStr"/>
      <c r="G12" s="6" t="inlineStr">
        <is>
          <t>Quadris Excel</t>
        </is>
      </c>
      <c r="H12" s="6" t="n">
        <v>3</v>
      </c>
      <c r="I12" s="6" t="n">
        <v>7</v>
      </c>
      <c r="J12" s="6" t="inlineStr">
        <is>
          <t>nincs</t>
        </is>
      </c>
      <c r="K12" s="6">
        <f>IF(AND(H12&gt;0,I12&gt;0),"Rendben",IF(AND(H12=0,I12=0),"Nincs kép és adat",IF(H12=0,"Nincs kép","Nincs adat")))</f>
        <v/>
      </c>
      <c r="L12" s="6" t="inlineStr">
        <is>
          <t>Nem</t>
        </is>
      </c>
      <c r="M12" s="7" t="inlineStr">
        <is>
          <t>Quadris-megnevezés (nincs beszállítói forrás)</t>
        </is>
      </c>
      <c r="N12" s="7" t="inlineStr">
        <is>
          <t>Beszállítói forrás nincs – adatlap a Quadris-megnevezésből (méretek, elméleti tömeg)</t>
        </is>
      </c>
      <c r="O12" s="6" t="inlineStr"/>
      <c r="P12" s="11" t="inlineStr">
        <is>
          <t>https://website-9ib.pages.dev/termek/s-3x1500x6000-mm-alu-lemez-en-aw-1050a-h14-h24/</t>
        </is>
      </c>
      <c r="Q12" s="12" t="inlineStr"/>
      <c r="R12" s="13" t="inlineStr"/>
      <c r="S12" s="6" t="inlineStr">
        <is>
          <t>s-3x1500x6000-mm-alu-lemez-en-aw-1050a-h14-h24</t>
        </is>
      </c>
    </row>
    <row r="13">
      <c r="A13" s="6" t="inlineStr"/>
      <c r="B13" s="7" t="inlineStr">
        <is>
          <t>S 3x2000x5000 mm Alu lemez EN 573-3 (Al-Mg-1) H14/H24</t>
        </is>
      </c>
      <c r="C13" s="6" t="inlineStr">
        <is>
          <t>Alumínium lemezek</t>
        </is>
      </c>
      <c r="D13" s="6" t="inlineStr">
        <is>
          <t>Sima lemez</t>
        </is>
      </c>
      <c r="E13" s="6" t="inlineStr">
        <is>
          <t>(nincs megadva)</t>
        </is>
      </c>
      <c r="F13" s="6" t="inlineStr"/>
      <c r="G13" s="6" t="inlineStr">
        <is>
          <t>Quadris Excel</t>
        </is>
      </c>
      <c r="H13" s="6" t="n">
        <v>3</v>
      </c>
      <c r="I13" s="6" t="n">
        <v>7</v>
      </c>
      <c r="J13" s="6" t="inlineStr">
        <is>
          <t>nincs</t>
        </is>
      </c>
      <c r="K13" s="6">
        <f>IF(AND(H13&gt;0,I13&gt;0),"Rendben",IF(AND(H13=0,I13=0),"Nincs kép és adat",IF(H13=0,"Nincs kép","Nincs adat")))</f>
        <v/>
      </c>
      <c r="L13" s="6" t="inlineStr">
        <is>
          <t>Nem</t>
        </is>
      </c>
      <c r="M13" s="7" t="inlineStr">
        <is>
          <t>Quadris-megnevezés (nincs beszállítói forrás)</t>
        </is>
      </c>
      <c r="N13" s="7" t="inlineStr">
        <is>
          <t>Beszállítói forrás nincs – adatlap a Quadris-megnevezésből (méretek, elméleti tömeg)</t>
        </is>
      </c>
      <c r="O13" s="6" t="inlineStr"/>
      <c r="P13" s="11" t="inlineStr">
        <is>
          <t>https://website-9ib.pages.dev/termek/s-3x2000x5000-mm-alu-lemez-en-573-3-al-mg-1-h14-h24/</t>
        </is>
      </c>
      <c r="Q13" s="12" t="inlineStr"/>
      <c r="R13" s="13" t="inlineStr"/>
      <c r="S13" s="6" t="inlineStr">
        <is>
          <t>s-3x2000x5000-mm-alu-lemez-en-573-3-al-mg-1-h14-h24</t>
        </is>
      </c>
    </row>
    <row r="14">
      <c r="A14" s="6" t="inlineStr">
        <is>
          <t>351704</t>
        </is>
      </c>
      <c r="B14" s="7" t="inlineStr">
        <is>
          <t>Bill. Rakonca 500 mm első J-B</t>
        </is>
      </c>
      <c r="C14" s="6" t="inlineStr">
        <is>
          <t>Billencs alkatrészek</t>
        </is>
      </c>
      <c r="D14" s="6" t="inlineStr">
        <is>
          <t>Billencs rakoncák</t>
        </is>
      </c>
      <c r="E14" s="6" t="inlineStr">
        <is>
          <t>(nincs megadva)</t>
        </is>
      </c>
      <c r="F14" s="6" t="inlineStr"/>
      <c r="G14" s="6" t="inlineStr">
        <is>
          <t>Quadris Excel</t>
        </is>
      </c>
      <c r="H14" s="6" t="n">
        <v>0</v>
      </c>
      <c r="I14" s="6" t="n">
        <v>0</v>
      </c>
      <c r="J14" s="6" t="inlineStr">
        <is>
          <t>nincs</t>
        </is>
      </c>
      <c r="K14" s="6">
        <f>IF(AND(H14&gt;0,I14&gt;0),"Rendben",IF(AND(H14=0,I14=0),"Nincs kép és adat",IF(H14=0,"Nincs kép","Nincs adat")))</f>
        <v/>
      </c>
      <c r="L14" s="6" t="inlineStr">
        <is>
          <t>Nem</t>
        </is>
      </c>
      <c r="M14" s="7" t="inlineStr">
        <is>
          <t>Quadris-megnevezés (nincs beszállítói forrás)</t>
        </is>
      </c>
      <c r="N14" s="7" t="inlineStr">
        <is>
          <t>Nem kerestük – nincs ismert weboldal vagy katalógus</t>
        </is>
      </c>
      <c r="O14" s="6" t="inlineStr"/>
      <c r="P14" s="11" t="inlineStr">
        <is>
          <t>https://website-9ib.pages.dev/termek/351704-bill-rakonca-500-mm-elso-j-b/</t>
        </is>
      </c>
      <c r="Q14" s="12" t="inlineStr"/>
      <c r="R14" s="13" t="inlineStr"/>
      <c r="S14" s="6" t="inlineStr">
        <is>
          <t>351704-bill-rakonca-500-mm-elso-j-b</t>
        </is>
      </c>
    </row>
    <row r="15">
      <c r="A15" s="6" t="inlineStr">
        <is>
          <t>351707</t>
        </is>
      </c>
      <c r="B15" s="7" t="inlineStr">
        <is>
          <t>Bill. Rakonca 500 mm hátsó J-B</t>
        </is>
      </c>
      <c r="C15" s="6" t="inlineStr">
        <is>
          <t>Billencs alkatrészek</t>
        </is>
      </c>
      <c r="D15" s="6" t="inlineStr">
        <is>
          <t>Billencs rakoncák</t>
        </is>
      </c>
      <c r="E15" s="6" t="inlineStr">
        <is>
          <t>(nincs megadva)</t>
        </is>
      </c>
      <c r="F15" s="6" t="inlineStr"/>
      <c r="G15" s="6" t="inlineStr">
        <is>
          <t>Quadris Excel</t>
        </is>
      </c>
      <c r="H15" s="6" t="n">
        <v>0</v>
      </c>
      <c r="I15" s="6" t="n">
        <v>0</v>
      </c>
      <c r="J15" s="6" t="inlineStr">
        <is>
          <t>nincs</t>
        </is>
      </c>
      <c r="K15" s="6">
        <f>IF(AND(H15&gt;0,I15&gt;0),"Rendben",IF(AND(H15=0,I15=0),"Nincs kép és adat",IF(H15=0,"Nincs kép","Nincs adat")))</f>
        <v/>
      </c>
      <c r="L15" s="6" t="inlineStr">
        <is>
          <t>Nem</t>
        </is>
      </c>
      <c r="M15" s="7" t="inlineStr">
        <is>
          <t>Quadris-megnevezés (nincs beszállítói forrás)</t>
        </is>
      </c>
      <c r="N15" s="7" t="inlineStr">
        <is>
          <t>Nem kerestük – nincs ismert weboldal vagy katalógus</t>
        </is>
      </c>
      <c r="O15" s="6" t="inlineStr"/>
      <c r="P15" s="11" t="inlineStr">
        <is>
          <t>https://website-9ib.pages.dev/termek/351707-bill-rakonca-500-mm-hatso-j-b/</t>
        </is>
      </c>
      <c r="Q15" s="12" t="inlineStr"/>
      <c r="R15" s="13" t="inlineStr"/>
      <c r="S15" s="6" t="inlineStr">
        <is>
          <t>351707-bill-rakonca-500-mm-hatso-j-b</t>
        </is>
      </c>
    </row>
    <row r="16">
      <c r="A16" s="6" t="inlineStr">
        <is>
          <t>351706</t>
        </is>
      </c>
      <c r="B16" s="7" t="inlineStr">
        <is>
          <t>Bill. Rakonca 500 mm középső</t>
        </is>
      </c>
      <c r="C16" s="6" t="inlineStr">
        <is>
          <t>Billencs alkatrészek</t>
        </is>
      </c>
      <c r="D16" s="6" t="inlineStr">
        <is>
          <t>Billencs rakoncák</t>
        </is>
      </c>
      <c r="E16" s="6" t="inlineStr">
        <is>
          <t>(nincs megadva)</t>
        </is>
      </c>
      <c r="F16" s="6" t="inlineStr"/>
      <c r="G16" s="6" t="inlineStr">
        <is>
          <t>Quadris Excel</t>
        </is>
      </c>
      <c r="H16" s="6" t="n">
        <v>0</v>
      </c>
      <c r="I16" s="6" t="n">
        <v>0</v>
      </c>
      <c r="J16" s="6" t="inlineStr">
        <is>
          <t>nincs</t>
        </is>
      </c>
      <c r="K16" s="6">
        <f>IF(AND(H16&gt;0,I16&gt;0),"Rendben",IF(AND(H16=0,I16=0),"Nincs kép és adat",IF(H16=0,"Nincs kép","Nincs adat")))</f>
        <v/>
      </c>
      <c r="L16" s="6" t="inlineStr">
        <is>
          <t>Nem</t>
        </is>
      </c>
      <c r="M16" s="7" t="inlineStr">
        <is>
          <t>Quadris-megnevezés (nincs beszállítói forrás)</t>
        </is>
      </c>
      <c r="N16" s="7" t="inlineStr">
        <is>
          <t>Nem kerestük – nincs ismert weboldal vagy katalógus</t>
        </is>
      </c>
      <c r="O16" s="6" t="inlineStr"/>
      <c r="P16" s="11" t="inlineStr">
        <is>
          <t>https://website-9ib.pages.dev/termek/351706-bill-rakonca-500-mm-kozepso/</t>
        </is>
      </c>
      <c r="Q16" s="12" t="inlineStr"/>
      <c r="R16" s="13" t="inlineStr"/>
      <c r="S16" s="6" t="inlineStr">
        <is>
          <t>351706-bill-rakonca-500-mm-kozepso</t>
        </is>
      </c>
    </row>
    <row r="17">
      <c r="A17" s="6" t="inlineStr">
        <is>
          <t>35880</t>
        </is>
      </c>
      <c r="B17" s="7" t="inlineStr">
        <is>
          <t>MAX 800 Első rakonca J-B</t>
        </is>
      </c>
      <c r="C17" s="6" t="inlineStr">
        <is>
          <t>Billencs alkatrészek</t>
        </is>
      </c>
      <c r="D17" s="6" t="inlineStr">
        <is>
          <t>Billencs rakoncák</t>
        </is>
      </c>
      <c r="E17" s="6" t="inlineStr">
        <is>
          <t>(nincs megadva)</t>
        </is>
      </c>
      <c r="F17" s="6" t="inlineStr"/>
      <c r="G17" s="6" t="inlineStr">
        <is>
          <t>Quadris Excel</t>
        </is>
      </c>
      <c r="H17" s="6" t="n">
        <v>1</v>
      </c>
      <c r="I17" s="6" t="n">
        <v>6</v>
      </c>
      <c r="J17" s="6" t="inlineStr">
        <is>
          <t>nincs</t>
        </is>
      </c>
      <c r="K17" s="6">
        <f>IF(AND(H17&gt;0,I17&gt;0),"Rendben",IF(AND(H17=0,I17=0),"Nincs kép és adat",IF(H17=0,"Nincs kép","Nincs adat")))</f>
        <v/>
      </c>
      <c r="L17" s="6" t="inlineStr">
        <is>
          <t>Nem</t>
        </is>
      </c>
      <c r="M17" s="7" t="inlineStr">
        <is>
          <t>Quadris-megnevezés (nincs beszállítói forrás)</t>
        </is>
      </c>
      <c r="N17" s="7" t="inlineStr">
        <is>
          <t>Megtalálva: Ital Accessori katalógus 53. oldal</t>
        </is>
      </c>
      <c r="O17" s="11" t="inlineStr">
        <is>
          <t>https://www.ital-accessori.sk/katalog/book/KOMP/53/</t>
        </is>
      </c>
      <c r="P17" s="11" t="inlineStr">
        <is>
          <t>https://website-9ib.pages.dev/termek/35880-max-800-elso-rakonca-j-b/</t>
        </is>
      </c>
      <c r="Q17" s="12" t="inlineStr"/>
      <c r="R17" s="13" t="inlineStr"/>
      <c r="S17" s="6" t="inlineStr">
        <is>
          <t>35880-max-800-elso-rakonca-j-b</t>
        </is>
      </c>
    </row>
    <row r="18">
      <c r="A18" s="6" t="inlineStr">
        <is>
          <t>35800</t>
        </is>
      </c>
      <c r="B18" s="7" t="inlineStr">
        <is>
          <t>MAX 800 Köztes rakonca</t>
        </is>
      </c>
      <c r="C18" s="6" t="inlineStr">
        <is>
          <t>Billencs alkatrészek</t>
        </is>
      </c>
      <c r="D18" s="6" t="inlineStr">
        <is>
          <t>Billencs rakoncák</t>
        </is>
      </c>
      <c r="E18" s="6" t="inlineStr">
        <is>
          <t>(nincs megadva)</t>
        </is>
      </c>
      <c r="F18" s="6" t="inlineStr">
        <is>
          <t>022650</t>
        </is>
      </c>
      <c r="G18" s="6" t="inlineStr">
        <is>
          <t>Quadris Excel</t>
        </is>
      </c>
      <c r="H18" s="6" t="n">
        <v>1</v>
      </c>
      <c r="I18" s="6" t="n">
        <v>6</v>
      </c>
      <c r="J18" s="6" t="inlineStr">
        <is>
          <t>nincs</t>
        </is>
      </c>
      <c r="K18" s="6">
        <f>IF(AND(H18&gt;0,I18&gt;0),"Rendben",IF(AND(H18=0,I18=0),"Nincs kép és adat",IF(H18=0,"Nincs kép","Nincs adat")))</f>
        <v/>
      </c>
      <c r="L18" s="6" t="inlineStr">
        <is>
          <t>Nem</t>
        </is>
      </c>
      <c r="M18" s="7" t="inlineStr">
        <is>
          <t>Quadris-megnevezés (nincs beszállítói forrás)</t>
        </is>
      </c>
      <c r="N18" s="7" t="inlineStr">
        <is>
          <t>Megtalálva: Ital Accessori katalógus 53. oldal (kód: 022650)</t>
        </is>
      </c>
      <c r="O18" s="11" t="inlineStr">
        <is>
          <t>https://www.ital-accessori.sk/katalog/book/KOMP/53/</t>
        </is>
      </c>
      <c r="P18" s="11" t="inlineStr">
        <is>
          <t>https://website-9ib.pages.dev/termek/35800-max-800-koztes-rakonca/</t>
        </is>
      </c>
      <c r="Q18" s="12" t="inlineStr"/>
      <c r="R18" s="13" t="inlineStr"/>
      <c r="S18" s="6" t="inlineStr">
        <is>
          <t>35800-max-800-koztes-rakonca</t>
        </is>
      </c>
    </row>
    <row r="19">
      <c r="A19" s="6" t="inlineStr">
        <is>
          <t>5023</t>
        </is>
      </c>
      <c r="B19" s="7" t="inlineStr">
        <is>
          <t>Munkahenger 05x1240x112 5t</t>
        </is>
      </c>
      <c r="C19" s="6" t="inlineStr">
        <is>
          <t>Billencs alkatrészek</t>
        </is>
      </c>
      <c r="D19" s="6" t="inlineStr">
        <is>
          <t>Billencs alkatrészek</t>
        </is>
      </c>
      <c r="E19" s="6" t="inlineStr">
        <is>
          <t>(nincs megadva)</t>
        </is>
      </c>
      <c r="F19" s="6" t="inlineStr">
        <is>
          <t>515023</t>
        </is>
      </c>
      <c r="G19" s="6" t="inlineStr">
        <is>
          <t>Quadris Excel</t>
        </is>
      </c>
      <c r="H19" s="6" t="n">
        <v>1</v>
      </c>
      <c r="I19" s="6" t="n">
        <v>6</v>
      </c>
      <c r="J19" s="6" t="inlineStr">
        <is>
          <t>van</t>
        </is>
      </c>
      <c r="K19" s="6">
        <f>IF(AND(H19&gt;0,I19&gt;0),"Rendben",IF(AND(H19=0,I19=0),"Nincs kép és adat",IF(H19=0,"Nincs kép","Nincs adat")))</f>
        <v/>
      </c>
      <c r="L19" s="6" t="inlineStr">
        <is>
          <t>Nem</t>
        </is>
      </c>
      <c r="M19" s="7" t="inlineStr">
        <is>
          <t>Quadris-megnevezés (nincs beszállítói forrás)</t>
        </is>
      </c>
      <c r="N19" s="7" t="inlineStr">
        <is>
          <t>Megtalálva: Ital Accessori katalógus 348. oldal (kód: 515023)</t>
        </is>
      </c>
      <c r="O19" s="11" t="inlineStr">
        <is>
          <t>https://www.ital-accessori.sk/katalog/book/KOMP/348/</t>
        </is>
      </c>
      <c r="P19" s="11" t="inlineStr">
        <is>
          <t>https://website-9ib.pages.dev/termek/5023-munkahenger-05x1240x112-5t/</t>
        </is>
      </c>
      <c r="Q19" s="12" t="inlineStr"/>
      <c r="R19" s="13" t="inlineStr"/>
      <c r="S19" s="6" t="inlineStr">
        <is>
          <t>5023-munkahenger-05x1240x112-5t</t>
        </is>
      </c>
    </row>
    <row r="20">
      <c r="A20" s="6" t="inlineStr">
        <is>
          <t>6004</t>
        </is>
      </c>
      <c r="B20" s="7" t="inlineStr">
        <is>
          <t>Munkahenger 6T 06x1245x124</t>
        </is>
      </c>
      <c r="C20" s="6" t="inlineStr">
        <is>
          <t>Billencs alkatrészek</t>
        </is>
      </c>
      <c r="D20" s="6" t="inlineStr">
        <is>
          <t>Billencs alkatrészek</t>
        </is>
      </c>
      <c r="E20" s="6" t="inlineStr">
        <is>
          <t>(nincs megadva)</t>
        </is>
      </c>
      <c r="F20" s="6" t="inlineStr">
        <is>
          <t>6004S</t>
        </is>
      </c>
      <c r="G20" s="6" t="inlineStr">
        <is>
          <t>Quadris Excel</t>
        </is>
      </c>
      <c r="H20" s="6" t="n">
        <v>1</v>
      </c>
      <c r="I20" s="6" t="n">
        <v>6</v>
      </c>
      <c r="J20" s="6" t="inlineStr">
        <is>
          <t>van</t>
        </is>
      </c>
      <c r="K20" s="6">
        <f>IF(AND(H20&gt;0,I20&gt;0),"Rendben",IF(AND(H20=0,I20=0),"Nincs kép és adat",IF(H20=0,"Nincs kép","Nincs adat")))</f>
        <v/>
      </c>
      <c r="L20" s="6" t="inlineStr">
        <is>
          <t>Nem</t>
        </is>
      </c>
      <c r="M20" s="7" t="inlineStr">
        <is>
          <t>Quadris-megnevezés (nincs beszállítói forrás)</t>
        </is>
      </c>
      <c r="N20" s="7" t="inlineStr">
        <is>
          <t>Megtalálva: Ital Accessori katalógus 354. oldal (kód: 6004S)</t>
        </is>
      </c>
      <c r="O20" s="11" t="inlineStr">
        <is>
          <t>https://www.ital-accessori.sk/katalog/book/KOMP/354/</t>
        </is>
      </c>
      <c r="P20" s="11" t="inlineStr">
        <is>
          <t>https://website-9ib.pages.dev/termek/6004-munkahenger-6t-06x1245x124/</t>
        </is>
      </c>
      <c r="Q20" s="12" t="inlineStr"/>
      <c r="R20" s="13" t="inlineStr"/>
      <c r="S20" s="6" t="inlineStr">
        <is>
          <t>6004-munkahenger-6t-06x1245x124</t>
        </is>
      </c>
    </row>
    <row r="21">
      <c r="A21" s="6" t="inlineStr">
        <is>
          <t>3093</t>
        </is>
      </c>
      <c r="B21" s="7" t="inlineStr">
        <is>
          <t>Munkahenger 8t 05x1190x124</t>
        </is>
      </c>
      <c r="C21" s="6" t="inlineStr">
        <is>
          <t>Billencs alkatrészek</t>
        </is>
      </c>
      <c r="D21" s="6" t="inlineStr">
        <is>
          <t>Billencs alkatrészek</t>
        </is>
      </c>
      <c r="E21" s="6" t="inlineStr">
        <is>
          <t>(nincs megadva)</t>
        </is>
      </c>
      <c r="F21" s="6" t="inlineStr">
        <is>
          <t>3093S</t>
        </is>
      </c>
      <c r="G21" s="6" t="inlineStr">
        <is>
          <t>Quadris Excel</t>
        </is>
      </c>
      <c r="H21" s="6" t="n">
        <v>1</v>
      </c>
      <c r="I21" s="6" t="n">
        <v>6</v>
      </c>
      <c r="J21" s="6" t="inlineStr">
        <is>
          <t>van</t>
        </is>
      </c>
      <c r="K21" s="6">
        <f>IF(AND(H21&gt;0,I21&gt;0),"Rendben",IF(AND(H21=0,I21=0),"Nincs kép és adat",IF(H21=0,"Nincs kép","Nincs adat")))</f>
        <v/>
      </c>
      <c r="L21" s="6" t="inlineStr">
        <is>
          <t>Nem</t>
        </is>
      </c>
      <c r="M21" s="7" t="inlineStr">
        <is>
          <t>Quadris-megnevezés (nincs beszállítói forrás)</t>
        </is>
      </c>
      <c r="N21" s="7" t="inlineStr">
        <is>
          <t>Megtalálva: Ital Accessori katalógus 349. oldal (kód: 3093S)</t>
        </is>
      </c>
      <c r="O21" s="11" t="inlineStr">
        <is>
          <t>https://www.ital-accessori.sk/katalog/book/KOMP/349/</t>
        </is>
      </c>
      <c r="P21" s="11" t="inlineStr">
        <is>
          <t>https://website-9ib.pages.dev/termek/3093-munkahenger-8t-05x1190x124/</t>
        </is>
      </c>
      <c r="Q21" s="12" t="inlineStr"/>
      <c r="R21" s="13" t="inlineStr"/>
      <c r="S21" s="6" t="inlineStr">
        <is>
          <t>3093-munkahenger-8t-05x1190x124</t>
        </is>
      </c>
    </row>
    <row r="22">
      <c r="A22" s="6" t="inlineStr">
        <is>
          <t>6008</t>
        </is>
      </c>
      <c r="B22" s="7" t="inlineStr">
        <is>
          <t>Munkahenger 9T 06x1470x152</t>
        </is>
      </c>
      <c r="C22" s="6" t="inlineStr">
        <is>
          <t>Billencs alkatrészek</t>
        </is>
      </c>
      <c r="D22" s="6" t="inlineStr">
        <is>
          <t>Billencs alkatrészek</t>
        </is>
      </c>
      <c r="E22" s="6" t="inlineStr">
        <is>
          <t>(nincs megadva)</t>
        </is>
      </c>
      <c r="F22" s="6" t="inlineStr">
        <is>
          <t>6008S</t>
        </is>
      </c>
      <c r="G22" s="6" t="inlineStr">
        <is>
          <t>Quadris Excel</t>
        </is>
      </c>
      <c r="H22" s="6" t="n">
        <v>1</v>
      </c>
      <c r="I22" s="6" t="n">
        <v>6</v>
      </c>
      <c r="J22" s="6" t="inlineStr">
        <is>
          <t>van</t>
        </is>
      </c>
      <c r="K22" s="6">
        <f>IF(AND(H22&gt;0,I22&gt;0),"Rendben",IF(AND(H22=0,I22=0),"Nincs kép és adat",IF(H22=0,"Nincs kép","Nincs adat")))</f>
        <v/>
      </c>
      <c r="L22" s="6" t="inlineStr">
        <is>
          <t>Nem</t>
        </is>
      </c>
      <c r="M22" s="7" t="inlineStr">
        <is>
          <t>Quadris-megnevezés (nincs beszállítói forrás)</t>
        </is>
      </c>
      <c r="N22" s="7" t="inlineStr">
        <is>
          <t>Megtalálva: Ital Accessori katalógus 355. oldal (kód: 6008S)</t>
        </is>
      </c>
      <c r="O22" s="11" t="inlineStr">
        <is>
          <t>https://www.ital-accessori.sk/katalog/book/KOMP/355/</t>
        </is>
      </c>
      <c r="P22" s="11" t="inlineStr">
        <is>
          <t>https://website-9ib.pages.dev/termek/6008-munkahenger-9t-06x1470x152/</t>
        </is>
      </c>
      <c r="Q22" s="12" t="inlineStr"/>
      <c r="R22" s="13" t="inlineStr"/>
      <c r="S22" s="6" t="inlineStr">
        <is>
          <t>6008-munkahenger-9t-06x1470x152</t>
        </is>
      </c>
    </row>
    <row r="23">
      <c r="A23" s="6" t="inlineStr">
        <is>
          <t>147443/ST</t>
        </is>
      </c>
      <c r="B23" s="7" t="inlineStr">
        <is>
          <t>Perforál acél keret 27 mm vállal L: 7500</t>
        </is>
      </c>
      <c r="C23" s="6" t="inlineStr">
        <is>
          <t>Billencs alkatrészek</t>
        </is>
      </c>
      <c r="D23" s="6" t="inlineStr">
        <is>
          <t>Billencs alkatrészek</t>
        </is>
      </c>
      <c r="E23" s="6" t="inlineStr">
        <is>
          <t>(nincs megadva)</t>
        </is>
      </c>
      <c r="F23" s="6" t="inlineStr"/>
      <c r="G23" s="6" t="inlineStr">
        <is>
          <t>Quadris Excel</t>
        </is>
      </c>
      <c r="H23" s="6" t="n">
        <v>0</v>
      </c>
      <c r="I23" s="6" t="n">
        <v>0</v>
      </c>
      <c r="J23" s="6" t="inlineStr">
        <is>
          <t>nincs</t>
        </is>
      </c>
      <c r="K23" s="6">
        <f>IF(AND(H23&gt;0,I23&gt;0),"Rendben",IF(AND(H23=0,I23=0),"Nincs kép és adat",IF(H23=0,"Nincs kép","Nincs adat")))</f>
        <v/>
      </c>
      <c r="L23" s="6" t="inlineStr">
        <is>
          <t>Nem</t>
        </is>
      </c>
      <c r="M23" s="7" t="inlineStr">
        <is>
          <t>Quadris-megnevezés (nincs beszállítói forrás)</t>
        </is>
      </c>
      <c r="N23" s="7" t="inlineStr">
        <is>
          <t>Nem kerestük – nincs ismert weboldal vagy katalógus</t>
        </is>
      </c>
      <c r="O23" s="6" t="inlineStr"/>
      <c r="P23" s="11" t="inlineStr">
        <is>
          <t>https://website-9ib.pages.dev/termek/147443-st-perforal-acel-keret-27-mm-vallal-l-7500/</t>
        </is>
      </c>
      <c r="Q23" s="12" t="inlineStr"/>
      <c r="R23" s="13" t="inlineStr"/>
      <c r="S23" s="6" t="inlineStr">
        <is>
          <t>147443-st-perforal-acel-keret-27-mm-vallal-l-7500</t>
        </is>
      </c>
    </row>
    <row r="24">
      <c r="A24" s="6" t="inlineStr">
        <is>
          <t>3510206</t>
        </is>
      </c>
      <c r="B24" s="7" t="inlineStr">
        <is>
          <t>SP.41 Billencs KÖZÉPSŐ rakonca 400/120 mm</t>
        </is>
      </c>
      <c r="C24" s="6" t="inlineStr">
        <is>
          <t>Billencs alkatrészek</t>
        </is>
      </c>
      <c r="D24" s="6" t="inlineStr">
        <is>
          <t>Billencs rakoncák</t>
        </is>
      </c>
      <c r="E24" s="6" t="inlineStr">
        <is>
          <t>(nincs megadva)</t>
        </is>
      </c>
      <c r="F24" s="6" t="inlineStr">
        <is>
          <t>D010206</t>
        </is>
      </c>
      <c r="G24" s="6" t="inlineStr">
        <is>
          <t>Quadris Excel</t>
        </is>
      </c>
      <c r="H24" s="6" t="n">
        <v>0</v>
      </c>
      <c r="I24" s="6" t="n">
        <v>0</v>
      </c>
      <c r="J24" s="6" t="inlineStr">
        <is>
          <t>nincs</t>
        </is>
      </c>
      <c r="K24" s="6">
        <f>IF(AND(H24&gt;0,I24&gt;0),"Rendben",IF(AND(H24=0,I24=0),"Nincs kép és adat",IF(H24=0,"Nincs kép","Nincs adat")))</f>
        <v/>
      </c>
      <c r="L24" s="6" t="inlineStr">
        <is>
          <t>Nem</t>
        </is>
      </c>
      <c r="M24" s="7" t="inlineStr">
        <is>
          <t>Quadris-megnevezés (nincs beszállítói forrás)</t>
        </is>
      </c>
      <c r="N24" s="7" t="inlineStr">
        <is>
          <t>Nem kerestük – nincs ismert weboldal vagy katalógus</t>
        </is>
      </c>
      <c r="O24" s="6" t="inlineStr"/>
      <c r="P24" s="11" t="inlineStr">
        <is>
          <t>https://website-9ib.pages.dev/termek/3510206-sp-41-billencs-kozepso-rakonca-400-120-mm/</t>
        </is>
      </c>
      <c r="Q24" s="12" t="inlineStr"/>
      <c r="R24" s="13" t="inlineStr"/>
      <c r="S24" s="6" t="inlineStr">
        <is>
          <t>3510206-sp-41-billencs-kozepso-rakonca-400-120-mm</t>
        </is>
      </c>
    </row>
    <row r="25">
      <c r="A25" s="6" t="inlineStr">
        <is>
          <t>3510204</t>
        </is>
      </c>
      <c r="B25" s="7" t="inlineStr">
        <is>
          <t>SP.41 Billencs első rakonca 400/85 mm B</t>
        </is>
      </c>
      <c r="C25" s="6" t="inlineStr">
        <is>
          <t>Billencs alkatrészek</t>
        </is>
      </c>
      <c r="D25" s="6" t="inlineStr">
        <is>
          <t>Billencs rakoncák</t>
        </is>
      </c>
      <c r="E25" s="6" t="inlineStr">
        <is>
          <t>(nincs megadva)</t>
        </is>
      </c>
      <c r="F25" s="6" t="inlineStr">
        <is>
          <t>D010204</t>
        </is>
      </c>
      <c r="G25" s="6" t="inlineStr">
        <is>
          <t>Quadris Excel</t>
        </is>
      </c>
      <c r="H25" s="6" t="n">
        <v>0</v>
      </c>
      <c r="I25" s="6" t="n">
        <v>0</v>
      </c>
      <c r="J25" s="6" t="inlineStr">
        <is>
          <t>nincs</t>
        </is>
      </c>
      <c r="K25" s="6">
        <f>IF(AND(H25&gt;0,I25&gt;0),"Rendben",IF(AND(H25=0,I25=0),"Nincs kép és adat",IF(H25=0,"Nincs kép","Nincs adat")))</f>
        <v/>
      </c>
      <c r="L25" s="6" t="inlineStr">
        <is>
          <t>Nem</t>
        </is>
      </c>
      <c r="M25" s="7" t="inlineStr">
        <is>
          <t>Quadris-megnevezés (nincs beszállítói forrás)</t>
        </is>
      </c>
      <c r="N25" s="7" t="inlineStr">
        <is>
          <t>Nem kerestük – nincs ismert weboldal vagy katalógus</t>
        </is>
      </c>
      <c r="O25" s="6" t="inlineStr"/>
      <c r="P25" s="11" t="inlineStr">
        <is>
          <t>https://website-9ib.pages.dev/termek/3510204-sp-41-billencs-elso-rakonca-400-85-mm-b/</t>
        </is>
      </c>
      <c r="Q25" s="12" t="inlineStr"/>
      <c r="R25" s="13" t="inlineStr"/>
      <c r="S25" s="6" t="inlineStr">
        <is>
          <t>3510204-sp-41-billencs-elso-rakonca-400-85-mm-b</t>
        </is>
      </c>
    </row>
    <row r="26">
      <c r="A26" s="6" t="inlineStr">
        <is>
          <t>3510204</t>
        </is>
      </c>
      <c r="B26" s="7" t="inlineStr">
        <is>
          <t>SP.41 Billencs első rakonca 400/85 mm J</t>
        </is>
      </c>
      <c r="C26" s="6" t="inlineStr">
        <is>
          <t>Billencs alkatrészek</t>
        </is>
      </c>
      <c r="D26" s="6" t="inlineStr">
        <is>
          <t>Billencs rakoncák</t>
        </is>
      </c>
      <c r="E26" s="6" t="inlineStr">
        <is>
          <t>(nincs megadva)</t>
        </is>
      </c>
      <c r="F26" s="6" t="inlineStr">
        <is>
          <t>D010204</t>
        </is>
      </c>
      <c r="G26" s="6" t="inlineStr">
        <is>
          <t>Quadris Excel</t>
        </is>
      </c>
      <c r="H26" s="6" t="n">
        <v>0</v>
      </c>
      <c r="I26" s="6" t="n">
        <v>0</v>
      </c>
      <c r="J26" s="6" t="inlineStr">
        <is>
          <t>nincs</t>
        </is>
      </c>
      <c r="K26" s="6">
        <f>IF(AND(H26&gt;0,I26&gt;0),"Rendben",IF(AND(H26=0,I26=0),"Nincs kép és adat",IF(H26=0,"Nincs kép","Nincs adat")))</f>
        <v/>
      </c>
      <c r="L26" s="6" t="inlineStr">
        <is>
          <t>Nem</t>
        </is>
      </c>
      <c r="M26" s="7" t="inlineStr">
        <is>
          <t>Quadris-megnevezés (nincs beszállítói forrás)</t>
        </is>
      </c>
      <c r="N26" s="7" t="inlineStr">
        <is>
          <t>Nem kerestük – nincs ismert weboldal vagy katalógus</t>
        </is>
      </c>
      <c r="O26" s="6" t="inlineStr"/>
      <c r="P26" s="11" t="inlineStr">
        <is>
          <t>https://website-9ib.pages.dev/termek/3510204-sp-41-billencs-elso-rakonca-400-85-mm-j/</t>
        </is>
      </c>
      <c r="Q26" s="12" t="inlineStr"/>
      <c r="R26" s="13" t="inlineStr"/>
      <c r="S26" s="6" t="inlineStr">
        <is>
          <t>3510204-sp-41-billencs-elso-rakonca-400-85-mm-j</t>
        </is>
      </c>
    </row>
    <row r="27">
      <c r="A27" s="6" t="inlineStr">
        <is>
          <t>3510207</t>
        </is>
      </c>
      <c r="B27" s="7" t="inlineStr">
        <is>
          <t>SP.41 Billencs hátsó rakonca 400/120 mm B</t>
        </is>
      </c>
      <c r="C27" s="6" t="inlineStr">
        <is>
          <t>Billencs alkatrészek</t>
        </is>
      </c>
      <c r="D27" s="6" t="inlineStr">
        <is>
          <t>Billencs rakoncák</t>
        </is>
      </c>
      <c r="E27" s="6" t="inlineStr">
        <is>
          <t>(nincs megadva)</t>
        </is>
      </c>
      <c r="F27" s="6" t="inlineStr">
        <is>
          <t>D010207</t>
        </is>
      </c>
      <c r="G27" s="6" t="inlineStr">
        <is>
          <t>Quadris Excel</t>
        </is>
      </c>
      <c r="H27" s="6" t="n">
        <v>0</v>
      </c>
      <c r="I27" s="6" t="n">
        <v>0</v>
      </c>
      <c r="J27" s="6" t="inlineStr">
        <is>
          <t>nincs</t>
        </is>
      </c>
      <c r="K27" s="6">
        <f>IF(AND(H27&gt;0,I27&gt;0),"Rendben",IF(AND(H27=0,I27=0),"Nincs kép és adat",IF(H27=0,"Nincs kép","Nincs adat")))</f>
        <v/>
      </c>
      <c r="L27" s="6" t="inlineStr">
        <is>
          <t>Nem</t>
        </is>
      </c>
      <c r="M27" s="7" t="inlineStr">
        <is>
          <t>Quadris-megnevezés (nincs beszállítói forrás)</t>
        </is>
      </c>
      <c r="N27" s="7" t="inlineStr">
        <is>
          <t>Nem kerestük – nincs ismert weboldal vagy katalógus</t>
        </is>
      </c>
      <c r="O27" s="6" t="inlineStr"/>
      <c r="P27" s="11" t="inlineStr">
        <is>
          <t>https://website-9ib.pages.dev/termek/3510207-sp-41-billencs-hatso-rakonca-400-120-mm-b/</t>
        </is>
      </c>
      <c r="Q27" s="12" t="inlineStr"/>
      <c r="R27" s="13" t="inlineStr"/>
      <c r="S27" s="6" t="inlineStr">
        <is>
          <t>3510207-sp-41-billencs-hatso-rakonca-400-120-mm-b</t>
        </is>
      </c>
    </row>
    <row r="28">
      <c r="A28" s="6" t="inlineStr">
        <is>
          <t>3510207</t>
        </is>
      </c>
      <c r="B28" s="7" t="inlineStr">
        <is>
          <t>SP.41 Billencs hátsó rakonca 400/120 mm J</t>
        </is>
      </c>
      <c r="C28" s="6" t="inlineStr">
        <is>
          <t>Billencs alkatrészek</t>
        </is>
      </c>
      <c r="D28" s="6" t="inlineStr">
        <is>
          <t>Billencs rakoncák</t>
        </is>
      </c>
      <c r="E28" s="6" t="inlineStr">
        <is>
          <t>(nincs megadva)</t>
        </is>
      </c>
      <c r="F28" s="6" t="inlineStr">
        <is>
          <t>D010207</t>
        </is>
      </c>
      <c r="G28" s="6" t="inlineStr">
        <is>
          <t>Quadris Excel</t>
        </is>
      </c>
      <c r="H28" s="6" t="n">
        <v>0</v>
      </c>
      <c r="I28" s="6" t="n">
        <v>0</v>
      </c>
      <c r="J28" s="6" t="inlineStr">
        <is>
          <t>nincs</t>
        </is>
      </c>
      <c r="K28" s="6">
        <f>IF(AND(H28&gt;0,I28&gt;0),"Rendben",IF(AND(H28=0,I28=0),"Nincs kép és adat",IF(H28=0,"Nincs kép","Nincs adat")))</f>
        <v/>
      </c>
      <c r="L28" s="6" t="inlineStr">
        <is>
          <t>Nem</t>
        </is>
      </c>
      <c r="M28" s="7" t="inlineStr">
        <is>
          <t>Quadris-megnevezés (nincs beszállítói forrás)</t>
        </is>
      </c>
      <c r="N28" s="7" t="inlineStr">
        <is>
          <t>Nem kerestük – nincs ismert weboldal vagy katalógus</t>
        </is>
      </c>
      <c r="O28" s="6" t="inlineStr"/>
      <c r="P28" s="11" t="inlineStr">
        <is>
          <t>https://website-9ib.pages.dev/termek/3510207-sp-41-billencs-hatso-rakonca-400-120-mm-j/</t>
        </is>
      </c>
      <c r="Q28" s="12" t="inlineStr"/>
      <c r="R28" s="13" t="inlineStr"/>
      <c r="S28" s="6" t="inlineStr">
        <is>
          <t>3510207-sp-41-billencs-hatso-rakonca-400-120-mm-j</t>
        </is>
      </c>
    </row>
    <row r="29">
      <c r="A29" s="6" t="inlineStr">
        <is>
          <t>352571</t>
        </is>
      </c>
      <c r="B29" s="7" t="inlineStr">
        <is>
          <t>SP33 - 600 mm Bill. hátsó rakonca J/B</t>
        </is>
      </c>
      <c r="C29" s="6" t="inlineStr">
        <is>
          <t>Billencs alkatrészek</t>
        </is>
      </c>
      <c r="D29" s="6" t="inlineStr">
        <is>
          <t>Billencs rakoncák</t>
        </is>
      </c>
      <c r="E29" s="6" t="inlineStr">
        <is>
          <t>(nincs megadva)</t>
        </is>
      </c>
      <c r="F29" s="6" t="inlineStr">
        <is>
          <t>325711, 322711</t>
        </is>
      </c>
      <c r="G29" s="6" t="inlineStr">
        <is>
          <t>Quadris Excel</t>
        </is>
      </c>
      <c r="H29" s="6" t="n">
        <v>1</v>
      </c>
      <c r="I29" s="6" t="n">
        <v>3</v>
      </c>
      <c r="J29" s="6" t="inlineStr">
        <is>
          <t>nincs</t>
        </is>
      </c>
      <c r="K29" s="6">
        <f>IF(AND(H29&gt;0,I29&gt;0),"Rendben",IF(AND(H29=0,I29=0),"Nincs kép és adat",IF(H29=0,"Nincs kép","Nincs adat")))</f>
        <v/>
      </c>
      <c r="L29" s="6" t="inlineStr">
        <is>
          <t>Nem</t>
        </is>
      </c>
      <c r="M29" s="7" t="inlineStr">
        <is>
          <t>Quadris-megnevezés (nincs beszállítói forrás)</t>
        </is>
      </c>
      <c r="N29" s="7" t="inlineStr">
        <is>
          <t>Megtalálva: Ital Accessori katalógus 321. oldal (kód: 325711, 322711)</t>
        </is>
      </c>
      <c r="O29" s="11" t="inlineStr">
        <is>
          <t>https://www.ital-accessori.sk/katalog/book/KOMP/321/</t>
        </is>
      </c>
      <c r="P29" s="11" t="inlineStr">
        <is>
          <t>https://website-9ib.pages.dev/termek/352571-sp33-600-mm-bill-hatso-rakonca-j-b/</t>
        </is>
      </c>
      <c r="Q29" s="12" t="inlineStr"/>
      <c r="R29" s="13" t="inlineStr"/>
      <c r="S29" s="6" t="inlineStr">
        <is>
          <t>352571-sp33-600-mm-bill-hatso-rakonca-j-b</t>
        </is>
      </c>
    </row>
    <row r="30">
      <c r="A30" s="6" t="inlineStr">
        <is>
          <t>352578</t>
        </is>
      </c>
      <c r="B30" s="7" t="inlineStr">
        <is>
          <t>SP36 - 600 mm Bill. első rakonca J/B</t>
        </is>
      </c>
      <c r="C30" s="6" t="inlineStr">
        <is>
          <t>Billencs alkatrészek</t>
        </is>
      </c>
      <c r="D30" s="6" t="inlineStr">
        <is>
          <t>Billencs rakoncák</t>
        </is>
      </c>
      <c r="E30" s="6" t="inlineStr">
        <is>
          <t>(nincs megadva)</t>
        </is>
      </c>
      <c r="F30" s="6" t="inlineStr">
        <is>
          <t>3251708, 322708</t>
        </is>
      </c>
      <c r="G30" s="6" t="inlineStr">
        <is>
          <t>Quadris Excel</t>
        </is>
      </c>
      <c r="H30" s="6" t="n">
        <v>1</v>
      </c>
      <c r="I30" s="6" t="n">
        <v>3</v>
      </c>
      <c r="J30" s="6" t="inlineStr">
        <is>
          <t>nincs</t>
        </is>
      </c>
      <c r="K30" s="6">
        <f>IF(AND(H30&gt;0,I30&gt;0),"Rendben",IF(AND(H30=0,I30=0),"Nincs kép és adat",IF(H30=0,"Nincs kép","Nincs adat")))</f>
        <v/>
      </c>
      <c r="L30" s="6" t="inlineStr">
        <is>
          <t>Nem</t>
        </is>
      </c>
      <c r="M30" s="7" t="inlineStr">
        <is>
          <t>Quadris-megnevezés (nincs beszállítói forrás)</t>
        </is>
      </c>
      <c r="N30" s="7" t="inlineStr">
        <is>
          <t>Megtalálva: Ital Accessori katalógus 321. oldal (kód: 3251708, 322708)</t>
        </is>
      </c>
      <c r="O30" s="11" t="inlineStr">
        <is>
          <t>https://www.ital-accessori.sk/katalog/book/KOMP/321/</t>
        </is>
      </c>
      <c r="P30" s="11" t="inlineStr">
        <is>
          <t>https://website-9ib.pages.dev/termek/352578-sp36-600-mm-bill-elso-rakonca-j-b/</t>
        </is>
      </c>
      <c r="Q30" s="12" t="inlineStr"/>
      <c r="R30" s="13" t="inlineStr"/>
      <c r="S30" s="6" t="inlineStr">
        <is>
          <t>352578-sp36-600-mm-bill-elso-rakonca-j-b</t>
        </is>
      </c>
    </row>
    <row r="31">
      <c r="A31" s="6" t="inlineStr">
        <is>
          <t>352572</t>
        </is>
      </c>
      <c r="B31" s="7" t="inlineStr">
        <is>
          <t>SP36 - 600 mm Bill. középső rakonca</t>
        </is>
      </c>
      <c r="C31" s="6" t="inlineStr">
        <is>
          <t>Billencs alkatrészek</t>
        </is>
      </c>
      <c r="D31" s="6" t="inlineStr">
        <is>
          <t>Billencs rakoncák</t>
        </is>
      </c>
      <c r="E31" s="6" t="inlineStr">
        <is>
          <t>(nincs megadva)</t>
        </is>
      </c>
      <c r="F31" s="6" t="inlineStr">
        <is>
          <t>321710</t>
        </is>
      </c>
      <c r="G31" s="6" t="inlineStr">
        <is>
          <t>Quadris Excel</t>
        </is>
      </c>
      <c r="H31" s="6" t="n">
        <v>1</v>
      </c>
      <c r="I31" s="6" t="n">
        <v>3</v>
      </c>
      <c r="J31" s="6" t="inlineStr">
        <is>
          <t>nincs</t>
        </is>
      </c>
      <c r="K31" s="6">
        <f>IF(AND(H31&gt;0,I31&gt;0),"Rendben",IF(AND(H31=0,I31=0),"Nincs kép és adat",IF(H31=0,"Nincs kép","Nincs adat")))</f>
        <v/>
      </c>
      <c r="L31" s="6" t="inlineStr">
        <is>
          <t>Nem</t>
        </is>
      </c>
      <c r="M31" s="7" t="inlineStr">
        <is>
          <t>Quadris-megnevezés (nincs beszállítói forrás)</t>
        </is>
      </c>
      <c r="N31" s="7" t="inlineStr">
        <is>
          <t>Megtalálva: Ital Accessori katalógus 321. oldal (kód: 321710)</t>
        </is>
      </c>
      <c r="O31" s="11" t="inlineStr">
        <is>
          <t>https://www.ital-accessori.sk/katalog/book/KOMP/321/</t>
        </is>
      </c>
      <c r="P31" s="11" t="inlineStr">
        <is>
          <t>https://website-9ib.pages.dev/termek/352572-sp36-600-mm-bill-kozepso-rakonca/</t>
        </is>
      </c>
      <c r="Q31" s="12" t="inlineStr"/>
      <c r="R31" s="13" t="inlineStr"/>
      <c r="S31" s="6" t="inlineStr">
        <is>
          <t>352572-sp36-600-mm-bill-kozepso-rakonca</t>
        </is>
      </c>
    </row>
    <row r="32">
      <c r="A32" s="6" t="inlineStr"/>
      <c r="B32" s="7" t="inlineStr">
        <is>
          <t>L 12x1500x2500 mm rétegelt lemez fenolos</t>
        </is>
      </c>
      <c r="C32" s="6" t="inlineStr">
        <is>
          <t>Csúszásmentes rétegelt padló</t>
        </is>
      </c>
      <c r="D32" s="6" t="inlineStr">
        <is>
          <t>Rétegelt lemezek</t>
        </is>
      </c>
      <c r="E32" s="6" t="inlineStr">
        <is>
          <t>(nincs megadva)</t>
        </is>
      </c>
      <c r="F32" s="6" t="inlineStr"/>
      <c r="G32" s="6" t="inlineStr">
        <is>
          <t>Quadris Excel</t>
        </is>
      </c>
      <c r="H32" s="6" t="n">
        <v>3</v>
      </c>
      <c r="I32" s="6" t="n">
        <v>4</v>
      </c>
      <c r="J32" s="6" t="inlineStr">
        <is>
          <t>nincs</t>
        </is>
      </c>
      <c r="K32" s="6">
        <f>IF(AND(H32&gt;0,I32&gt;0),"Rendben",IF(AND(H32=0,I32=0),"Nincs kép és adat",IF(H32=0,"Nincs kép","Nincs adat")))</f>
        <v/>
      </c>
      <c r="L32" s="6" t="inlineStr">
        <is>
          <t>Nem</t>
        </is>
      </c>
      <c r="M32" s="7" t="inlineStr">
        <is>
          <t>Quadris-megnevezés (nincs beszállítói forrás)</t>
        </is>
      </c>
      <c r="N32" s="7" t="inlineStr">
        <is>
          <t>Beszállítói forrás nincs – adatlap a Quadris-megnevezésből (méretek, elméleti tömeg)</t>
        </is>
      </c>
      <c r="O32" s="6" t="inlineStr"/>
      <c r="P32" s="11" t="inlineStr">
        <is>
          <t>https://website-9ib.pages.dev/termek/l-12x1500x2500-mm-retegelt-lemez-fenolos/</t>
        </is>
      </c>
      <c r="Q32" s="12" t="inlineStr"/>
      <c r="R32" s="13" t="inlineStr"/>
      <c r="S32" s="6" t="inlineStr">
        <is>
          <t>l-12x1500x2500-mm-retegelt-lemez-fenolos</t>
        </is>
      </c>
    </row>
    <row r="33">
      <c r="A33" s="6" t="inlineStr"/>
      <c r="B33" s="7" t="inlineStr">
        <is>
          <t>L 12x1500x3000 mm rétegelt lemez fenolos</t>
        </is>
      </c>
      <c r="C33" s="6" t="inlineStr">
        <is>
          <t>Csúszásmentes rétegelt padló</t>
        </is>
      </c>
      <c r="D33" s="6" t="inlineStr">
        <is>
          <t>Rétegelt lemezek</t>
        </is>
      </c>
      <c r="E33" s="6" t="inlineStr">
        <is>
          <t>(nincs megadva)</t>
        </is>
      </c>
      <c r="F33" s="6" t="inlineStr"/>
      <c r="G33" s="6" t="inlineStr">
        <is>
          <t>Quadris Excel</t>
        </is>
      </c>
      <c r="H33" s="6" t="n">
        <v>3</v>
      </c>
      <c r="I33" s="6" t="n">
        <v>4</v>
      </c>
      <c r="J33" s="6" t="inlineStr">
        <is>
          <t>nincs</t>
        </is>
      </c>
      <c r="K33" s="6">
        <f>IF(AND(H33&gt;0,I33&gt;0),"Rendben",IF(AND(H33=0,I33=0),"Nincs kép és adat",IF(H33=0,"Nincs kép","Nincs adat")))</f>
        <v/>
      </c>
      <c r="L33" s="6" t="inlineStr">
        <is>
          <t>Nem</t>
        </is>
      </c>
      <c r="M33" s="7" t="inlineStr">
        <is>
          <t>Quadris-megnevezés (nincs beszállítói forrás)</t>
        </is>
      </c>
      <c r="N33" s="7" t="inlineStr">
        <is>
          <t>Beszállítói forrás nincs – adatlap a Quadris-megnevezésből (méretek, elméleti tömeg)</t>
        </is>
      </c>
      <c r="O33" s="6" t="inlineStr"/>
      <c r="P33" s="11" t="inlineStr">
        <is>
          <t>https://website-9ib.pages.dev/termek/l-12x1500x3000-mm-retegelt-lemez-fenolos/</t>
        </is>
      </c>
      <c r="Q33" s="12" t="inlineStr"/>
      <c r="R33" s="13" t="inlineStr"/>
      <c r="S33" s="6" t="inlineStr">
        <is>
          <t>l-12x1500x3000-mm-retegelt-lemez-fenolos</t>
        </is>
      </c>
    </row>
    <row r="34">
      <c r="A34" s="6" t="inlineStr"/>
      <c r="B34" s="7" t="inlineStr">
        <is>
          <t>L 15x2130x1250 Rétegelt lemez, Fenolos</t>
        </is>
      </c>
      <c r="C34" s="6" t="inlineStr">
        <is>
          <t>Csúszásmentes rétegelt padló</t>
        </is>
      </c>
      <c r="D34" s="6" t="inlineStr">
        <is>
          <t>Rétegelt lemezek</t>
        </is>
      </c>
      <c r="E34" s="6" t="inlineStr">
        <is>
          <t>(nincs megadva)</t>
        </is>
      </c>
      <c r="F34" s="6" t="inlineStr"/>
      <c r="G34" s="6" t="inlineStr">
        <is>
          <t>Quadris Excel</t>
        </is>
      </c>
      <c r="H34" s="6" t="n">
        <v>3</v>
      </c>
      <c r="I34" s="6" t="n">
        <v>4</v>
      </c>
      <c r="J34" s="6" t="inlineStr">
        <is>
          <t>nincs</t>
        </is>
      </c>
      <c r="K34" s="6">
        <f>IF(AND(H34&gt;0,I34&gt;0),"Rendben",IF(AND(H34=0,I34=0),"Nincs kép és adat",IF(H34=0,"Nincs kép","Nincs adat")))</f>
        <v/>
      </c>
      <c r="L34" s="6" t="inlineStr">
        <is>
          <t>Nem</t>
        </is>
      </c>
      <c r="M34" s="7" t="inlineStr">
        <is>
          <t>Quadris-megnevezés (nincs beszállítói forrás)</t>
        </is>
      </c>
      <c r="N34" s="7" t="inlineStr">
        <is>
          <t>Beszállítói forrás nincs – adatlap a Quadris-megnevezésből (méretek, elméleti tömeg)</t>
        </is>
      </c>
      <c r="O34" s="6" t="inlineStr"/>
      <c r="P34" s="11" t="inlineStr">
        <is>
          <t>https://website-9ib.pages.dev/termek/l-15x2130x1250-retegelt-lemez-fenolos/</t>
        </is>
      </c>
      <c r="Q34" s="12" t="inlineStr"/>
      <c r="R34" s="13" t="inlineStr"/>
      <c r="S34" s="6" t="inlineStr">
        <is>
          <t>l-15x2130x1250-retegelt-lemez-fenolos</t>
        </is>
      </c>
    </row>
    <row r="35">
      <c r="A35" s="6" t="inlineStr"/>
      <c r="B35" s="7" t="inlineStr">
        <is>
          <t>L 18x1500x3000 Rétegelt lemez fenolos</t>
        </is>
      </c>
      <c r="C35" s="6" t="inlineStr">
        <is>
          <t>Csúszásmentes rétegelt padló</t>
        </is>
      </c>
      <c r="D35" s="6" t="inlineStr">
        <is>
          <t>Rétegelt lemezek</t>
        </is>
      </c>
      <c r="E35" s="6" t="inlineStr">
        <is>
          <t>(nincs megadva)</t>
        </is>
      </c>
      <c r="F35" s="6" t="inlineStr"/>
      <c r="G35" s="6" t="inlineStr">
        <is>
          <t>Quadris Excel</t>
        </is>
      </c>
      <c r="H35" s="6" t="n">
        <v>3</v>
      </c>
      <c r="I35" s="6" t="n">
        <v>4</v>
      </c>
      <c r="J35" s="6" t="inlineStr">
        <is>
          <t>nincs</t>
        </is>
      </c>
      <c r="K35" s="6">
        <f>IF(AND(H35&gt;0,I35&gt;0),"Rendben",IF(AND(H35=0,I35=0),"Nincs kép és adat",IF(H35=0,"Nincs kép","Nincs adat")))</f>
        <v/>
      </c>
      <c r="L35" s="6" t="inlineStr">
        <is>
          <t>Nem</t>
        </is>
      </c>
      <c r="M35" s="7" t="inlineStr">
        <is>
          <t>Quadris-megnevezés (nincs beszállítói forrás)</t>
        </is>
      </c>
      <c r="N35" s="7" t="inlineStr">
        <is>
          <t>Beszállítói forrás nincs – adatlap a Quadris-megnevezésből (méretek, elméleti tömeg)</t>
        </is>
      </c>
      <c r="O35" s="6" t="inlineStr"/>
      <c r="P35" s="11" t="inlineStr">
        <is>
          <t>https://website-9ib.pages.dev/termek/l-18x1500x3000-retegelt-lemez-fenolos/</t>
        </is>
      </c>
      <c r="Q35" s="12" t="inlineStr"/>
      <c r="R35" s="13" t="inlineStr"/>
      <c r="S35" s="6" t="inlineStr">
        <is>
          <t>l-18x1500x3000-retegelt-lemez-fenolos</t>
        </is>
      </c>
    </row>
    <row r="36">
      <c r="A36" s="6" t="inlineStr"/>
      <c r="B36" s="7" t="inlineStr">
        <is>
          <t>L 24x1500x2500 Rétegelt lemez fenolos</t>
        </is>
      </c>
      <c r="C36" s="6" t="inlineStr">
        <is>
          <t>Csúszásmentes rétegelt padló</t>
        </is>
      </c>
      <c r="D36" s="6" t="inlineStr">
        <is>
          <t>Rétegelt lemezek</t>
        </is>
      </c>
      <c r="E36" s="6" t="inlineStr">
        <is>
          <t>(nincs megadva)</t>
        </is>
      </c>
      <c r="F36" s="6" t="inlineStr"/>
      <c r="G36" s="6" t="inlineStr">
        <is>
          <t>Quadris Excel</t>
        </is>
      </c>
      <c r="H36" s="6" t="n">
        <v>3</v>
      </c>
      <c r="I36" s="6" t="n">
        <v>4</v>
      </c>
      <c r="J36" s="6" t="inlineStr">
        <is>
          <t>nincs</t>
        </is>
      </c>
      <c r="K36" s="6">
        <f>IF(AND(H36&gt;0,I36&gt;0),"Rendben",IF(AND(H36=0,I36=0),"Nincs kép és adat",IF(H36=0,"Nincs kép","Nincs adat")))</f>
        <v/>
      </c>
      <c r="L36" s="6" t="inlineStr">
        <is>
          <t>Nem</t>
        </is>
      </c>
      <c r="M36" s="7" t="inlineStr">
        <is>
          <t>Quadris-megnevezés (nincs beszállítói forrás)</t>
        </is>
      </c>
      <c r="N36" s="7" t="inlineStr">
        <is>
          <t>Beszállítói forrás nincs – adatlap a Quadris-megnevezésből (méretek, elméleti tömeg)</t>
        </is>
      </c>
      <c r="O36" s="6" t="inlineStr"/>
      <c r="P36" s="11" t="inlineStr">
        <is>
          <t>https://website-9ib.pages.dev/termek/l-24x1500x2500-retegelt-lemez-fenolos/</t>
        </is>
      </c>
      <c r="Q36" s="12" t="inlineStr"/>
      <c r="R36" s="13" t="inlineStr"/>
      <c r="S36" s="6" t="inlineStr">
        <is>
          <t>l-24x1500x2500-retegelt-lemez-fenolos</t>
        </is>
      </c>
    </row>
    <row r="37">
      <c r="A37" s="6" t="inlineStr"/>
      <c r="B37" s="7" t="inlineStr">
        <is>
          <t>L 30x1500x2500 Rétegelt lemez fenolos</t>
        </is>
      </c>
      <c r="C37" s="6" t="inlineStr">
        <is>
          <t>Csúszásmentes rétegelt padló</t>
        </is>
      </c>
      <c r="D37" s="6" t="inlineStr">
        <is>
          <t>Rétegelt lemezek</t>
        </is>
      </c>
      <c r="E37" s="6" t="inlineStr">
        <is>
          <t>(nincs megadva)</t>
        </is>
      </c>
      <c r="F37" s="6" t="inlineStr"/>
      <c r="G37" s="6" t="inlineStr">
        <is>
          <t>Quadris Excel</t>
        </is>
      </c>
      <c r="H37" s="6" t="n">
        <v>3</v>
      </c>
      <c r="I37" s="6" t="n">
        <v>4</v>
      </c>
      <c r="J37" s="6" t="inlineStr">
        <is>
          <t>nincs</t>
        </is>
      </c>
      <c r="K37" s="6">
        <f>IF(AND(H37&gt;0,I37&gt;0),"Rendben",IF(AND(H37=0,I37=0),"Nincs kép és adat",IF(H37=0,"Nincs kép","Nincs adat")))</f>
        <v/>
      </c>
      <c r="L37" s="6" t="inlineStr">
        <is>
          <t>Nem</t>
        </is>
      </c>
      <c r="M37" s="7" t="inlineStr">
        <is>
          <t>Quadris-megnevezés (nincs beszállítói forrás)</t>
        </is>
      </c>
      <c r="N37" s="7" t="inlineStr">
        <is>
          <t>Beszállítói forrás nincs – adatlap a Quadris-megnevezésből (méretek, elméleti tömeg)</t>
        </is>
      </c>
      <c r="O37" s="6" t="inlineStr"/>
      <c r="P37" s="11" t="inlineStr">
        <is>
          <t>https://website-9ib.pages.dev/termek/l-30x1500x2500-retegelt-lemez-fenolos/</t>
        </is>
      </c>
      <c r="Q37" s="12" t="inlineStr"/>
      <c r="R37" s="13" t="inlineStr"/>
      <c r="S37" s="6" t="inlineStr">
        <is>
          <t>l-30x1500x2500-retegelt-lemez-fenolos</t>
        </is>
      </c>
    </row>
    <row r="38">
      <c r="A38" s="6" t="inlineStr"/>
      <c r="B38" s="7" t="inlineStr">
        <is>
          <t>L 4x1250x2500 mm FILM/FILM rétegelt lemez</t>
        </is>
      </c>
      <c r="C38" s="6" t="inlineStr">
        <is>
          <t>Csúszásmentes rétegelt padló</t>
        </is>
      </c>
      <c r="D38" s="6" t="inlineStr">
        <is>
          <t>Rétegelt lemezek</t>
        </is>
      </c>
      <c r="E38" s="6" t="inlineStr">
        <is>
          <t>(nincs megadva)</t>
        </is>
      </c>
      <c r="F38" s="6" t="inlineStr"/>
      <c r="G38" s="6" t="inlineStr">
        <is>
          <t>Quadris Excel</t>
        </is>
      </c>
      <c r="H38" s="6" t="n">
        <v>3</v>
      </c>
      <c r="I38" s="6" t="n">
        <v>4</v>
      </c>
      <c r="J38" s="6" t="inlineStr">
        <is>
          <t>nincs</t>
        </is>
      </c>
      <c r="K38" s="6">
        <f>IF(AND(H38&gt;0,I38&gt;0),"Rendben",IF(AND(H38=0,I38=0),"Nincs kép és adat",IF(H38=0,"Nincs kép","Nincs adat")))</f>
        <v/>
      </c>
      <c r="L38" s="6" t="inlineStr">
        <is>
          <t>Nem</t>
        </is>
      </c>
      <c r="M38" s="7" t="inlineStr">
        <is>
          <t>Quadris-megnevezés (nincs beszállítói forrás)</t>
        </is>
      </c>
      <c r="N38" s="7" t="inlineStr">
        <is>
          <t>Beszállítói forrás nincs – adatlap a Quadris-megnevezésből (méretek, elméleti tömeg)</t>
        </is>
      </c>
      <c r="O38" s="6" t="inlineStr"/>
      <c r="P38" s="11" t="inlineStr">
        <is>
          <t>https://website-9ib.pages.dev/termek/l-4x1250x2500-mm-film-film-retegelt-lemez/</t>
        </is>
      </c>
      <c r="Q38" s="12" t="inlineStr"/>
      <c r="R38" s="13" t="inlineStr"/>
      <c r="S38" s="6" t="inlineStr">
        <is>
          <t>l-4x1250x2500-mm-film-film-retegelt-lemez</t>
        </is>
      </c>
    </row>
    <row r="39">
      <c r="A39" s="6" t="inlineStr"/>
      <c r="B39" s="7" t="inlineStr">
        <is>
          <t>L 6,5x1500x3000 mm rétegelt lemez fenol bevonattal</t>
        </is>
      </c>
      <c r="C39" s="6" t="inlineStr">
        <is>
          <t>Csúszásmentes rétegelt padló</t>
        </is>
      </c>
      <c r="D39" s="6" t="inlineStr">
        <is>
          <t>Rétegelt lemezek</t>
        </is>
      </c>
      <c r="E39" s="6" t="inlineStr">
        <is>
          <t>(nincs megadva)</t>
        </is>
      </c>
      <c r="F39" s="6" t="inlineStr"/>
      <c r="G39" s="6" t="inlineStr">
        <is>
          <t>Quadris Excel</t>
        </is>
      </c>
      <c r="H39" s="6" t="n">
        <v>3</v>
      </c>
      <c r="I39" s="6" t="n">
        <v>4</v>
      </c>
      <c r="J39" s="6" t="inlineStr">
        <is>
          <t>nincs</t>
        </is>
      </c>
      <c r="K39" s="6">
        <f>IF(AND(H39&gt;0,I39&gt;0),"Rendben",IF(AND(H39=0,I39=0),"Nincs kép és adat",IF(H39=0,"Nincs kép","Nincs adat")))</f>
        <v/>
      </c>
      <c r="L39" s="6" t="inlineStr">
        <is>
          <t>Nem</t>
        </is>
      </c>
      <c r="M39" s="7" t="inlineStr">
        <is>
          <t>Quadris-megnevezés (nincs beszállítói forrás)</t>
        </is>
      </c>
      <c r="N39" s="7" t="inlineStr">
        <is>
          <t>Beszállítói forrás nincs – adatlap a Quadris-megnevezésből (méretek, elméleti tömeg)</t>
        </is>
      </c>
      <c r="O39" s="6" t="inlineStr"/>
      <c r="P39" s="11" t="inlineStr">
        <is>
          <t>https://website-9ib.pages.dev/termek/l-6-5x1500x3000-mm-retegelt-lemez-fenol-bevonattal/</t>
        </is>
      </c>
      <c r="Q39" s="12" t="inlineStr"/>
      <c r="R39" s="13" t="inlineStr"/>
      <c r="S39" s="6" t="inlineStr">
        <is>
          <t>l-6-5x1500x3000-mm-retegelt-lemez-fenol-bevonattal</t>
        </is>
      </c>
    </row>
    <row r="40">
      <c r="A40" s="6" t="inlineStr"/>
      <c r="B40" s="7" t="inlineStr">
        <is>
          <t>L 9x1500x2500 Rétegelt lemez fenolos</t>
        </is>
      </c>
      <c r="C40" s="6" t="inlineStr">
        <is>
          <t>Csúszásmentes rétegelt padló</t>
        </is>
      </c>
      <c r="D40" s="6" t="inlineStr">
        <is>
          <t>Rétegelt lemezek</t>
        </is>
      </c>
      <c r="E40" s="6" t="inlineStr">
        <is>
          <t>(nincs megadva)</t>
        </is>
      </c>
      <c r="F40" s="6" t="inlineStr"/>
      <c r="G40" s="6" t="inlineStr">
        <is>
          <t>Quadris Excel</t>
        </is>
      </c>
      <c r="H40" s="6" t="n">
        <v>3</v>
      </c>
      <c r="I40" s="6" t="n">
        <v>4</v>
      </c>
      <c r="J40" s="6" t="inlineStr">
        <is>
          <t>nincs</t>
        </is>
      </c>
      <c r="K40" s="6">
        <f>IF(AND(H40&gt;0,I40&gt;0),"Rendben",IF(AND(H40=0,I40=0),"Nincs kép és adat",IF(H40=0,"Nincs kép","Nincs adat")))</f>
        <v/>
      </c>
      <c r="L40" s="6" t="inlineStr">
        <is>
          <t>Nem</t>
        </is>
      </c>
      <c r="M40" s="7" t="inlineStr">
        <is>
          <t>Quadris-megnevezés (nincs beszállítói forrás)</t>
        </is>
      </c>
      <c r="N40" s="7" t="inlineStr">
        <is>
          <t>Beszállítói forrás nincs – adatlap a Quadris-megnevezésből (méretek, elméleti tömeg)</t>
        </is>
      </c>
      <c r="O40" s="6" t="inlineStr"/>
      <c r="P40" s="11" t="inlineStr">
        <is>
          <t>https://website-9ib.pages.dev/termek/l-9x1500x2500-retegelt-lemez-fenolos/</t>
        </is>
      </c>
      <c r="Q40" s="12" t="inlineStr"/>
      <c r="R40" s="13" t="inlineStr"/>
      <c r="S40" s="6" t="inlineStr">
        <is>
          <t>l-9x1500x2500-retegelt-lemez-fenolos</t>
        </is>
      </c>
    </row>
    <row r="41">
      <c r="A41" s="6" t="inlineStr"/>
      <c r="B41" s="7" t="inlineStr">
        <is>
          <t>L 9x1500x3000 Rétegelt lemez fenolos</t>
        </is>
      </c>
      <c r="C41" s="6" t="inlineStr">
        <is>
          <t>Csúszásmentes rétegelt padló</t>
        </is>
      </c>
      <c r="D41" s="6" t="inlineStr">
        <is>
          <t>Rétegelt lemezek</t>
        </is>
      </c>
      <c r="E41" s="6" t="inlineStr">
        <is>
          <t>(nincs megadva)</t>
        </is>
      </c>
      <c r="F41" s="6" t="inlineStr"/>
      <c r="G41" s="6" t="inlineStr">
        <is>
          <t>Quadris Excel</t>
        </is>
      </c>
      <c r="H41" s="6" t="n">
        <v>3</v>
      </c>
      <c r="I41" s="6" t="n">
        <v>4</v>
      </c>
      <c r="J41" s="6" t="inlineStr">
        <is>
          <t>nincs</t>
        </is>
      </c>
      <c r="K41" s="6">
        <f>IF(AND(H41&gt;0,I41&gt;0),"Rendben",IF(AND(H41=0,I41=0),"Nincs kép és adat",IF(H41=0,"Nincs kép","Nincs adat")))</f>
        <v/>
      </c>
      <c r="L41" s="6" t="inlineStr">
        <is>
          <t>Nem</t>
        </is>
      </c>
      <c r="M41" s="7" t="inlineStr">
        <is>
          <t>Quadris-megnevezés (nincs beszállítói forrás)</t>
        </is>
      </c>
      <c r="N41" s="7" t="inlineStr">
        <is>
          <t>Beszállítói forrás nincs – adatlap a Quadris-megnevezésből (méretek, elméleti tömeg)</t>
        </is>
      </c>
      <c r="O41" s="6" t="inlineStr"/>
      <c r="P41" s="11" t="inlineStr">
        <is>
          <t>https://website-9ib.pages.dev/termek/l-9x1500x3000-retegelt-lemez-fenolos/</t>
        </is>
      </c>
      <c r="Q41" s="12" t="inlineStr"/>
      <c r="R41" s="13" t="inlineStr"/>
      <c r="S41" s="6" t="inlineStr">
        <is>
          <t>l-9x1500x3000-retegelt-lemez-fenolos</t>
        </is>
      </c>
    </row>
    <row r="42">
      <c r="A42" s="6" t="inlineStr"/>
      <c r="B42" s="7" t="inlineStr">
        <is>
          <t>L MDF 6X2800X2070 mm</t>
        </is>
      </c>
      <c r="C42" s="6" t="inlineStr">
        <is>
          <t>Csúszásmentes rétegelt padló</t>
        </is>
      </c>
      <c r="D42" s="6" t="inlineStr">
        <is>
          <t>Rétegelt lemezek</t>
        </is>
      </c>
      <c r="E42" s="6" t="inlineStr">
        <is>
          <t>(nincs megadva)</t>
        </is>
      </c>
      <c r="F42" s="6" t="inlineStr"/>
      <c r="G42" s="6" t="inlineStr">
        <is>
          <t>Quadris Excel</t>
        </is>
      </c>
      <c r="H42" s="6" t="n">
        <v>3</v>
      </c>
      <c r="I42" s="6" t="n">
        <v>3</v>
      </c>
      <c r="J42" s="6" t="inlineStr">
        <is>
          <t>nincs</t>
        </is>
      </c>
      <c r="K42" s="6">
        <f>IF(AND(H42&gt;0,I42&gt;0),"Rendben",IF(AND(H42=0,I42=0),"Nincs kép és adat",IF(H42=0,"Nincs kép","Nincs adat")))</f>
        <v/>
      </c>
      <c r="L42" s="6" t="inlineStr">
        <is>
          <t>Nem</t>
        </is>
      </c>
      <c r="M42" s="7" t="inlineStr">
        <is>
          <t>Quadris-megnevezés (nincs beszállítói forrás)</t>
        </is>
      </c>
      <c r="N42" s="7" t="inlineStr">
        <is>
          <t>Beszállítói forrás nincs – adatlap a Quadris-megnevezésből (méretek, elméleti tömeg)</t>
        </is>
      </c>
      <c r="O42" s="6" t="inlineStr"/>
      <c r="P42" s="11" t="inlineStr">
        <is>
          <t>https://website-9ib.pages.dev/termek/l-mdf-6x2800x2070-mm/</t>
        </is>
      </c>
      <c r="Q42" s="12" t="inlineStr"/>
      <c r="R42" s="13" t="inlineStr"/>
      <c r="S42" s="6" t="inlineStr">
        <is>
          <t>l-mdf-6x2800x2070-mm</t>
        </is>
      </c>
    </row>
    <row r="43">
      <c r="A43" s="6" t="inlineStr"/>
      <c r="B43" s="7" t="inlineStr">
        <is>
          <t>G 10x1000 Soft gumi</t>
        </is>
      </c>
      <c r="C43" s="6" t="inlineStr">
        <is>
          <t>Gumiszőnyegek és gumilemezek</t>
        </is>
      </c>
      <c r="D43" s="6" t="inlineStr">
        <is>
          <t>Soft gumi</t>
        </is>
      </c>
      <c r="E43" s="6" t="inlineStr">
        <is>
          <t>(nincs megadva)</t>
        </is>
      </c>
      <c r="F43" s="6" t="inlineStr"/>
      <c r="G43" s="6" t="inlineStr">
        <is>
          <t>Quadris Excel</t>
        </is>
      </c>
      <c r="H43" s="6" t="n">
        <v>3</v>
      </c>
      <c r="I43" s="6" t="n">
        <v>3</v>
      </c>
      <c r="J43" s="6" t="inlineStr">
        <is>
          <t>nincs</t>
        </is>
      </c>
      <c r="K43" s="6">
        <f>IF(AND(H43&gt;0,I43&gt;0),"Rendben",IF(AND(H43=0,I43=0),"Nincs kép és adat",IF(H43=0,"Nincs kép","Nincs adat")))</f>
        <v/>
      </c>
      <c r="L43" s="6" t="inlineStr">
        <is>
          <t>Nem</t>
        </is>
      </c>
      <c r="M43" s="7" t="inlineStr">
        <is>
          <t>Quadris-megnevezés (nincs beszállítói forrás)</t>
        </is>
      </c>
      <c r="N43" s="7" t="inlineStr">
        <is>
          <t>Beszállítói forrás nincs – adatlap a Quadris-megnevezésből (méretek, elméleti tömeg)</t>
        </is>
      </c>
      <c r="O43" s="6" t="inlineStr"/>
      <c r="P43" s="11" t="inlineStr">
        <is>
          <t>https://website-9ib.pages.dev/termek/g-10x1000-soft-gumi/</t>
        </is>
      </c>
      <c r="Q43" s="12" t="inlineStr"/>
      <c r="R43" s="13" t="inlineStr"/>
      <c r="S43" s="6" t="inlineStr">
        <is>
          <t>g-10x1000-soft-gumi</t>
        </is>
      </c>
    </row>
    <row r="44">
      <c r="A44" s="6" t="inlineStr"/>
      <c r="B44" s="7" t="inlineStr">
        <is>
          <t>G 10x1000x2000 Soft gumi lap</t>
        </is>
      </c>
      <c r="C44" s="6" t="inlineStr">
        <is>
          <t>Gumiszőnyegek és gumilemezek</t>
        </is>
      </c>
      <c r="D44" s="6" t="inlineStr">
        <is>
          <t>Soft gumi</t>
        </is>
      </c>
      <c r="E44" s="6" t="inlineStr">
        <is>
          <t>(nincs megadva)</t>
        </is>
      </c>
      <c r="F44" s="6" t="inlineStr"/>
      <c r="G44" s="6" t="inlineStr">
        <is>
          <t>Quadris Excel</t>
        </is>
      </c>
      <c r="H44" s="6" t="n">
        <v>3</v>
      </c>
      <c r="I44" s="6" t="n">
        <v>3</v>
      </c>
      <c r="J44" s="6" t="inlineStr">
        <is>
          <t>nincs</t>
        </is>
      </c>
      <c r="K44" s="6">
        <f>IF(AND(H44&gt;0,I44&gt;0),"Rendben",IF(AND(H44=0,I44=0),"Nincs kép és adat",IF(H44=0,"Nincs kép","Nincs adat")))</f>
        <v/>
      </c>
      <c r="L44" s="6" t="inlineStr">
        <is>
          <t>Nem</t>
        </is>
      </c>
      <c r="M44" s="7" t="inlineStr">
        <is>
          <t>Quadris-megnevezés (nincs beszállítói forrás)</t>
        </is>
      </c>
      <c r="N44" s="7" t="inlineStr">
        <is>
          <t>Beszállítói forrás nincs – adatlap a Quadris-megnevezésből (méretek, elméleti tömeg)</t>
        </is>
      </c>
      <c r="O44" s="6" t="inlineStr"/>
      <c r="P44" s="11" t="inlineStr">
        <is>
          <t>https://website-9ib.pages.dev/termek/g-10x1000x2000-soft-gumi-lap/</t>
        </is>
      </c>
      <c r="Q44" s="12" t="inlineStr"/>
      <c r="R44" s="13" t="inlineStr"/>
      <c r="S44" s="6" t="inlineStr">
        <is>
          <t>g-10x1000x2000-soft-gumi-lap</t>
        </is>
      </c>
    </row>
    <row r="45">
      <c r="A45" s="6" t="inlineStr"/>
      <c r="B45" s="7" t="inlineStr">
        <is>
          <t>G 15x1000x2000 Soft gumi lap</t>
        </is>
      </c>
      <c r="C45" s="6" t="inlineStr">
        <is>
          <t>Gumiszőnyegek és gumilemezek</t>
        </is>
      </c>
      <c r="D45" s="6" t="inlineStr">
        <is>
          <t>Soft gumi</t>
        </is>
      </c>
      <c r="E45" s="6" t="inlineStr">
        <is>
          <t>(nincs megadva)</t>
        </is>
      </c>
      <c r="F45" s="6" t="inlineStr"/>
      <c r="G45" s="6" t="inlineStr">
        <is>
          <t>Quadris Excel</t>
        </is>
      </c>
      <c r="H45" s="6" t="n">
        <v>3</v>
      </c>
      <c r="I45" s="6" t="n">
        <v>3</v>
      </c>
      <c r="J45" s="6" t="inlineStr">
        <is>
          <t>nincs</t>
        </is>
      </c>
      <c r="K45" s="6">
        <f>IF(AND(H45&gt;0,I45&gt;0),"Rendben",IF(AND(H45=0,I45=0),"Nincs kép és adat",IF(H45=0,"Nincs kép","Nincs adat")))</f>
        <v/>
      </c>
      <c r="L45" s="6" t="inlineStr">
        <is>
          <t>Nem</t>
        </is>
      </c>
      <c r="M45" s="7" t="inlineStr">
        <is>
          <t>Quadris-megnevezés (nincs beszállítói forrás)</t>
        </is>
      </c>
      <c r="N45" s="7" t="inlineStr">
        <is>
          <t>Beszállítói forrás nincs – adatlap a Quadris-megnevezésből (méretek, elméleti tömeg)</t>
        </is>
      </c>
      <c r="O45" s="6" t="inlineStr"/>
      <c r="P45" s="11" t="inlineStr">
        <is>
          <t>https://website-9ib.pages.dev/termek/g-15x1000x2000-soft-gumi-lap/</t>
        </is>
      </c>
      <c r="Q45" s="12" t="inlineStr"/>
      <c r="R45" s="13" t="inlineStr"/>
      <c r="S45" s="6" t="inlineStr">
        <is>
          <t>g-15x1000x2000-soft-gumi-lap</t>
        </is>
      </c>
    </row>
    <row r="46">
      <c r="A46" s="6" t="inlineStr"/>
      <c r="B46" s="7" t="inlineStr">
        <is>
          <t>G 1600x1400 mm Rampaszőnyeg</t>
        </is>
      </c>
      <c r="C46" s="6" t="inlineStr">
        <is>
          <t>Gumiszőnyegek és gumilemezek</t>
        </is>
      </c>
      <c r="D46" s="6" t="inlineStr">
        <is>
          <t>Rámpa szőnyeg</t>
        </is>
      </c>
      <c r="E46" s="6" t="inlineStr">
        <is>
          <t>(nincs megadva)</t>
        </is>
      </c>
      <c r="F46" s="6" t="inlineStr"/>
      <c r="G46" s="6" t="inlineStr">
        <is>
          <t>Quadris Excel</t>
        </is>
      </c>
      <c r="H46" s="6" t="n">
        <v>3</v>
      </c>
      <c r="I46" s="6" t="n">
        <v>2</v>
      </c>
      <c r="J46" s="6" t="inlineStr">
        <is>
          <t>nincs</t>
        </is>
      </c>
      <c r="K46" s="6">
        <f>IF(AND(H46&gt;0,I46&gt;0),"Rendben",IF(AND(H46=0,I46=0),"Nincs kép és adat",IF(H46=0,"Nincs kép","Nincs adat")))</f>
        <v/>
      </c>
      <c r="L46" s="6" t="inlineStr">
        <is>
          <t>Nem</t>
        </is>
      </c>
      <c r="M46" s="7" t="inlineStr">
        <is>
          <t>Quadris-megnevezés (nincs beszállítói forrás)</t>
        </is>
      </c>
      <c r="N46" s="7" t="inlineStr">
        <is>
          <t>Beszállítói forrás nincs – adatlap a Quadris-megnevezésből (méretek, elméleti tömeg)</t>
        </is>
      </c>
      <c r="O46" s="6" t="inlineStr"/>
      <c r="P46" s="11" t="inlineStr">
        <is>
          <t>https://website-9ib.pages.dev/termek/g-1600x1400-mm-rampaszonyeg/</t>
        </is>
      </c>
      <c r="Q46" s="12" t="inlineStr"/>
      <c r="R46" s="13" t="inlineStr"/>
      <c r="S46" s="6" t="inlineStr">
        <is>
          <t>g-1600x1400-mm-rampaszonyeg</t>
        </is>
      </c>
    </row>
    <row r="47">
      <c r="A47" s="6" t="inlineStr"/>
      <c r="B47" s="7" t="inlineStr">
        <is>
          <t>G 17/1750x1550 mm Rámpaszőnyeg</t>
        </is>
      </c>
      <c r="C47" s="6" t="inlineStr">
        <is>
          <t>Gumiszőnyegek és gumilemezek</t>
        </is>
      </c>
      <c r="D47" s="6" t="inlineStr">
        <is>
          <t>Rámpa szőnyeg</t>
        </is>
      </c>
      <c r="E47" s="6" t="inlineStr">
        <is>
          <t>(nincs megadva)</t>
        </is>
      </c>
      <c r="F47" s="6" t="inlineStr">
        <is>
          <t>LM17/0</t>
        </is>
      </c>
      <c r="G47" s="6" t="inlineStr">
        <is>
          <t>Quadris Excel</t>
        </is>
      </c>
      <c r="H47" s="6" t="n">
        <v>3</v>
      </c>
      <c r="I47" s="6" t="n">
        <v>3</v>
      </c>
      <c r="J47" s="6" t="inlineStr">
        <is>
          <t>nincs</t>
        </is>
      </c>
      <c r="K47" s="6">
        <f>IF(AND(H47&gt;0,I47&gt;0),"Rendben",IF(AND(H47=0,I47=0),"Nincs kép és adat",IF(H47=0,"Nincs kép","Nincs adat")))</f>
        <v/>
      </c>
      <c r="L47" s="6" t="inlineStr">
        <is>
          <t>Nem</t>
        </is>
      </c>
      <c r="M47" s="7" t="inlineStr">
        <is>
          <t>Quadris-megnevezés (nincs beszállítói forrás)</t>
        </is>
      </c>
      <c r="N47" s="7" t="inlineStr">
        <is>
          <t>Beszállítói forrás nincs – adatlap a Quadris-megnevezésből (méretek, elméleti tömeg)</t>
        </is>
      </c>
      <c r="O47" s="6" t="inlineStr"/>
      <c r="P47" s="11" t="inlineStr">
        <is>
          <t>https://website-9ib.pages.dev/termek/g-17-1750x1550-mm-rampaszonyeg/</t>
        </is>
      </c>
      <c r="Q47" s="12" t="inlineStr"/>
      <c r="R47" s="13" t="inlineStr"/>
      <c r="S47" s="6" t="inlineStr">
        <is>
          <t>g-17-1750x1550-mm-rampaszonyeg</t>
        </is>
      </c>
    </row>
    <row r="48">
      <c r="A48" s="6" t="inlineStr"/>
      <c r="B48" s="7" t="inlineStr">
        <is>
          <t>G 1750x1540 mm Rámpaszőnyeg</t>
        </is>
      </c>
      <c r="C48" s="6" t="inlineStr">
        <is>
          <t>Gumiszőnyegek és gumilemezek</t>
        </is>
      </c>
      <c r="D48" s="6" t="inlineStr">
        <is>
          <t>Rámpa szőnyeg</t>
        </is>
      </c>
      <c r="E48" s="6" t="inlineStr">
        <is>
          <t>(nincs megadva)</t>
        </is>
      </c>
      <c r="F48" s="6" t="inlineStr"/>
      <c r="G48" s="6" t="inlineStr">
        <is>
          <t>Quadris Excel</t>
        </is>
      </c>
      <c r="H48" s="6" t="n">
        <v>3</v>
      </c>
      <c r="I48" s="6" t="n">
        <v>2</v>
      </c>
      <c r="J48" s="6" t="inlineStr">
        <is>
          <t>nincs</t>
        </is>
      </c>
      <c r="K48" s="6">
        <f>IF(AND(H48&gt;0,I48&gt;0),"Rendben",IF(AND(H48=0,I48=0),"Nincs kép és adat",IF(H48=0,"Nincs kép","Nincs adat")))</f>
        <v/>
      </c>
      <c r="L48" s="6" t="inlineStr">
        <is>
          <t>Nem</t>
        </is>
      </c>
      <c r="M48" s="7" t="inlineStr">
        <is>
          <t>Quadris-megnevezés (nincs beszállítói forrás)</t>
        </is>
      </c>
      <c r="N48" s="7" t="inlineStr">
        <is>
          <t>Beszállítói forrás nincs – adatlap a Quadris-megnevezésből (méretek, elméleti tömeg)</t>
        </is>
      </c>
      <c r="O48" s="6" t="inlineStr"/>
      <c r="P48" s="11" t="inlineStr">
        <is>
          <t>https://website-9ib.pages.dev/termek/g-1750x1540-mm-rampaszonyeg/</t>
        </is>
      </c>
      <c r="Q48" s="12" t="inlineStr"/>
      <c r="R48" s="13" t="inlineStr"/>
      <c r="S48" s="6" t="inlineStr">
        <is>
          <t>g-1750x1540-mm-rampaszonyeg</t>
        </is>
      </c>
    </row>
    <row r="49">
      <c r="A49" s="6" t="inlineStr"/>
      <c r="B49" s="7" t="inlineStr">
        <is>
          <t>G 1750x1550 mm Rámpaszőnyeg</t>
        </is>
      </c>
      <c r="C49" s="6" t="inlineStr">
        <is>
          <t>Gumiszőnyegek és gumilemezek</t>
        </is>
      </c>
      <c r="D49" s="6" t="inlineStr">
        <is>
          <t>Rámpa szőnyeg</t>
        </is>
      </c>
      <c r="E49" s="6" t="inlineStr">
        <is>
          <t>(nincs megadva)</t>
        </is>
      </c>
      <c r="F49" s="6" t="inlineStr">
        <is>
          <t>SG</t>
        </is>
      </c>
      <c r="G49" s="6" t="inlineStr">
        <is>
          <t>Quadris Excel</t>
        </is>
      </c>
      <c r="H49" s="6" t="n">
        <v>3</v>
      </c>
      <c r="I49" s="6" t="n">
        <v>2</v>
      </c>
      <c r="J49" s="6" t="inlineStr">
        <is>
          <t>nincs</t>
        </is>
      </c>
      <c r="K49" s="6">
        <f>IF(AND(H49&gt;0,I49&gt;0),"Rendben",IF(AND(H49=0,I49=0),"Nincs kép és adat",IF(H49=0,"Nincs kép","Nincs adat")))</f>
        <v/>
      </c>
      <c r="L49" s="6" t="inlineStr">
        <is>
          <t>Nem</t>
        </is>
      </c>
      <c r="M49" s="7" t="inlineStr">
        <is>
          <t>Quadris-megnevezés (nincs beszállítói forrás)</t>
        </is>
      </c>
      <c r="N49" s="7" t="inlineStr">
        <is>
          <t>Beszállítói forrás nincs – adatlap a Quadris-megnevezésből (méretek, elméleti tömeg)</t>
        </is>
      </c>
      <c r="O49" s="6" t="inlineStr"/>
      <c r="P49" s="11" t="inlineStr">
        <is>
          <t>https://website-9ib.pages.dev/termek/g-1750x1550-mm-rampaszonyeg/</t>
        </is>
      </c>
      <c r="Q49" s="12" t="inlineStr"/>
      <c r="R49" s="13" t="inlineStr"/>
      <c r="S49" s="6" t="inlineStr">
        <is>
          <t>g-1750x1550-mm-rampaszonyeg</t>
        </is>
      </c>
    </row>
    <row r="50">
      <c r="A50" s="6" t="inlineStr"/>
      <c r="B50" s="7" t="inlineStr">
        <is>
          <t>G 17x1830x1220 mm Istálló szőnyeg</t>
        </is>
      </c>
      <c r="C50" s="6" t="inlineStr">
        <is>
          <t>Gumiszőnyegek és gumilemezek</t>
        </is>
      </c>
      <c r="D50" s="6" t="inlineStr">
        <is>
          <t>Istálló szőnyeg</t>
        </is>
      </c>
      <c r="E50" s="6" t="inlineStr">
        <is>
          <t>(nincs megadva)</t>
        </is>
      </c>
      <c r="F50" s="6" t="inlineStr"/>
      <c r="G50" s="6" t="inlineStr">
        <is>
          <t>Quadris Excel</t>
        </is>
      </c>
      <c r="H50" s="6" t="n">
        <v>3</v>
      </c>
      <c r="I50" s="6" t="n">
        <v>3</v>
      </c>
      <c r="J50" s="6" t="inlineStr">
        <is>
          <t>nincs</t>
        </is>
      </c>
      <c r="K50" s="6">
        <f>IF(AND(H50&gt;0,I50&gt;0),"Rendben",IF(AND(H50=0,I50=0),"Nincs kép és adat",IF(H50=0,"Nincs kép","Nincs adat")))</f>
        <v/>
      </c>
      <c r="L50" s="6" t="inlineStr">
        <is>
          <t>Nem</t>
        </is>
      </c>
      <c r="M50" s="7" t="inlineStr">
        <is>
          <t>Quadris-megnevezés (nincs beszállítói forrás)</t>
        </is>
      </c>
      <c r="N50" s="7" t="inlineStr">
        <is>
          <t>Beszállítói forrás nincs – adatlap a Quadris-megnevezésből (méretek, elméleti tömeg)</t>
        </is>
      </c>
      <c r="O50" s="6" t="inlineStr"/>
      <c r="P50" s="11" t="inlineStr">
        <is>
          <t>https://website-9ib.pages.dev/termek/g-17x1830x1220-mm-istallo-szonyeg/</t>
        </is>
      </c>
      <c r="Q50" s="12" t="inlineStr"/>
      <c r="R50" s="13" t="inlineStr"/>
      <c r="S50" s="6" t="inlineStr">
        <is>
          <t>g-17x1830x1220-mm-istallo-szonyeg</t>
        </is>
      </c>
    </row>
    <row r="51">
      <c r="A51" s="6" t="inlineStr"/>
      <c r="B51" s="7" t="inlineStr">
        <is>
          <t>G 17x900x1200 mm Istálló szőnyeg</t>
        </is>
      </c>
      <c r="C51" s="6" t="inlineStr">
        <is>
          <t>Gumiszőnyegek és gumilemezek</t>
        </is>
      </c>
      <c r="D51" s="6" t="inlineStr">
        <is>
          <t>Istálló szőnyeg</t>
        </is>
      </c>
      <c r="E51" s="6" t="inlineStr">
        <is>
          <t>(nincs megadva)</t>
        </is>
      </c>
      <c r="F51" s="6" t="inlineStr"/>
      <c r="G51" s="6" t="inlineStr">
        <is>
          <t>Quadris Excel</t>
        </is>
      </c>
      <c r="H51" s="6" t="n">
        <v>3</v>
      </c>
      <c r="I51" s="6" t="n">
        <v>3</v>
      </c>
      <c r="J51" s="6" t="inlineStr">
        <is>
          <t>nincs</t>
        </is>
      </c>
      <c r="K51" s="6">
        <f>IF(AND(H51&gt;0,I51&gt;0),"Rendben",IF(AND(H51=0,I51=0),"Nincs kép és adat",IF(H51=0,"Nincs kép","Nincs adat")))</f>
        <v/>
      </c>
      <c r="L51" s="6" t="inlineStr">
        <is>
          <t>Nem</t>
        </is>
      </c>
      <c r="M51" s="7" t="inlineStr">
        <is>
          <t>Quadris-megnevezés (nincs beszállítói forrás)</t>
        </is>
      </c>
      <c r="N51" s="7" t="inlineStr">
        <is>
          <t>Beszállítói forrás nincs – adatlap a Quadris-megnevezésből (méretek, elméleti tömeg)</t>
        </is>
      </c>
      <c r="O51" s="6" t="inlineStr"/>
      <c r="P51" s="11" t="inlineStr">
        <is>
          <t>https://website-9ib.pages.dev/termek/g-17x900x1200-mm-istallo-szonyeg/</t>
        </is>
      </c>
      <c r="Q51" s="12" t="inlineStr"/>
      <c r="R51" s="13" t="inlineStr"/>
      <c r="S51" s="6" t="inlineStr">
        <is>
          <t>g-17x900x1200-mm-istallo-szonyeg</t>
        </is>
      </c>
    </row>
    <row r="52">
      <c r="A52" s="6" t="inlineStr"/>
      <c r="B52" s="7" t="inlineStr">
        <is>
          <t>G 2000x1400 mm Rampaszőnyeg</t>
        </is>
      </c>
      <c r="C52" s="6" t="inlineStr">
        <is>
          <t>Gumiszőnyegek és gumilemezek</t>
        </is>
      </c>
      <c r="D52" s="6" t="inlineStr">
        <is>
          <t>Rámpa szőnyeg</t>
        </is>
      </c>
      <c r="E52" s="6" t="inlineStr">
        <is>
          <t>(nincs megadva)</t>
        </is>
      </c>
      <c r="F52" s="6" t="inlineStr"/>
      <c r="G52" s="6" t="inlineStr">
        <is>
          <t>Quadris Excel</t>
        </is>
      </c>
      <c r="H52" s="6" t="n">
        <v>3</v>
      </c>
      <c r="I52" s="6" t="n">
        <v>2</v>
      </c>
      <c r="J52" s="6" t="inlineStr">
        <is>
          <t>nincs</t>
        </is>
      </c>
      <c r="K52" s="6">
        <f>IF(AND(H52&gt;0,I52&gt;0),"Rendben",IF(AND(H52=0,I52=0),"Nincs kép és adat",IF(H52=0,"Nincs kép","Nincs adat")))</f>
        <v/>
      </c>
      <c r="L52" s="6" t="inlineStr">
        <is>
          <t>Nem</t>
        </is>
      </c>
      <c r="M52" s="7" t="inlineStr">
        <is>
          <t>Quadris-megnevezés (nincs beszállítói forrás)</t>
        </is>
      </c>
      <c r="N52" s="7" t="inlineStr">
        <is>
          <t>Beszállítói forrás nincs – adatlap a Quadris-megnevezésből (méretek, elméleti tömeg)</t>
        </is>
      </c>
      <c r="O52" s="6" t="inlineStr"/>
      <c r="P52" s="11" t="inlineStr">
        <is>
          <t>https://website-9ib.pages.dev/termek/g-2000x1400-mm-rampaszonyeg/</t>
        </is>
      </c>
      <c r="Q52" s="12" t="inlineStr"/>
      <c r="R52" s="13" t="inlineStr"/>
      <c r="S52" s="6" t="inlineStr">
        <is>
          <t>g-2000x1400-mm-rampaszonyeg</t>
        </is>
      </c>
    </row>
    <row r="53">
      <c r="A53" s="6" t="inlineStr"/>
      <c r="B53" s="7" t="inlineStr">
        <is>
          <t>G 2000x1600 mm Rampaszőnyeg</t>
        </is>
      </c>
      <c r="C53" s="6" t="inlineStr">
        <is>
          <t>Gumiszőnyegek és gumilemezek</t>
        </is>
      </c>
      <c r="D53" s="6" t="inlineStr">
        <is>
          <t>Rámpa szőnyeg</t>
        </is>
      </c>
      <c r="E53" s="6" t="inlineStr">
        <is>
          <t>(nincs megadva)</t>
        </is>
      </c>
      <c r="F53" s="6" t="inlineStr"/>
      <c r="G53" s="6" t="inlineStr">
        <is>
          <t>Quadris Excel</t>
        </is>
      </c>
      <c r="H53" s="6" t="n">
        <v>3</v>
      </c>
      <c r="I53" s="6" t="n">
        <v>2</v>
      </c>
      <c r="J53" s="6" t="inlineStr">
        <is>
          <t>nincs</t>
        </is>
      </c>
      <c r="K53" s="6">
        <f>IF(AND(H53&gt;0,I53&gt;0),"Rendben",IF(AND(H53=0,I53=0),"Nincs kép és adat",IF(H53=0,"Nincs kép","Nincs adat")))</f>
        <v/>
      </c>
      <c r="L53" s="6" t="inlineStr">
        <is>
          <t>Nem</t>
        </is>
      </c>
      <c r="M53" s="7" t="inlineStr">
        <is>
          <t>Quadris-megnevezés (nincs beszállítói forrás)</t>
        </is>
      </c>
      <c r="N53" s="7" t="inlineStr">
        <is>
          <t>Beszállítói forrás nincs – adatlap a Quadris-megnevezésből (méretek, elméleti tömeg)</t>
        </is>
      </c>
      <c r="O53" s="6" t="inlineStr"/>
      <c r="P53" s="11" t="inlineStr">
        <is>
          <t>https://website-9ib.pages.dev/termek/g-2000x1600-mm-rampaszonyeg/</t>
        </is>
      </c>
      <c r="Q53" s="12" t="inlineStr"/>
      <c r="R53" s="13" t="inlineStr"/>
      <c r="S53" s="6" t="inlineStr">
        <is>
          <t>g-2000x1600-mm-rampaszonyeg</t>
        </is>
      </c>
    </row>
    <row r="54">
      <c r="A54" s="6" t="inlineStr"/>
      <c r="B54" s="7" t="inlineStr">
        <is>
          <t>G 2400x2000 Rampaszőnyeg</t>
        </is>
      </c>
      <c r="C54" s="6" t="inlineStr">
        <is>
          <t>Gumiszőnyegek és gumilemezek</t>
        </is>
      </c>
      <c r="D54" s="6" t="inlineStr">
        <is>
          <t>Rámpa szőnyeg</t>
        </is>
      </c>
      <c r="E54" s="6" t="inlineStr">
        <is>
          <t>(nincs megadva)</t>
        </is>
      </c>
      <c r="F54" s="6" t="inlineStr"/>
      <c r="G54" s="6" t="inlineStr">
        <is>
          <t>Quadris Excel</t>
        </is>
      </c>
      <c r="H54" s="6" t="n">
        <v>3</v>
      </c>
      <c r="I54" s="6" t="n">
        <v>2</v>
      </c>
      <c r="J54" s="6" t="inlineStr">
        <is>
          <t>nincs</t>
        </is>
      </c>
      <c r="K54" s="6">
        <f>IF(AND(H54&gt;0,I54&gt;0),"Rendben",IF(AND(H54=0,I54=0),"Nincs kép és adat",IF(H54=0,"Nincs kép","Nincs adat")))</f>
        <v/>
      </c>
      <c r="L54" s="6" t="inlineStr">
        <is>
          <t>Nem</t>
        </is>
      </c>
      <c r="M54" s="7" t="inlineStr">
        <is>
          <t>Quadris-megnevezés (nincs beszállítói forrás)</t>
        </is>
      </c>
      <c r="N54" s="7" t="inlineStr">
        <is>
          <t>Beszállítói forrás nincs – adatlap a Quadris-megnevezésből (méretek, elméleti tömeg)</t>
        </is>
      </c>
      <c r="O54" s="6" t="inlineStr"/>
      <c r="P54" s="11" t="inlineStr">
        <is>
          <t>https://website-9ib.pages.dev/termek/g-2400x2000-rampaszonyeg/</t>
        </is>
      </c>
      <c r="Q54" s="12" t="inlineStr"/>
      <c r="R54" s="13" t="inlineStr"/>
      <c r="S54" s="6" t="inlineStr">
        <is>
          <t>g-2400x2000-rampaszonyeg</t>
        </is>
      </c>
    </row>
    <row r="55">
      <c r="A55" s="6" t="inlineStr"/>
      <c r="B55" s="7" t="inlineStr">
        <is>
          <t>G 27/2400x1200 Rampaszőnyeg</t>
        </is>
      </c>
      <c r="C55" s="6" t="inlineStr">
        <is>
          <t>Gumiszőnyegek és gumilemezek</t>
        </is>
      </c>
      <c r="D55" s="6" t="inlineStr">
        <is>
          <t>Rámpa szőnyeg</t>
        </is>
      </c>
      <c r="E55" s="6" t="inlineStr">
        <is>
          <t>(nincs megadva)</t>
        </is>
      </c>
      <c r="F55" s="6" t="inlineStr">
        <is>
          <t>TM27/0</t>
        </is>
      </c>
      <c r="G55" s="6" t="inlineStr">
        <is>
          <t>Quadris Excel</t>
        </is>
      </c>
      <c r="H55" s="6" t="n">
        <v>3</v>
      </c>
      <c r="I55" s="6" t="n">
        <v>3</v>
      </c>
      <c r="J55" s="6" t="inlineStr">
        <is>
          <t>nincs</t>
        </is>
      </c>
      <c r="K55" s="6">
        <f>IF(AND(H55&gt;0,I55&gt;0),"Rendben",IF(AND(H55=0,I55=0),"Nincs kép és adat",IF(H55=0,"Nincs kép","Nincs adat")))</f>
        <v/>
      </c>
      <c r="L55" s="6" t="inlineStr">
        <is>
          <t>Nem</t>
        </is>
      </c>
      <c r="M55" s="7" t="inlineStr">
        <is>
          <t>Quadris-megnevezés (nincs beszállítói forrás)</t>
        </is>
      </c>
      <c r="N55" s="7" t="inlineStr">
        <is>
          <t>Beszállítói forrás nincs – adatlap a Quadris-megnevezésből (méretek, elméleti tömeg)</t>
        </is>
      </c>
      <c r="O55" s="6" t="inlineStr"/>
      <c r="P55" s="11" t="inlineStr">
        <is>
          <t>https://website-9ib.pages.dev/termek/g-27-2400x1200-rampaszonyeg/</t>
        </is>
      </c>
      <c r="Q55" s="12" t="inlineStr"/>
      <c r="R55" s="13" t="inlineStr"/>
      <c r="S55" s="6" t="inlineStr">
        <is>
          <t>g-27-2400x1200-rampaszonyeg</t>
        </is>
      </c>
    </row>
    <row r="56">
      <c r="A56" s="6" t="inlineStr"/>
      <c r="B56" s="7" t="inlineStr">
        <is>
          <t>G 3x1000 mm PVC áttlátszó víztiszta L:20 m</t>
        </is>
      </c>
      <c r="C56" s="6" t="inlineStr">
        <is>
          <t>Gumiszőnyegek és gumilemezek</t>
        </is>
      </c>
      <c r="D56" s="6" t="inlineStr">
        <is>
          <t>Víztiszta PVC</t>
        </is>
      </c>
      <c r="E56" s="6" t="inlineStr">
        <is>
          <t>(nincs megadva)</t>
        </is>
      </c>
      <c r="F56" s="6" t="inlineStr"/>
      <c r="G56" s="6" t="inlineStr">
        <is>
          <t>Quadris Excel</t>
        </is>
      </c>
      <c r="H56" s="6" t="n">
        <v>3</v>
      </c>
      <c r="I56" s="6" t="n">
        <v>4</v>
      </c>
      <c r="J56" s="6" t="inlineStr">
        <is>
          <t>nincs</t>
        </is>
      </c>
      <c r="K56" s="6">
        <f>IF(AND(H56&gt;0,I56&gt;0),"Rendben",IF(AND(H56=0,I56=0),"Nincs kép és adat",IF(H56=0,"Nincs kép","Nincs adat")))</f>
        <v/>
      </c>
      <c r="L56" s="6" t="inlineStr">
        <is>
          <t>Nem</t>
        </is>
      </c>
      <c r="M56" s="7" t="inlineStr">
        <is>
          <t>Quadris-megnevezés (nincs beszállítói forrás)</t>
        </is>
      </c>
      <c r="N56" s="7" t="inlineStr">
        <is>
          <t>Beszállítói forrás nincs – adatlap a Quadris-megnevezésből (méretek, elméleti tömeg)</t>
        </is>
      </c>
      <c r="O56" s="6" t="inlineStr"/>
      <c r="P56" s="11" t="inlineStr">
        <is>
          <t>https://website-9ib.pages.dev/termek/g-3x1000-mm-pvc-attlatszo-viztiszta-l-20-m/</t>
        </is>
      </c>
      <c r="Q56" s="12" t="inlineStr"/>
      <c r="R56" s="13" t="inlineStr"/>
      <c r="S56" s="6" t="inlineStr">
        <is>
          <t>g-3x1000-mm-pvc-attlatszo-viztiszta-l-20-m</t>
        </is>
      </c>
    </row>
    <row r="57">
      <c r="A57" s="6" t="inlineStr"/>
      <c r="B57" s="7" t="inlineStr">
        <is>
          <t>G 3x1200x10000 mm Amoeba gumiszőnyeg</t>
        </is>
      </c>
      <c r="C57" s="6" t="inlineStr">
        <is>
          <t>Gumiszőnyegek és gumilemezek</t>
        </is>
      </c>
      <c r="D57" s="6" t="inlineStr">
        <is>
          <t>Általános gumi szőnyeg</t>
        </is>
      </c>
      <c r="E57" s="6" t="inlineStr">
        <is>
          <t>(nincs megadva)</t>
        </is>
      </c>
      <c r="F57" s="6" t="inlineStr">
        <is>
          <t>AM65 3/0</t>
        </is>
      </c>
      <c r="G57" s="6" t="inlineStr">
        <is>
          <t>Quadris Excel</t>
        </is>
      </c>
      <c r="H57" s="6" t="n">
        <v>3</v>
      </c>
      <c r="I57" s="6" t="n">
        <v>3</v>
      </c>
      <c r="J57" s="6" t="inlineStr">
        <is>
          <t>nincs</t>
        </is>
      </c>
      <c r="K57" s="6">
        <f>IF(AND(H57&gt;0,I57&gt;0),"Rendben",IF(AND(H57=0,I57=0),"Nincs kép és adat",IF(H57=0,"Nincs kép","Nincs adat")))</f>
        <v/>
      </c>
      <c r="L57" s="6" t="inlineStr">
        <is>
          <t>Nem</t>
        </is>
      </c>
      <c r="M57" s="7" t="inlineStr">
        <is>
          <t>Quadris-megnevezés (nincs beszállítói forrás)</t>
        </is>
      </c>
      <c r="N57" s="7" t="inlineStr">
        <is>
          <t>Beszállítói forrás nincs – adatlap a Quadris-megnevezésből (méretek, elméleti tömeg)</t>
        </is>
      </c>
      <c r="O57" s="6" t="inlineStr"/>
      <c r="P57" s="11" t="inlineStr">
        <is>
          <t>https://website-9ib.pages.dev/termek/g-3x1200x10000-mm-amoeba-gumiszonyeg/</t>
        </is>
      </c>
      <c r="Q57" s="12" t="inlineStr"/>
      <c r="R57" s="13" t="inlineStr"/>
      <c r="S57" s="6" t="inlineStr">
        <is>
          <t>g-3x1200x10000-mm-amoeba-gumiszonyeg</t>
        </is>
      </c>
    </row>
    <row r="58">
      <c r="A58" s="6" t="inlineStr"/>
      <c r="B58" s="7" t="inlineStr">
        <is>
          <t>G 3x1500x10000 mm Amoeba gumiszőnyeg</t>
        </is>
      </c>
      <c r="C58" s="6" t="inlineStr">
        <is>
          <t>Gumiszőnyegek és gumilemezek</t>
        </is>
      </c>
      <c r="D58" s="6" t="inlineStr">
        <is>
          <t>Általános gumi szőnyeg</t>
        </is>
      </c>
      <c r="E58" s="6" t="inlineStr">
        <is>
          <t>(nincs megadva)</t>
        </is>
      </c>
      <c r="F58" s="6" t="inlineStr">
        <is>
          <t>AM65 3/0</t>
        </is>
      </c>
      <c r="G58" s="6" t="inlineStr">
        <is>
          <t>Quadris Excel</t>
        </is>
      </c>
      <c r="H58" s="6" t="n">
        <v>3</v>
      </c>
      <c r="I58" s="6" t="n">
        <v>3</v>
      </c>
      <c r="J58" s="6" t="inlineStr">
        <is>
          <t>nincs</t>
        </is>
      </c>
      <c r="K58" s="6">
        <f>IF(AND(H58&gt;0,I58&gt;0),"Rendben",IF(AND(H58=0,I58=0),"Nincs kép és adat",IF(H58=0,"Nincs kép","Nincs adat")))</f>
        <v/>
      </c>
      <c r="L58" s="6" t="inlineStr">
        <is>
          <t>Nem</t>
        </is>
      </c>
      <c r="M58" s="7" t="inlineStr">
        <is>
          <t>Quadris-megnevezés (nincs beszállítói forrás)</t>
        </is>
      </c>
      <c r="N58" s="7" t="inlineStr">
        <is>
          <t>Beszállítói forrás nincs – adatlap a Quadris-megnevezésből (méretek, elméleti tömeg)</t>
        </is>
      </c>
      <c r="O58" s="6" t="inlineStr"/>
      <c r="P58" s="11" t="inlineStr">
        <is>
          <t>https://website-9ib.pages.dev/termek/g-3x1500x10000-mm-amoeba-gumiszonyeg/</t>
        </is>
      </c>
      <c r="Q58" s="12" t="inlineStr"/>
      <c r="R58" s="13" t="inlineStr"/>
      <c r="S58" s="6" t="inlineStr">
        <is>
          <t>g-3x1500x10000-mm-amoeba-gumiszonyeg</t>
        </is>
      </c>
    </row>
    <row r="59">
      <c r="A59" s="6" t="inlineStr"/>
      <c r="B59" s="7" t="inlineStr">
        <is>
          <t>G 3x2200x10000 mm DIAMOND mintás gumi</t>
        </is>
      </c>
      <c r="C59" s="6" t="inlineStr">
        <is>
          <t>Gumiszőnyegek és gumilemezek</t>
        </is>
      </c>
      <c r="D59" s="6" t="inlineStr">
        <is>
          <t>Általános gumi szőnyeg</t>
        </is>
      </c>
      <c r="E59" s="6" t="inlineStr">
        <is>
          <t>(nincs megadva)</t>
        </is>
      </c>
      <c r="F59" s="6" t="inlineStr"/>
      <c r="G59" s="6" t="inlineStr">
        <is>
          <t>Quadris Excel</t>
        </is>
      </c>
      <c r="H59" s="6" t="n">
        <v>3</v>
      </c>
      <c r="I59" s="6" t="n">
        <v>3</v>
      </c>
      <c r="J59" s="6" t="inlineStr">
        <is>
          <t>nincs</t>
        </is>
      </c>
      <c r="K59" s="6">
        <f>IF(AND(H59&gt;0,I59&gt;0),"Rendben",IF(AND(H59=0,I59=0),"Nincs kép és adat",IF(H59=0,"Nincs kép","Nincs adat")))</f>
        <v/>
      </c>
      <c r="L59" s="6" t="inlineStr">
        <is>
          <t>Nem</t>
        </is>
      </c>
      <c r="M59" s="7" t="inlineStr">
        <is>
          <t>Quadris-megnevezés (nincs beszállítói forrás)</t>
        </is>
      </c>
      <c r="N59" s="7" t="inlineStr">
        <is>
          <t>Beszállítói forrás nincs – adatlap a Quadris-megnevezésből (méretek, elméleti tömeg)</t>
        </is>
      </c>
      <c r="O59" s="6" t="inlineStr"/>
      <c r="P59" s="11" t="inlineStr">
        <is>
          <t>https://website-9ib.pages.dev/termek/g-3x2200x10000-mm-diamond-mintas-gumi/</t>
        </is>
      </c>
      <c r="Q59" s="12" t="inlineStr"/>
      <c r="R59" s="13" t="inlineStr"/>
      <c r="S59" s="6" t="inlineStr">
        <is>
          <t>g-3x2200x10000-mm-diamond-mintas-gumi</t>
        </is>
      </c>
    </row>
    <row r="60">
      <c r="A60" s="6" t="inlineStr"/>
      <c r="B60" s="7" t="inlineStr">
        <is>
          <t>G 4x1000 mm PVC áttlátszó víztiszta L:20 m</t>
        </is>
      </c>
      <c r="C60" s="6" t="inlineStr">
        <is>
          <t>Gumiszőnyegek és gumilemezek</t>
        </is>
      </c>
      <c r="D60" s="6" t="inlineStr">
        <is>
          <t>Víztiszta PVC</t>
        </is>
      </c>
      <c r="E60" s="6" t="inlineStr">
        <is>
          <t>(nincs megadva)</t>
        </is>
      </c>
      <c r="F60" s="6" t="inlineStr"/>
      <c r="G60" s="6" t="inlineStr">
        <is>
          <t>Quadris Excel</t>
        </is>
      </c>
      <c r="H60" s="6" t="n">
        <v>3</v>
      </c>
      <c r="I60" s="6" t="n">
        <v>4</v>
      </c>
      <c r="J60" s="6" t="inlineStr">
        <is>
          <t>nincs</t>
        </is>
      </c>
      <c r="K60" s="6">
        <f>IF(AND(H60&gt;0,I60&gt;0),"Rendben",IF(AND(H60=0,I60=0),"Nincs kép és adat",IF(H60=0,"Nincs kép","Nincs adat")))</f>
        <v/>
      </c>
      <c r="L60" s="6" t="inlineStr">
        <is>
          <t>Nem</t>
        </is>
      </c>
      <c r="M60" s="7" t="inlineStr">
        <is>
          <t>Quadris-megnevezés (nincs beszállítói forrás)</t>
        </is>
      </c>
      <c r="N60" s="7" t="inlineStr">
        <is>
          <t>Beszállítói forrás nincs – adatlap a Quadris-megnevezésből (méretek, elméleti tömeg)</t>
        </is>
      </c>
      <c r="O60" s="6" t="inlineStr"/>
      <c r="P60" s="11" t="inlineStr">
        <is>
          <t>https://website-9ib.pages.dev/termek/g-4x1000-mm-pvc-attlatszo-viztiszta-l-20-m/</t>
        </is>
      </c>
      <c r="Q60" s="12" t="inlineStr"/>
      <c r="R60" s="13" t="inlineStr"/>
      <c r="S60" s="6" t="inlineStr">
        <is>
          <t>g-4x1000-mm-pvc-attlatszo-viztiszta-l-20-m</t>
        </is>
      </c>
    </row>
    <row r="61">
      <c r="A61" s="6" t="inlineStr"/>
      <c r="B61" s="7" t="inlineStr">
        <is>
          <t>G 4x1400x10000 2T S/S Általános gumiszőnyeg</t>
        </is>
      </c>
      <c r="C61" s="6" t="inlineStr">
        <is>
          <t>Gumiszőnyegek és gumilemezek</t>
        </is>
      </c>
      <c r="D61" s="6" t="inlineStr">
        <is>
          <t>Általános gumi szőnyeg</t>
        </is>
      </c>
      <c r="E61" s="6" t="inlineStr">
        <is>
          <t>(nincs megadva)</t>
        </is>
      </c>
      <c r="F61" s="6" t="inlineStr"/>
      <c r="G61" s="6" t="inlineStr">
        <is>
          <t>Quadris Excel</t>
        </is>
      </c>
      <c r="H61" s="6" t="n">
        <v>3</v>
      </c>
      <c r="I61" s="6" t="n">
        <v>3</v>
      </c>
      <c r="J61" s="6" t="inlineStr">
        <is>
          <t>nincs</t>
        </is>
      </c>
      <c r="K61" s="6">
        <f>IF(AND(H61&gt;0,I61&gt;0),"Rendben",IF(AND(H61=0,I61=0),"Nincs kép és adat",IF(H61=0,"Nincs kép","Nincs adat")))</f>
        <v/>
      </c>
      <c r="L61" s="6" t="inlineStr">
        <is>
          <t>Nem</t>
        </is>
      </c>
      <c r="M61" s="7" t="inlineStr">
        <is>
          <t>Quadris-megnevezés (nincs beszállítói forrás)</t>
        </is>
      </c>
      <c r="N61" s="7" t="inlineStr">
        <is>
          <t>Beszállítói forrás nincs – adatlap a Quadris-megnevezésből (méretek, elméleti tömeg)</t>
        </is>
      </c>
      <c r="O61" s="6" t="inlineStr"/>
      <c r="P61" s="11" t="inlineStr">
        <is>
          <t>https://website-9ib.pages.dev/termek/g-4x1400x10000-2t-s-s-altalanos-gumiszonyeg/</t>
        </is>
      </c>
      <c r="Q61" s="12" t="inlineStr"/>
      <c r="R61" s="13" t="inlineStr"/>
      <c r="S61" s="6" t="inlineStr">
        <is>
          <t>g-4x1400x10000-2t-s-s-altalanos-gumiszonyeg</t>
        </is>
      </c>
    </row>
    <row r="62">
      <c r="A62" s="6" t="inlineStr"/>
      <c r="B62" s="7" t="inlineStr">
        <is>
          <t>G 4x1400x10000 S/S Általános gumiszőnyeg</t>
        </is>
      </c>
      <c r="C62" s="6" t="inlineStr">
        <is>
          <t>Gumiszőnyegek és gumilemezek</t>
        </is>
      </c>
      <c r="D62" s="6" t="inlineStr">
        <is>
          <t>Általános gumi szőnyeg</t>
        </is>
      </c>
      <c r="E62" s="6" t="inlineStr">
        <is>
          <t>(nincs megadva)</t>
        </is>
      </c>
      <c r="F62" s="6" t="inlineStr"/>
      <c r="G62" s="6" t="inlineStr">
        <is>
          <t>Quadris Excel</t>
        </is>
      </c>
      <c r="H62" s="6" t="n">
        <v>3</v>
      </c>
      <c r="I62" s="6" t="n">
        <v>3</v>
      </c>
      <c r="J62" s="6" t="inlineStr">
        <is>
          <t>nincs</t>
        </is>
      </c>
      <c r="K62" s="6">
        <f>IF(AND(H62&gt;0,I62&gt;0),"Rendben",IF(AND(H62=0,I62=0),"Nincs kép és adat",IF(H62=0,"Nincs kép","Nincs adat")))</f>
        <v/>
      </c>
      <c r="L62" s="6" t="inlineStr">
        <is>
          <t>Nem</t>
        </is>
      </c>
      <c r="M62" s="7" t="inlineStr">
        <is>
          <t>Quadris-megnevezés (nincs beszállítói forrás)</t>
        </is>
      </c>
      <c r="N62" s="7" t="inlineStr">
        <is>
          <t>Beszállítói forrás nincs – adatlap a Quadris-megnevezésből (méretek, elméleti tömeg)</t>
        </is>
      </c>
      <c r="O62" s="6" t="inlineStr"/>
      <c r="P62" s="11" t="inlineStr">
        <is>
          <t>https://website-9ib.pages.dev/termek/g-4x1400x10000-s-s-altalanos-gumiszonyeg/</t>
        </is>
      </c>
      <c r="Q62" s="12" t="inlineStr"/>
      <c r="R62" s="13" t="inlineStr"/>
      <c r="S62" s="6" t="inlineStr">
        <is>
          <t>g-4x1400x10000-s-s-altalanos-gumiszonyeg</t>
        </is>
      </c>
    </row>
    <row r="63">
      <c r="A63" s="6" t="inlineStr"/>
      <c r="B63" s="7" t="inlineStr">
        <is>
          <t>G 4x2000mm CBR szőnyeg 2 nylon</t>
        </is>
      </c>
      <c r="C63" s="6" t="inlineStr">
        <is>
          <t>Gumiszőnyegek és gumilemezek</t>
        </is>
      </c>
      <c r="D63" s="6" t="inlineStr">
        <is>
          <t>Cobra szőnyeg</t>
        </is>
      </c>
      <c r="E63" s="6" t="inlineStr">
        <is>
          <t>(nincs megadva)</t>
        </is>
      </c>
      <c r="F63" s="6" t="inlineStr">
        <is>
          <t>SX70150C 4/2</t>
        </is>
      </c>
      <c r="G63" s="6" t="inlineStr">
        <is>
          <t>Quadris Excel</t>
        </is>
      </c>
      <c r="H63" s="6" t="n">
        <v>3</v>
      </c>
      <c r="I63" s="6" t="n">
        <v>3</v>
      </c>
      <c r="J63" s="6" t="inlineStr">
        <is>
          <t>nincs</t>
        </is>
      </c>
      <c r="K63" s="6">
        <f>IF(AND(H63&gt;0,I63&gt;0),"Rendben",IF(AND(H63=0,I63=0),"Nincs kép és adat",IF(H63=0,"Nincs kép","Nincs adat")))</f>
        <v/>
      </c>
      <c r="L63" s="6" t="inlineStr">
        <is>
          <t>Nem</t>
        </is>
      </c>
      <c r="M63" s="7" t="inlineStr">
        <is>
          <t>Quadris-megnevezés (nincs beszállítói forrás)</t>
        </is>
      </c>
      <c r="N63" s="7" t="inlineStr">
        <is>
          <t>Beszállítói forrás nincs – adatlap a Quadris-megnevezésből (méretek, elméleti tömeg)</t>
        </is>
      </c>
      <c r="O63" s="6" t="inlineStr"/>
      <c r="P63" s="11" t="inlineStr">
        <is>
          <t>https://website-9ib.pages.dev/termek/g-4x2000mm-cbr-szonyeg-2-nylon/</t>
        </is>
      </c>
      <c r="Q63" s="12" t="inlineStr"/>
      <c r="R63" s="13" t="inlineStr"/>
      <c r="S63" s="6" t="inlineStr">
        <is>
          <t>g-4x2000mm-cbr-szonyeg-2-nylon</t>
        </is>
      </c>
    </row>
    <row r="64">
      <c r="A64" s="6" t="inlineStr"/>
      <c r="B64" s="7" t="inlineStr">
        <is>
          <t>G 5x1000 mm PVC áttlátszó víztiszta L:20 m</t>
        </is>
      </c>
      <c r="C64" s="6" t="inlineStr">
        <is>
          <t>Gumiszőnyegek és gumilemezek</t>
        </is>
      </c>
      <c r="D64" s="6" t="inlineStr">
        <is>
          <t>Víztiszta PVC</t>
        </is>
      </c>
      <c r="E64" s="6" t="inlineStr">
        <is>
          <t>(nincs megadva)</t>
        </is>
      </c>
      <c r="F64" s="6" t="inlineStr"/>
      <c r="G64" s="6" t="inlineStr">
        <is>
          <t>Quadris Excel</t>
        </is>
      </c>
      <c r="H64" s="6" t="n">
        <v>3</v>
      </c>
      <c r="I64" s="6" t="n">
        <v>4</v>
      </c>
      <c r="J64" s="6" t="inlineStr">
        <is>
          <t>nincs</t>
        </is>
      </c>
      <c r="K64" s="6">
        <f>IF(AND(H64&gt;0,I64&gt;0),"Rendben",IF(AND(H64=0,I64=0),"Nincs kép és adat",IF(H64=0,"Nincs kép","Nincs adat")))</f>
        <v/>
      </c>
      <c r="L64" s="6" t="inlineStr">
        <is>
          <t>Nem</t>
        </is>
      </c>
      <c r="M64" s="7" t="inlineStr">
        <is>
          <t>Quadris-megnevezés (nincs beszállítói forrás)</t>
        </is>
      </c>
      <c r="N64" s="7" t="inlineStr">
        <is>
          <t>Beszállítói forrás nincs – adatlap a Quadris-megnevezésből (méretek, elméleti tömeg)</t>
        </is>
      </c>
      <c r="O64" s="6" t="inlineStr"/>
      <c r="P64" s="11" t="inlineStr">
        <is>
          <t>https://website-9ib.pages.dev/termek/g-5x1000-mm-pvc-attlatszo-viztiszta-l-20-m/</t>
        </is>
      </c>
      <c r="Q64" s="12" t="inlineStr"/>
      <c r="R64" s="13" t="inlineStr"/>
      <c r="S64" s="6" t="inlineStr">
        <is>
          <t>g-5x1000-mm-pvc-attlatszo-viztiszta-l-20-m</t>
        </is>
      </c>
    </row>
    <row r="65">
      <c r="A65" s="6" t="inlineStr"/>
      <c r="B65" s="7" t="inlineStr">
        <is>
          <t>G 6x1450mm COBRA szőnyeg 2 nylon</t>
        </is>
      </c>
      <c r="C65" s="6" t="inlineStr">
        <is>
          <t>Gumiszőnyegek és gumilemezek</t>
        </is>
      </c>
      <c r="D65" s="6" t="inlineStr">
        <is>
          <t>Cobra szőnyeg</t>
        </is>
      </c>
      <c r="E65" s="6" t="inlineStr">
        <is>
          <t>(nincs megadva)</t>
        </is>
      </c>
      <c r="F65" s="6" t="inlineStr">
        <is>
          <t>SX70150C 6/2</t>
        </is>
      </c>
      <c r="G65" s="6" t="inlineStr">
        <is>
          <t>Quadris Excel</t>
        </is>
      </c>
      <c r="H65" s="6" t="n">
        <v>3</v>
      </c>
      <c r="I65" s="6" t="n">
        <v>3</v>
      </c>
      <c r="J65" s="6" t="inlineStr">
        <is>
          <t>nincs</t>
        </is>
      </c>
      <c r="K65" s="6">
        <f>IF(AND(H65&gt;0,I65&gt;0),"Rendben",IF(AND(H65=0,I65=0),"Nincs kép és adat",IF(H65=0,"Nincs kép","Nincs adat")))</f>
        <v/>
      </c>
      <c r="L65" s="6" t="inlineStr">
        <is>
          <t>Nem</t>
        </is>
      </c>
      <c r="M65" s="7" t="inlineStr">
        <is>
          <t>Quadris-megnevezés (nincs beszállítói forrás)</t>
        </is>
      </c>
      <c r="N65" s="7" t="inlineStr">
        <is>
          <t>Beszállítói forrás nincs – adatlap a Quadris-megnevezésből (méretek, elméleti tömeg)</t>
        </is>
      </c>
      <c r="O65" s="6" t="inlineStr"/>
      <c r="P65" s="11" t="inlineStr">
        <is>
          <t>https://website-9ib.pages.dev/termek/g-6x1450mm-cobra-szonyeg-2-nylon/</t>
        </is>
      </c>
      <c r="Q65" s="12" t="inlineStr"/>
      <c r="R65" s="13" t="inlineStr"/>
      <c r="S65" s="6" t="inlineStr">
        <is>
          <t>g-6x1450mm-cobra-szonyeg-2-nylon</t>
        </is>
      </c>
    </row>
    <row r="66">
      <c r="A66" s="6" t="inlineStr"/>
      <c r="B66" s="7" t="inlineStr">
        <is>
          <t>G 6x1650 mm Istálló szőnyeg L:10 m RS</t>
        </is>
      </c>
      <c r="C66" s="6" t="inlineStr">
        <is>
          <t>Gumiszőnyegek és gumilemezek</t>
        </is>
      </c>
      <c r="D66" s="6" t="inlineStr">
        <is>
          <t>Istálló szőnyeg</t>
        </is>
      </c>
      <c r="E66" s="6" t="inlineStr">
        <is>
          <t>(nincs megadva)</t>
        </is>
      </c>
      <c r="F66" s="6" t="inlineStr"/>
      <c r="G66" s="6" t="inlineStr">
        <is>
          <t>Quadris Excel</t>
        </is>
      </c>
      <c r="H66" s="6" t="n">
        <v>3</v>
      </c>
      <c r="I66" s="6" t="n">
        <v>4</v>
      </c>
      <c r="J66" s="6" t="inlineStr">
        <is>
          <t>nincs</t>
        </is>
      </c>
      <c r="K66" s="6">
        <f>IF(AND(H66&gt;0,I66&gt;0),"Rendben",IF(AND(H66=0,I66=0),"Nincs kép és adat",IF(H66=0,"Nincs kép","Nincs adat")))</f>
        <v/>
      </c>
      <c r="L66" s="6" t="inlineStr">
        <is>
          <t>Nem</t>
        </is>
      </c>
      <c r="M66" s="7" t="inlineStr">
        <is>
          <t>Quadris-megnevezés (nincs beszállítói forrás)</t>
        </is>
      </c>
      <c r="N66" s="7" t="inlineStr">
        <is>
          <t>Beszállítói forrás nincs – adatlap a Quadris-megnevezésből (méretek, elméleti tömeg)</t>
        </is>
      </c>
      <c r="O66" s="6" t="inlineStr"/>
      <c r="P66" s="11" t="inlineStr">
        <is>
          <t>https://website-9ib.pages.dev/termek/g-6x1650-mm-istallo-szonyeg-l-10-m-rs/</t>
        </is>
      </c>
      <c r="Q66" s="12" t="inlineStr"/>
      <c r="R66" s="13" t="inlineStr"/>
      <c r="S66" s="6" t="inlineStr">
        <is>
          <t>g-6x1650-mm-istallo-szonyeg-l-10-m-rs</t>
        </is>
      </c>
    </row>
    <row r="67">
      <c r="A67" s="6" t="inlineStr"/>
      <c r="B67" s="7" t="inlineStr">
        <is>
          <t>G 6x2000mm COBRA szőnyeg 2 nylon</t>
        </is>
      </c>
      <c r="C67" s="6" t="inlineStr">
        <is>
          <t>Gumiszőnyegek és gumilemezek</t>
        </is>
      </c>
      <c r="D67" s="6" t="inlineStr">
        <is>
          <t>Cobra szőnyeg</t>
        </is>
      </c>
      <c r="E67" s="6" t="inlineStr">
        <is>
          <t>(nincs megadva)</t>
        </is>
      </c>
      <c r="F67" s="6" t="inlineStr">
        <is>
          <t>SX70150C</t>
        </is>
      </c>
      <c r="G67" s="6" t="inlineStr">
        <is>
          <t>Quadris Excel</t>
        </is>
      </c>
      <c r="H67" s="6" t="n">
        <v>3</v>
      </c>
      <c r="I67" s="6" t="n">
        <v>3</v>
      </c>
      <c r="J67" s="6" t="inlineStr">
        <is>
          <t>nincs</t>
        </is>
      </c>
      <c r="K67" s="6">
        <f>IF(AND(H67&gt;0,I67&gt;0),"Rendben",IF(AND(H67=0,I67=0),"Nincs kép és adat",IF(H67=0,"Nincs kép","Nincs adat")))</f>
        <v/>
      </c>
      <c r="L67" s="6" t="inlineStr">
        <is>
          <t>Nem</t>
        </is>
      </c>
      <c r="M67" s="7" t="inlineStr">
        <is>
          <t>Quadris-megnevezés (nincs beszállítói forrás)</t>
        </is>
      </c>
      <c r="N67" s="7" t="inlineStr">
        <is>
          <t>Beszállítói forrás nincs – adatlap a Quadris-megnevezésből (méretek, elméleti tömeg)</t>
        </is>
      </c>
      <c r="O67" s="6" t="inlineStr"/>
      <c r="P67" s="11" t="inlineStr">
        <is>
          <t>https://website-9ib.pages.dev/termek/g-6x2000mm-cobra-szonyeg-2-nylon/</t>
        </is>
      </c>
      <c r="Q67" s="12" t="inlineStr"/>
      <c r="R67" s="13" t="inlineStr"/>
      <c r="S67" s="6" t="inlineStr">
        <is>
          <t>g-6x2000mm-cobra-szonyeg-2-nylon</t>
        </is>
      </c>
    </row>
    <row r="68">
      <c r="A68" s="6" t="inlineStr"/>
      <c r="B68" s="7" t="inlineStr">
        <is>
          <t>G 6x2000mm Istálló szőnyeg L: 10 m RS</t>
        </is>
      </c>
      <c r="C68" s="6" t="inlineStr">
        <is>
          <t>Gumiszőnyegek és gumilemezek</t>
        </is>
      </c>
      <c r="D68" s="6" t="inlineStr">
        <is>
          <t>Istálló szőnyeg</t>
        </is>
      </c>
      <c r="E68" s="6" t="inlineStr">
        <is>
          <t>(nincs megadva)</t>
        </is>
      </c>
      <c r="F68" s="6" t="inlineStr"/>
      <c r="G68" s="6" t="inlineStr">
        <is>
          <t>Quadris Excel</t>
        </is>
      </c>
      <c r="H68" s="6" t="n">
        <v>3</v>
      </c>
      <c r="I68" s="6" t="n">
        <v>4</v>
      </c>
      <c r="J68" s="6" t="inlineStr">
        <is>
          <t>nincs</t>
        </is>
      </c>
      <c r="K68" s="6">
        <f>IF(AND(H68&gt;0,I68&gt;0),"Rendben",IF(AND(H68=0,I68=0),"Nincs kép és adat",IF(H68=0,"Nincs kép","Nincs adat")))</f>
        <v/>
      </c>
      <c r="L68" s="6" t="inlineStr">
        <is>
          <t>Nem</t>
        </is>
      </c>
      <c r="M68" s="7" t="inlineStr">
        <is>
          <t>Quadris-megnevezés (nincs beszállítói forrás)</t>
        </is>
      </c>
      <c r="N68" s="7" t="inlineStr">
        <is>
          <t>Beszállítói forrás nincs – adatlap a Quadris-megnevezésből (méretek, elméleti tömeg)</t>
        </is>
      </c>
      <c r="O68" s="6" t="inlineStr"/>
      <c r="P68" s="11" t="inlineStr">
        <is>
          <t>https://website-9ib.pages.dev/termek/g-6x2000mm-istallo-szonyeg-l-10-m-rs/</t>
        </is>
      </c>
      <c r="Q68" s="12" t="inlineStr"/>
      <c r="R68" s="13" t="inlineStr"/>
      <c r="S68" s="6" t="inlineStr">
        <is>
          <t>g-6x2000mm-istallo-szonyeg-l-10-m-rs</t>
        </is>
      </c>
    </row>
    <row r="69">
      <c r="A69" s="6" t="inlineStr"/>
      <c r="B69" s="7" t="inlineStr">
        <is>
          <t>G 8x1000 Soft gumi</t>
        </is>
      </c>
      <c r="C69" s="6" t="inlineStr">
        <is>
          <t>Gumiszőnyegek és gumilemezek</t>
        </is>
      </c>
      <c r="D69" s="6" t="inlineStr">
        <is>
          <t>Soft gumi</t>
        </is>
      </c>
      <c r="E69" s="6" t="inlineStr">
        <is>
          <t>(nincs megadva)</t>
        </is>
      </c>
      <c r="F69" s="6" t="inlineStr"/>
      <c r="G69" s="6" t="inlineStr">
        <is>
          <t>Quadris Excel</t>
        </is>
      </c>
      <c r="H69" s="6" t="n">
        <v>3</v>
      </c>
      <c r="I69" s="6" t="n">
        <v>3</v>
      </c>
      <c r="J69" s="6" t="inlineStr">
        <is>
          <t>nincs</t>
        </is>
      </c>
      <c r="K69" s="6">
        <f>IF(AND(H69&gt;0,I69&gt;0),"Rendben",IF(AND(H69=0,I69=0),"Nincs kép és adat",IF(H69=0,"Nincs kép","Nincs adat")))</f>
        <v/>
      </c>
      <c r="L69" s="6" t="inlineStr">
        <is>
          <t>Nem</t>
        </is>
      </c>
      <c r="M69" s="7" t="inlineStr">
        <is>
          <t>Quadris-megnevezés (nincs beszállítói forrás)</t>
        </is>
      </c>
      <c r="N69" s="7" t="inlineStr">
        <is>
          <t>Beszállítói forrás nincs – adatlap a Quadris-megnevezésből (méretek, elméleti tömeg)</t>
        </is>
      </c>
      <c r="O69" s="6" t="inlineStr"/>
      <c r="P69" s="11" t="inlineStr">
        <is>
          <t>https://website-9ib.pages.dev/termek/g-8x1000-soft-gumi/</t>
        </is>
      </c>
      <c r="Q69" s="12" t="inlineStr"/>
      <c r="R69" s="13" t="inlineStr"/>
      <c r="S69" s="6" t="inlineStr">
        <is>
          <t>g-8x1000-soft-gumi</t>
        </is>
      </c>
    </row>
    <row r="70">
      <c r="A70" s="6" t="inlineStr"/>
      <c r="B70" s="7" t="inlineStr">
        <is>
          <t>G 8x1000x2000 Soft gumi lap</t>
        </is>
      </c>
      <c r="C70" s="6" t="inlineStr">
        <is>
          <t>Gumiszőnyegek és gumilemezek</t>
        </is>
      </c>
      <c r="D70" s="6" t="inlineStr">
        <is>
          <t>Soft gumi</t>
        </is>
      </c>
      <c r="E70" s="6" t="inlineStr">
        <is>
          <t>(nincs megadva)</t>
        </is>
      </c>
      <c r="F70" s="6" t="inlineStr"/>
      <c r="G70" s="6" t="inlineStr">
        <is>
          <t>Quadris Excel</t>
        </is>
      </c>
      <c r="H70" s="6" t="n">
        <v>3</v>
      </c>
      <c r="I70" s="6" t="n">
        <v>3</v>
      </c>
      <c r="J70" s="6" t="inlineStr">
        <is>
          <t>nincs</t>
        </is>
      </c>
      <c r="K70" s="6">
        <f>IF(AND(H70&gt;0,I70&gt;0),"Rendben",IF(AND(H70=0,I70=0),"Nincs kép és adat",IF(H70=0,"Nincs kép","Nincs adat")))</f>
        <v/>
      </c>
      <c r="L70" s="6" t="inlineStr">
        <is>
          <t>Nem</t>
        </is>
      </c>
      <c r="M70" s="7" t="inlineStr">
        <is>
          <t>Quadris-megnevezés (nincs beszállítói forrás)</t>
        </is>
      </c>
      <c r="N70" s="7" t="inlineStr">
        <is>
          <t>Beszállítói forrás nincs – adatlap a Quadris-megnevezésből (méretek, elméleti tömeg)</t>
        </is>
      </c>
      <c r="O70" s="6" t="inlineStr"/>
      <c r="P70" s="11" t="inlineStr">
        <is>
          <t>https://website-9ib.pages.dev/termek/g-8x1000x2000-soft-gumi-lap/</t>
        </is>
      </c>
      <c r="Q70" s="12" t="inlineStr"/>
      <c r="R70" s="13" t="inlineStr"/>
      <c r="S70" s="6" t="inlineStr">
        <is>
          <t>g-8x1000x2000-soft-gumi-lap</t>
        </is>
      </c>
    </row>
    <row r="71">
      <c r="A71" s="6" t="inlineStr"/>
      <c r="B71" s="7" t="inlineStr">
        <is>
          <t>G 8x1650 Istálló szőnyeg</t>
        </is>
      </c>
      <c r="C71" s="6" t="inlineStr">
        <is>
          <t>Gumiszőnyegek és gumilemezek</t>
        </is>
      </c>
      <c r="D71" s="6" t="inlineStr">
        <is>
          <t>Istálló szőnyeg</t>
        </is>
      </c>
      <c r="E71" s="6" t="inlineStr">
        <is>
          <t>(nincs megadva)</t>
        </is>
      </c>
      <c r="F71" s="6" t="inlineStr"/>
      <c r="G71" s="6" t="inlineStr">
        <is>
          <t>Quadris Excel</t>
        </is>
      </c>
      <c r="H71" s="6" t="n">
        <v>3</v>
      </c>
      <c r="I71" s="6" t="n">
        <v>3</v>
      </c>
      <c r="J71" s="6" t="inlineStr">
        <is>
          <t>nincs</t>
        </is>
      </c>
      <c r="K71" s="6">
        <f>IF(AND(H71&gt;0,I71&gt;0),"Rendben",IF(AND(H71=0,I71=0),"Nincs kép és adat",IF(H71=0,"Nincs kép","Nincs adat")))</f>
        <v/>
      </c>
      <c r="L71" s="6" t="inlineStr">
        <is>
          <t>Nem</t>
        </is>
      </c>
      <c r="M71" s="7" t="inlineStr">
        <is>
          <t>Quadris-megnevezés (nincs beszállítói forrás)</t>
        </is>
      </c>
      <c r="N71" s="7" t="inlineStr">
        <is>
          <t>Beszállítói forrás nincs – adatlap a Quadris-megnevezésből (méretek, elméleti tömeg)</t>
        </is>
      </c>
      <c r="O71" s="6" t="inlineStr"/>
      <c r="P71" s="11" t="inlineStr">
        <is>
          <t>https://website-9ib.pages.dev/termek/g-8x1650-istallo-szonyeg/</t>
        </is>
      </c>
      <c r="Q71" s="12" t="inlineStr"/>
      <c r="R71" s="13" t="inlineStr"/>
      <c r="S71" s="6" t="inlineStr">
        <is>
          <t>g-8x1650-istallo-szonyeg</t>
        </is>
      </c>
    </row>
    <row r="72">
      <c r="A72" s="6" t="inlineStr"/>
      <c r="B72" s="7" t="inlineStr">
        <is>
          <t>G 8x2000 Istálló szőnyeg L:10 m RS</t>
        </is>
      </c>
      <c r="C72" s="6" t="inlineStr">
        <is>
          <t>Gumiszőnyegek és gumilemezek</t>
        </is>
      </c>
      <c r="D72" s="6" t="inlineStr">
        <is>
          <t>Istálló szőnyeg</t>
        </is>
      </c>
      <c r="E72" s="6" t="inlineStr">
        <is>
          <t>(nincs megadva)</t>
        </is>
      </c>
      <c r="F72" s="6" t="inlineStr"/>
      <c r="G72" s="6" t="inlineStr">
        <is>
          <t>Quadris Excel</t>
        </is>
      </c>
      <c r="H72" s="6" t="n">
        <v>3</v>
      </c>
      <c r="I72" s="6" t="n">
        <v>4</v>
      </c>
      <c r="J72" s="6" t="inlineStr">
        <is>
          <t>nincs</t>
        </is>
      </c>
      <c r="K72" s="6">
        <f>IF(AND(H72&gt;0,I72&gt;0),"Rendben",IF(AND(H72=0,I72=0),"Nincs kép és adat",IF(H72=0,"Nincs kép","Nincs adat")))</f>
        <v/>
      </c>
      <c r="L72" s="6" t="inlineStr">
        <is>
          <t>Nem</t>
        </is>
      </c>
      <c r="M72" s="7" t="inlineStr">
        <is>
          <t>Quadris-megnevezés (nincs beszállítói forrás)</t>
        </is>
      </c>
      <c r="N72" s="7" t="inlineStr">
        <is>
          <t>Beszállítói forrás nincs – adatlap a Quadris-megnevezésből (méretek, elméleti tömeg)</t>
        </is>
      </c>
      <c r="O72" s="6" t="inlineStr"/>
      <c r="P72" s="11" t="inlineStr">
        <is>
          <t>https://website-9ib.pages.dev/termek/g-8x2000-istallo-szonyeg-l-10-m-rs/</t>
        </is>
      </c>
      <c r="Q72" s="12" t="inlineStr"/>
      <c r="R72" s="13" t="inlineStr"/>
      <c r="S72" s="6" t="inlineStr">
        <is>
          <t>g-8x2000-istallo-szonyeg-l-10-m-rs</t>
        </is>
      </c>
    </row>
    <row r="73">
      <c r="A73" s="6" t="inlineStr"/>
      <c r="B73" s="7" t="inlineStr">
        <is>
          <t>G 8x2000mm COBRA szőnyeg 1 nylon</t>
        </is>
      </c>
      <c r="C73" s="6" t="inlineStr">
        <is>
          <t>Gumiszőnyegek és gumilemezek</t>
        </is>
      </c>
      <c r="D73" s="6" t="inlineStr">
        <is>
          <t>Cobra szőnyeg</t>
        </is>
      </c>
      <c r="E73" s="6" t="inlineStr">
        <is>
          <t>(nincs megadva)</t>
        </is>
      </c>
      <c r="F73" s="6" t="inlineStr">
        <is>
          <t>SX70150C 8/1</t>
        </is>
      </c>
      <c r="G73" s="6" t="inlineStr">
        <is>
          <t>Quadris Excel</t>
        </is>
      </c>
      <c r="H73" s="6" t="n">
        <v>3</v>
      </c>
      <c r="I73" s="6" t="n">
        <v>3</v>
      </c>
      <c r="J73" s="6" t="inlineStr">
        <is>
          <t>nincs</t>
        </is>
      </c>
      <c r="K73" s="6">
        <f>IF(AND(H73&gt;0,I73&gt;0),"Rendben",IF(AND(H73=0,I73=0),"Nincs kép és adat",IF(H73=0,"Nincs kép","Nincs adat")))</f>
        <v/>
      </c>
      <c r="L73" s="6" t="inlineStr">
        <is>
          <t>Nem</t>
        </is>
      </c>
      <c r="M73" s="7" t="inlineStr">
        <is>
          <t>Quadris-megnevezés (nincs beszállítói forrás)</t>
        </is>
      </c>
      <c r="N73" s="7" t="inlineStr">
        <is>
          <t>Beszállítói forrás nincs – adatlap a Quadris-megnevezésből (méretek, elméleti tömeg)</t>
        </is>
      </c>
      <c r="O73" s="6" t="inlineStr"/>
      <c r="P73" s="11" t="inlineStr">
        <is>
          <t>https://website-9ib.pages.dev/termek/g-8x2000mm-cobra-szonyeg-1-nylon/</t>
        </is>
      </c>
      <c r="Q73" s="12" t="inlineStr"/>
      <c r="R73" s="13" t="inlineStr"/>
      <c r="S73" s="6" t="inlineStr">
        <is>
          <t>g-8x2000mm-cobra-szonyeg-1-nylon</t>
        </is>
      </c>
    </row>
    <row r="74">
      <c r="A74" s="6" t="inlineStr"/>
      <c r="B74" s="7" t="inlineStr">
        <is>
          <t>Hátsó ajtó alu elox</t>
        </is>
      </c>
      <c r="C74" s="6" t="inlineStr">
        <is>
          <t>Hátsó ajtók és áthajtó rámpák</t>
        </is>
      </c>
      <c r="D74" s="6" t="inlineStr">
        <is>
          <t>2 szárnyú</t>
        </is>
      </c>
      <c r="E74" s="6" t="inlineStr">
        <is>
          <t>(nincs megadva)</t>
        </is>
      </c>
      <c r="F74" s="6" t="inlineStr"/>
      <c r="G74" s="6" t="inlineStr">
        <is>
          <t>Quadris Excel</t>
        </is>
      </c>
      <c r="H74" s="6" t="n">
        <v>0</v>
      </c>
      <c r="I74" s="6" t="n">
        <v>0</v>
      </c>
      <c r="J74" s="6" t="inlineStr">
        <is>
          <t>nincs</t>
        </is>
      </c>
      <c r="K74" s="6">
        <f>IF(AND(H74&gt;0,I74&gt;0),"Rendben",IF(AND(H74=0,I74=0),"Nincs kép és adat",IF(H74=0,"Nincs kép","Nincs adat")))</f>
        <v/>
      </c>
      <c r="L74" s="6" t="inlineStr">
        <is>
          <t>Nem</t>
        </is>
      </c>
      <c r="M74" s="7" t="inlineStr">
        <is>
          <t>Quadris-megnevezés (nincs beszállítói forrás)</t>
        </is>
      </c>
      <c r="N74" s="7" t="inlineStr">
        <is>
          <t>Nem kerestük – nincs ismert weboldal vagy katalógus</t>
        </is>
      </c>
      <c r="O74" s="6" t="inlineStr"/>
      <c r="P74" s="11" t="inlineStr">
        <is>
          <t>https://website-9ib.pages.dev/termek/hatso-ajto-alu-elox/</t>
        </is>
      </c>
      <c r="Q74" s="12" t="inlineStr"/>
      <c r="R74" s="13" t="inlineStr"/>
      <c r="S74" s="6" t="inlineStr">
        <is>
          <t>hatso-ajto-alu-elox</t>
        </is>
      </c>
    </row>
    <row r="75">
      <c r="A75" s="6" t="inlineStr"/>
      <c r="B75" s="7" t="inlineStr">
        <is>
          <t>KIT Hűtős doboz</t>
        </is>
      </c>
      <c r="C75" s="6" t="inlineStr">
        <is>
          <t>Zárt-dobozos és hűtős profilok</t>
        </is>
      </c>
      <c r="D75" s="6" t="inlineStr">
        <is>
          <t>Felépítmény készletek</t>
        </is>
      </c>
      <c r="E75" s="6" t="inlineStr">
        <is>
          <t>(nincs megadva)</t>
        </is>
      </c>
      <c r="F75" s="6" t="inlineStr"/>
      <c r="G75" s="6" t="inlineStr">
        <is>
          <t>Quadris Excel</t>
        </is>
      </c>
      <c r="H75" s="6" t="n">
        <v>0</v>
      </c>
      <c r="I75" s="6" t="n">
        <v>0</v>
      </c>
      <c r="J75" s="6" t="inlineStr">
        <is>
          <t>nincs</t>
        </is>
      </c>
      <c r="K75" s="6">
        <f>IF(AND(H75&gt;0,I75&gt;0),"Rendben",IF(AND(H75=0,I75=0),"Nincs kép és adat",IF(H75=0,"Nincs kép","Nincs adat")))</f>
        <v/>
      </c>
      <c r="L75" s="6" t="inlineStr">
        <is>
          <t>Nem</t>
        </is>
      </c>
      <c r="M75" s="7" t="inlineStr">
        <is>
          <t>Quadris-megnevezés (nincs beszállítói forrás)</t>
        </is>
      </c>
      <c r="N75" s="7" t="inlineStr">
        <is>
          <t>Nem kerestük – nincs ismert weboldal vagy katalógus</t>
        </is>
      </c>
      <c r="O75" s="6" t="inlineStr"/>
      <c r="P75" s="11" t="inlineStr">
        <is>
          <t>https://website-9ib.pages.dev/termek/kit-hutos-doboz/</t>
        </is>
      </c>
      <c r="Q75" s="12" t="inlineStr"/>
      <c r="R75" s="13" t="inlineStr"/>
      <c r="S75" s="6" t="inlineStr">
        <is>
          <t>kit-hutos-doboz</t>
        </is>
      </c>
    </row>
    <row r="76">
      <c r="A76" s="6" t="inlineStr"/>
      <c r="B76" s="7" t="inlineStr">
        <is>
          <t>Zártdobozos felépítmény készlet</t>
        </is>
      </c>
      <c r="C76" s="6" t="inlineStr">
        <is>
          <t>Zárt-dobozos és hűtős profilok</t>
        </is>
      </c>
      <c r="D76" s="6" t="inlineStr">
        <is>
          <t>Felépítmény készletek</t>
        </is>
      </c>
      <c r="E76" s="6" t="inlineStr">
        <is>
          <t>(nincs megadva)</t>
        </is>
      </c>
      <c r="F76" s="6" t="inlineStr"/>
      <c r="G76" s="6" t="inlineStr">
        <is>
          <t>Quadris Excel</t>
        </is>
      </c>
      <c r="H76" s="6" t="n">
        <v>0</v>
      </c>
      <c r="I76" s="6" t="n">
        <v>0</v>
      </c>
      <c r="J76" s="6" t="inlineStr">
        <is>
          <t>nincs</t>
        </is>
      </c>
      <c r="K76" s="6">
        <f>IF(AND(H76&gt;0,I76&gt;0),"Rendben",IF(AND(H76=0,I76=0),"Nincs kép és adat",IF(H76=0,"Nincs kép","Nincs adat")))</f>
        <v/>
      </c>
      <c r="L76" s="6" t="inlineStr">
        <is>
          <t>Nem</t>
        </is>
      </c>
      <c r="M76" s="7" t="inlineStr">
        <is>
          <t>Quadris-megnevezés (nincs beszállítói forrás)</t>
        </is>
      </c>
      <c r="N76" s="7" t="inlineStr">
        <is>
          <t>Nem kerestük – nincs ismert weboldal vagy katalógus</t>
        </is>
      </c>
      <c r="O76" s="6" t="inlineStr"/>
      <c r="P76" s="11" t="inlineStr">
        <is>
          <t>https://website-9ib.pages.dev/termek/zartdobozos-felepitmeny-keszlet/</t>
        </is>
      </c>
      <c r="Q76" s="12" t="inlineStr"/>
      <c r="R76" s="13" t="inlineStr"/>
      <c r="S76" s="6" t="inlineStr">
        <is>
          <t>zartdobozos-felepitmeny-keszlet</t>
        </is>
      </c>
    </row>
    <row r="77">
      <c r="A77" s="6" t="inlineStr">
        <is>
          <t>026801</t>
        </is>
      </c>
      <c r="B77" s="7" t="inlineStr">
        <is>
          <t>Ajtóhatároló fix konzol</t>
        </is>
      </c>
      <c r="C77" s="6" t="inlineStr">
        <is>
          <t>Dobozos felépítmény alkatrészek</t>
        </is>
      </c>
      <c r="D77" s="6" t="inlineStr">
        <is>
          <t>Ajtórögzítők</t>
        </is>
      </c>
      <c r="E77" s="6" t="inlineStr">
        <is>
          <t>AC-RIU</t>
        </is>
      </c>
      <c r="F77" s="6" t="inlineStr">
        <is>
          <t>R026801</t>
        </is>
      </c>
      <c r="G77" s="6" t="inlineStr">
        <is>
          <t>Quadris Excel</t>
        </is>
      </c>
      <c r="H77" s="6" t="n">
        <v>0</v>
      </c>
      <c r="I77" s="6" t="n">
        <v>0</v>
      </c>
      <c r="J77" s="6" t="inlineStr">
        <is>
          <t>nincs</t>
        </is>
      </c>
      <c r="K77" s="6">
        <f>IF(AND(H77&gt;0,I77&gt;0),"Rendben",IF(AND(H77=0,I77=0),"Nincs kép és adat",IF(H77=0,"Nincs kép","Nincs adat")))</f>
        <v/>
      </c>
      <c r="L77" s="6" t="inlineStr">
        <is>
          <t>Nem</t>
        </is>
      </c>
      <c r="M77" s="7" t="inlineStr">
        <is>
          <t>–</t>
        </is>
      </c>
      <c r="N77" s="7" t="inlineStr">
        <is>
          <t>Nem kerestük – nincs ismert weboldal vagy katalógus</t>
        </is>
      </c>
      <c r="O77" s="6" t="inlineStr"/>
      <c r="P77" s="11" t="inlineStr">
        <is>
          <t>https://website-9ib.pages.dev/termek/026801-ajtohatarolo-fix-konzol/</t>
        </is>
      </c>
      <c r="Q77" s="12" t="inlineStr"/>
      <c r="R77" s="13" t="inlineStr"/>
      <c r="S77" s="6" t="inlineStr">
        <is>
          <t>026801-ajtohatarolo-fix-konzol</t>
        </is>
      </c>
    </row>
    <row r="78">
      <c r="A78" s="6" t="inlineStr">
        <is>
          <t>026822</t>
        </is>
      </c>
      <c r="B78" s="7" t="inlineStr">
        <is>
          <t>Gumis ajtóhatároló 800kg</t>
        </is>
      </c>
      <c r="C78" s="6" t="inlineStr">
        <is>
          <t>Dobozos felépítmény alkatrészek</t>
        </is>
      </c>
      <c r="D78" s="6" t="inlineStr">
        <is>
          <t>Ajtórögzítők</t>
        </is>
      </c>
      <c r="E78" s="6" t="inlineStr">
        <is>
          <t>AC-RIU</t>
        </is>
      </c>
      <c r="F78" s="6" t="inlineStr">
        <is>
          <t>R026822</t>
        </is>
      </c>
      <c r="G78" s="6" t="inlineStr">
        <is>
          <t>Quadris Excel</t>
        </is>
      </c>
      <c r="H78" s="6" t="n">
        <v>0</v>
      </c>
      <c r="I78" s="6" t="n">
        <v>0</v>
      </c>
      <c r="J78" s="6" t="inlineStr">
        <is>
          <t>nincs</t>
        </is>
      </c>
      <c r="K78" s="6">
        <f>IF(AND(H78&gt;0,I78&gt;0),"Rendben",IF(AND(H78=0,I78=0),"Nincs kép és adat",IF(H78=0,"Nincs kép","Nincs adat")))</f>
        <v/>
      </c>
      <c r="L78" s="6" t="inlineStr">
        <is>
          <t>Nem</t>
        </is>
      </c>
      <c r="M78" s="7" t="inlineStr">
        <is>
          <t>–</t>
        </is>
      </c>
      <c r="N78" s="7" t="inlineStr">
        <is>
          <t>Nem kerestük – nincs ismert weboldal vagy katalógus</t>
        </is>
      </c>
      <c r="O78" s="6" t="inlineStr"/>
      <c r="P78" s="11" t="inlineStr">
        <is>
          <t>https://website-9ib.pages.dev/termek/026822-gumis-ajtohatarolo-800kg/</t>
        </is>
      </c>
      <c r="Q78" s="12" t="inlineStr"/>
      <c r="R78" s="13" t="inlineStr"/>
      <c r="S78" s="6" t="inlineStr">
        <is>
          <t>026822-gumis-ajtohatarolo-800kg</t>
        </is>
      </c>
    </row>
    <row r="79">
      <c r="A79" s="6" t="inlineStr">
        <is>
          <t>052900</t>
        </is>
      </c>
      <c r="B79" s="7" t="inlineStr">
        <is>
          <t>Műanyag zártakaró</t>
        </is>
      </c>
      <c r="C79" s="6" t="inlineStr">
        <is>
          <t>Speciális felépítmény alkatrészek</t>
        </is>
      </c>
      <c r="D79" s="6" t="inlineStr">
        <is>
          <t>Egyéb</t>
        </is>
      </c>
      <c r="E79" s="6" t="inlineStr">
        <is>
          <t>AC-RIU</t>
        </is>
      </c>
      <c r="F79" s="6" t="inlineStr">
        <is>
          <t>7280 005-000</t>
        </is>
      </c>
      <c r="G79" s="6" t="inlineStr">
        <is>
          <t>Quadris Excel</t>
        </is>
      </c>
      <c r="H79" s="6" t="n">
        <v>0</v>
      </c>
      <c r="I79" s="6" t="n">
        <v>0</v>
      </c>
      <c r="J79" s="6" t="inlineStr">
        <is>
          <t>nincs</t>
        </is>
      </c>
      <c r="K79" s="6">
        <f>IF(AND(H79&gt;0,I79&gt;0),"Rendben",IF(AND(H79=0,I79=0),"Nincs kép és adat",IF(H79=0,"Nincs kép","Nincs adat")))</f>
        <v/>
      </c>
      <c r="L79" s="6" t="inlineStr">
        <is>
          <t>Nem</t>
        </is>
      </c>
      <c r="M79" s="7" t="inlineStr">
        <is>
          <t>–</t>
        </is>
      </c>
      <c r="N79" s="7" t="inlineStr">
        <is>
          <t>Nem kerestük – nincs ismert weboldal vagy katalógus</t>
        </is>
      </c>
      <c r="O79" s="6" t="inlineStr"/>
      <c r="P79" s="11" t="inlineStr">
        <is>
          <t>https://website-9ib.pages.dev/termek/052900-muanyag-zartakaro/</t>
        </is>
      </c>
      <c r="Q79" s="12" t="inlineStr"/>
      <c r="R79" s="13" t="inlineStr"/>
      <c r="S79" s="6" t="inlineStr">
        <is>
          <t>052900-muanyag-zartakaro</t>
        </is>
      </c>
    </row>
    <row r="80">
      <c r="A80" s="6" t="inlineStr">
        <is>
          <t>212031</t>
        </is>
      </c>
      <c r="B80" s="7" t="inlineStr">
        <is>
          <t>ADA Rakonca görgő T acél D24x24 XL</t>
        </is>
      </c>
      <c r="C80" s="6" t="inlineStr">
        <is>
          <t>Acél és alu rakoncák és szegők</t>
        </is>
      </c>
      <c r="D80" s="6" t="inlineStr">
        <is>
          <t>ADAICO rakoncák</t>
        </is>
      </c>
      <c r="E80" s="6" t="inlineStr">
        <is>
          <t>ADAICO</t>
        </is>
      </c>
      <c r="F80" s="6" t="inlineStr">
        <is>
          <t>0502031</t>
        </is>
      </c>
      <c r="G80" s="6" t="inlineStr">
        <is>
          <t>Quadris Excel</t>
        </is>
      </c>
      <c r="H80" s="6" t="n">
        <v>2</v>
      </c>
      <c r="I80" s="6" t="n">
        <v>1</v>
      </c>
      <c r="J80" s="6" t="inlineStr">
        <is>
          <t>nincs</t>
        </is>
      </c>
      <c r="K80" s="6">
        <f>IF(AND(H80&gt;0,I80&gt;0),"Rendben",IF(AND(H80=0,I80=0),"Nincs kép és adat",IF(H80=0,"Nincs kép","Nincs adat")))</f>
        <v/>
      </c>
      <c r="L80" s="6" t="inlineStr">
        <is>
          <t>Igen</t>
        </is>
      </c>
      <c r="M80" s="7" t="inlineStr">
        <is>
          <t>adaico.com webáruház; ADAICO 2025 katalógus (PDF); ADA-Slider vizsgálati jelentés (Drive)</t>
        </is>
      </c>
      <c r="N80" s="7" t="inlineStr">
        <is>
          <t>Megtalálva: "E" Type Roller Ø24X24 (kód: 0502031)</t>
        </is>
      </c>
      <c r="O80" s="11" t="inlineStr">
        <is>
          <t>https://www.adaico.com/en/catalogsearch/result/?q=0502031</t>
        </is>
      </c>
      <c r="P80" s="11" t="inlineStr">
        <is>
          <t>https://website-9ib.pages.dev/termek/212031-ada-rakonca-gorgo-t-acel-d24x24-xl/</t>
        </is>
      </c>
      <c r="Q80" s="12" t="inlineStr"/>
      <c r="R80" s="13" t="inlineStr"/>
      <c r="S80" s="6" t="inlineStr">
        <is>
          <t>212031-ada-rakonca-gorgo-t-acel-d24x24-xl</t>
        </is>
      </c>
    </row>
    <row r="81">
      <c r="A81" s="6" t="inlineStr">
        <is>
          <t>211086/88</t>
        </is>
      </c>
      <c r="B81" s="7" t="inlineStr">
        <is>
          <t>ADA Tetőkiemelő HP Lift KIT</t>
        </is>
      </c>
      <c r="C81" s="6" t="inlineStr">
        <is>
          <t>Acél és alu rakoncák és szegők</t>
        </is>
      </c>
      <c r="D81" s="6" t="inlineStr">
        <is>
          <t>ADAICO rakoncák</t>
        </is>
      </c>
      <c r="E81" s="6" t="inlineStr">
        <is>
          <t>ADAICO</t>
        </is>
      </c>
      <c r="F81" s="6" t="inlineStr"/>
      <c r="G81" s="6" t="inlineStr">
        <is>
          <t>Quadris Excel</t>
        </is>
      </c>
      <c r="H81" s="6" t="n">
        <v>2</v>
      </c>
      <c r="I81" s="6" t="n">
        <v>6</v>
      </c>
      <c r="J81" s="6" t="inlineStr">
        <is>
          <t>nincs</t>
        </is>
      </c>
      <c r="K81" s="6">
        <f>IF(AND(H81&gt;0,I81&gt;0),"Rendben",IF(AND(H81=0,I81=0),"Nincs kép és adat",IF(H81=0,"Nincs kép","Nincs adat")))</f>
        <v/>
      </c>
      <c r="L81" s="6" t="inlineStr">
        <is>
          <t>Igen</t>
        </is>
      </c>
      <c r="M81" s="7" t="inlineStr">
        <is>
          <t>adaico.com webáruház; ADAICO 2025 katalógus (PDF); ADA-Slider vizsgálati jelentés (Drive)</t>
        </is>
      </c>
      <c r="N81" s="7" t="inlineStr">
        <is>
          <t>Megtalálva: ADAICO katalógus 2025: 0601086 + 0601088 (kód: 0601086 + 0601088)</t>
        </is>
      </c>
      <c r="O81" s="11" t="inlineStr">
        <is>
          <t>https://www.adaico.com/en/downloadcatalogues/download?id=ADAICO_2025_EDS.pdf#page=39</t>
        </is>
      </c>
      <c r="P81" s="11" t="inlineStr">
        <is>
          <t>https://website-9ib.pages.dev/termek/211086-88-ada-tetokiemelo-hp-lift-kit/</t>
        </is>
      </c>
      <c r="Q81" s="12" t="inlineStr"/>
      <c r="R81" s="13" t="inlineStr"/>
      <c r="S81" s="6" t="inlineStr">
        <is>
          <t>211086-88-ada-tetokiemelo-hp-lift-kit</t>
        </is>
      </c>
    </row>
    <row r="82">
      <c r="A82" s="6" t="inlineStr">
        <is>
          <t>211088</t>
        </is>
      </c>
      <c r="B82" s="7" t="inlineStr">
        <is>
          <t>ADA Tetőkiemelő oszlop készlet</t>
        </is>
      </c>
      <c r="C82" s="6" t="inlineStr">
        <is>
          <t>Acél és alu rakoncák és szegők</t>
        </is>
      </c>
      <c r="D82" s="6" t="inlineStr">
        <is>
          <t>ADAICO rakoncák</t>
        </is>
      </c>
      <c r="E82" s="6" t="inlineStr">
        <is>
          <t>ADAICO</t>
        </is>
      </c>
      <c r="F82" s="6" t="inlineStr">
        <is>
          <t>0601088</t>
        </is>
      </c>
      <c r="G82" s="6" t="inlineStr">
        <is>
          <t>Quadris Excel</t>
        </is>
      </c>
      <c r="H82" s="6" t="n">
        <v>3</v>
      </c>
      <c r="I82" s="6" t="n">
        <v>1</v>
      </c>
      <c r="J82" s="6" t="inlineStr">
        <is>
          <t>nincs</t>
        </is>
      </c>
      <c r="K82" s="6">
        <f>IF(AND(H82&gt;0,I82&gt;0),"Rendben",IF(AND(H82=0,I82=0),"Nincs kép és adat",IF(H82=0,"Nincs kép","Nincs adat")))</f>
        <v/>
      </c>
      <c r="L82" s="6" t="inlineStr">
        <is>
          <t>Igen</t>
        </is>
      </c>
      <c r="M82" s="7" t="inlineStr">
        <is>
          <t>adaico.com webáruház; ADAICO 2025 katalógus (PDF); ADA-Slider vizsgálati jelentés (Drive)</t>
        </is>
      </c>
      <c r="N82" s="7" t="inlineStr">
        <is>
          <t>Megtalálva: Standard ADA-LIFTER Pillar Extension Set (kód: 0601088)</t>
        </is>
      </c>
      <c r="O82" s="11" t="inlineStr">
        <is>
          <t>https://www.adaico.com/en/catalogsearch/result/?q=0601088</t>
        </is>
      </c>
      <c r="P82" s="11" t="inlineStr">
        <is>
          <t>https://website-9ib.pages.dev/termek/211088-ada-tetokiemelo-oszlop-keszlet/</t>
        </is>
      </c>
      <c r="Q82" s="12" t="inlineStr"/>
      <c r="R82" s="13" t="inlineStr"/>
      <c r="S82" s="6" t="inlineStr">
        <is>
          <t>211088-ada-tetokiemelo-oszlop-keszlet</t>
        </is>
      </c>
    </row>
    <row r="83">
      <c r="A83" s="6" t="inlineStr">
        <is>
          <t>211086</t>
        </is>
      </c>
      <c r="B83" s="7" t="inlineStr">
        <is>
          <t>ADA Tetőkiemelő pumpa HP Lift 450 mm</t>
        </is>
      </c>
      <c r="C83" s="6" t="inlineStr">
        <is>
          <t>Acél és alu rakoncák és szegők</t>
        </is>
      </c>
      <c r="D83" s="6" t="inlineStr">
        <is>
          <t>ADAICO rakoncák</t>
        </is>
      </c>
      <c r="E83" s="6" t="inlineStr">
        <is>
          <t>ADAICO</t>
        </is>
      </c>
      <c r="F83" s="6" t="inlineStr">
        <is>
          <t>0601086</t>
        </is>
      </c>
      <c r="G83" s="6" t="inlineStr">
        <is>
          <t>Quadris Excel</t>
        </is>
      </c>
      <c r="H83" s="6" t="n">
        <v>3</v>
      </c>
      <c r="I83" s="6" t="n">
        <v>5</v>
      </c>
      <c r="J83" s="6" t="inlineStr">
        <is>
          <t>nincs</t>
        </is>
      </c>
      <c r="K83" s="6">
        <f>IF(AND(H83&gt;0,I83&gt;0),"Rendben",IF(AND(H83=0,I83=0),"Nincs kép és adat",IF(H83=0,"Nincs kép","Nincs adat")))</f>
        <v/>
      </c>
      <c r="L83" s="6" t="inlineStr">
        <is>
          <t>Igen</t>
        </is>
      </c>
      <c r="M83" s="7" t="inlineStr">
        <is>
          <t>adaico.com webáruház; ADAICO 2025 katalógus (PDF); ADA-Slider vizsgálati jelentés (Drive)</t>
        </is>
      </c>
      <c r="N83" s="7" t="inlineStr">
        <is>
          <t>Megtalálva: ADA-LIFTER Hydraulic Pump Double Effect (kód: 0601086)</t>
        </is>
      </c>
      <c r="O83" s="11" t="inlineStr">
        <is>
          <t>https://www.adaico.com/en/catalogsearch/result/?q=0601086</t>
        </is>
      </c>
      <c r="P83" s="11" t="inlineStr">
        <is>
          <t>https://website-9ib.pages.dev/termek/211086-ada-tetokiemelo-pumpa-hp-lift-450-mm/</t>
        </is>
      </c>
      <c r="Q83" s="12" t="inlineStr"/>
      <c r="R83" s="13" t="inlineStr"/>
      <c r="S83" s="6" t="inlineStr">
        <is>
          <t>211086-ada-tetokiemelo-pumpa-hp-lift-450-mm</t>
        </is>
      </c>
    </row>
    <row r="84">
      <c r="A84" s="6" t="inlineStr">
        <is>
          <t>211089</t>
        </is>
      </c>
      <c r="B84" s="7" t="inlineStr">
        <is>
          <t>ADA tetőkiemelő csatlakozó</t>
        </is>
      </c>
      <c r="C84" s="6" t="inlineStr">
        <is>
          <t>Acél és alu rakoncák és szegők</t>
        </is>
      </c>
      <c r="D84" s="6" t="inlineStr">
        <is>
          <t>ADAICO rakoncák</t>
        </is>
      </c>
      <c r="E84" s="6" t="inlineStr">
        <is>
          <t>ADAICO</t>
        </is>
      </c>
      <c r="F84" s="6" t="inlineStr">
        <is>
          <t>0601089</t>
        </is>
      </c>
      <c r="G84" s="6" t="inlineStr">
        <is>
          <t>Quadris Excel</t>
        </is>
      </c>
      <c r="H84" s="6" t="n">
        <v>2</v>
      </c>
      <c r="I84" s="6" t="n">
        <v>1</v>
      </c>
      <c r="J84" s="6" t="inlineStr">
        <is>
          <t>nincs</t>
        </is>
      </c>
      <c r="K84" s="6">
        <f>IF(AND(H84&gt;0,I84&gt;0),"Rendben",IF(AND(H84=0,I84=0),"Nincs kép és adat",IF(H84=0,"Nincs kép","Nincs adat")))</f>
        <v/>
      </c>
      <c r="L84" s="6" t="inlineStr">
        <is>
          <t>Igen</t>
        </is>
      </c>
      <c r="M84" s="7" t="inlineStr">
        <is>
          <t>adaico.com webáruház; ADAICO 2025 katalógus (PDF); ADA-Slider vizsgálati jelentés (Drive)</t>
        </is>
      </c>
      <c r="N84" s="7" t="inlineStr">
        <is>
          <t>Megtalálva: Hinge Kit for ADA-LIFTER System (kód: 0601089)</t>
        </is>
      </c>
      <c r="O84" s="11" t="inlineStr">
        <is>
          <t>https://www.adaico.com/en/catalogsearch/result/?q=0601089</t>
        </is>
      </c>
      <c r="P84" s="11" t="inlineStr">
        <is>
          <t>https://website-9ib.pages.dev/termek/211089-ada-tetokiemelo-csatlakozo/</t>
        </is>
      </c>
      <c r="Q84" s="12" t="inlineStr"/>
      <c r="R84" s="13" t="inlineStr"/>
      <c r="S84" s="6" t="inlineStr">
        <is>
          <t>211089-ada-tetokiemelo-csatlakozo</t>
        </is>
      </c>
    </row>
    <row r="85">
      <c r="A85" s="6" t="inlineStr">
        <is>
          <t>215014</t>
        </is>
      </c>
      <c r="B85" s="7" t="inlineStr">
        <is>
          <t>ADAICO Rakonca oszlop 3000 mm</t>
        </is>
      </c>
      <c r="C85" s="6" t="inlineStr">
        <is>
          <t>Acél és alu rakoncák és szegők</t>
        </is>
      </c>
      <c r="D85" s="6" t="inlineStr">
        <is>
          <t>ADAICO rakoncák</t>
        </is>
      </c>
      <c r="E85" s="6" t="inlineStr">
        <is>
          <t>ADAICO</t>
        </is>
      </c>
      <c r="F85" s="6" t="inlineStr">
        <is>
          <t>0505014</t>
        </is>
      </c>
      <c r="G85" s="6" t="inlineStr">
        <is>
          <t>Quadris Excel</t>
        </is>
      </c>
      <c r="H85" s="6" t="n">
        <v>3</v>
      </c>
      <c r="I85" s="6" t="n">
        <v>5</v>
      </c>
      <c r="J85" s="6" t="inlineStr">
        <is>
          <t>nincs</t>
        </is>
      </c>
      <c r="K85" s="6">
        <f>IF(AND(H85&gt;0,I85&gt;0),"Rendben",IF(AND(H85=0,I85=0),"Nincs kép és adat",IF(H85=0,"Nincs kép","Nincs adat")))</f>
        <v/>
      </c>
      <c r="L85" s="6" t="inlineStr">
        <is>
          <t>Igen</t>
        </is>
      </c>
      <c r="M85" s="7" t="inlineStr">
        <is>
          <t>adaico.com webáruház; ADAICO 2025 katalógus (PDF); ADA-Slider vizsgálati jelentés (Drive)</t>
        </is>
      </c>
      <c r="N85" s="7" t="inlineStr">
        <is>
          <t>Megtalálva: L Fix Pillar (kód: 0505014)</t>
        </is>
      </c>
      <c r="O85" s="11" t="inlineStr">
        <is>
          <t>https://www.adaico.com/en/catalogsearch/result/?q=0505014</t>
        </is>
      </c>
      <c r="P85" s="11" t="inlineStr">
        <is>
          <t>https://website-9ib.pages.dev/termek/215014-adaico-rakonca-oszlop-3000-mm/</t>
        </is>
      </c>
      <c r="Q85" s="12" t="inlineStr"/>
      <c r="R85" s="13" t="inlineStr"/>
      <c r="S85" s="6" t="inlineStr">
        <is>
          <t>215014-adaico-rakonca-oszlop-3000-mm</t>
        </is>
      </c>
    </row>
    <row r="86">
      <c r="A86" s="6" t="inlineStr">
        <is>
          <t>216003</t>
        </is>
      </c>
      <c r="B86" s="7" t="inlineStr">
        <is>
          <t>ADAICO Rakonca zseb festett</t>
        </is>
      </c>
      <c r="C86" s="6" t="inlineStr">
        <is>
          <t>Acél és alu rakoncák és szegők</t>
        </is>
      </c>
      <c r="D86" s="6" t="inlineStr">
        <is>
          <t>ADAICO rakoncák</t>
        </is>
      </c>
      <c r="E86" s="6" t="inlineStr">
        <is>
          <t>ADAICO</t>
        </is>
      </c>
      <c r="F86" s="6" t="inlineStr">
        <is>
          <t>0506003</t>
        </is>
      </c>
      <c r="G86" s="6" t="inlineStr">
        <is>
          <t>Quadris Excel</t>
        </is>
      </c>
      <c r="H86" s="6" t="n">
        <v>3</v>
      </c>
      <c r="I86" s="6" t="n">
        <v>4</v>
      </c>
      <c r="J86" s="6" t="inlineStr">
        <is>
          <t>nincs</t>
        </is>
      </c>
      <c r="K86" s="6">
        <f>IF(AND(H86&gt;0,I86&gt;0),"Rendben",IF(AND(H86=0,I86=0),"Nincs kép és adat",IF(H86=0,"Nincs kép","Nincs adat")))</f>
        <v/>
      </c>
      <c r="L86" s="6" t="inlineStr">
        <is>
          <t>Igen</t>
        </is>
      </c>
      <c r="M86" s="7" t="inlineStr">
        <is>
          <t>adaico.com webáruház; ADAICO 2025 katalógus (PDF); ADA-Slider vizsgálati jelentés (Drive)</t>
        </is>
      </c>
      <c r="N86" s="7" t="inlineStr">
        <is>
          <t>Megtalálva: Chassishook to Screw (kód: 0506003)</t>
        </is>
      </c>
      <c r="O86" s="11" t="inlineStr">
        <is>
          <t>https://www.adaico.com/en/catalogsearch/result/?q=0506003</t>
        </is>
      </c>
      <c r="P86" s="11" t="inlineStr">
        <is>
          <t>https://website-9ib.pages.dev/termek/216003-adaico-rakonca-zseb-festett/</t>
        </is>
      </c>
      <c r="Q86" s="12" t="inlineStr"/>
      <c r="R86" s="13" t="inlineStr"/>
      <c r="S86" s="6" t="inlineStr">
        <is>
          <t>216003-adaico-rakonca-zseb-festett</t>
        </is>
      </c>
    </row>
    <row r="87">
      <c r="A87" s="6" t="inlineStr">
        <is>
          <t>212002</t>
        </is>
      </c>
      <c r="B87" s="7" t="inlineStr">
        <is>
          <t>ADAICO Rakonca zseb nyers</t>
        </is>
      </c>
      <c r="C87" s="6" t="inlineStr">
        <is>
          <t>Acél és alu rakoncák és szegők</t>
        </is>
      </c>
      <c r="D87" s="6" t="inlineStr">
        <is>
          <t>ADAICO rakoncák</t>
        </is>
      </c>
      <c r="E87" s="6" t="inlineStr">
        <is>
          <t>ADAICO</t>
        </is>
      </c>
      <c r="F87" s="6" t="inlineStr"/>
      <c r="G87" s="6" t="inlineStr">
        <is>
          <t>Quadris Excel</t>
        </is>
      </c>
      <c r="H87" s="6" t="n">
        <v>2</v>
      </c>
      <c r="I87" s="6" t="n">
        <v>5</v>
      </c>
      <c r="J87" s="6" t="inlineStr">
        <is>
          <t>nincs</t>
        </is>
      </c>
      <c r="K87" s="6">
        <f>IF(AND(H87&gt;0,I87&gt;0),"Rendben",IF(AND(H87=0,I87=0),"Nincs kép és adat",IF(H87=0,"Nincs kép","Nincs adat")))</f>
        <v/>
      </c>
      <c r="L87" s="6" t="inlineStr">
        <is>
          <t>Igen</t>
        </is>
      </c>
      <c r="M87" s="7" t="inlineStr">
        <is>
          <t>adaico.com webáruház; ADAICO 2025 katalógus (PDF); ADA-Slider vizsgálati jelentés (Drive)</t>
        </is>
      </c>
      <c r="N87" s="7" t="inlineStr">
        <is>
          <t>Megtalálva: ADAICO katalógus 2025: 0502002 (kód: 0502002)</t>
        </is>
      </c>
      <c r="O87" s="11" t="inlineStr">
        <is>
          <t>https://www.adaico.com/en/downloadcatalogues/download?id=ADAICO_2025_EDS.pdf#page=35</t>
        </is>
      </c>
      <c r="P87" s="11" t="inlineStr">
        <is>
          <t>https://website-9ib.pages.dev/termek/212002-adaico-rakonca-zseb-nyers/</t>
        </is>
      </c>
      <c r="Q87" s="12" t="inlineStr"/>
      <c r="R87" s="13" t="inlineStr"/>
      <c r="S87" s="6" t="inlineStr">
        <is>
          <t>212002-adaico-rakonca-zseb-nyers</t>
        </is>
      </c>
    </row>
    <row r="88">
      <c r="A88" s="6" t="inlineStr">
        <is>
          <t>728120</t>
        </is>
      </c>
      <c r="B88" s="7" t="inlineStr">
        <is>
          <t>Húskampó FIX C sínhez</t>
        </is>
      </c>
      <c r="C88" s="6" t="inlineStr">
        <is>
          <t>Dobozos felépítmény alkatrészek</t>
        </is>
      </c>
      <c r="D88" s="6" t="inlineStr">
        <is>
          <t>Húspálya rendszer</t>
        </is>
      </c>
      <c r="E88" s="6" t="inlineStr">
        <is>
          <t>ADAICO</t>
        </is>
      </c>
      <c r="F88" s="6" t="inlineStr">
        <is>
          <t>1801120</t>
        </is>
      </c>
      <c r="G88" s="6" t="inlineStr">
        <is>
          <t>Quadris Excel</t>
        </is>
      </c>
      <c r="H88" s="6" t="n">
        <v>2</v>
      </c>
      <c r="I88" s="6" t="n">
        <v>3</v>
      </c>
      <c r="J88" s="6" t="inlineStr">
        <is>
          <t>nincs</t>
        </is>
      </c>
      <c r="K88" s="6">
        <f>IF(AND(H88&gt;0,I88&gt;0),"Rendben",IF(AND(H88=0,I88=0),"Nincs kép és adat",IF(H88=0,"Nincs kép","Nincs adat")))</f>
        <v/>
      </c>
      <c r="L88" s="6" t="inlineStr">
        <is>
          <t>Igen</t>
        </is>
      </c>
      <c r="M88" s="7" t="inlineStr">
        <is>
          <t>adaico.com webáruház; ADAICO 2025 katalógus (PDF); ADA-Slider vizsgálati jelentés (Drive)</t>
        </is>
      </c>
      <c r="N88" s="7" t="inlineStr">
        <is>
          <t>Megtalálva: Meat Hook Fix Stainless Steel (kód: 1801120)</t>
        </is>
      </c>
      <c r="O88" s="11" t="inlineStr">
        <is>
          <t>https://www.adaico.com/en/catalogsearch/result/?q=1801120</t>
        </is>
      </c>
      <c r="P88" s="11" t="inlineStr">
        <is>
          <t>https://website-9ib.pages.dev/termek/728120-huskampo-fix-c-sinhez/</t>
        </is>
      </c>
      <c r="Q88" s="12" t="inlineStr"/>
      <c r="R88" s="13" t="inlineStr"/>
      <c r="S88" s="6" t="inlineStr">
        <is>
          <t>728120-huskampo-fix-c-sinhez</t>
        </is>
      </c>
    </row>
    <row r="89">
      <c r="A89" s="6" t="inlineStr">
        <is>
          <t>821018</t>
        </is>
      </c>
      <c r="B89" s="7" t="inlineStr">
        <is>
          <t>Rugós ajtókitámasztó horg. 540/425 mm AD</t>
        </is>
      </c>
      <c r="C89" s="6" t="inlineStr">
        <is>
          <t>Dobozos felépítmény alkatrészek</t>
        </is>
      </c>
      <c r="D89" s="6" t="inlineStr">
        <is>
          <t>Ajtórögzítők</t>
        </is>
      </c>
      <c r="E89" s="6" t="inlineStr">
        <is>
          <t>ADAICO</t>
        </is>
      </c>
      <c r="F89" s="6" t="inlineStr"/>
      <c r="G89" s="6" t="inlineStr">
        <is>
          <t>Quadris Excel</t>
        </is>
      </c>
      <c r="H89" s="6" t="n">
        <v>2</v>
      </c>
      <c r="I89" s="6" t="n">
        <v>6</v>
      </c>
      <c r="J89" s="6" t="inlineStr">
        <is>
          <t>nincs</t>
        </is>
      </c>
      <c r="K89" s="6">
        <f>IF(AND(H89&gt;0,I89&gt;0),"Rendben",IF(AND(H89=0,I89=0),"Nincs kép és adat",IF(H89=0,"Nincs kép","Nincs adat")))</f>
        <v/>
      </c>
      <c r="L89" s="6" t="inlineStr">
        <is>
          <t>Igen</t>
        </is>
      </c>
      <c r="M89" s="7" t="inlineStr">
        <is>
          <t>adaico.com webáruház; ADAICO 2025 katalógus (PDF); ADA-Slider vizsgálati jelentés (Drive)</t>
        </is>
      </c>
      <c r="N89" s="7" t="inlineStr">
        <is>
          <t>Megtalálva: ADAICO katalógus 2025: 1601018 (kód: 1601018)</t>
        </is>
      </c>
      <c r="O89" s="11" t="inlineStr">
        <is>
          <t>https://www.adaico.com/en/downloadcatalogues/download?id=ADAICO_2025_EDS.pdf#page=396</t>
        </is>
      </c>
      <c r="P89" s="11" t="inlineStr">
        <is>
          <t>https://website-9ib.pages.dev/termek/821018-rugos-ajtokitamaszto-horg-540-425-mm-ad/</t>
        </is>
      </c>
      <c r="Q89" s="12" t="inlineStr"/>
      <c r="R89" s="13" t="inlineStr"/>
      <c r="S89" s="6" t="inlineStr">
        <is>
          <t>821018-rugos-ajtokitamaszto-horg-540-425-mm-ad</t>
        </is>
      </c>
    </row>
    <row r="90">
      <c r="A90" s="6" t="inlineStr">
        <is>
          <t>214312/5000mm</t>
        </is>
      </c>
      <c r="B90" s="7" t="inlineStr">
        <is>
          <t>50x52 mm Acél "C" sín</t>
        </is>
      </c>
      <c r="C90" s="6" t="inlineStr">
        <is>
          <t>Elhúzható rolóponyvás rendszer</t>
        </is>
      </c>
      <c r="D90" s="6" t="inlineStr">
        <is>
          <t>ADAICO "C" sín acél</t>
        </is>
      </c>
      <c r="E90" s="6" t="inlineStr">
        <is>
          <t>ADAICO</t>
        </is>
      </c>
      <c r="F90" s="6" t="inlineStr">
        <is>
          <t>1490003</t>
        </is>
      </c>
      <c r="G90" s="6" t="inlineStr">
        <is>
          <t>Quadris Excel</t>
        </is>
      </c>
      <c r="H90" s="6" t="n">
        <v>2</v>
      </c>
      <c r="I90" s="6" t="n">
        <v>6</v>
      </c>
      <c r="J90" s="6" t="inlineStr">
        <is>
          <t>nincs</t>
        </is>
      </c>
      <c r="K90" s="6">
        <f>IF(AND(H90&gt;0,I90&gt;0),"Rendben",IF(AND(H90=0,I90=0),"Nincs kép és adat",IF(H90=0,"Nincs kép","Nincs adat")))</f>
        <v/>
      </c>
      <c r="L90" s="6" t="inlineStr">
        <is>
          <t>Igen</t>
        </is>
      </c>
      <c r="M90" s="7" t="inlineStr">
        <is>
          <t>adaico.com webáruház; ADAICO 2025 katalógus (PDF); ADA-Slider vizsgálati jelentés (Drive)</t>
        </is>
      </c>
      <c r="N90" s="7" t="inlineStr">
        <is>
          <t>Megtalálva: ADAICO katalógus 2025: 1403010 / 1403012 / 1490006 (kód: 1403010 / 1403012 / 1490006)</t>
        </is>
      </c>
      <c r="O90" s="11" t="inlineStr">
        <is>
          <t>https://www.adaico.com/en/downloadcatalogues/download?id=ADAICO_2025_EDS.pdf#page=270</t>
        </is>
      </c>
      <c r="P90" s="11" t="inlineStr">
        <is>
          <t>https://website-9ib.pages.dev/termek/214312-5000mm-50x52-mm-acel-c-sin/</t>
        </is>
      </c>
      <c r="Q90" s="12" t="inlineStr"/>
      <c r="R90" s="13" t="inlineStr"/>
      <c r="S90" s="6" t="inlineStr">
        <is>
          <t>214312-5000mm-50x52-mm-acel-c-sin</t>
        </is>
      </c>
    </row>
    <row r="91">
      <c r="A91" s="6" t="inlineStr">
        <is>
          <t>214312/6600mm</t>
        </is>
      </c>
      <c r="B91" s="7" t="inlineStr">
        <is>
          <t>50x52 mm Acél "C" sín</t>
        </is>
      </c>
      <c r="C91" s="6" t="inlineStr">
        <is>
          <t>Elhúzható rolóponyvás rendszer</t>
        </is>
      </c>
      <c r="D91" s="6" t="inlineStr">
        <is>
          <t>ADAICO "C" sín acél</t>
        </is>
      </c>
      <c r="E91" s="6" t="inlineStr">
        <is>
          <t>ADAICO</t>
        </is>
      </c>
      <c r="F91" s="6" t="inlineStr">
        <is>
          <t>1490005</t>
        </is>
      </c>
      <c r="G91" s="6" t="inlineStr">
        <is>
          <t>Quadris Excel</t>
        </is>
      </c>
      <c r="H91" s="6" t="n">
        <v>2</v>
      </c>
      <c r="I91" s="6" t="n">
        <v>6</v>
      </c>
      <c r="J91" s="6" t="inlineStr">
        <is>
          <t>nincs</t>
        </is>
      </c>
      <c r="K91" s="6">
        <f>IF(AND(H91&gt;0,I91&gt;0),"Rendben",IF(AND(H91=0,I91=0),"Nincs kép és adat",IF(H91=0,"Nincs kép","Nincs adat")))</f>
        <v/>
      </c>
      <c r="L91" s="6" t="inlineStr">
        <is>
          <t>Igen</t>
        </is>
      </c>
      <c r="M91" s="7" t="inlineStr">
        <is>
          <t>adaico.com webáruház; ADAICO 2025 katalógus (PDF); ADA-Slider vizsgálati jelentés (Drive)</t>
        </is>
      </c>
      <c r="N91" s="7" t="inlineStr">
        <is>
          <t>Megtalálva: ADAICO katalógus 2025: 1403010 / 1403012 / 1490006 (kód: 1403010 / 1403012 / 1490006)</t>
        </is>
      </c>
      <c r="O91" s="11" t="inlineStr">
        <is>
          <t>https://www.adaico.com/en/downloadcatalogues/download?id=ADAICO_2025_EDS.pdf#page=270</t>
        </is>
      </c>
      <c r="P91" s="11" t="inlineStr">
        <is>
          <t>https://website-9ib.pages.dev/termek/214312-6600mm-50x52-mm-acel-c-sin/</t>
        </is>
      </c>
      <c r="Q91" s="12" t="inlineStr"/>
      <c r="R91" s="13" t="inlineStr"/>
      <c r="S91" s="6" t="inlineStr">
        <is>
          <t>214312-6600mm-50x52-mm-acel-c-sin</t>
        </is>
      </c>
    </row>
    <row r="92">
      <c r="A92" s="6" t="inlineStr">
        <is>
          <t>214312/7800mm</t>
        </is>
      </c>
      <c r="B92" s="7" t="inlineStr">
        <is>
          <t>50x52 mm Acél "C" sín</t>
        </is>
      </c>
      <c r="C92" s="6" t="inlineStr">
        <is>
          <t>Elhúzható rolóponyvás rendszer</t>
        </is>
      </c>
      <c r="D92" s="6" t="inlineStr">
        <is>
          <t>ADAICO "C" sín acél</t>
        </is>
      </c>
      <c r="E92" s="6" t="inlineStr">
        <is>
          <t>ADAICO</t>
        </is>
      </c>
      <c r="F92" s="6" t="inlineStr">
        <is>
          <t>1403012</t>
        </is>
      </c>
      <c r="G92" s="6" t="inlineStr">
        <is>
          <t>Quadris Excel</t>
        </is>
      </c>
      <c r="H92" s="6" t="n">
        <v>2</v>
      </c>
      <c r="I92" s="6" t="n">
        <v>5</v>
      </c>
      <c r="J92" s="6" t="inlineStr">
        <is>
          <t>nincs</t>
        </is>
      </c>
      <c r="K92" s="6">
        <f>IF(AND(H92&gt;0,I92&gt;0),"Rendben",IF(AND(H92=0,I92=0),"Nincs kép és adat",IF(H92=0,"Nincs kép","Nincs adat")))</f>
        <v/>
      </c>
      <c r="L92" s="6" t="inlineStr">
        <is>
          <t>Igen</t>
        </is>
      </c>
      <c r="M92" s="7" t="inlineStr">
        <is>
          <t>adaico.com webáruház; ADAICO 2025 katalógus (PDF); ADA-Slider vizsgálati jelentés (Drive)</t>
        </is>
      </c>
      <c r="N92" s="7" t="inlineStr">
        <is>
          <t>Megtalálva: Galvanized Steel Bar Profile (kód: 1403012)</t>
        </is>
      </c>
      <c r="O92" s="11" t="inlineStr">
        <is>
          <t>https://www.adaico.com/en/catalogsearch/result/?q=1403012</t>
        </is>
      </c>
      <c r="P92" s="11" t="inlineStr">
        <is>
          <t>https://website-9ib.pages.dev/termek/214312-7800mm-50x52-mm-acel-c-sin/</t>
        </is>
      </c>
      <c r="Q92" s="12" t="inlineStr"/>
      <c r="R92" s="13" t="inlineStr"/>
      <c r="S92" s="6" t="inlineStr">
        <is>
          <t>214312-7800mm-50x52-mm-acel-c-sin</t>
        </is>
      </c>
    </row>
    <row r="93">
      <c r="A93" s="6" t="inlineStr">
        <is>
          <t>214174</t>
        </is>
      </c>
      <c r="B93" s="7" t="inlineStr">
        <is>
          <t>Gumitömítés acél "C" sínhez</t>
        </is>
      </c>
      <c r="C93" s="6" t="inlineStr">
        <is>
          <t>Elhúzható rolóponyvás rendszer</t>
        </is>
      </c>
      <c r="D93" s="6" t="inlineStr">
        <is>
          <t>ADAICO "C" sín acél</t>
        </is>
      </c>
      <c r="E93" s="6" t="inlineStr">
        <is>
          <t>ADAICO</t>
        </is>
      </c>
      <c r="F93" s="6" t="inlineStr">
        <is>
          <t>1404174</t>
        </is>
      </c>
      <c r="G93" s="6" t="inlineStr">
        <is>
          <t>Quadris Excel</t>
        </is>
      </c>
      <c r="H93" s="6" t="n">
        <v>3</v>
      </c>
      <c r="I93" s="6" t="n">
        <v>5</v>
      </c>
      <c r="J93" s="6" t="inlineStr">
        <is>
          <t>nincs</t>
        </is>
      </c>
      <c r="K93" s="6">
        <f>IF(AND(H93&gt;0,I93&gt;0),"Rendben",IF(AND(H93=0,I93=0),"Nincs kép és adat",IF(H93=0,"Nincs kép","Nincs adat")))</f>
        <v/>
      </c>
      <c r="L93" s="6" t="inlineStr">
        <is>
          <t>Igen</t>
        </is>
      </c>
      <c r="M93" s="7" t="inlineStr">
        <is>
          <t>adaico.com webáruház; ADAICO 2025 katalógus (PDF); ADA-Slider vizsgálati jelentés (Drive)</t>
        </is>
      </c>
      <c r="N93" s="7" t="inlineStr">
        <is>
          <t>Megtalálva: Profile Roll Exterior PVC (kód: 1404174)</t>
        </is>
      </c>
      <c r="O93" s="11" t="inlineStr">
        <is>
          <t>https://www.adaico.com/en/catalogsearch/result/?q=1404174</t>
        </is>
      </c>
      <c r="P93" s="11" t="inlineStr">
        <is>
          <t>https://website-9ib.pages.dev/termek/214174-gumitomites-acel-c-sinhez/</t>
        </is>
      </c>
      <c r="Q93" s="12" t="inlineStr"/>
      <c r="R93" s="13" t="inlineStr"/>
      <c r="S93" s="6" t="inlineStr">
        <is>
          <t>214174-gumitomites-acel-c-sinhez</t>
        </is>
      </c>
    </row>
    <row r="94">
      <c r="A94" s="6" t="inlineStr">
        <is>
          <t>211110</t>
        </is>
      </c>
      <c r="B94" s="7" t="inlineStr">
        <is>
          <t>Ponyvagörgő acél sínhez</t>
        </is>
      </c>
      <c r="C94" s="6" t="inlineStr">
        <is>
          <t>Elhúzható rolóponyvás rendszer</t>
        </is>
      </c>
      <c r="D94" s="6" t="inlineStr">
        <is>
          <t>ADAICO "C" sín acél</t>
        </is>
      </c>
      <c r="E94" s="6" t="inlineStr">
        <is>
          <t>ADAICO</t>
        </is>
      </c>
      <c r="F94" s="6" t="inlineStr">
        <is>
          <t>0801110</t>
        </is>
      </c>
      <c r="G94" s="6" t="inlineStr">
        <is>
          <t>Quadris Excel</t>
        </is>
      </c>
      <c r="H94" s="6" t="n">
        <v>2</v>
      </c>
      <c r="I94" s="6" t="n">
        <v>2</v>
      </c>
      <c r="J94" s="6" t="inlineStr">
        <is>
          <t>nincs</t>
        </is>
      </c>
      <c r="K94" s="6">
        <f>IF(AND(H94&gt;0,I94&gt;0),"Rendben",IF(AND(H94=0,I94=0),"Nincs kép és adat",IF(H94=0,"Nincs kép","Nincs adat")))</f>
        <v/>
      </c>
      <c r="L94" s="6" t="inlineStr">
        <is>
          <t>Igen</t>
        </is>
      </c>
      <c r="M94" s="7" t="inlineStr">
        <is>
          <t>adaico.com webáruház; ADAICO 2025 katalógus (PDF); ADA-Slider vizsgálati jelentés (Drive)</t>
        </is>
      </c>
      <c r="N94" s="7" t="inlineStr">
        <is>
          <t>Megtalálva: Roller Simple Ø38x30 Rol. Steel (kód: 0801110)</t>
        </is>
      </c>
      <c r="O94" s="11" t="inlineStr">
        <is>
          <t>https://www.adaico.com/en/catalogsearch/result/?q=0801110</t>
        </is>
      </c>
      <c r="P94" s="11" t="inlineStr">
        <is>
          <t>https://website-9ib.pages.dev/termek/211110-ponyvagorgo-acel-sinhez/</t>
        </is>
      </c>
      <c r="Q94" s="12" t="inlineStr"/>
      <c r="R94" s="13" t="inlineStr"/>
      <c r="S94" s="6" t="inlineStr">
        <is>
          <t>211110-ponyvagorgo-acel-sinhez</t>
        </is>
      </c>
    </row>
    <row r="95">
      <c r="A95" s="6" t="inlineStr"/>
      <c r="B95" s="7" t="inlineStr">
        <is>
          <t>21 ADA-Slider tető rendszer</t>
        </is>
      </c>
      <c r="C95" s="6" t="inlineStr">
        <is>
          <t>Italszállító KIT</t>
        </is>
      </c>
      <c r="D95" s="6" t="inlineStr">
        <is>
          <t>Italszállító KIT</t>
        </is>
      </c>
      <c r="E95" s="6" t="inlineStr">
        <is>
          <t>ADAICO</t>
        </is>
      </c>
      <c r="F95" s="6" t="inlineStr"/>
      <c r="G95" s="6" t="inlineStr">
        <is>
          <t>Quadris Excel</t>
        </is>
      </c>
      <c r="H95" s="6" t="n">
        <v>1</v>
      </c>
      <c r="I95" s="6" t="n">
        <v>8</v>
      </c>
      <c r="J95" s="6" t="inlineStr">
        <is>
          <t>van</t>
        </is>
      </c>
      <c r="K95" s="6">
        <f>IF(AND(H95&gt;0,I95&gt;0),"Rendben",IF(AND(H95=0,I95=0),"Nincs kép és adat",IF(H95=0,"Nincs kép","Nincs adat")))</f>
        <v/>
      </c>
      <c r="L95" s="6" t="inlineStr">
        <is>
          <t>Igen</t>
        </is>
      </c>
      <c r="M95" s="7" t="inlineStr">
        <is>
          <t>adaico.com webáruház; ADAICO 2025 katalógus (PDF); ADA-Slider vizsgálati jelentés (Drive)</t>
        </is>
      </c>
      <c r="N95" s="7" t="inlineStr">
        <is>
          <t>Megtalálva: AEV Automotive 19-0429A (EN 12642 XL) (kód: ADA-SLIDER)</t>
        </is>
      </c>
      <c r="O95" s="11" t="inlineStr">
        <is>
          <t>https://www.adaico.com</t>
        </is>
      </c>
      <c r="P95" s="11" t="inlineStr">
        <is>
          <t>https://website-9ib.pages.dev/termek/21-ada-slider-teto-rendszer/</t>
        </is>
      </c>
      <c r="Q95" s="12" t="inlineStr"/>
      <c r="R95" s="13" t="inlineStr"/>
      <c r="S95" s="6" t="inlineStr">
        <is>
          <t>21-ada-slider-teto-rendszer</t>
        </is>
      </c>
    </row>
    <row r="96">
      <c r="A96" s="6" t="inlineStr">
        <is>
          <t>212143</t>
        </is>
      </c>
      <c r="B96" s="7" t="inlineStr">
        <is>
          <t>ADA ajtó profil alsó görgő L</t>
        </is>
      </c>
      <c r="C96" s="6" t="inlineStr">
        <is>
          <t>Italszállító KIT</t>
        </is>
      </c>
      <c r="D96" s="6" t="inlineStr">
        <is>
          <t>Italszállító KIT</t>
        </is>
      </c>
      <c r="E96" s="6" t="inlineStr">
        <is>
          <t>ADAICO</t>
        </is>
      </c>
      <c r="F96" s="6" t="inlineStr">
        <is>
          <t>0802143</t>
        </is>
      </c>
      <c r="G96" s="6" t="inlineStr">
        <is>
          <t>Quadris Excel</t>
        </is>
      </c>
      <c r="H96" s="6" t="n">
        <v>3</v>
      </c>
      <c r="I96" s="6" t="n">
        <v>4</v>
      </c>
      <c r="J96" s="6" t="inlineStr">
        <is>
          <t>nincs</t>
        </is>
      </c>
      <c r="K96" s="6">
        <f>IF(AND(H96&gt;0,I96&gt;0),"Rendben",IF(AND(H96=0,I96=0),"Nincs kép és adat",IF(H96=0,"Nincs kép","Nincs adat")))</f>
        <v/>
      </c>
      <c r="L96" s="6" t="inlineStr">
        <is>
          <t>Igen</t>
        </is>
      </c>
      <c r="M96" s="7" t="inlineStr">
        <is>
          <t>adaico.com webáruház; ADAICO 2025 katalógus (PDF); ADA-Slider vizsgálati jelentés (Drive)</t>
        </is>
      </c>
      <c r="N96" s="7" t="inlineStr">
        <is>
          <t>Megtalálva: Down Carriage Door ADA-SLIDER Rol. Nylon (kód: 0802143)</t>
        </is>
      </c>
      <c r="O96" s="11" t="inlineStr">
        <is>
          <t>https://www.adaico.com/en/1-04010007.html</t>
        </is>
      </c>
      <c r="P96" s="11" t="inlineStr">
        <is>
          <t>https://website-9ib.pages.dev/termek/212143-ada-ajto-profil-also-gorgo-l/</t>
        </is>
      </c>
      <c r="Q96" s="12" t="inlineStr"/>
      <c r="R96" s="13" t="inlineStr"/>
      <c r="S96" s="6" t="inlineStr">
        <is>
          <t>212143-ada-ajto-profil-also-gorgo-l</t>
        </is>
      </c>
    </row>
    <row r="97">
      <c r="A97" s="6" t="inlineStr">
        <is>
          <t>212153</t>
        </is>
      </c>
      <c r="B97" s="7" t="inlineStr">
        <is>
          <t>ADA ajtó profil alsó görgő R</t>
        </is>
      </c>
      <c r="C97" s="6" t="inlineStr">
        <is>
          <t>Italszállító KIT</t>
        </is>
      </c>
      <c r="D97" s="6" t="inlineStr">
        <is>
          <t>Italszállító KIT</t>
        </is>
      </c>
      <c r="E97" s="6" t="inlineStr">
        <is>
          <t>ADAICO</t>
        </is>
      </c>
      <c r="F97" s="6" t="inlineStr">
        <is>
          <t>0802153</t>
        </is>
      </c>
      <c r="G97" s="6" t="inlineStr">
        <is>
          <t>Quadris Excel</t>
        </is>
      </c>
      <c r="H97" s="6" t="n">
        <v>3</v>
      </c>
      <c r="I97" s="6" t="n">
        <v>4</v>
      </c>
      <c r="J97" s="6" t="inlineStr">
        <is>
          <t>nincs</t>
        </is>
      </c>
      <c r="K97" s="6">
        <f>IF(AND(H97&gt;0,I97&gt;0),"Rendben",IF(AND(H97=0,I97=0),"Nincs kép és adat",IF(H97=0,"Nincs kép","Nincs adat")))</f>
        <v/>
      </c>
      <c r="L97" s="6" t="inlineStr">
        <is>
          <t>Igen</t>
        </is>
      </c>
      <c r="M97" s="7" t="inlineStr">
        <is>
          <t>adaico.com webáruház; ADAICO 2025 katalógus (PDF); ADA-Slider vizsgálati jelentés (Drive)</t>
        </is>
      </c>
      <c r="N97" s="7" t="inlineStr">
        <is>
          <t>Megtalálva: Down Carriage Door ADA-SLIDER Rol. Nylon (kód: 0802153)</t>
        </is>
      </c>
      <c r="O97" s="11" t="inlineStr">
        <is>
          <t>https://www.adaico.com/en/1-04010007.html</t>
        </is>
      </c>
      <c r="P97" s="11" t="inlineStr">
        <is>
          <t>https://website-9ib.pages.dev/termek/212153-ada-ajto-profil-also-gorgo-r/</t>
        </is>
      </c>
      <c r="Q97" s="12" t="inlineStr"/>
      <c r="R97" s="13" t="inlineStr"/>
      <c r="S97" s="6" t="inlineStr">
        <is>
          <t>212153-ada-ajto-profil-also-gorgo-r</t>
        </is>
      </c>
    </row>
    <row r="98">
      <c r="A98" s="6" t="inlineStr">
        <is>
          <t>212123</t>
        </is>
      </c>
      <c r="B98" s="7" t="inlineStr">
        <is>
          <t>ADA ajtó profil felső görgő</t>
        </is>
      </c>
      <c r="C98" s="6" t="inlineStr">
        <is>
          <t>Italszállító KIT</t>
        </is>
      </c>
      <c r="D98" s="6" t="inlineStr">
        <is>
          <t>Italszállító KIT</t>
        </is>
      </c>
      <c r="E98" s="6" t="inlineStr">
        <is>
          <t>ADAICO</t>
        </is>
      </c>
      <c r="F98" s="6" t="inlineStr">
        <is>
          <t>0802123</t>
        </is>
      </c>
      <c r="G98" s="6" t="inlineStr">
        <is>
          <t>Quadris Excel</t>
        </is>
      </c>
      <c r="H98" s="6" t="n">
        <v>2</v>
      </c>
      <c r="I98" s="6" t="n">
        <v>4</v>
      </c>
      <c r="J98" s="6" t="inlineStr">
        <is>
          <t>nincs</t>
        </is>
      </c>
      <c r="K98" s="6">
        <f>IF(AND(H98&gt;0,I98&gt;0),"Rendben",IF(AND(H98=0,I98=0),"Nincs kép és adat",IF(H98=0,"Nincs kép","Nincs adat")))</f>
        <v/>
      </c>
      <c r="L98" s="6" t="inlineStr">
        <is>
          <t>Igen</t>
        </is>
      </c>
      <c r="M98" s="7" t="inlineStr">
        <is>
          <t>adaico.com webáruház; ADAICO 2025 katalógus (PDF); ADA-Slider vizsgálati jelentés (Drive)</t>
        </is>
      </c>
      <c r="N98" s="7" t="inlineStr">
        <is>
          <t>Megtalálva: Up Carriage Door ADA-SLIDER Rol. Nylon (kód: 0802123)</t>
        </is>
      </c>
      <c r="O98" s="11" t="inlineStr">
        <is>
          <t>https://www.adaico.com/en/1-04010005.html</t>
        </is>
      </c>
      <c r="P98" s="11" t="inlineStr">
        <is>
          <t>https://website-9ib.pages.dev/termek/212123-ada-ajto-profil-felso-gorgo/</t>
        </is>
      </c>
      <c r="Q98" s="12" t="inlineStr"/>
      <c r="R98" s="13" t="inlineStr"/>
      <c r="S98" s="6" t="inlineStr">
        <is>
          <t>212123-ada-ajto-profil-felso-gorgo</t>
        </is>
      </c>
    </row>
    <row r="99">
      <c r="A99" s="6" t="inlineStr">
        <is>
          <t>212133</t>
        </is>
      </c>
      <c r="B99" s="7" t="inlineStr">
        <is>
          <t>ADA ponyva görgő alsó</t>
        </is>
      </c>
      <c r="C99" s="6" t="inlineStr">
        <is>
          <t>Italszállító KIT</t>
        </is>
      </c>
      <c r="D99" s="6" t="inlineStr">
        <is>
          <t>Italszállító KIT</t>
        </is>
      </c>
      <c r="E99" s="6" t="inlineStr">
        <is>
          <t>ADAICO</t>
        </is>
      </c>
      <c r="F99" s="6" t="inlineStr">
        <is>
          <t>0802133</t>
        </is>
      </c>
      <c r="G99" s="6" t="inlineStr">
        <is>
          <t>Quadris Excel</t>
        </is>
      </c>
      <c r="H99" s="6" t="n">
        <v>3</v>
      </c>
      <c r="I99" s="6" t="n">
        <v>4</v>
      </c>
      <c r="J99" s="6" t="inlineStr">
        <is>
          <t>nincs</t>
        </is>
      </c>
      <c r="K99" s="6">
        <f>IF(AND(H99&gt;0,I99&gt;0),"Rendben",IF(AND(H99=0,I99=0),"Nincs kép és adat",IF(H99=0,"Nincs kép","Nincs adat")))</f>
        <v/>
      </c>
      <c r="L99" s="6" t="inlineStr">
        <is>
          <t>Igen</t>
        </is>
      </c>
      <c r="M99" s="7" t="inlineStr">
        <is>
          <t>adaico.com webáruház; ADAICO 2025 katalógus (PDF); ADA-Slider vizsgálati jelentés (Drive)</t>
        </is>
      </c>
      <c r="N99" s="7" t="inlineStr">
        <is>
          <t>Megtalálva: Down Carriage Curtain ADA-SLIDER Rol. Nylon (kód: 0802133)</t>
        </is>
      </c>
      <c r="O99" s="11" t="inlineStr">
        <is>
          <t>https://www.adaico.com/en/1-04010006.html</t>
        </is>
      </c>
      <c r="P99" s="11" t="inlineStr">
        <is>
          <t>https://website-9ib.pages.dev/termek/212133-ada-ponyva-gorgo-also/</t>
        </is>
      </c>
      <c r="Q99" s="12" t="inlineStr"/>
      <c r="R99" s="13" t="inlineStr"/>
      <c r="S99" s="6" t="inlineStr">
        <is>
          <t>212133-ada-ponyva-gorgo-also</t>
        </is>
      </c>
    </row>
    <row r="100">
      <c r="A100" s="6" t="inlineStr">
        <is>
          <t>212113</t>
        </is>
      </c>
      <c r="B100" s="7" t="inlineStr">
        <is>
          <t>ADA ponyva görgő felső</t>
        </is>
      </c>
      <c r="C100" s="6" t="inlineStr">
        <is>
          <t>Italszállító KIT</t>
        </is>
      </c>
      <c r="D100" s="6" t="inlineStr">
        <is>
          <t>Italszállító KIT</t>
        </is>
      </c>
      <c r="E100" s="6" t="inlineStr">
        <is>
          <t>ADAICO</t>
        </is>
      </c>
      <c r="F100" s="6" t="inlineStr">
        <is>
          <t>0802113</t>
        </is>
      </c>
      <c r="G100" s="6" t="inlineStr">
        <is>
          <t>Quadris Excel</t>
        </is>
      </c>
      <c r="H100" s="6" t="n">
        <v>2</v>
      </c>
      <c r="I100" s="6" t="n">
        <v>4</v>
      </c>
      <c r="J100" s="6" t="inlineStr">
        <is>
          <t>nincs</t>
        </is>
      </c>
      <c r="K100" s="6">
        <f>IF(AND(H100&gt;0,I100&gt;0),"Rendben",IF(AND(H100=0,I100=0),"Nincs kép és adat",IF(H100=0,"Nincs kép","Nincs adat")))</f>
        <v/>
      </c>
      <c r="L100" s="6" t="inlineStr">
        <is>
          <t>Igen</t>
        </is>
      </c>
      <c r="M100" s="7" t="inlineStr">
        <is>
          <t>adaico.com webáruház; ADAICO 2025 katalógus (PDF); ADA-Slider vizsgálati jelentés (Drive)</t>
        </is>
      </c>
      <c r="N100" s="7" t="inlineStr">
        <is>
          <t>Megtalálva: Up Carriage Curtain ADA-SLIDER Rol. Nylon (kód: 0802113)</t>
        </is>
      </c>
      <c r="O100" s="11" t="inlineStr">
        <is>
          <t>https://www.adaico.com/en/1-04010004.html</t>
        </is>
      </c>
      <c r="P100" s="11" t="inlineStr">
        <is>
          <t>https://website-9ib.pages.dev/termek/212113-ada-ponyva-gorgo-felso/</t>
        </is>
      </c>
      <c r="Q100" s="12" t="inlineStr"/>
      <c r="R100" s="13" t="inlineStr"/>
      <c r="S100" s="6" t="inlineStr">
        <is>
          <t>212113-ada-ponyva-gorgo-felso</t>
        </is>
      </c>
    </row>
    <row r="101">
      <c r="A101" s="6" t="inlineStr">
        <is>
          <t>212064</t>
        </is>
      </c>
      <c r="B101" s="7" t="inlineStr">
        <is>
          <t>ADA-S 2 m PVC tekercs</t>
        </is>
      </c>
      <c r="C101" s="6" t="inlineStr">
        <is>
          <t>Italszállító KIT</t>
        </is>
      </c>
      <c r="D101" s="6" t="inlineStr">
        <is>
          <t>Italszállító KIT</t>
        </is>
      </c>
      <c r="E101" s="6" t="inlineStr">
        <is>
          <t>ADAICO</t>
        </is>
      </c>
      <c r="F101" s="6" t="inlineStr">
        <is>
          <t>0902064</t>
        </is>
      </c>
      <c r="G101" s="6" t="inlineStr">
        <is>
          <t>Quadris Excel</t>
        </is>
      </c>
      <c r="H101" s="6" t="n">
        <v>3</v>
      </c>
      <c r="I101" s="6" t="n">
        <v>3</v>
      </c>
      <c r="J101" s="6" t="inlineStr">
        <is>
          <t>nincs</t>
        </is>
      </c>
      <c r="K101" s="6">
        <f>IF(AND(H101&gt;0,I101&gt;0),"Rendben",IF(AND(H101=0,I101=0),"Nincs kép és adat",IF(H101=0,"Nincs kép","Nincs adat")))</f>
        <v/>
      </c>
      <c r="L101" s="6" t="inlineStr">
        <is>
          <t>Igen</t>
        </is>
      </c>
      <c r="M101" s="7" t="inlineStr">
        <is>
          <t>adaico.com webáruház; ADAICO 2025 katalógus (PDF); ADA-Slider vizsgálati jelentés (Drive)</t>
        </is>
      </c>
      <c r="N101" s="7" t="inlineStr">
        <is>
          <t>Megtalálva: PP "Outfolding" ADA-SLIDER (kód: 0902064)</t>
        </is>
      </c>
      <c r="O101" s="11" t="inlineStr">
        <is>
          <t>https://www.adaico.com/en/1-04010010.html</t>
        </is>
      </c>
      <c r="P101" s="11" t="inlineStr">
        <is>
          <t>https://website-9ib.pages.dev/termek/212064-ada-s-2-m-pvc-tekercs/</t>
        </is>
      </c>
      <c r="Q101" s="12" t="inlineStr"/>
      <c r="R101" s="13" t="inlineStr"/>
      <c r="S101" s="6" t="inlineStr">
        <is>
          <t>212064-ada-s-2-m-pvc-tekercs</t>
        </is>
      </c>
    </row>
    <row r="102">
      <c r="A102" s="6" t="inlineStr">
        <is>
          <t>212427</t>
        </is>
      </c>
      <c r="B102" s="7" t="inlineStr">
        <is>
          <t>ADA-S Ajtó profil 2100 mm elox</t>
        </is>
      </c>
      <c r="C102" s="6" t="inlineStr">
        <is>
          <t>Italszállító KIT</t>
        </is>
      </c>
      <c r="D102" s="6" t="inlineStr">
        <is>
          <t>Italszállító KIT</t>
        </is>
      </c>
      <c r="E102" s="6" t="inlineStr">
        <is>
          <t>ADAICO</t>
        </is>
      </c>
      <c r="F102" s="6" t="inlineStr">
        <is>
          <t>1402427</t>
        </is>
      </c>
      <c r="G102" s="6" t="inlineStr">
        <is>
          <t>Quadris Excel</t>
        </is>
      </c>
      <c r="H102" s="6" t="n">
        <v>3</v>
      </c>
      <c r="I102" s="6" t="n">
        <v>4</v>
      </c>
      <c r="J102" s="6" t="inlineStr">
        <is>
          <t>nincs</t>
        </is>
      </c>
      <c r="K102" s="6">
        <f>IF(AND(H102&gt;0,I102&gt;0),"Rendben",IF(AND(H102=0,I102=0),"Nincs kép és adat",IF(H102=0,"Nincs kép","Nincs adat")))</f>
        <v/>
      </c>
      <c r="L102" s="6" t="inlineStr">
        <is>
          <t>Igen</t>
        </is>
      </c>
      <c r="M102" s="7" t="inlineStr">
        <is>
          <t>adaico.com webáruház; ADAICO 2025 katalógus (PDF); ADA-Slider vizsgálati jelentés (Drive)</t>
        </is>
      </c>
      <c r="N102" s="7" t="inlineStr">
        <is>
          <t>Megtalálva: Vertical Aluminium Profile ADA-SLIDER (kód: 1402427)</t>
        </is>
      </c>
      <c r="O102" s="11" t="inlineStr">
        <is>
          <t>https://www.adaico.com/en/1-04010015.html</t>
        </is>
      </c>
      <c r="P102" s="11" t="inlineStr">
        <is>
          <t>https://website-9ib.pages.dev/termek/212427-ada-s-ajto-profil-2100-mm-elox/</t>
        </is>
      </c>
      <c r="Q102" s="12" t="inlineStr"/>
      <c r="R102" s="13" t="inlineStr"/>
      <c r="S102" s="6" t="inlineStr">
        <is>
          <t>212427-ada-s-ajto-profil-2100-mm-elox</t>
        </is>
      </c>
    </row>
    <row r="103">
      <c r="A103" s="6" t="inlineStr">
        <is>
          <t>212429</t>
        </is>
      </c>
      <c r="B103" s="7" t="inlineStr">
        <is>
          <t>ADA-S Ajtó profil 2400 mm elox</t>
        </is>
      </c>
      <c r="C103" s="6" t="inlineStr">
        <is>
          <t>Italszállító KIT</t>
        </is>
      </c>
      <c r="D103" s="6" t="inlineStr">
        <is>
          <t>Italszállító KIT</t>
        </is>
      </c>
      <c r="E103" s="6" t="inlineStr">
        <is>
          <t>ADAICO</t>
        </is>
      </c>
      <c r="F103" s="6" t="inlineStr">
        <is>
          <t>1402429</t>
        </is>
      </c>
      <c r="G103" s="6" t="inlineStr">
        <is>
          <t>Quadris Excel</t>
        </is>
      </c>
      <c r="H103" s="6" t="n">
        <v>3</v>
      </c>
      <c r="I103" s="6" t="n">
        <v>4</v>
      </c>
      <c r="J103" s="6" t="inlineStr">
        <is>
          <t>nincs</t>
        </is>
      </c>
      <c r="K103" s="6">
        <f>IF(AND(H103&gt;0,I103&gt;0),"Rendben",IF(AND(H103=0,I103=0),"Nincs kép és adat",IF(H103=0,"Nincs kép","Nincs adat")))</f>
        <v/>
      </c>
      <c r="L103" s="6" t="inlineStr">
        <is>
          <t>Igen</t>
        </is>
      </c>
      <c r="M103" s="7" t="inlineStr">
        <is>
          <t>adaico.com webáruház; ADAICO 2025 katalógus (PDF); ADA-Slider vizsgálati jelentés (Drive)</t>
        </is>
      </c>
      <c r="N103" s="7" t="inlineStr">
        <is>
          <t>Megtalálva: Vertical Aluminium Profile ADA-SLIDER (kód: 1402429)</t>
        </is>
      </c>
      <c r="O103" s="11" t="inlineStr">
        <is>
          <t>https://www.adaico.com/en/1-04010015.html</t>
        </is>
      </c>
      <c r="P103" s="11" t="inlineStr">
        <is>
          <t>https://website-9ib.pages.dev/termek/212429-ada-s-ajto-profil-2400-mm-elox/</t>
        </is>
      </c>
      <c r="Q103" s="12" t="inlineStr"/>
      <c r="R103" s="13" t="inlineStr"/>
      <c r="S103" s="6" t="inlineStr">
        <is>
          <t>212429-ada-s-ajto-profil-2400-mm-elox</t>
        </is>
      </c>
    </row>
    <row r="104">
      <c r="A104" s="6" t="inlineStr">
        <is>
          <t>212431</t>
        </is>
      </c>
      <c r="B104" s="7" t="inlineStr">
        <is>
          <t>ADA-S Ajtó profil 2800 mm elox</t>
        </is>
      </c>
      <c r="C104" s="6" t="inlineStr">
        <is>
          <t>Italszállító KIT</t>
        </is>
      </c>
      <c r="D104" s="6" t="inlineStr">
        <is>
          <t>Italszállító KIT</t>
        </is>
      </c>
      <c r="E104" s="6" t="inlineStr">
        <is>
          <t>ADAICO</t>
        </is>
      </c>
      <c r="F104" s="6" t="inlineStr">
        <is>
          <t>1402431</t>
        </is>
      </c>
      <c r="G104" s="6" t="inlineStr">
        <is>
          <t>Quadris Excel</t>
        </is>
      </c>
      <c r="H104" s="6" t="n">
        <v>3</v>
      </c>
      <c r="I104" s="6" t="n">
        <v>4</v>
      </c>
      <c r="J104" s="6" t="inlineStr">
        <is>
          <t>nincs</t>
        </is>
      </c>
      <c r="K104" s="6">
        <f>IF(AND(H104&gt;0,I104&gt;0),"Rendben",IF(AND(H104=0,I104=0),"Nincs kép és adat",IF(H104=0,"Nincs kép","Nincs adat")))</f>
        <v/>
      </c>
      <c r="L104" s="6" t="inlineStr">
        <is>
          <t>Igen</t>
        </is>
      </c>
      <c r="M104" s="7" t="inlineStr">
        <is>
          <t>adaico.com webáruház; ADAICO 2025 katalógus (PDF); ADA-Slider vizsgálati jelentés (Drive)</t>
        </is>
      </c>
      <c r="N104" s="7" t="inlineStr">
        <is>
          <t>Megtalálva: Vertical Aluminium Profile ADA-SLIDER (kód: 1402431)</t>
        </is>
      </c>
      <c r="O104" s="11" t="inlineStr">
        <is>
          <t>https://www.adaico.com/en/1-04010015.html</t>
        </is>
      </c>
      <c r="P104" s="11" t="inlineStr">
        <is>
          <t>https://website-9ib.pages.dev/termek/212431-ada-s-ajto-profil-2800-mm-elox/</t>
        </is>
      </c>
      <c r="Q104" s="12" t="inlineStr"/>
      <c r="R104" s="13" t="inlineStr"/>
      <c r="S104" s="6" t="inlineStr">
        <is>
          <t>212431-ada-s-ajto-profil-2800-mm-elox</t>
        </is>
      </c>
    </row>
    <row r="105">
      <c r="A105" s="6" t="inlineStr">
        <is>
          <t>212061</t>
        </is>
      </c>
      <c r="B105" s="7" t="inlineStr">
        <is>
          <t>ADA-S Hajlított acél lemezke</t>
        </is>
      </c>
      <c r="C105" s="6" t="inlineStr">
        <is>
          <t>Italszállító KIT</t>
        </is>
      </c>
      <c r="D105" s="6" t="inlineStr">
        <is>
          <t>Italszállító KIT</t>
        </is>
      </c>
      <c r="E105" s="6" t="inlineStr">
        <is>
          <t>ADAICO</t>
        </is>
      </c>
      <c r="F105" s="6" t="inlineStr">
        <is>
          <t>0902061</t>
        </is>
      </c>
      <c r="G105" s="6" t="inlineStr">
        <is>
          <t>Quadris Excel</t>
        </is>
      </c>
      <c r="H105" s="6" t="n">
        <v>3</v>
      </c>
      <c r="I105" s="6" t="n">
        <v>4</v>
      </c>
      <c r="J105" s="6" t="inlineStr">
        <is>
          <t>nincs</t>
        </is>
      </c>
      <c r="K105" s="6">
        <f>IF(AND(H105&gt;0,I105&gt;0),"Rendben",IF(AND(H105=0,I105=0),"Nincs kép és adat",IF(H105=0,"Nincs kép","Nincs adat")))</f>
        <v/>
      </c>
      <c r="L105" s="6" t="inlineStr">
        <is>
          <t>Igen</t>
        </is>
      </c>
      <c r="M105" s="7" t="inlineStr">
        <is>
          <t>adaico.com webáruház; ADAICO 2025 katalógus (PDF); ADA-Slider vizsgálati jelentés (Drive)</t>
        </is>
      </c>
      <c r="N105" s="7" t="inlineStr">
        <is>
          <t>Megtalálva: Pack 10 units Steel Plate "Outfolding" (kód: 0902061)</t>
        </is>
      </c>
      <c r="O105" s="11" t="inlineStr">
        <is>
          <t>https://www.adaico.com/en/1-04010035.html</t>
        </is>
      </c>
      <c r="P105" s="11" t="inlineStr">
        <is>
          <t>https://website-9ib.pages.dev/termek/212061-ada-s-hajlitott-acel-lemezke/</t>
        </is>
      </c>
      <c r="Q105" s="12" t="inlineStr"/>
      <c r="R105" s="13" t="inlineStr"/>
      <c r="S105" s="6" t="inlineStr">
        <is>
          <t>212061-ada-s-hajlitott-acel-lemezke</t>
        </is>
      </c>
    </row>
    <row r="106">
      <c r="A106" s="6" t="inlineStr">
        <is>
          <t>212410</t>
        </is>
      </c>
      <c r="B106" s="7" t="inlineStr">
        <is>
          <t>ADA-S Tetősín 4000 mm</t>
        </is>
      </c>
      <c r="C106" s="6" t="inlineStr">
        <is>
          <t>Italszállító KIT</t>
        </is>
      </c>
      <c r="D106" s="6" t="inlineStr">
        <is>
          <t>Italszállító KIT</t>
        </is>
      </c>
      <c r="E106" s="6" t="inlineStr">
        <is>
          <t>ADAICO</t>
        </is>
      </c>
      <c r="F106" s="6" t="inlineStr">
        <is>
          <t>1402410</t>
        </is>
      </c>
      <c r="G106" s="6" t="inlineStr">
        <is>
          <t>Quadris Excel</t>
        </is>
      </c>
      <c r="H106" s="6" t="n">
        <v>3</v>
      </c>
      <c r="I106" s="6" t="n">
        <v>4</v>
      </c>
      <c r="J106" s="6" t="inlineStr">
        <is>
          <t>nincs</t>
        </is>
      </c>
      <c r="K106" s="6">
        <f>IF(AND(H106&gt;0,I106&gt;0),"Rendben",IF(AND(H106=0,I106=0),"Nincs kép és adat",IF(H106=0,"Nincs kép","Nincs adat")))</f>
        <v/>
      </c>
      <c r="L106" s="6" t="inlineStr">
        <is>
          <t>Igen</t>
        </is>
      </c>
      <c r="M106" s="7" t="inlineStr">
        <is>
          <t>adaico.com webáruház; ADAICO 2025 katalógus (PDF); ADA-Slider vizsgálati jelentés (Drive)</t>
        </is>
      </c>
      <c r="N106" s="7" t="inlineStr">
        <is>
          <t>Megtalálva: Horizontal Aluminium Rail Profile ADA-SLIDER (kód: 1402410)</t>
        </is>
      </c>
      <c r="O106" s="11" t="inlineStr">
        <is>
          <t>https://www.adaico.com/en/1-04010014.html</t>
        </is>
      </c>
      <c r="P106" s="11" t="inlineStr">
        <is>
          <t>https://website-9ib.pages.dev/termek/212410-ada-s-tetosin-4000-mm/</t>
        </is>
      </c>
      <c r="Q106" s="12" t="inlineStr"/>
      <c r="R106" s="13" t="inlineStr"/>
      <c r="S106" s="6" t="inlineStr">
        <is>
          <t>212410-ada-s-tetosin-4000-mm</t>
        </is>
      </c>
    </row>
    <row r="107">
      <c r="A107" s="6" t="inlineStr">
        <is>
          <t>212408</t>
        </is>
      </c>
      <c r="B107" s="7" t="inlineStr">
        <is>
          <t>ADA-S Tetősín 5000 mm</t>
        </is>
      </c>
      <c r="C107" s="6" t="inlineStr">
        <is>
          <t>Italszállító KIT</t>
        </is>
      </c>
      <c r="D107" s="6" t="inlineStr">
        <is>
          <t>Italszállító KIT</t>
        </is>
      </c>
      <c r="E107" s="6" t="inlineStr">
        <is>
          <t>ADAICO</t>
        </is>
      </c>
      <c r="F107" s="6" t="inlineStr">
        <is>
          <t>1402408</t>
        </is>
      </c>
      <c r="G107" s="6" t="inlineStr">
        <is>
          <t>Quadris Excel</t>
        </is>
      </c>
      <c r="H107" s="6" t="n">
        <v>3</v>
      </c>
      <c r="I107" s="6" t="n">
        <v>4</v>
      </c>
      <c r="J107" s="6" t="inlineStr">
        <is>
          <t>nincs</t>
        </is>
      </c>
      <c r="K107" s="6">
        <f>IF(AND(H107&gt;0,I107&gt;0),"Rendben",IF(AND(H107=0,I107=0),"Nincs kép és adat",IF(H107=0,"Nincs kép","Nincs adat")))</f>
        <v/>
      </c>
      <c r="L107" s="6" t="inlineStr">
        <is>
          <t>Igen</t>
        </is>
      </c>
      <c r="M107" s="7" t="inlineStr">
        <is>
          <t>adaico.com webáruház; ADAICO 2025 katalógus (PDF); ADA-Slider vizsgálati jelentés (Drive)</t>
        </is>
      </c>
      <c r="N107" s="7" t="inlineStr">
        <is>
          <t>Megtalálva: Horizontal Aluminium Rail Profile ADA-SLIDER (kód: 1402408)</t>
        </is>
      </c>
      <c r="O107" s="11" t="inlineStr">
        <is>
          <t>https://www.adaico.com/en/1-04010014.html</t>
        </is>
      </c>
      <c r="P107" s="11" t="inlineStr">
        <is>
          <t>https://website-9ib.pages.dev/termek/212408-ada-s-tetosin-5000-mm/</t>
        </is>
      </c>
      <c r="Q107" s="12" t="inlineStr"/>
      <c r="R107" s="13" t="inlineStr"/>
      <c r="S107" s="6" t="inlineStr">
        <is>
          <t>212408-ada-s-tetosin-5000-mm</t>
        </is>
      </c>
    </row>
    <row r="108">
      <c r="A108" s="6" t="inlineStr">
        <is>
          <t>212406</t>
        </is>
      </c>
      <c r="B108" s="7" t="inlineStr">
        <is>
          <t>ADA-S Tetősín 6000 mm</t>
        </is>
      </c>
      <c r="C108" s="6" t="inlineStr">
        <is>
          <t>Italszállító KIT</t>
        </is>
      </c>
      <c r="D108" s="6" t="inlineStr">
        <is>
          <t>Italszállító KIT</t>
        </is>
      </c>
      <c r="E108" s="6" t="inlineStr">
        <is>
          <t>ADAICO</t>
        </is>
      </c>
      <c r="F108" s="6" t="inlineStr">
        <is>
          <t>1402406</t>
        </is>
      </c>
      <c r="G108" s="6" t="inlineStr">
        <is>
          <t>Quadris Excel</t>
        </is>
      </c>
      <c r="H108" s="6" t="n">
        <v>3</v>
      </c>
      <c r="I108" s="6" t="n">
        <v>4</v>
      </c>
      <c r="J108" s="6" t="inlineStr">
        <is>
          <t>nincs</t>
        </is>
      </c>
      <c r="K108" s="6">
        <f>IF(AND(H108&gt;0,I108&gt;0),"Rendben",IF(AND(H108=0,I108=0),"Nincs kép és adat",IF(H108=0,"Nincs kép","Nincs adat")))</f>
        <v/>
      </c>
      <c r="L108" s="6" t="inlineStr">
        <is>
          <t>Igen</t>
        </is>
      </c>
      <c r="M108" s="7" t="inlineStr">
        <is>
          <t>adaico.com webáruház; ADAICO 2025 katalógus (PDF); ADA-Slider vizsgálati jelentés (Drive)</t>
        </is>
      </c>
      <c r="N108" s="7" t="inlineStr">
        <is>
          <t>Megtalálva: Horizontal Aluminium Rail Profile ADA-SLIDER (kód: 1402406)</t>
        </is>
      </c>
      <c r="O108" s="11" t="inlineStr">
        <is>
          <t>https://www.adaico.com/en/1-04010014.html</t>
        </is>
      </c>
      <c r="P108" s="11" t="inlineStr">
        <is>
          <t>https://website-9ib.pages.dev/termek/212406-ada-s-tetosin-6000-mm/</t>
        </is>
      </c>
      <c r="Q108" s="12" t="inlineStr"/>
      <c r="R108" s="13" t="inlineStr"/>
      <c r="S108" s="6" t="inlineStr">
        <is>
          <t>212406-ada-s-tetosin-6000-mm</t>
        </is>
      </c>
    </row>
    <row r="109">
      <c r="A109" s="6" t="inlineStr">
        <is>
          <t>212404</t>
        </is>
      </c>
      <c r="B109" s="7" t="inlineStr">
        <is>
          <t>ADA-S Tetősín 7000 mm</t>
        </is>
      </c>
      <c r="C109" s="6" t="inlineStr">
        <is>
          <t>Italszállító KIT</t>
        </is>
      </c>
      <c r="D109" s="6" t="inlineStr">
        <is>
          <t>Italszállító KIT</t>
        </is>
      </c>
      <c r="E109" s="6" t="inlineStr">
        <is>
          <t>ADAICO</t>
        </is>
      </c>
      <c r="F109" s="6" t="inlineStr">
        <is>
          <t>1402404</t>
        </is>
      </c>
      <c r="G109" s="6" t="inlineStr">
        <is>
          <t>Quadris Excel</t>
        </is>
      </c>
      <c r="H109" s="6" t="n">
        <v>3</v>
      </c>
      <c r="I109" s="6" t="n">
        <v>4</v>
      </c>
      <c r="J109" s="6" t="inlineStr">
        <is>
          <t>nincs</t>
        </is>
      </c>
      <c r="K109" s="6">
        <f>IF(AND(H109&gt;0,I109&gt;0),"Rendben",IF(AND(H109=0,I109=0),"Nincs kép és adat",IF(H109=0,"Nincs kép","Nincs adat")))</f>
        <v/>
      </c>
      <c r="L109" s="6" t="inlineStr">
        <is>
          <t>Igen</t>
        </is>
      </c>
      <c r="M109" s="7" t="inlineStr">
        <is>
          <t>adaico.com webáruház; ADAICO 2025 katalógus (PDF); ADA-Slider vizsgálati jelentés (Drive)</t>
        </is>
      </c>
      <c r="N109" s="7" t="inlineStr">
        <is>
          <t>Megtalálva: Horizontal Aluminium Rail Profile ADA-SLIDER (kód: 1402404)</t>
        </is>
      </c>
      <c r="O109" s="11" t="inlineStr">
        <is>
          <t>https://www.adaico.com/en/1-04010014.html</t>
        </is>
      </c>
      <c r="P109" s="11" t="inlineStr">
        <is>
          <t>https://website-9ib.pages.dev/termek/212404-ada-s-tetosin-7000-mm/</t>
        </is>
      </c>
      <c r="Q109" s="12" t="inlineStr"/>
      <c r="R109" s="13" t="inlineStr"/>
      <c r="S109" s="6" t="inlineStr">
        <is>
          <t>212404-ada-s-tetosin-7000-mm</t>
        </is>
      </c>
    </row>
    <row r="110">
      <c r="A110" s="6" t="inlineStr">
        <is>
          <t>211385</t>
        </is>
      </c>
      <c r="B110" s="7" t="inlineStr">
        <is>
          <t>ADA-S Zárszerkezet ellendarab</t>
        </is>
      </c>
      <c r="C110" s="6" t="inlineStr">
        <is>
          <t>Italszállító KIT</t>
        </is>
      </c>
      <c r="D110" s="6" t="inlineStr">
        <is>
          <t>Italszállító KIT</t>
        </is>
      </c>
      <c r="E110" s="6" t="inlineStr">
        <is>
          <t>ADAICO</t>
        </is>
      </c>
      <c r="F110" s="6" t="inlineStr">
        <is>
          <t>1201385</t>
        </is>
      </c>
      <c r="G110" s="6" t="inlineStr">
        <is>
          <t>Quadris Excel</t>
        </is>
      </c>
      <c r="H110" s="6" t="n">
        <v>2</v>
      </c>
      <c r="I110" s="6" t="n">
        <v>2</v>
      </c>
      <c r="J110" s="6" t="inlineStr">
        <is>
          <t>nincs</t>
        </is>
      </c>
      <c r="K110" s="6">
        <f>IF(AND(H110&gt;0,I110&gt;0),"Rendben",IF(AND(H110=0,I110=0),"Nincs kép és adat",IF(H110=0,"Nincs kép","Nincs adat")))</f>
        <v/>
      </c>
      <c r="L110" s="6" t="inlineStr">
        <is>
          <t>Igen</t>
        </is>
      </c>
      <c r="M110" s="7" t="inlineStr">
        <is>
          <t>adaico.com webáruház; ADAICO 2025 katalógus (PDF); ADA-Slider vizsgálati jelentés (Drive)</t>
        </is>
      </c>
      <c r="N110" s="7" t="inlineStr">
        <is>
          <t>Megtalálva: Steel Holder (ADA-SLIDER Lock) (kód: 1201385)</t>
        </is>
      </c>
      <c r="O110" s="11" t="inlineStr">
        <is>
          <t>https://www.adaico.com/en/1-04010013.html</t>
        </is>
      </c>
      <c r="P110" s="11" t="inlineStr">
        <is>
          <t>https://website-9ib.pages.dev/termek/211385-ada-s-zarszerkezet-ellendarab/</t>
        </is>
      </c>
      <c r="Q110" s="12" t="inlineStr"/>
      <c r="R110" s="13" t="inlineStr"/>
      <c r="S110" s="6" t="inlineStr">
        <is>
          <t>211385-ada-s-zarszerkezet-ellendarab</t>
        </is>
      </c>
    </row>
    <row r="111">
      <c r="A111" s="6" t="inlineStr">
        <is>
          <t>211372</t>
        </is>
      </c>
      <c r="B111" s="7" t="inlineStr">
        <is>
          <t>ADA-S Zárszerkezet italszállító</t>
        </is>
      </c>
      <c r="C111" s="6" t="inlineStr">
        <is>
          <t>Italszállító KIT</t>
        </is>
      </c>
      <c r="D111" s="6" t="inlineStr">
        <is>
          <t>Italszállító KIT</t>
        </is>
      </c>
      <c r="E111" s="6" t="inlineStr">
        <is>
          <t>ADAICO</t>
        </is>
      </c>
      <c r="F111" s="6" t="inlineStr">
        <is>
          <t>1201372</t>
        </is>
      </c>
      <c r="G111" s="6" t="inlineStr">
        <is>
          <t>Quadris Excel</t>
        </is>
      </c>
      <c r="H111" s="6" t="n">
        <v>3</v>
      </c>
      <c r="I111" s="6" t="n">
        <v>4</v>
      </c>
      <c r="J111" s="6" t="inlineStr">
        <is>
          <t>nincs</t>
        </is>
      </c>
      <c r="K111" s="6">
        <f>IF(AND(H111&gt;0,I111&gt;0),"Rendben",IF(AND(H111=0,I111=0),"Nincs kép és adat",IF(H111=0,"Nincs kép","Nincs adat")))</f>
        <v/>
      </c>
      <c r="L111" s="6" t="inlineStr">
        <is>
          <t>Igen</t>
        </is>
      </c>
      <c r="M111" s="7" t="inlineStr">
        <is>
          <t>adaico.com webáruház; ADAICO 2025 katalógus (PDF); ADA-Slider vizsgálati jelentés (Drive)</t>
        </is>
      </c>
      <c r="N111" s="7" t="inlineStr">
        <is>
          <t>Megtalálva: ADA-SLIDER "Tens-Lock" Adjustable Delivery Truck Door Lock (kód: 1201372)</t>
        </is>
      </c>
      <c r="O111" s="11" t="inlineStr">
        <is>
          <t>https://www.adaico.com/en/catalogsearch/result/?q=1201372</t>
        </is>
      </c>
      <c r="P111" s="11" t="inlineStr">
        <is>
          <t>https://website-9ib.pages.dev/termek/211372-ada-s-zarszerkezet-italszallito/</t>
        </is>
      </c>
      <c r="Q111" s="12" t="inlineStr"/>
      <c r="R111" s="13" t="inlineStr"/>
      <c r="S111" s="6" t="inlineStr">
        <is>
          <t>211372-ada-s-zarszerkezet-italszallito</t>
        </is>
      </c>
    </row>
    <row r="112">
      <c r="A112" s="6" t="inlineStr">
        <is>
          <t>214202</t>
        </is>
      </c>
      <c r="B112" s="7" t="inlineStr">
        <is>
          <t>ADA-S ajtóprofil takarógumi 10 m/tekercs</t>
        </is>
      </c>
      <c r="C112" s="6" t="inlineStr">
        <is>
          <t>Italszállító KIT</t>
        </is>
      </c>
      <c r="D112" s="6" t="inlineStr">
        <is>
          <t>Italszállító KIT</t>
        </is>
      </c>
      <c r="E112" s="6" t="inlineStr">
        <is>
          <t>ADAICO</t>
        </is>
      </c>
      <c r="F112" s="6" t="inlineStr">
        <is>
          <t>1404202</t>
        </is>
      </c>
      <c r="G112" s="6" t="inlineStr">
        <is>
          <t>Quadris Excel</t>
        </is>
      </c>
      <c r="H112" s="6" t="n">
        <v>3</v>
      </c>
      <c r="I112" s="6" t="n">
        <v>6</v>
      </c>
      <c r="J112" s="6" t="inlineStr">
        <is>
          <t>nincs</t>
        </is>
      </c>
      <c r="K112" s="6">
        <f>IF(AND(H112&gt;0,I112&gt;0),"Rendben",IF(AND(H112=0,I112=0),"Nincs kép és adat",IF(H112=0,"Nincs kép","Nincs adat")))</f>
        <v/>
      </c>
      <c r="L112" s="6" t="inlineStr">
        <is>
          <t>Igen</t>
        </is>
      </c>
      <c r="M112" s="7" t="inlineStr">
        <is>
          <t>adaico.com webáruház; ADAICO 2025 katalógus (PDF); ADA-Slider vizsgálati jelentés (Drive)</t>
        </is>
      </c>
      <c r="N112" s="7" t="inlineStr">
        <is>
          <t>Megtalálva: ADA-SLIDER Profile Roll PVC Vertical (kód: 1404202)</t>
        </is>
      </c>
      <c r="O112" s="11" t="inlineStr">
        <is>
          <t>https://www.adaico.com/en/1-04010016.html</t>
        </is>
      </c>
      <c r="P112" s="11" t="inlineStr">
        <is>
          <t>https://website-9ib.pages.dev/termek/214202-ada-s-ajtoprofil-takarogumi-10-m-tekercs/</t>
        </is>
      </c>
      <c r="Q112" s="12" t="inlineStr"/>
      <c r="R112" s="13" t="inlineStr"/>
      <c r="S112" s="6" t="inlineStr">
        <is>
          <t>214202-ada-s-ajtoprofil-takarogumi-10-m-tekercs</t>
        </is>
      </c>
    </row>
    <row r="113">
      <c r="A113" s="6" t="inlineStr">
        <is>
          <t>303005</t>
        </is>
      </c>
      <c r="B113" s="7" t="inlineStr">
        <is>
          <t>Aláfutásgátló konzol 700 mm új</t>
        </is>
      </c>
      <c r="C113" s="6" t="inlineStr">
        <is>
          <t>Platós alkatrészek és kiegészítők</t>
        </is>
      </c>
      <c r="D113" s="6" t="inlineStr">
        <is>
          <t>Aláfutásgátló konzolok</t>
        </is>
      </c>
      <c r="E113" s="6" t="inlineStr">
        <is>
          <t>ADAICO</t>
        </is>
      </c>
      <c r="F113" s="6" t="inlineStr">
        <is>
          <t>1702054</t>
        </is>
      </c>
      <c r="G113" s="6" t="inlineStr">
        <is>
          <t>Quadris Excel</t>
        </is>
      </c>
      <c r="H113" s="6" t="n">
        <v>2</v>
      </c>
      <c r="I113" s="6" t="n">
        <v>5</v>
      </c>
      <c r="J113" s="6" t="inlineStr">
        <is>
          <t>nincs</t>
        </is>
      </c>
      <c r="K113" s="6">
        <f>IF(AND(H113&gt;0,I113&gt;0),"Rendben",IF(AND(H113=0,I113=0),"Nincs kép és adat",IF(H113=0,"Nincs kép","Nincs adat")))</f>
        <v/>
      </c>
      <c r="L113" s="6" t="inlineStr">
        <is>
          <t>Igen</t>
        </is>
      </c>
      <c r="M113" s="7" t="inlineStr">
        <is>
          <t>adaico.com webáruház; ADAICO 2025 katalógus (PDF); ADA-Slider vizsgálati jelentés (Drive)</t>
        </is>
      </c>
      <c r="N113" s="7" t="inlineStr">
        <is>
          <t>Megtalálva: LIGHT Anticrash Support (kód: 1702054)</t>
        </is>
      </c>
      <c r="O113" s="11" t="inlineStr">
        <is>
          <t>https://www.adaico.com/en/1-18020028.html</t>
        </is>
      </c>
      <c r="P113" s="11" t="inlineStr">
        <is>
          <t>https://website-9ib.pages.dev/termek/303005-alafutasgatlo-konzol-700-mm-uj/</t>
        </is>
      </c>
      <c r="Q113" s="12" t="inlineStr"/>
      <c r="R113" s="13" t="inlineStr"/>
      <c r="S113" s="6" t="inlineStr">
        <is>
          <t>303005-alafutasgatlo-konzol-700-mm-uj</t>
        </is>
      </c>
    </row>
    <row r="114">
      <c r="A114" s="6" t="inlineStr">
        <is>
          <t>380196</t>
        </is>
      </c>
      <c r="B114" s="7" t="inlineStr">
        <is>
          <t>ADA HANDY feszítő, kocka adapterhez L</t>
        </is>
      </c>
      <c r="C114" s="6" t="inlineStr">
        <is>
          <t>Ponyvarendszer kiegészítők</t>
        </is>
      </c>
      <c r="D114" s="6" t="inlineStr">
        <is>
          <t>Ponyvafeszítő profilok és alkatrészei</t>
        </is>
      </c>
      <c r="E114" s="6" t="inlineStr">
        <is>
          <t>ADAICO</t>
        </is>
      </c>
      <c r="F114" s="6" t="inlineStr">
        <is>
          <t>1001196</t>
        </is>
      </c>
      <c r="G114" s="6" t="inlineStr">
        <is>
          <t>Quadris Excel</t>
        </is>
      </c>
      <c r="H114" s="6" t="n">
        <v>3</v>
      </c>
      <c r="I114" s="6" t="n">
        <v>3</v>
      </c>
      <c r="J114" s="6" t="inlineStr">
        <is>
          <t>nincs</t>
        </is>
      </c>
      <c r="K114" s="6">
        <f>IF(AND(H114&gt;0,I114&gt;0),"Rendben",IF(AND(H114=0,I114=0),"Nincs kép és adat",IF(H114=0,"Nincs kép","Nincs adat")))</f>
        <v/>
      </c>
      <c r="L114" s="6" t="inlineStr">
        <is>
          <t>Igen</t>
        </is>
      </c>
      <c r="M114" s="7" t="inlineStr">
        <is>
          <t>adaico.com webáruház; ADAICO 2025 katalógus (PDF); ADA-Slider vizsgálati jelentés (Drive)</t>
        </is>
      </c>
      <c r="N114" s="7" t="inlineStr">
        <is>
          <t>Megtalálva: AdaHandy Curtain Tensioner Square Drive (kód: 1001196)</t>
        </is>
      </c>
      <c r="O114" s="11" t="inlineStr">
        <is>
          <t>https://www.adaico.com/en/catalogsearch/result/?q=1001196</t>
        </is>
      </c>
      <c r="P114" s="11" t="inlineStr">
        <is>
          <t>https://website-9ib.pages.dev/termek/380196-ada-handy-feszito-kocka-adapterhez-l/</t>
        </is>
      </c>
      <c r="Q114" s="12" t="inlineStr"/>
      <c r="R114" s="13" t="inlineStr"/>
      <c r="S114" s="6" t="inlineStr">
        <is>
          <t>380196-ada-handy-feszito-kocka-adapterhez-l</t>
        </is>
      </c>
    </row>
    <row r="115">
      <c r="A115" s="6" t="inlineStr">
        <is>
          <t>380194</t>
        </is>
      </c>
      <c r="B115" s="7" t="inlineStr">
        <is>
          <t>ADA HANDY feszítő, kocka adapterhez R</t>
        </is>
      </c>
      <c r="C115" s="6" t="inlineStr">
        <is>
          <t>Ponyvarendszer kiegészítők</t>
        </is>
      </c>
      <c r="D115" s="6" t="inlineStr">
        <is>
          <t>Ponyvafeszítő profilok és alkatrészei</t>
        </is>
      </c>
      <c r="E115" s="6" t="inlineStr">
        <is>
          <t>ADAICO</t>
        </is>
      </c>
      <c r="F115" s="6" t="inlineStr">
        <is>
          <t>1001194</t>
        </is>
      </c>
      <c r="G115" s="6" t="inlineStr">
        <is>
          <t>Quadris Excel</t>
        </is>
      </c>
      <c r="H115" s="6" t="n">
        <v>3</v>
      </c>
      <c r="I115" s="6" t="n">
        <v>3</v>
      </c>
      <c r="J115" s="6" t="inlineStr">
        <is>
          <t>nincs</t>
        </is>
      </c>
      <c r="K115" s="6">
        <f>IF(AND(H115&gt;0,I115&gt;0),"Rendben",IF(AND(H115=0,I115=0),"Nincs kép és adat",IF(H115=0,"Nincs kép","Nincs adat")))</f>
        <v/>
      </c>
      <c r="L115" s="6" t="inlineStr">
        <is>
          <t>Igen</t>
        </is>
      </c>
      <c r="M115" s="7" t="inlineStr">
        <is>
          <t>adaico.com webáruház; ADAICO 2025 katalógus (PDF); ADA-Slider vizsgálati jelentés (Drive)</t>
        </is>
      </c>
      <c r="N115" s="7" t="inlineStr">
        <is>
          <t>Megtalálva: AdaHandy Curtain Tensioner Square Drive (kód: 1001194)</t>
        </is>
      </c>
      <c r="O115" s="11" t="inlineStr">
        <is>
          <t>https://www.adaico.com/en/catalogsearch/result/?q=1001194</t>
        </is>
      </c>
      <c r="P115" s="11" t="inlineStr">
        <is>
          <t>https://website-9ib.pages.dev/termek/380194-ada-handy-feszito-kocka-adapterhez-r/</t>
        </is>
      </c>
      <c r="Q115" s="12" t="inlineStr"/>
      <c r="R115" s="13" t="inlineStr"/>
      <c r="S115" s="6" t="inlineStr">
        <is>
          <t>380194-ada-handy-feszito-kocka-adapterhez-r</t>
        </is>
      </c>
    </row>
    <row r="116">
      <c r="A116" s="6" t="inlineStr">
        <is>
          <t>380192</t>
        </is>
      </c>
      <c r="B116" s="7" t="inlineStr">
        <is>
          <t>ADA HANDY feszítő, sliccelt adapterhez L</t>
        </is>
      </c>
      <c r="C116" s="6" t="inlineStr">
        <is>
          <t>Ponyvarendszer kiegészítők</t>
        </is>
      </c>
      <c r="D116" s="6" t="inlineStr">
        <is>
          <t>Ponyvafeszítő profilok és alkatrészei</t>
        </is>
      </c>
      <c r="E116" s="6" t="inlineStr">
        <is>
          <t>ADAICO</t>
        </is>
      </c>
      <c r="F116" s="6" t="inlineStr">
        <is>
          <t>1001192</t>
        </is>
      </c>
      <c r="G116" s="6" t="inlineStr">
        <is>
          <t>Quadris Excel</t>
        </is>
      </c>
      <c r="H116" s="6" t="n">
        <v>3</v>
      </c>
      <c r="I116" s="6" t="n">
        <v>3</v>
      </c>
      <c r="J116" s="6" t="inlineStr">
        <is>
          <t>nincs</t>
        </is>
      </c>
      <c r="K116" s="6">
        <f>IF(AND(H116&gt;0,I116&gt;0),"Rendben",IF(AND(H116=0,I116=0),"Nincs kép és adat",IF(H116=0,"Nincs kép","Nincs adat")))</f>
        <v/>
      </c>
      <c r="L116" s="6" t="inlineStr">
        <is>
          <t>Igen</t>
        </is>
      </c>
      <c r="M116" s="7" t="inlineStr">
        <is>
          <t>adaico.com webáruház; ADAICO 2025 katalógus (PDF); ADA-Slider vizsgálati jelentés (Drive)</t>
        </is>
      </c>
      <c r="N116" s="7" t="inlineStr">
        <is>
          <t>Megtalálva: AdaHandy Curtain Tensioner Slotted Drive (kód: 1001192)</t>
        </is>
      </c>
      <c r="O116" s="11" t="inlineStr">
        <is>
          <t>https://www.adaico.com/en/catalogsearch/result/?q=1001192</t>
        </is>
      </c>
      <c r="P116" s="11" t="inlineStr">
        <is>
          <t>https://website-9ib.pages.dev/termek/380192-ada-handy-feszito-sliccelt-adapterhez-l/</t>
        </is>
      </c>
      <c r="Q116" s="12" t="inlineStr"/>
      <c r="R116" s="13" t="inlineStr"/>
      <c r="S116" s="6" t="inlineStr">
        <is>
          <t>380192-ada-handy-feszito-sliccelt-adapterhez-l</t>
        </is>
      </c>
    </row>
    <row r="117">
      <c r="A117" s="6" t="inlineStr">
        <is>
          <t>380190</t>
        </is>
      </c>
      <c r="B117" s="7" t="inlineStr">
        <is>
          <t>ADA HANDY feszítő, sliccelt adapterhez R</t>
        </is>
      </c>
      <c r="C117" s="6" t="inlineStr">
        <is>
          <t>Ponyvarendszer kiegészítők</t>
        </is>
      </c>
      <c r="D117" s="6" t="inlineStr">
        <is>
          <t>Ponyvafeszítő profilok és alkatrészei</t>
        </is>
      </c>
      <c r="E117" s="6" t="inlineStr">
        <is>
          <t>ADAICO</t>
        </is>
      </c>
      <c r="F117" s="6" t="inlineStr">
        <is>
          <t>1001190</t>
        </is>
      </c>
      <c r="G117" s="6" t="inlineStr">
        <is>
          <t>Quadris Excel</t>
        </is>
      </c>
      <c r="H117" s="6" t="n">
        <v>3</v>
      </c>
      <c r="I117" s="6" t="n">
        <v>3</v>
      </c>
      <c r="J117" s="6" t="inlineStr">
        <is>
          <t>nincs</t>
        </is>
      </c>
      <c r="K117" s="6">
        <f>IF(AND(H117&gt;0,I117&gt;0),"Rendben",IF(AND(H117=0,I117=0),"Nincs kép és adat",IF(H117=0,"Nincs kép","Nincs adat")))</f>
        <v/>
      </c>
      <c r="L117" s="6" t="inlineStr">
        <is>
          <t>Igen</t>
        </is>
      </c>
      <c r="M117" s="7" t="inlineStr">
        <is>
          <t>adaico.com webáruház; ADAICO 2025 katalógus (PDF); ADA-Slider vizsgálati jelentés (Drive)</t>
        </is>
      </c>
      <c r="N117" s="7" t="inlineStr">
        <is>
          <t>Megtalálva: AdaHandy Curtain Tensioner Slotted Drive (kód: 1001190)</t>
        </is>
      </c>
      <c r="O117" s="11" t="inlineStr">
        <is>
          <t>https://www.adaico.com/en/catalogsearch/result/?q=1001190</t>
        </is>
      </c>
      <c r="P117" s="11" t="inlineStr">
        <is>
          <t>https://website-9ib.pages.dev/termek/380190-ada-handy-feszito-sliccelt-adapterhez-r/</t>
        </is>
      </c>
      <c r="Q117" s="12" t="inlineStr"/>
      <c r="R117" s="13" t="inlineStr"/>
      <c r="S117" s="6" t="inlineStr">
        <is>
          <t>380190-ada-handy-feszito-sliccelt-adapterhez-r</t>
        </is>
      </c>
    </row>
    <row r="118">
      <c r="A118" s="6" t="inlineStr">
        <is>
          <t>380186</t>
        </is>
      </c>
      <c r="B118" s="7" t="inlineStr">
        <is>
          <t>ADA Racsnis feszítő kocka adapterhez L</t>
        </is>
      </c>
      <c r="C118" s="6" t="inlineStr">
        <is>
          <t>Ponyvarendszer kiegészítők</t>
        </is>
      </c>
      <c r="D118" s="6" t="inlineStr">
        <is>
          <t>Ponyvafeszítő profilok és alkatrészei</t>
        </is>
      </c>
      <c r="E118" s="6" t="inlineStr">
        <is>
          <t>ADAICO</t>
        </is>
      </c>
      <c r="F118" s="6" t="inlineStr">
        <is>
          <t>1001186</t>
        </is>
      </c>
      <c r="G118" s="6" t="inlineStr">
        <is>
          <t>Quadris Excel</t>
        </is>
      </c>
      <c r="H118" s="6" t="n">
        <v>3</v>
      </c>
      <c r="I118" s="6" t="n">
        <v>3</v>
      </c>
      <c r="J118" s="6" t="inlineStr">
        <is>
          <t>nincs</t>
        </is>
      </c>
      <c r="K118" s="6">
        <f>IF(AND(H118&gt;0,I118&gt;0),"Rendben",IF(AND(H118=0,I118=0),"Nincs kép és adat",IF(H118=0,"Nincs kép","Nincs adat")))</f>
        <v/>
      </c>
      <c r="L118" s="6" t="inlineStr">
        <is>
          <t>Igen</t>
        </is>
      </c>
      <c r="M118" s="7" t="inlineStr">
        <is>
          <t>adaico.com webáruház; ADAICO 2025 katalógus (PDF); ADA-Slider vizsgálati jelentés (Drive)</t>
        </is>
      </c>
      <c r="N118" s="7" t="inlineStr">
        <is>
          <t>Megtalálva: Ada-Tensioner Curtain Tensioner Square Drive (kód: 1001186)</t>
        </is>
      </c>
      <c r="O118" s="11" t="inlineStr">
        <is>
          <t>https://www.adaico.com/en/catalogsearch/result/?q=1001186</t>
        </is>
      </c>
      <c r="P118" s="11" t="inlineStr">
        <is>
          <t>https://website-9ib.pages.dev/termek/380186-ada-racsnis-feszito-kocka-adapterhez-l/</t>
        </is>
      </c>
      <c r="Q118" s="12" t="inlineStr"/>
      <c r="R118" s="13" t="inlineStr"/>
      <c r="S118" s="6" t="inlineStr">
        <is>
          <t>380186-ada-racsnis-feszito-kocka-adapterhez-l</t>
        </is>
      </c>
    </row>
    <row r="119">
      <c r="A119" s="6" t="inlineStr">
        <is>
          <t>380184</t>
        </is>
      </c>
      <c r="B119" s="7" t="inlineStr">
        <is>
          <t>ADA Racsnis feszítő kocka adapterhez R</t>
        </is>
      </c>
      <c r="C119" s="6" t="inlineStr">
        <is>
          <t>Ponyvarendszer kiegészítők</t>
        </is>
      </c>
      <c r="D119" s="6" t="inlineStr">
        <is>
          <t>Ponyvafeszítő profilok és alkatrészei</t>
        </is>
      </c>
      <c r="E119" s="6" t="inlineStr">
        <is>
          <t>ADAICO</t>
        </is>
      </c>
      <c r="F119" s="6" t="inlineStr">
        <is>
          <t>1001184</t>
        </is>
      </c>
      <c r="G119" s="6" t="inlineStr">
        <is>
          <t>Quadris Excel</t>
        </is>
      </c>
      <c r="H119" s="6" t="n">
        <v>3</v>
      </c>
      <c r="I119" s="6" t="n">
        <v>3</v>
      </c>
      <c r="J119" s="6" t="inlineStr">
        <is>
          <t>nincs</t>
        </is>
      </c>
      <c r="K119" s="6">
        <f>IF(AND(H119&gt;0,I119&gt;0),"Rendben",IF(AND(H119=0,I119=0),"Nincs kép és adat",IF(H119=0,"Nincs kép","Nincs adat")))</f>
        <v/>
      </c>
      <c r="L119" s="6" t="inlineStr">
        <is>
          <t>Igen</t>
        </is>
      </c>
      <c r="M119" s="7" t="inlineStr">
        <is>
          <t>adaico.com webáruház; ADAICO 2025 katalógus (PDF); ADA-Slider vizsgálati jelentés (Drive)</t>
        </is>
      </c>
      <c r="N119" s="7" t="inlineStr">
        <is>
          <t>Megtalálva: Ada-Tensioner Curtain Tensioner Square Drive (kód: 1001184)</t>
        </is>
      </c>
      <c r="O119" s="11" t="inlineStr">
        <is>
          <t>https://www.adaico.com/en/catalogsearch/result/?q=1001184</t>
        </is>
      </c>
      <c r="P119" s="11" t="inlineStr">
        <is>
          <t>https://website-9ib.pages.dev/termek/380184-ada-racsnis-feszito-kocka-adapterhez-r/</t>
        </is>
      </c>
      <c r="Q119" s="12" t="inlineStr"/>
      <c r="R119" s="13" t="inlineStr"/>
      <c r="S119" s="6" t="inlineStr">
        <is>
          <t>380184-ada-racsnis-feszito-kocka-adapterhez-r</t>
        </is>
      </c>
    </row>
    <row r="120">
      <c r="A120" s="6" t="inlineStr">
        <is>
          <t>381072</t>
        </is>
      </c>
      <c r="B120" s="7" t="inlineStr">
        <is>
          <t>Feszítő kocka sliccelt adapterhez</t>
        </is>
      </c>
      <c r="C120" s="6" t="inlineStr">
        <is>
          <t>Ponyvarendszer kiegészítők</t>
        </is>
      </c>
      <c r="D120" s="6" t="inlineStr">
        <is>
          <t>Ponyvafeszítő profilok és alkatrészei</t>
        </is>
      </c>
      <c r="E120" s="6" t="inlineStr">
        <is>
          <t>ADAICO</t>
        </is>
      </c>
      <c r="F120" s="6" t="inlineStr">
        <is>
          <t>1001072</t>
        </is>
      </c>
      <c r="G120" s="6" t="inlineStr">
        <is>
          <t>Quadris Excel</t>
        </is>
      </c>
      <c r="H120" s="6" t="n">
        <v>0</v>
      </c>
      <c r="I120" s="6" t="n">
        <v>0</v>
      </c>
      <c r="J120" s="6" t="inlineStr">
        <is>
          <t>nincs</t>
        </is>
      </c>
      <c r="K120" s="6">
        <f>IF(AND(H120&gt;0,I120&gt;0),"Rendben",IF(AND(H120=0,I120=0),"Nincs kép és adat",IF(H120=0,"Nincs kép","Nincs adat")))</f>
        <v/>
      </c>
      <c r="L120" s="6" t="inlineStr">
        <is>
          <t>Igen</t>
        </is>
      </c>
      <c r="M120" s="7" t="inlineStr">
        <is>
          <t>adaico.com webáruház; ADAICO 2025 katalógus (PDF); ADA-Slider vizsgálati jelentés (Drive)</t>
        </is>
      </c>
      <c r="N120" s="7" t="inlineStr">
        <is>
          <t>Nem találtuk: adaico.com webáruház; ADAICO 2025 katalógus (PDF); ADA-Slider vizsgálati jelentés (Drive)</t>
        </is>
      </c>
      <c r="O120" s="6" t="inlineStr"/>
      <c r="P120" s="11" t="inlineStr">
        <is>
          <t>https://website-9ib.pages.dev/termek/381072-feszito-kocka-sliccelt-adapterhez/</t>
        </is>
      </c>
      <c r="Q120" s="12" t="inlineStr"/>
      <c r="R120" s="13" t="inlineStr"/>
      <c r="S120" s="6" t="inlineStr">
        <is>
          <t>381072-feszito-kocka-sliccelt-adapterhez</t>
        </is>
      </c>
    </row>
    <row r="121">
      <c r="A121" s="6" t="inlineStr">
        <is>
          <t>381074</t>
        </is>
      </c>
      <c r="B121" s="7" t="inlineStr">
        <is>
          <t>Feszítő kocka szögletes adap. 60x30x30/10</t>
        </is>
      </c>
      <c r="C121" s="6" t="inlineStr">
        <is>
          <t>Ponyvarendszer kiegészítők</t>
        </is>
      </c>
      <c r="D121" s="6" t="inlineStr">
        <is>
          <t>Ponyvafeszítő profilok és alkatrészei</t>
        </is>
      </c>
      <c r="E121" s="6" t="inlineStr">
        <is>
          <t>ADAICO</t>
        </is>
      </c>
      <c r="F121" s="6" t="inlineStr">
        <is>
          <t>1001074</t>
        </is>
      </c>
      <c r="G121" s="6" t="inlineStr">
        <is>
          <t>Quadris Excel</t>
        </is>
      </c>
      <c r="H121" s="6" t="n">
        <v>3</v>
      </c>
      <c r="I121" s="6" t="n">
        <v>2</v>
      </c>
      <c r="J121" s="6" t="inlineStr">
        <is>
          <t>nincs</t>
        </is>
      </c>
      <c r="K121" s="6">
        <f>IF(AND(H121&gt;0,I121&gt;0),"Rendben",IF(AND(H121=0,I121=0),"Nincs kép és adat",IF(H121=0,"Nincs kép","Nincs adat")))</f>
        <v/>
      </c>
      <c r="L121" s="6" t="inlineStr">
        <is>
          <t>Igen</t>
        </is>
      </c>
      <c r="M121" s="7" t="inlineStr">
        <is>
          <t>adaico.com webáruház; ADAICO 2025 katalógus (PDF); ADA-Slider vizsgálati jelentés (Drive)</t>
        </is>
      </c>
      <c r="N121" s="7" t="inlineStr">
        <is>
          <t>Megtalálva: Curtain Tensioner 60x30x30 (10) (Handlelevel) (kód: 1001074)</t>
        </is>
      </c>
      <c r="O121" s="11" t="inlineStr">
        <is>
          <t>https://www.adaico.com/en/catalogsearch/result/?q=1001074</t>
        </is>
      </c>
      <c r="P121" s="11" t="inlineStr">
        <is>
          <t>https://website-9ib.pages.dev/termek/381074-feszito-kocka-szogletes-adap-60x30x30-10/</t>
        </is>
      </c>
      <c r="Q121" s="12" t="inlineStr"/>
      <c r="R121" s="13" t="inlineStr"/>
      <c r="S121" s="6" t="inlineStr">
        <is>
          <t>381074-feszito-kocka-szogletes-adap-60x30x30-10</t>
        </is>
      </c>
    </row>
    <row r="122">
      <c r="A122" s="6" t="inlineStr">
        <is>
          <t>121172</t>
        </is>
      </c>
      <c r="B122" s="7" t="inlineStr">
        <is>
          <t>Airline sín alu-elox 3000mm</t>
        </is>
      </c>
      <c r="C122" s="6" t="inlineStr">
        <is>
          <t>Rakományrögzítés</t>
        </is>
      </c>
      <c r="D122" s="6" t="inlineStr">
        <is>
          <t>Rakományrögzítés</t>
        </is>
      </c>
      <c r="E122" s="6" t="inlineStr">
        <is>
          <t>ADAICO</t>
        </is>
      </c>
      <c r="F122" s="6" t="inlineStr">
        <is>
          <t>2301172</t>
        </is>
      </c>
      <c r="G122" s="6" t="inlineStr">
        <is>
          <t>Quadris Excel</t>
        </is>
      </c>
      <c r="H122" s="6" t="n">
        <v>3</v>
      </c>
      <c r="I122" s="6" t="n">
        <v>3</v>
      </c>
      <c r="J122" s="6" t="inlineStr">
        <is>
          <t>nincs</t>
        </is>
      </c>
      <c r="K122" s="6">
        <f>IF(AND(H122&gt;0,I122&gt;0),"Rendben",IF(AND(H122=0,I122=0),"Nincs kép és adat",IF(H122=0,"Nincs kép","Nincs adat")))</f>
        <v/>
      </c>
      <c r="L122" s="6" t="inlineStr">
        <is>
          <t>Igen</t>
        </is>
      </c>
      <c r="M122" s="7" t="inlineStr">
        <is>
          <t>adaico.com webáruház; ADAICO 2025 katalógus (PDF); ADA-Slider vizsgálati jelentés (Drive)</t>
        </is>
      </c>
      <c r="N122" s="7" t="inlineStr">
        <is>
          <t>Megtalálva: Airline Profile Anchor Track 3.000x50x11,5 (kód: 2301172)</t>
        </is>
      </c>
      <c r="O122" s="11" t="inlineStr">
        <is>
          <t>https://www.adaico.com/en/1-17030014.html</t>
        </is>
      </c>
      <c r="P122" s="11" t="inlineStr">
        <is>
          <t>https://website-9ib.pages.dev/termek/121172-airline-sin-alu-elox-3000mm/</t>
        </is>
      </c>
      <c r="Q122" s="12" t="inlineStr"/>
      <c r="R122" s="13" t="inlineStr"/>
      <c r="S122" s="6" t="inlineStr">
        <is>
          <t>121172-airline-sin-alu-elox-3000mm</t>
        </is>
      </c>
    </row>
    <row r="123">
      <c r="A123" s="6" t="inlineStr">
        <is>
          <t>121208</t>
        </is>
      </c>
      <c r="B123" s="7" t="inlineStr">
        <is>
          <t>Gyűrűs rakományrögzítő 1300 daN</t>
        </is>
      </c>
      <c r="C123" s="6" t="inlineStr">
        <is>
          <t>Rakományrögzítés</t>
        </is>
      </c>
      <c r="D123" s="6" t="inlineStr">
        <is>
          <t>Rakományrögzítés</t>
        </is>
      </c>
      <c r="E123" s="6" t="inlineStr">
        <is>
          <t>ADAICO</t>
        </is>
      </c>
      <c r="F123" s="6" t="inlineStr">
        <is>
          <t>2301208</t>
        </is>
      </c>
      <c r="G123" s="6" t="inlineStr">
        <is>
          <t>Quadris Excel</t>
        </is>
      </c>
      <c r="H123" s="6" t="n">
        <v>3</v>
      </c>
      <c r="I123" s="6" t="n">
        <v>3</v>
      </c>
      <c r="J123" s="6" t="inlineStr">
        <is>
          <t>nincs</t>
        </is>
      </c>
      <c r="K123" s="6">
        <f>IF(AND(H123&gt;0,I123&gt;0),"Rendben",IF(AND(H123=0,I123=0),"Nincs kép és adat",IF(H123=0,"Nincs kép","Nincs adat")))</f>
        <v/>
      </c>
      <c r="L123" s="6" t="inlineStr">
        <is>
          <t>Igen</t>
        </is>
      </c>
      <c r="M123" s="7" t="inlineStr">
        <is>
          <t>adaico.com webáruház; ADAICO 2025 katalógus (PDF); ADA-Slider vizsgálati jelentés (Drive)</t>
        </is>
      </c>
      <c r="N123" s="7" t="inlineStr">
        <is>
          <t>Megtalálva: Double Airline Fitting (kód: 2301208)</t>
        </is>
      </c>
      <c r="O123" s="11" t="inlineStr">
        <is>
          <t>https://www.adaico.com/en/catalogsearch/result/?q=2301208</t>
        </is>
      </c>
      <c r="P123" s="11" t="inlineStr">
        <is>
          <t>https://website-9ib.pages.dev/termek/121208-gyurus-rakomanyrogzito-1300-dan/</t>
        </is>
      </c>
      <c r="Q123" s="12" t="inlineStr"/>
      <c r="R123" s="13" t="inlineStr"/>
      <c r="S123" s="6" t="inlineStr">
        <is>
          <t>121208-gyurus-rakomanyrogzito-1300-dan</t>
        </is>
      </c>
    </row>
    <row r="124">
      <c r="A124" s="6" t="inlineStr">
        <is>
          <t>121128</t>
        </is>
      </c>
      <c r="B124" s="7" t="inlineStr">
        <is>
          <t>Kombi rakományrögzítő sín - acél</t>
        </is>
      </c>
      <c r="C124" s="6" t="inlineStr">
        <is>
          <t>Rakományrögzítés</t>
        </is>
      </c>
      <c r="D124" s="6" t="inlineStr">
        <is>
          <t>Rakományrögzítés</t>
        </is>
      </c>
      <c r="E124" s="6" t="inlineStr">
        <is>
          <t>ADAICO</t>
        </is>
      </c>
      <c r="F124" s="6" t="inlineStr">
        <is>
          <t>50033110</t>
        </is>
      </c>
      <c r="G124" s="6" t="inlineStr">
        <is>
          <t>Quadris Excel</t>
        </is>
      </c>
      <c r="H124" s="6" t="n">
        <v>1</v>
      </c>
      <c r="I124" s="6" t="n">
        <v>5</v>
      </c>
      <c r="J124" s="6" t="inlineStr">
        <is>
          <t>nincs</t>
        </is>
      </c>
      <c r="K124" s="6">
        <f>IF(AND(H124&gt;0,I124&gt;0),"Rendben",IF(AND(H124=0,I124=0),"Nincs kép és adat",IF(H124=0,"Nincs kép","Nincs adat")))</f>
        <v/>
      </c>
      <c r="L124" s="6" t="inlineStr">
        <is>
          <t>Igen</t>
        </is>
      </c>
      <c r="M124" s="7" t="inlineStr">
        <is>
          <t>adaico.com webáruház; ADAICO 2025 katalógus (PDF); ADA-Slider vizsgálati jelentés (Drive)</t>
        </is>
      </c>
      <c r="N124" s="7" t="inlineStr">
        <is>
          <t>Megtalálva: ADAICO katalógus 2025: 2301128 (kód: 2301128)</t>
        </is>
      </c>
      <c r="O124" s="11" t="inlineStr">
        <is>
          <t>https://www.adaico.com/en/downloadcatalogues/download?id=ADAICO_2025_EDS.pdf#page=327</t>
        </is>
      </c>
      <c r="P124" s="11" t="inlineStr">
        <is>
          <t>https://website-9ib.pages.dev/termek/121128-kombi-rakomanyrogzito-sin-acel/</t>
        </is>
      </c>
      <c r="Q124" s="12" t="inlineStr"/>
      <c r="R124" s="13" t="inlineStr"/>
      <c r="S124" s="6" t="inlineStr">
        <is>
          <t>121128-kombi-rakomanyrogzito-sin-acel</t>
        </is>
      </c>
    </row>
    <row r="125">
      <c r="A125" s="6" t="inlineStr">
        <is>
          <t>121110</t>
        </is>
      </c>
      <c r="B125" s="7" t="inlineStr">
        <is>
          <t>Kombi rakományrögzítő sín sülly.- acél</t>
        </is>
      </c>
      <c r="C125" s="6" t="inlineStr">
        <is>
          <t>Rakományrögzítés</t>
        </is>
      </c>
      <c r="D125" s="6" t="inlineStr">
        <is>
          <t>Rakományrögzítés</t>
        </is>
      </c>
      <c r="E125" s="6" t="inlineStr">
        <is>
          <t>ADAICO</t>
        </is>
      </c>
      <c r="F125" s="6" t="inlineStr">
        <is>
          <t>50043110</t>
        </is>
      </c>
      <c r="G125" s="6" t="inlineStr">
        <is>
          <t>Quadris Excel</t>
        </is>
      </c>
      <c r="H125" s="6" t="n">
        <v>2</v>
      </c>
      <c r="I125" s="6" t="n">
        <v>6</v>
      </c>
      <c r="J125" s="6" t="inlineStr">
        <is>
          <t>nincs</t>
        </is>
      </c>
      <c r="K125" s="6">
        <f>IF(AND(H125&gt;0,I125&gt;0),"Rendben",IF(AND(H125=0,I125=0),"Nincs kép és adat",IF(H125=0,"Nincs kép","Nincs adat")))</f>
        <v/>
      </c>
      <c r="L125" s="6" t="inlineStr">
        <is>
          <t>Igen</t>
        </is>
      </c>
      <c r="M125" s="7" t="inlineStr">
        <is>
          <t>adaico.com webáruház; ADAICO 2025 katalógus (PDF); ADA-Slider vizsgálati jelentés (Drive)</t>
        </is>
      </c>
      <c r="N125" s="7" t="inlineStr">
        <is>
          <t>Megtalálva: ADAICO katalógus 2025: 2301110 (kód: 2301110)</t>
        </is>
      </c>
      <c r="O125" s="11" t="inlineStr">
        <is>
          <t>https://www.adaico.com/en/downloadcatalogues/download?id=ADAICO_2025_EDS.pdf#page=329</t>
        </is>
      </c>
      <c r="P125" s="11" t="inlineStr">
        <is>
          <t>https://website-9ib.pages.dev/termek/121110-kombi-rakomanyrogzito-sin-sully-acel/</t>
        </is>
      </c>
      <c r="Q125" s="12" t="inlineStr"/>
      <c r="R125" s="13" t="inlineStr"/>
      <c r="S125" s="6" t="inlineStr">
        <is>
          <t>121110-kombi-rakomanyrogzito-sin-sully-acel</t>
        </is>
      </c>
    </row>
    <row r="126">
      <c r="A126" s="6" t="inlineStr">
        <is>
          <t>202274</t>
        </is>
      </c>
      <c r="B126" s="7" t="inlineStr">
        <is>
          <t>"U" 100x50x50x5 mm profil</t>
        </is>
      </c>
      <c r="C126" s="6" t="inlineStr">
        <is>
          <t>Alumínium alváz profilok</t>
        </is>
      </c>
      <c r="D126" s="6" t="inlineStr">
        <is>
          <t>Hossztartók</t>
        </is>
      </c>
      <c r="E126" s="6" t="inlineStr">
        <is>
          <t>ALCOMET</t>
        </is>
      </c>
      <c r="F126" s="6" t="inlineStr">
        <is>
          <t>UPR-02274</t>
        </is>
      </c>
      <c r="G126" s="6" t="inlineStr">
        <is>
          <t>Quadris Excel</t>
        </is>
      </c>
      <c r="H126" s="6" t="n">
        <v>3</v>
      </c>
      <c r="I126" s="6" t="n">
        <v>7</v>
      </c>
      <c r="J126" s="6" t="inlineStr">
        <is>
          <t>nincs</t>
        </is>
      </c>
      <c r="K126" s="6">
        <f>IF(AND(H126&gt;0,I126&gt;0),"Rendben",IF(AND(H126=0,I126=0),"Nincs kép és adat",IF(H126=0,"Nincs kép","Nincs adat")))</f>
        <v/>
      </c>
      <c r="L126" s="6" t="inlineStr">
        <is>
          <t>Igen</t>
        </is>
      </c>
      <c r="M126" s="7" t="inlineStr">
        <is>
          <t>Alcomet 2017 szabványprofil-katalógus (PDF)</t>
        </is>
      </c>
      <c r="N126" s="7" t="inlineStr">
        <is>
          <t>Megtalálva: Alcomet 500-2274 (kód: 500-2274)</t>
        </is>
      </c>
      <c r="O126" s="6" t="inlineStr"/>
      <c r="P126" s="11" t="inlineStr">
        <is>
          <t>https://website-9ib.pages.dev/termek/202274-u-100x50x50x5-mm-profil/</t>
        </is>
      </c>
      <c r="Q126" s="12" t="inlineStr"/>
      <c r="R126" s="13" t="inlineStr"/>
      <c r="S126" s="6" t="inlineStr">
        <is>
          <t>202274-u-100x50x50x5-mm-profil</t>
        </is>
      </c>
    </row>
    <row r="127">
      <c r="A127" s="6" t="inlineStr">
        <is>
          <t>203548</t>
        </is>
      </c>
      <c r="B127" s="7" t="inlineStr">
        <is>
          <t>"U" 140x60x60x7 mm profil</t>
        </is>
      </c>
      <c r="C127" s="6" t="inlineStr">
        <is>
          <t>Alumínium alváz profilok</t>
        </is>
      </c>
      <c r="D127" s="6" t="inlineStr">
        <is>
          <t>Hossztartók</t>
        </is>
      </c>
      <c r="E127" s="6" t="inlineStr">
        <is>
          <t>ALCOMET</t>
        </is>
      </c>
      <c r="F127" s="6" t="inlineStr">
        <is>
          <t>UPR-03548</t>
        </is>
      </c>
      <c r="G127" s="6" t="inlineStr">
        <is>
          <t>Quadris Excel</t>
        </is>
      </c>
      <c r="H127" s="6" t="n">
        <v>3</v>
      </c>
      <c r="I127" s="6" t="n">
        <v>7</v>
      </c>
      <c r="J127" s="6" t="inlineStr">
        <is>
          <t>nincs</t>
        </is>
      </c>
      <c r="K127" s="6">
        <f>IF(AND(H127&gt;0,I127&gt;0),"Rendben",IF(AND(H127=0,I127=0),"Nincs kép és adat",IF(H127=0,"Nincs kép","Nincs adat")))</f>
        <v/>
      </c>
      <c r="L127" s="6" t="inlineStr">
        <is>
          <t>Igen</t>
        </is>
      </c>
      <c r="M127" s="7" t="inlineStr">
        <is>
          <t>Alcomet 2017 szabványprofil-katalógus (PDF)</t>
        </is>
      </c>
      <c r="N127" s="7" t="inlineStr">
        <is>
          <t>Megtalálva: Alcomet 500-3548 (kód: 500-3548)</t>
        </is>
      </c>
      <c r="O127" s="6" t="inlineStr"/>
      <c r="P127" s="11" t="inlineStr">
        <is>
          <t>https://website-9ib.pages.dev/termek/203548-u-140x60x60x7-mm-profil/</t>
        </is>
      </c>
      <c r="Q127" s="12" t="inlineStr"/>
      <c r="R127" s="13" t="inlineStr"/>
      <c r="S127" s="6" t="inlineStr">
        <is>
          <t>203548-u-140x60x60x7-mm-profil</t>
        </is>
      </c>
    </row>
    <row r="128">
      <c r="A128" s="6" t="inlineStr">
        <is>
          <t>202869</t>
        </is>
      </c>
      <c r="B128" s="7" t="inlineStr">
        <is>
          <t>"U" 160x80x80x8 mm profil</t>
        </is>
      </c>
      <c r="C128" s="6" t="inlineStr">
        <is>
          <t>Alumínium alváz profilok</t>
        </is>
      </c>
      <c r="D128" s="6" t="inlineStr">
        <is>
          <t>Hossztartók</t>
        </is>
      </c>
      <c r="E128" s="6" t="inlineStr">
        <is>
          <t>ALCOMET</t>
        </is>
      </c>
      <c r="F128" s="6" t="inlineStr">
        <is>
          <t>UPR-02869</t>
        </is>
      </c>
      <c r="G128" s="6" t="inlineStr">
        <is>
          <t>Quadris Excel</t>
        </is>
      </c>
      <c r="H128" s="6" t="n">
        <v>3</v>
      </c>
      <c r="I128" s="6" t="n">
        <v>7</v>
      </c>
      <c r="J128" s="6" t="inlineStr">
        <is>
          <t>nincs</t>
        </is>
      </c>
      <c r="K128" s="6">
        <f>IF(AND(H128&gt;0,I128&gt;0),"Rendben",IF(AND(H128=0,I128=0),"Nincs kép és adat",IF(H128=0,"Nincs kép","Nincs adat")))</f>
        <v/>
      </c>
      <c r="L128" s="6" t="inlineStr">
        <is>
          <t>Igen</t>
        </is>
      </c>
      <c r="M128" s="7" t="inlineStr">
        <is>
          <t>Alcomet 2017 szabványprofil-katalógus (PDF)</t>
        </is>
      </c>
      <c r="N128" s="7" t="inlineStr">
        <is>
          <t>Megtalálva: Alcomet 500-2869 (kód: 500-2869)</t>
        </is>
      </c>
      <c r="O128" s="6" t="inlineStr"/>
      <c r="P128" s="11" t="inlineStr">
        <is>
          <t>https://website-9ib.pages.dev/termek/202869-u-160x80x80x8-mm-profil/</t>
        </is>
      </c>
      <c r="Q128" s="12" t="inlineStr"/>
      <c r="R128" s="13" t="inlineStr"/>
      <c r="S128" s="6" t="inlineStr">
        <is>
          <t>202869-u-160x80x80x8-mm-profil</t>
        </is>
      </c>
    </row>
    <row r="129">
      <c r="A129" s="6" t="inlineStr">
        <is>
          <t>205162</t>
        </is>
      </c>
      <c r="B129" s="7" t="inlineStr">
        <is>
          <t>"U" 80x60x5 mm aluprofil</t>
        </is>
      </c>
      <c r="C129" s="6" t="inlineStr">
        <is>
          <t>Alumínium alváz profilok</t>
        </is>
      </c>
      <c r="D129" s="6" t="inlineStr">
        <is>
          <t>Hossztartók</t>
        </is>
      </c>
      <c r="E129" s="6" t="inlineStr">
        <is>
          <t>ALCOMET</t>
        </is>
      </c>
      <c r="F129" s="6" t="inlineStr">
        <is>
          <t>UPR-05162</t>
        </is>
      </c>
      <c r="G129" s="6" t="inlineStr">
        <is>
          <t>Quadris Excel</t>
        </is>
      </c>
      <c r="H129" s="6" t="n">
        <v>3</v>
      </c>
      <c r="I129" s="6" t="n">
        <v>7</v>
      </c>
      <c r="J129" s="6" t="inlineStr">
        <is>
          <t>nincs</t>
        </is>
      </c>
      <c r="K129" s="6">
        <f>IF(AND(H129&gt;0,I129&gt;0),"Rendben",IF(AND(H129=0,I129=0),"Nincs kép és adat",IF(H129=0,"Nincs kép","Nincs adat")))</f>
        <v/>
      </c>
      <c r="L129" s="6" t="inlineStr">
        <is>
          <t>Igen</t>
        </is>
      </c>
      <c r="M129" s="7" t="inlineStr">
        <is>
          <t>Alcomet 2017 szabványprofil-katalógus (PDF)</t>
        </is>
      </c>
      <c r="N129" s="7" t="inlineStr">
        <is>
          <t>Megtalálva: Alcomet 500-5162 (kód: 500-5162)</t>
        </is>
      </c>
      <c r="O129" s="6" t="inlineStr"/>
      <c r="P129" s="11" t="inlineStr">
        <is>
          <t>https://website-9ib.pages.dev/termek/205162-u-80x60x5-mm-aluprofil/</t>
        </is>
      </c>
      <c r="Q129" s="12" t="inlineStr"/>
      <c r="R129" s="13" t="inlineStr"/>
      <c r="S129" s="6" t="inlineStr">
        <is>
          <t>205162-u-80x60x5-mm-aluprofil</t>
        </is>
      </c>
    </row>
    <row r="130">
      <c r="A130" s="6" t="inlineStr">
        <is>
          <t>203432</t>
        </is>
      </c>
      <c r="B130" s="7" t="inlineStr">
        <is>
          <t>"U" 90x50x50x5 mm profil</t>
        </is>
      </c>
      <c r="C130" s="6" t="inlineStr">
        <is>
          <t>Alumínium alváz profilok</t>
        </is>
      </c>
      <c r="D130" s="6" t="inlineStr">
        <is>
          <t>Hossztartók</t>
        </is>
      </c>
      <c r="E130" s="6" t="inlineStr">
        <is>
          <t>ALCOMET</t>
        </is>
      </c>
      <c r="F130" s="6" t="inlineStr">
        <is>
          <t>UPR-03432</t>
        </is>
      </c>
      <c r="G130" s="6" t="inlineStr">
        <is>
          <t>Quadris Excel</t>
        </is>
      </c>
      <c r="H130" s="6" t="n">
        <v>3</v>
      </c>
      <c r="I130" s="6" t="n">
        <v>7</v>
      </c>
      <c r="J130" s="6" t="inlineStr">
        <is>
          <t>nincs</t>
        </is>
      </c>
      <c r="K130" s="6">
        <f>IF(AND(H130&gt;0,I130&gt;0),"Rendben",IF(AND(H130=0,I130=0),"Nincs kép és adat",IF(H130=0,"Nincs kép","Nincs adat")))</f>
        <v/>
      </c>
      <c r="L130" s="6" t="inlineStr">
        <is>
          <t>Igen</t>
        </is>
      </c>
      <c r="M130" s="7" t="inlineStr">
        <is>
          <t>Alcomet 2017 szabványprofil-katalógus (PDF)</t>
        </is>
      </c>
      <c r="N130" s="7" t="inlineStr">
        <is>
          <t>Megtalálva: Alcomet 500-3432 (kód: 500-3432)</t>
        </is>
      </c>
      <c r="O130" s="6" t="inlineStr"/>
      <c r="P130" s="11" t="inlineStr">
        <is>
          <t>https://website-9ib.pages.dev/termek/203432-u-90x50x50x5-mm-profil/</t>
        </is>
      </c>
      <c r="Q130" s="12" t="inlineStr"/>
      <c r="R130" s="13" t="inlineStr"/>
      <c r="S130" s="6" t="inlineStr">
        <is>
          <t>203432-u-90x50x50x5-mm-profil</t>
        </is>
      </c>
    </row>
    <row r="131">
      <c r="A131" s="6" t="inlineStr">
        <is>
          <t>70605</t>
        </is>
      </c>
      <c r="B131" s="7" t="inlineStr">
        <is>
          <t>D60x5 mm Húspálya cső elox 6000 mm</t>
        </is>
      </c>
      <c r="C131" s="6" t="inlineStr">
        <is>
          <t>Dobozos felépítmény alkatrészek</t>
        </is>
      </c>
      <c r="D131" s="6" t="inlineStr">
        <is>
          <t>Húspálya rendszer</t>
        </is>
      </c>
      <c r="E131" s="6" t="inlineStr">
        <is>
          <t>ALCOMET</t>
        </is>
      </c>
      <c r="F131" s="6" t="inlineStr"/>
      <c r="G131" s="6" t="inlineStr">
        <is>
          <t>Quadris Excel</t>
        </is>
      </c>
      <c r="H131" s="6" t="n">
        <v>3</v>
      </c>
      <c r="I131" s="6" t="n">
        <v>6</v>
      </c>
      <c r="J131" s="6" t="inlineStr">
        <is>
          <t>nincs</t>
        </is>
      </c>
      <c r="K131" s="6">
        <f>IF(AND(H131&gt;0,I131&gt;0),"Rendben",IF(AND(H131=0,I131=0),"Nincs kép és adat",IF(H131=0,"Nincs kép","Nincs adat")))</f>
        <v/>
      </c>
      <c r="L131" s="6" t="inlineStr">
        <is>
          <t>Igen</t>
        </is>
      </c>
      <c r="M131" s="7" t="inlineStr">
        <is>
          <t>Alcomet 2017 szabványprofil-katalógus (PDF)</t>
        </is>
      </c>
      <c r="N131" s="7" t="inlineStr">
        <is>
          <t>Megtalálva: Alcomet 500-0903 (kód: 500-0903)</t>
        </is>
      </c>
      <c r="O131" s="6" t="inlineStr"/>
      <c r="P131" s="11" t="inlineStr">
        <is>
          <t>https://website-9ib.pages.dev/termek/70605-d60x5-mm-huspalya-cso-elox-6000-mm/</t>
        </is>
      </c>
      <c r="Q131" s="12" t="inlineStr"/>
      <c r="R131" s="13" t="inlineStr"/>
      <c r="S131" s="6" t="inlineStr">
        <is>
          <t>70605-d60x5-mm-huspalya-cso-elox-6000-mm</t>
        </is>
      </c>
    </row>
    <row r="132">
      <c r="A132" s="6" t="inlineStr">
        <is>
          <t>251048</t>
        </is>
      </c>
      <c r="B132" s="7" t="inlineStr">
        <is>
          <t>100x10 mm Alu lapos profil</t>
        </is>
      </c>
      <c r="C132" s="6" t="inlineStr">
        <is>
          <t>Ipari félgyártmányok</t>
        </is>
      </c>
      <c r="D132" s="6" t="inlineStr">
        <is>
          <t>Lapos profil</t>
        </is>
      </c>
      <c r="E132" s="6" t="inlineStr">
        <is>
          <t>ALCOMET</t>
        </is>
      </c>
      <c r="F132" s="6" t="inlineStr">
        <is>
          <t>FLB-01048</t>
        </is>
      </c>
      <c r="G132" s="6" t="inlineStr">
        <is>
          <t>Quadris Excel</t>
        </is>
      </c>
      <c r="H132" s="6" t="n">
        <v>3</v>
      </c>
      <c r="I132" s="6" t="n">
        <v>6</v>
      </c>
      <c r="J132" s="6" t="inlineStr">
        <is>
          <t>nincs</t>
        </is>
      </c>
      <c r="K132" s="6">
        <f>IF(AND(H132&gt;0,I132&gt;0),"Rendben",IF(AND(H132=0,I132=0),"Nincs kép és adat",IF(H132=0,"Nincs kép","Nincs adat")))</f>
        <v/>
      </c>
      <c r="L132" s="6" t="inlineStr">
        <is>
          <t>Igen</t>
        </is>
      </c>
      <c r="M132" s="7" t="inlineStr">
        <is>
          <t>Alcomet 2017 szabványprofil-katalógus (PDF)</t>
        </is>
      </c>
      <c r="N132" s="7" t="inlineStr">
        <is>
          <t>Megtalálva: Alcomet 500-1048 (kód: 500-1048)</t>
        </is>
      </c>
      <c r="O132" s="6" t="inlineStr"/>
      <c r="P132" s="11" t="inlineStr">
        <is>
          <t>https://website-9ib.pages.dev/termek/251048-100x10-mm-alu-lapos-profil/</t>
        </is>
      </c>
      <c r="Q132" s="12" t="inlineStr"/>
      <c r="R132" s="13" t="inlineStr"/>
      <c r="S132" s="6" t="inlineStr">
        <is>
          <t>251048-100x10-mm-alu-lapos-profil</t>
        </is>
      </c>
    </row>
    <row r="133">
      <c r="A133" s="6" t="inlineStr">
        <is>
          <t>255472</t>
        </is>
      </c>
      <c r="B133" s="7" t="inlineStr">
        <is>
          <t>100x100x4 mm R7/3 Alu zártszelvény</t>
        </is>
      </c>
      <c r="C133" s="6" t="inlineStr">
        <is>
          <t>Ipari félgyártmányok</t>
        </is>
      </c>
      <c r="D133" s="6" t="inlineStr">
        <is>
          <t>Zártszelvény</t>
        </is>
      </c>
      <c r="E133" s="6" t="inlineStr">
        <is>
          <t>ALCOMET</t>
        </is>
      </c>
      <c r="F133" s="6" t="inlineStr">
        <is>
          <t>SQT-05472</t>
        </is>
      </c>
      <c r="G133" s="6" t="inlineStr">
        <is>
          <t>Quadris Excel</t>
        </is>
      </c>
      <c r="H133" s="6" t="n">
        <v>3</v>
      </c>
      <c r="I133" s="6" t="n">
        <v>6</v>
      </c>
      <c r="J133" s="6" t="inlineStr">
        <is>
          <t>nincs</t>
        </is>
      </c>
      <c r="K133" s="6">
        <f>IF(AND(H133&gt;0,I133&gt;0),"Rendben",IF(AND(H133=0,I133=0),"Nincs kép és adat",IF(H133=0,"Nincs kép","Nincs adat")))</f>
        <v/>
      </c>
      <c r="L133" s="6" t="inlineStr">
        <is>
          <t>Igen</t>
        </is>
      </c>
      <c r="M133" s="7" t="inlineStr">
        <is>
          <t>Alcomet 2017 szabványprofil-katalógus (PDF)</t>
        </is>
      </c>
      <c r="N133" s="7" t="inlineStr">
        <is>
          <t>Megtalálva: Alcomet 500-5472 (kód: 500-5472)</t>
        </is>
      </c>
      <c r="O133" s="6" t="inlineStr"/>
      <c r="P133" s="11" t="inlineStr">
        <is>
          <t>https://website-9ib.pages.dev/termek/255472-100x100x4-mm-r7-3-alu-zartszelveny/</t>
        </is>
      </c>
      <c r="Q133" s="12" t="inlineStr"/>
      <c r="R133" s="13" t="inlineStr"/>
      <c r="S133" s="6" t="inlineStr">
        <is>
          <t>255472-100x100x4-mm-r7-3-alu-zartszelveny</t>
        </is>
      </c>
    </row>
    <row r="134">
      <c r="A134" s="6" t="inlineStr">
        <is>
          <t>250503</t>
        </is>
      </c>
      <c r="B134" s="7" t="inlineStr">
        <is>
          <t>100x50x3 mm Alu zártszelvény</t>
        </is>
      </c>
      <c r="C134" s="6" t="inlineStr">
        <is>
          <t>Ipari félgyártmányok</t>
        </is>
      </c>
      <c r="D134" s="6" t="inlineStr">
        <is>
          <t>Zártszelvény</t>
        </is>
      </c>
      <c r="E134" s="6" t="inlineStr">
        <is>
          <t>ALCOMET</t>
        </is>
      </c>
      <c r="F134" s="6" t="inlineStr">
        <is>
          <t>100503</t>
        </is>
      </c>
      <c r="G134" s="6" t="inlineStr">
        <is>
          <t>Quadris Excel</t>
        </is>
      </c>
      <c r="H134" s="6" t="n">
        <v>3</v>
      </c>
      <c r="I134" s="6" t="n">
        <v>6</v>
      </c>
      <c r="J134" s="6" t="inlineStr">
        <is>
          <t>nincs</t>
        </is>
      </c>
      <c r="K134" s="6">
        <f>IF(AND(H134&gt;0,I134&gt;0),"Rendben",IF(AND(H134=0,I134=0),"Nincs kép és adat",IF(H134=0,"Nincs kép","Nincs adat")))</f>
        <v/>
      </c>
      <c r="L134" s="6" t="inlineStr">
        <is>
          <t>Igen</t>
        </is>
      </c>
      <c r="M134" s="7" t="inlineStr">
        <is>
          <t>Alcomet 2017 szabványprofil-katalógus (PDF)</t>
        </is>
      </c>
      <c r="N134" s="7" t="inlineStr">
        <is>
          <t>Megtalálva: Alcomet 500-2429 (kód: 500-2429)</t>
        </is>
      </c>
      <c r="O134" s="6" t="inlineStr"/>
      <c r="P134" s="11" t="inlineStr">
        <is>
          <t>https://website-9ib.pages.dev/termek/250503-100x50x3-mm-alu-zartszelveny/</t>
        </is>
      </c>
      <c r="Q134" s="12" t="inlineStr"/>
      <c r="R134" s="13" t="inlineStr"/>
      <c r="S134" s="6" t="inlineStr">
        <is>
          <t>250503-100x50x3-mm-alu-zartszelveny</t>
        </is>
      </c>
    </row>
    <row r="135">
      <c r="A135" s="6" t="inlineStr">
        <is>
          <t>251210</t>
        </is>
      </c>
      <c r="B135" s="7" t="inlineStr">
        <is>
          <t>120x10 mm Alu lapos profil</t>
        </is>
      </c>
      <c r="C135" s="6" t="inlineStr">
        <is>
          <t>Ipari félgyártmányok</t>
        </is>
      </c>
      <c r="D135" s="6" t="inlineStr">
        <is>
          <t>Lapos profil</t>
        </is>
      </c>
      <c r="E135" s="6" t="inlineStr">
        <is>
          <t>ALCOMET</t>
        </is>
      </c>
      <c r="F135" s="6" t="inlineStr"/>
      <c r="G135" s="6" t="inlineStr">
        <is>
          <t>Quadris Excel</t>
        </is>
      </c>
      <c r="H135" s="6" t="n">
        <v>3</v>
      </c>
      <c r="I135" s="6" t="n">
        <v>6</v>
      </c>
      <c r="J135" s="6" t="inlineStr">
        <is>
          <t>nincs</t>
        </is>
      </c>
      <c r="K135" s="6">
        <f>IF(AND(H135&gt;0,I135&gt;0),"Rendben",IF(AND(H135=0,I135=0),"Nincs kép és adat",IF(H135=0,"Nincs kép","Nincs adat")))</f>
        <v/>
      </c>
      <c r="L135" s="6" t="inlineStr">
        <is>
          <t>Igen</t>
        </is>
      </c>
      <c r="M135" s="7" t="inlineStr">
        <is>
          <t>Alcomet 2017 szabványprofil-katalógus (PDF)</t>
        </is>
      </c>
      <c r="N135" s="7" t="inlineStr">
        <is>
          <t>Megtalálva: Alcomet 500-2254 (kód: 500-2254)</t>
        </is>
      </c>
      <c r="O135" s="6" t="inlineStr"/>
      <c r="P135" s="11" t="inlineStr">
        <is>
          <t>https://website-9ib.pages.dev/termek/251210-120x10-mm-alu-lapos-profil/</t>
        </is>
      </c>
      <c r="Q135" s="12" t="inlineStr"/>
      <c r="R135" s="13" t="inlineStr"/>
      <c r="S135" s="6" t="inlineStr">
        <is>
          <t>251210-120x10-mm-alu-lapos-profil</t>
        </is>
      </c>
    </row>
    <row r="136">
      <c r="A136" s="6" t="inlineStr">
        <is>
          <t>251510</t>
        </is>
      </c>
      <c r="B136" s="7" t="inlineStr">
        <is>
          <t>150x10 mm Alu lapos profil</t>
        </is>
      </c>
      <c r="C136" s="6" t="inlineStr">
        <is>
          <t>Ipari félgyártmányok</t>
        </is>
      </c>
      <c r="D136" s="6" t="inlineStr">
        <is>
          <t>Lapos profil</t>
        </is>
      </c>
      <c r="E136" s="6" t="inlineStr">
        <is>
          <t>ALCOMET</t>
        </is>
      </c>
      <c r="F136" s="6" t="inlineStr"/>
      <c r="G136" s="6" t="inlineStr">
        <is>
          <t>Quadris Excel</t>
        </is>
      </c>
      <c r="H136" s="6" t="n">
        <v>3</v>
      </c>
      <c r="I136" s="6" t="n">
        <v>6</v>
      </c>
      <c r="J136" s="6" t="inlineStr">
        <is>
          <t>nincs</t>
        </is>
      </c>
      <c r="K136" s="6">
        <f>IF(AND(H136&gt;0,I136&gt;0),"Rendben",IF(AND(H136=0,I136=0),"Nincs kép és adat",IF(H136=0,"Nincs kép","Nincs adat")))</f>
        <v/>
      </c>
      <c r="L136" s="6" t="inlineStr">
        <is>
          <t>Igen</t>
        </is>
      </c>
      <c r="M136" s="7" t="inlineStr">
        <is>
          <t>Alcomet 2017 szabványprofil-katalógus (PDF)</t>
        </is>
      </c>
      <c r="N136" s="7" t="inlineStr">
        <is>
          <t>Megtalálva: Alcomet 500-2504 (kód: 500-2504)</t>
        </is>
      </c>
      <c r="O136" s="6" t="inlineStr"/>
      <c r="P136" s="11" t="inlineStr">
        <is>
          <t>https://website-9ib.pages.dev/termek/251510-150x10-mm-alu-lapos-profil/</t>
        </is>
      </c>
      <c r="Q136" s="12" t="inlineStr"/>
      <c r="R136" s="13" t="inlineStr"/>
      <c r="S136" s="6" t="inlineStr">
        <is>
          <t>251510-150x10-mm-alu-lapos-profil</t>
        </is>
      </c>
    </row>
    <row r="137">
      <c r="A137" s="6" t="inlineStr">
        <is>
          <t>253734</t>
        </is>
      </c>
      <c r="B137" s="7" t="inlineStr">
        <is>
          <t>150x25x2,5 R2 Alu zártszelvény</t>
        </is>
      </c>
      <c r="C137" s="6" t="inlineStr">
        <is>
          <t>Ipari félgyártmányok</t>
        </is>
      </c>
      <c r="D137" s="6" t="inlineStr">
        <is>
          <t>Zártszelvény</t>
        </is>
      </c>
      <c r="E137" s="6" t="inlineStr">
        <is>
          <t>ALCOMET</t>
        </is>
      </c>
      <c r="F137" s="6" t="inlineStr">
        <is>
          <t>RCT-03734</t>
        </is>
      </c>
      <c r="G137" s="6" t="inlineStr">
        <is>
          <t>Quadris Excel</t>
        </is>
      </c>
      <c r="H137" s="6" t="n">
        <v>3</v>
      </c>
      <c r="I137" s="6" t="n">
        <v>6</v>
      </c>
      <c r="J137" s="6" t="inlineStr">
        <is>
          <t>nincs</t>
        </is>
      </c>
      <c r="K137" s="6">
        <f>IF(AND(H137&gt;0,I137&gt;0),"Rendben",IF(AND(H137=0,I137=0),"Nincs kép és adat",IF(H137=0,"Nincs kép","Nincs adat")))</f>
        <v/>
      </c>
      <c r="L137" s="6" t="inlineStr">
        <is>
          <t>Igen</t>
        </is>
      </c>
      <c r="M137" s="7" t="inlineStr">
        <is>
          <t>Alcomet 2017 szabványprofil-katalógus (PDF)</t>
        </is>
      </c>
      <c r="N137" s="7" t="inlineStr">
        <is>
          <t>Megtalálva: Alcomet 500-3734 (kód: 500-3734)</t>
        </is>
      </c>
      <c r="O137" s="6" t="inlineStr"/>
      <c r="P137" s="11" t="inlineStr">
        <is>
          <t>https://website-9ib.pages.dev/termek/253734-150x25x2-5-r2-alu-zartszelveny/</t>
        </is>
      </c>
      <c r="Q137" s="12" t="inlineStr"/>
      <c r="R137" s="13" t="inlineStr"/>
      <c r="S137" s="6" t="inlineStr">
        <is>
          <t>253734-150x25x2-5-r2-alu-zartszelveny</t>
        </is>
      </c>
    </row>
    <row r="138">
      <c r="A138" s="6" t="inlineStr">
        <is>
          <t>252798</t>
        </is>
      </c>
      <c r="B138" s="7" t="inlineStr">
        <is>
          <t>150x30x3 mm alu zártszelvény</t>
        </is>
      </c>
      <c r="C138" s="6" t="inlineStr">
        <is>
          <t>Ipari félgyártmányok</t>
        </is>
      </c>
      <c r="D138" s="6" t="inlineStr">
        <is>
          <t>Zártszelvény</t>
        </is>
      </c>
      <c r="E138" s="6" t="inlineStr">
        <is>
          <t>ALCOMET</t>
        </is>
      </c>
      <c r="F138" s="6" t="inlineStr"/>
      <c r="G138" s="6" t="inlineStr">
        <is>
          <t>Quadris Excel</t>
        </is>
      </c>
      <c r="H138" s="6" t="n">
        <v>3</v>
      </c>
      <c r="I138" s="6" t="n">
        <v>4</v>
      </c>
      <c r="J138" s="6" t="inlineStr">
        <is>
          <t>nincs</t>
        </is>
      </c>
      <c r="K138" s="6">
        <f>IF(AND(H138&gt;0,I138&gt;0),"Rendben",IF(AND(H138=0,I138=0),"Nincs kép és adat",IF(H138=0,"Nincs kép","Nincs adat")))</f>
        <v/>
      </c>
      <c r="L138" s="6" t="inlineStr">
        <is>
          <t>Igen</t>
        </is>
      </c>
      <c r="M138" s="7" t="inlineStr">
        <is>
          <t>Alcomet 2017 szabványprofil-katalógus (PDF)</t>
        </is>
      </c>
      <c r="N138" s="7" t="inlineStr">
        <is>
          <t>Nem találtuk: Alcomet 2017 szabványprofil-katalógus (PDF); adatlap a Quadris-megnevezésből</t>
        </is>
      </c>
      <c r="O138" s="6" t="inlineStr"/>
      <c r="P138" s="11" t="inlineStr">
        <is>
          <t>https://website-9ib.pages.dev/termek/252798-150x30x3-mm-alu-zartszelveny/</t>
        </is>
      </c>
      <c r="Q138" s="12" t="inlineStr"/>
      <c r="R138" s="13" t="inlineStr"/>
      <c r="S138" s="6" t="inlineStr">
        <is>
          <t>252798-150x30x3-mm-alu-zartszelveny</t>
        </is>
      </c>
    </row>
    <row r="139">
      <c r="A139" s="6" t="inlineStr">
        <is>
          <t>256076</t>
        </is>
      </c>
      <c r="B139" s="7" t="inlineStr">
        <is>
          <t>160x90x5 mm Alu zártszelvány</t>
        </is>
      </c>
      <c r="C139" s="6" t="inlineStr">
        <is>
          <t>Ipari félgyártmányok</t>
        </is>
      </c>
      <c r="D139" s="6" t="inlineStr">
        <is>
          <t>Zártszelvény</t>
        </is>
      </c>
      <c r="E139" s="6" t="inlineStr">
        <is>
          <t>ALCOMET</t>
        </is>
      </c>
      <c r="F139" s="6" t="inlineStr">
        <is>
          <t>RCT-06076</t>
        </is>
      </c>
      <c r="G139" s="6" t="inlineStr">
        <is>
          <t>Quadris Excel</t>
        </is>
      </c>
      <c r="H139" s="6" t="n">
        <v>3</v>
      </c>
      <c r="I139" s="6" t="n">
        <v>6</v>
      </c>
      <c r="J139" s="6" t="inlineStr">
        <is>
          <t>nincs</t>
        </is>
      </c>
      <c r="K139" s="6">
        <f>IF(AND(H139&gt;0,I139&gt;0),"Rendben",IF(AND(H139=0,I139=0),"Nincs kép és adat",IF(H139=0,"Nincs kép","Nincs adat")))</f>
        <v/>
      </c>
      <c r="L139" s="6" t="inlineStr">
        <is>
          <t>Igen</t>
        </is>
      </c>
      <c r="M139" s="7" t="inlineStr">
        <is>
          <t>Alcomet 2017 szabványprofil-katalógus (PDF)</t>
        </is>
      </c>
      <c r="N139" s="7" t="inlineStr">
        <is>
          <t>Megtalálva: Alcomet 500-6076 (kód: 500-6076)</t>
        </is>
      </c>
      <c r="O139" s="6" t="inlineStr"/>
      <c r="P139" s="11" t="inlineStr">
        <is>
          <t>https://website-9ib.pages.dev/termek/256076-160x90x5-mm-alu-zartszelvany/</t>
        </is>
      </c>
      <c r="Q139" s="12" t="inlineStr"/>
      <c r="R139" s="13" t="inlineStr"/>
      <c r="S139" s="6" t="inlineStr">
        <is>
          <t>256076-160x90x5-mm-alu-zartszelvany</t>
        </is>
      </c>
    </row>
    <row r="140">
      <c r="A140" s="6" t="inlineStr">
        <is>
          <t>251530</t>
        </is>
      </c>
      <c r="B140" s="7" t="inlineStr">
        <is>
          <t>18 mm Alu rúd</t>
        </is>
      </c>
      <c r="C140" s="6" t="inlineStr">
        <is>
          <t>Ipari félgyártmányok</t>
        </is>
      </c>
      <c r="D140" s="6" t="inlineStr">
        <is>
          <t>Cső, rúd</t>
        </is>
      </c>
      <c r="E140" s="6" t="inlineStr">
        <is>
          <t>ALCOMET</t>
        </is>
      </c>
      <c r="F140" s="6" t="inlineStr">
        <is>
          <t>1500030</t>
        </is>
      </c>
      <c r="G140" s="6" t="inlineStr">
        <is>
          <t>Quadris Excel</t>
        </is>
      </c>
      <c r="H140" s="6" t="n">
        <v>3</v>
      </c>
      <c r="I140" s="6" t="n">
        <v>5</v>
      </c>
      <c r="J140" s="6" t="inlineStr">
        <is>
          <t>nincs</t>
        </is>
      </c>
      <c r="K140" s="6">
        <f>IF(AND(H140&gt;0,I140&gt;0),"Rendben",IF(AND(H140=0,I140=0),"Nincs kép és adat",IF(H140=0,"Nincs kép","Nincs adat")))</f>
        <v/>
      </c>
      <c r="L140" s="6" t="inlineStr">
        <is>
          <t>Igen</t>
        </is>
      </c>
      <c r="M140" s="7" t="inlineStr">
        <is>
          <t>Alcomet 2017 szabványprofil-katalógus (PDF)</t>
        </is>
      </c>
      <c r="N140" s="7" t="inlineStr">
        <is>
          <t>Megtalálva: Alcomet 500-3507 (kód: 500-3507)</t>
        </is>
      </c>
      <c r="O140" s="6" t="inlineStr"/>
      <c r="P140" s="11" t="inlineStr">
        <is>
          <t>https://website-9ib.pages.dev/termek/251530-18-mm-alu-rud/</t>
        </is>
      </c>
      <c r="Q140" s="12" t="inlineStr"/>
      <c r="R140" s="13" t="inlineStr"/>
      <c r="S140" s="6" t="inlineStr">
        <is>
          <t>251530-18-mm-alu-rud</t>
        </is>
      </c>
    </row>
    <row r="141">
      <c r="A141" s="6" t="inlineStr">
        <is>
          <t>251310</t>
        </is>
      </c>
      <c r="B141" s="7" t="inlineStr">
        <is>
          <t>18x2 Alu cső</t>
        </is>
      </c>
      <c r="C141" s="6" t="inlineStr">
        <is>
          <t>Ipari félgyártmányok</t>
        </is>
      </c>
      <c r="D141" s="6" t="inlineStr">
        <is>
          <t>Cső, rúd</t>
        </is>
      </c>
      <c r="E141" s="6" t="inlineStr">
        <is>
          <t>ALCOMET</t>
        </is>
      </c>
      <c r="F141" s="6" t="inlineStr">
        <is>
          <t>1303010</t>
        </is>
      </c>
      <c r="G141" s="6" t="inlineStr">
        <is>
          <t>Quadris Excel</t>
        </is>
      </c>
      <c r="H141" s="6" t="n">
        <v>3</v>
      </c>
      <c r="I141" s="6" t="n">
        <v>6</v>
      </c>
      <c r="J141" s="6" t="inlineStr">
        <is>
          <t>nincs</t>
        </is>
      </c>
      <c r="K141" s="6">
        <f>IF(AND(H141&gt;0,I141&gt;0),"Rendben",IF(AND(H141=0,I141=0),"Nincs kép és adat",IF(H141=0,"Nincs kép","Nincs adat")))</f>
        <v/>
      </c>
      <c r="L141" s="6" t="inlineStr">
        <is>
          <t>Igen</t>
        </is>
      </c>
      <c r="M141" s="7" t="inlineStr">
        <is>
          <t>Alcomet 2017 szabványprofil-katalógus (PDF)</t>
        </is>
      </c>
      <c r="N141" s="7" t="inlineStr">
        <is>
          <t>Megtalálva: Alcomet 500-2488 (kód: 500-2488)</t>
        </is>
      </c>
      <c r="O141" s="6" t="inlineStr"/>
      <c r="P141" s="11" t="inlineStr">
        <is>
          <t>https://website-9ib.pages.dev/termek/251310-18x2-alu-cso/</t>
        </is>
      </c>
      <c r="Q141" s="12" t="inlineStr"/>
      <c r="R141" s="13" t="inlineStr"/>
      <c r="S141" s="6" t="inlineStr">
        <is>
          <t>251310-18x2-alu-cso</t>
        </is>
      </c>
    </row>
    <row r="142">
      <c r="A142" s="6" t="inlineStr">
        <is>
          <t>250202</t>
        </is>
      </c>
      <c r="B142" s="7" t="inlineStr">
        <is>
          <t>20x2 Alu cső</t>
        </is>
      </c>
      <c r="C142" s="6" t="inlineStr">
        <is>
          <t>Ipari félgyártmányok</t>
        </is>
      </c>
      <c r="D142" s="6" t="inlineStr">
        <is>
          <t>Cső, rúd</t>
        </is>
      </c>
      <c r="E142" s="6" t="inlineStr">
        <is>
          <t>ALCOMET</t>
        </is>
      </c>
      <c r="F142" s="6" t="inlineStr">
        <is>
          <t>EXO202N</t>
        </is>
      </c>
      <c r="G142" s="6" t="inlineStr">
        <is>
          <t>Quadris Excel</t>
        </is>
      </c>
      <c r="H142" s="6" t="n">
        <v>3</v>
      </c>
      <c r="I142" s="6" t="n">
        <v>6</v>
      </c>
      <c r="J142" s="6" t="inlineStr">
        <is>
          <t>nincs</t>
        </is>
      </c>
      <c r="K142" s="6">
        <f>IF(AND(H142&gt;0,I142&gt;0),"Rendben",IF(AND(H142=0,I142=0),"Nincs kép és adat",IF(H142=0,"Nincs kép","Nincs adat")))</f>
        <v/>
      </c>
      <c r="L142" s="6" t="inlineStr">
        <is>
          <t>Igen</t>
        </is>
      </c>
      <c r="M142" s="7" t="inlineStr">
        <is>
          <t>Alcomet 2017 szabványprofil-katalógus (PDF)</t>
        </is>
      </c>
      <c r="N142" s="7" t="inlineStr">
        <is>
          <t>Megtalálva: Alcomet 500-2553 (kód: 500-2553)</t>
        </is>
      </c>
      <c r="O142" s="6" t="inlineStr"/>
      <c r="P142" s="11" t="inlineStr">
        <is>
          <t>https://website-9ib.pages.dev/termek/250202-20x2-alu-cso/</t>
        </is>
      </c>
      <c r="Q142" s="12" t="inlineStr"/>
      <c r="R142" s="13" t="inlineStr"/>
      <c r="S142" s="6" t="inlineStr">
        <is>
          <t>250202-20x2-alu-cso</t>
        </is>
      </c>
    </row>
    <row r="143">
      <c r="A143" s="6" t="inlineStr">
        <is>
          <t>258354</t>
        </is>
      </c>
      <c r="B143" s="7" t="inlineStr">
        <is>
          <t>25x25x2 alu zártszelvény</t>
        </is>
      </c>
      <c r="C143" s="6" t="inlineStr">
        <is>
          <t>Ipari félgyártmányok</t>
        </is>
      </c>
      <c r="D143" s="6" t="inlineStr">
        <is>
          <t>Zártszelvény</t>
        </is>
      </c>
      <c r="E143" s="6" t="inlineStr">
        <is>
          <t>ALCOMET</t>
        </is>
      </c>
      <c r="F143" s="6" t="inlineStr">
        <is>
          <t>A8354</t>
        </is>
      </c>
      <c r="G143" s="6" t="inlineStr">
        <is>
          <t>Quadris Excel</t>
        </is>
      </c>
      <c r="H143" s="6" t="n">
        <v>3</v>
      </c>
      <c r="I143" s="6" t="n">
        <v>6</v>
      </c>
      <c r="J143" s="6" t="inlineStr">
        <is>
          <t>nincs</t>
        </is>
      </c>
      <c r="K143" s="6">
        <f>IF(AND(H143&gt;0,I143&gt;0),"Rendben",IF(AND(H143=0,I143=0),"Nincs kép és adat",IF(H143=0,"Nincs kép","Nincs adat")))</f>
        <v/>
      </c>
      <c r="L143" s="6" t="inlineStr">
        <is>
          <t>Igen</t>
        </is>
      </c>
      <c r="M143" s="7" t="inlineStr">
        <is>
          <t>Alcomet 2017 szabványprofil-katalógus (PDF)</t>
        </is>
      </c>
      <c r="N143" s="7" t="inlineStr">
        <is>
          <t>Megtalálva: Alcomet 500-2284 (kód: 500-2284)</t>
        </is>
      </c>
      <c r="O143" s="6" t="inlineStr"/>
      <c r="P143" s="11" t="inlineStr">
        <is>
          <t>https://website-9ib.pages.dev/termek/258354-25x25x2-alu-zartszelveny/</t>
        </is>
      </c>
      <c r="Q143" s="12" t="inlineStr"/>
      <c r="R143" s="13" t="inlineStr"/>
      <c r="S143" s="6" t="inlineStr">
        <is>
          <t>258354-25x25x2-alu-zartszelveny</t>
        </is>
      </c>
    </row>
    <row r="144">
      <c r="A144" s="6" t="inlineStr">
        <is>
          <t>250301</t>
        </is>
      </c>
      <c r="B144" s="7" t="inlineStr">
        <is>
          <t>30x10 mm Alu lapos profil</t>
        </is>
      </c>
      <c r="C144" s="6" t="inlineStr">
        <is>
          <t>Ipari félgyártmányok</t>
        </is>
      </c>
      <c r="D144" s="6" t="inlineStr">
        <is>
          <t>Lapos profil</t>
        </is>
      </c>
      <c r="E144" s="6" t="inlineStr">
        <is>
          <t>ALCOMET</t>
        </is>
      </c>
      <c r="F144" s="6" t="inlineStr"/>
      <c r="G144" s="6" t="inlineStr">
        <is>
          <t>Quadris Excel</t>
        </is>
      </c>
      <c r="H144" s="6" t="n">
        <v>3</v>
      </c>
      <c r="I144" s="6" t="n">
        <v>6</v>
      </c>
      <c r="J144" s="6" t="inlineStr">
        <is>
          <t>nincs</t>
        </is>
      </c>
      <c r="K144" s="6">
        <f>IF(AND(H144&gt;0,I144&gt;0),"Rendben",IF(AND(H144=0,I144=0),"Nincs kép és adat",IF(H144=0,"Nincs kép","Nincs adat")))</f>
        <v/>
      </c>
      <c r="L144" s="6" t="inlineStr">
        <is>
          <t>Igen</t>
        </is>
      </c>
      <c r="M144" s="7" t="inlineStr">
        <is>
          <t>Alcomet 2017 szabványprofil-katalógus (PDF)</t>
        </is>
      </c>
      <c r="N144" s="7" t="inlineStr">
        <is>
          <t>Megtalálva: Alcomet 500-2256 (kód: 500-2256)</t>
        </is>
      </c>
      <c r="O144" s="6" t="inlineStr"/>
      <c r="P144" s="11" t="inlineStr">
        <is>
          <t>https://website-9ib.pages.dev/termek/250301-30x10-mm-alu-lapos-profil/</t>
        </is>
      </c>
      <c r="Q144" s="12" t="inlineStr"/>
      <c r="R144" s="13" t="inlineStr"/>
      <c r="S144" s="6" t="inlineStr">
        <is>
          <t>250301-30x10-mm-alu-lapos-profil</t>
        </is>
      </c>
    </row>
    <row r="145">
      <c r="A145" s="6" t="inlineStr">
        <is>
          <t>251883</t>
        </is>
      </c>
      <c r="B145" s="7" t="inlineStr">
        <is>
          <t>30x20x1,5 alu zártszelvény</t>
        </is>
      </c>
      <c r="C145" s="6" t="inlineStr">
        <is>
          <t>Ipari félgyártmányok</t>
        </is>
      </c>
      <c r="D145" s="6" t="inlineStr">
        <is>
          <t>Zártszelvény</t>
        </is>
      </c>
      <c r="E145" s="6" t="inlineStr">
        <is>
          <t>ALCOMET</t>
        </is>
      </c>
      <c r="F145" s="6" t="inlineStr">
        <is>
          <t>01883</t>
        </is>
      </c>
      <c r="G145" s="6" t="inlineStr">
        <is>
          <t>Quadris Excel</t>
        </is>
      </c>
      <c r="H145" s="6" t="n">
        <v>3</v>
      </c>
      <c r="I145" s="6" t="n">
        <v>6</v>
      </c>
      <c r="J145" s="6" t="inlineStr">
        <is>
          <t>nincs</t>
        </is>
      </c>
      <c r="K145" s="6">
        <f>IF(AND(H145&gt;0,I145&gt;0),"Rendben",IF(AND(H145=0,I145=0),"Nincs kép és adat",IF(H145=0,"Nincs kép","Nincs adat")))</f>
        <v/>
      </c>
      <c r="L145" s="6" t="inlineStr">
        <is>
          <t>Igen</t>
        </is>
      </c>
      <c r="M145" s="7" t="inlineStr">
        <is>
          <t>Alcomet 2017 szabványprofil-katalógus (PDF)</t>
        </is>
      </c>
      <c r="N145" s="7" t="inlineStr">
        <is>
          <t>Megtalálva: Alcomet 500-1883 (kód: 500-1883)</t>
        </is>
      </c>
      <c r="O145" s="6" t="inlineStr"/>
      <c r="P145" s="11" t="inlineStr">
        <is>
          <t>https://website-9ib.pages.dev/termek/251883-30x20x1-5-alu-zartszelveny/</t>
        </is>
      </c>
      <c r="Q145" s="12" t="inlineStr"/>
      <c r="R145" s="13" t="inlineStr"/>
      <c r="S145" s="6" t="inlineStr">
        <is>
          <t>251883-30x20x1-5-alu-zartszelveny</t>
        </is>
      </c>
    </row>
    <row r="146">
      <c r="A146" s="6" t="inlineStr">
        <is>
          <t>253020</t>
        </is>
      </c>
      <c r="B146" s="7" t="inlineStr">
        <is>
          <t>30x20x2 alu zártszelvény</t>
        </is>
      </c>
      <c r="C146" s="6" t="inlineStr">
        <is>
          <t>Ipari félgyártmányok</t>
        </is>
      </c>
      <c r="D146" s="6" t="inlineStr">
        <is>
          <t>Zártszelvény</t>
        </is>
      </c>
      <c r="E146" s="6" t="inlineStr">
        <is>
          <t>ALCOMET</t>
        </is>
      </c>
      <c r="F146" s="6" t="inlineStr"/>
      <c r="G146" s="6" t="inlineStr">
        <is>
          <t>Quadris Excel</t>
        </is>
      </c>
      <c r="H146" s="6" t="n">
        <v>3</v>
      </c>
      <c r="I146" s="6" t="n">
        <v>6</v>
      </c>
      <c r="J146" s="6" t="inlineStr">
        <is>
          <t>nincs</t>
        </is>
      </c>
      <c r="K146" s="6">
        <f>IF(AND(H146&gt;0,I146&gt;0),"Rendben",IF(AND(H146=0,I146=0),"Nincs kép és adat",IF(H146=0,"Nincs kép","Nincs adat")))</f>
        <v/>
      </c>
      <c r="L146" s="6" t="inlineStr">
        <is>
          <t>Igen</t>
        </is>
      </c>
      <c r="M146" s="7" t="inlineStr">
        <is>
          <t>Alcomet 2017 szabványprofil-katalógus (PDF)</t>
        </is>
      </c>
      <c r="N146" s="7" t="inlineStr">
        <is>
          <t>Megtalálva: Alcomet 500-2240 (kód: 500-2240)</t>
        </is>
      </c>
      <c r="O146" s="6" t="inlineStr"/>
      <c r="P146" s="11" t="inlineStr">
        <is>
          <t>https://website-9ib.pages.dev/termek/253020-30x20x2-alu-zartszelveny/</t>
        </is>
      </c>
      <c r="Q146" s="12" t="inlineStr"/>
      <c r="R146" s="13" t="inlineStr"/>
      <c r="S146" s="6" t="inlineStr">
        <is>
          <t>253020-30x20x2-alu-zartszelveny</t>
        </is>
      </c>
    </row>
    <row r="147">
      <c r="A147" s="6" t="inlineStr">
        <is>
          <t>253295</t>
        </is>
      </c>
      <c r="B147" s="7" t="inlineStr">
        <is>
          <t>30x30x2 alu zártszelvény</t>
        </is>
      </c>
      <c r="C147" s="6" t="inlineStr">
        <is>
          <t>Ipari félgyártmányok</t>
        </is>
      </c>
      <c r="D147" s="6" t="inlineStr">
        <is>
          <t>Zártszelvény</t>
        </is>
      </c>
      <c r="E147" s="6" t="inlineStr">
        <is>
          <t>ALCOMET</t>
        </is>
      </c>
      <c r="F147" s="6" t="inlineStr">
        <is>
          <t>KPA8358</t>
        </is>
      </c>
      <c r="G147" s="6" t="inlineStr">
        <is>
          <t>Quadris Excel</t>
        </is>
      </c>
      <c r="H147" s="6" t="n">
        <v>3</v>
      </c>
      <c r="I147" s="6" t="n">
        <v>6</v>
      </c>
      <c r="J147" s="6" t="inlineStr">
        <is>
          <t>nincs</t>
        </is>
      </c>
      <c r="K147" s="6">
        <f>IF(AND(H147&gt;0,I147&gt;0),"Rendben",IF(AND(H147=0,I147=0),"Nincs kép és adat",IF(H147=0,"Nincs kép","Nincs adat")))</f>
        <v/>
      </c>
      <c r="L147" s="6" t="inlineStr">
        <is>
          <t>Igen</t>
        </is>
      </c>
      <c r="M147" s="7" t="inlineStr">
        <is>
          <t>Alcomet 2017 szabványprofil-katalógus (PDF)</t>
        </is>
      </c>
      <c r="N147" s="7" t="inlineStr">
        <is>
          <t>Megtalálva: Alcomet 500-1329 (kód: 500-1329)</t>
        </is>
      </c>
      <c r="O147" s="6" t="inlineStr"/>
      <c r="P147" s="11" t="inlineStr">
        <is>
          <t>https://website-9ib.pages.dev/termek/253295-30x30x2-alu-zartszelveny/</t>
        </is>
      </c>
      <c r="Q147" s="12" t="inlineStr"/>
      <c r="R147" s="13" t="inlineStr"/>
      <c r="S147" s="6" t="inlineStr">
        <is>
          <t>253295-30x30x2-alu-zartszelveny</t>
        </is>
      </c>
    </row>
    <row r="148">
      <c r="A148" s="6" t="inlineStr">
        <is>
          <t>253030</t>
        </is>
      </c>
      <c r="B148" s="7" t="inlineStr">
        <is>
          <t>30x30x3 mm U profil</t>
        </is>
      </c>
      <c r="C148" s="6" t="inlineStr">
        <is>
          <t>Ipari félgyártmányok</t>
        </is>
      </c>
      <c r="D148" s="6" t="inlineStr">
        <is>
          <t>U profil</t>
        </is>
      </c>
      <c r="E148" s="6" t="inlineStr">
        <is>
          <t>ALCOMET</t>
        </is>
      </c>
      <c r="F148" s="6" t="inlineStr"/>
      <c r="G148" s="6" t="inlineStr">
        <is>
          <t>Quadris Excel</t>
        </is>
      </c>
      <c r="H148" s="6" t="n">
        <v>3</v>
      </c>
      <c r="I148" s="6" t="n">
        <v>7</v>
      </c>
      <c r="J148" s="6" t="inlineStr">
        <is>
          <t>nincs</t>
        </is>
      </c>
      <c r="K148" s="6">
        <f>IF(AND(H148&gt;0,I148&gt;0),"Rendben",IF(AND(H148=0,I148=0),"Nincs kép és adat",IF(H148=0,"Nincs kép","Nincs adat")))</f>
        <v/>
      </c>
      <c r="L148" s="6" t="inlineStr">
        <is>
          <t>Igen</t>
        </is>
      </c>
      <c r="M148" s="7" t="inlineStr">
        <is>
          <t>Alcomet 2017 szabványprofil-katalógus (PDF)</t>
        </is>
      </c>
      <c r="N148" s="7" t="inlineStr">
        <is>
          <t>Megtalálva: Alcomet 500-2327 (kód: 500-2327)</t>
        </is>
      </c>
      <c r="O148" s="6" t="inlineStr"/>
      <c r="P148" s="11" t="inlineStr">
        <is>
          <t>https://website-9ib.pages.dev/termek/253030-30x30x3-mm-u-profil/</t>
        </is>
      </c>
      <c r="Q148" s="12" t="inlineStr"/>
      <c r="R148" s="13" t="inlineStr"/>
      <c r="S148" s="6" t="inlineStr">
        <is>
          <t>253030-30x30x3-mm-u-profil</t>
        </is>
      </c>
    </row>
    <row r="149">
      <c r="A149" s="6" t="inlineStr">
        <is>
          <t>252417</t>
        </is>
      </c>
      <c r="B149" s="7" t="inlineStr">
        <is>
          <t>30x8 mm Alu lapos profil</t>
        </is>
      </c>
      <c r="C149" s="6" t="inlineStr">
        <is>
          <t>Ipari félgyártmányok</t>
        </is>
      </c>
      <c r="D149" s="6" t="inlineStr">
        <is>
          <t>Lapos profil</t>
        </is>
      </c>
      <c r="E149" s="6" t="inlineStr">
        <is>
          <t>ALCOMET</t>
        </is>
      </c>
      <c r="F149" s="6" t="inlineStr">
        <is>
          <t>FLB-02417</t>
        </is>
      </c>
      <c r="G149" s="6" t="inlineStr">
        <is>
          <t>Quadris Excel</t>
        </is>
      </c>
      <c r="H149" s="6" t="n">
        <v>3</v>
      </c>
      <c r="I149" s="6" t="n">
        <v>6</v>
      </c>
      <c r="J149" s="6" t="inlineStr">
        <is>
          <t>nincs</t>
        </is>
      </c>
      <c r="K149" s="6">
        <f>IF(AND(H149&gt;0,I149&gt;0),"Rendben",IF(AND(H149=0,I149=0),"Nincs kép és adat",IF(H149=0,"Nincs kép","Nincs adat")))</f>
        <v/>
      </c>
      <c r="L149" s="6" t="inlineStr">
        <is>
          <t>Igen</t>
        </is>
      </c>
      <c r="M149" s="7" t="inlineStr">
        <is>
          <t>Alcomet 2017 szabványprofil-katalógus (PDF)</t>
        </is>
      </c>
      <c r="N149" s="7" t="inlineStr">
        <is>
          <t>Megtalálva: Alcomet 500-2417 (kód: 500-2417)</t>
        </is>
      </c>
      <c r="O149" s="6" t="inlineStr"/>
      <c r="P149" s="11" t="inlineStr">
        <is>
          <t>https://website-9ib.pages.dev/termek/252417-30x8-mm-alu-lapos-profil/</t>
        </is>
      </c>
      <c r="Q149" s="12" t="inlineStr"/>
      <c r="R149" s="13" t="inlineStr"/>
      <c r="S149" s="6" t="inlineStr">
        <is>
          <t>252417-30x8-mm-alu-lapos-profil</t>
        </is>
      </c>
    </row>
    <row r="150">
      <c r="A150" s="6" t="inlineStr">
        <is>
          <t>253535</t>
        </is>
      </c>
      <c r="B150" s="7" t="inlineStr">
        <is>
          <t>35x35x3 mm alu zártszelvény</t>
        </is>
      </c>
      <c r="C150" s="6" t="inlineStr">
        <is>
          <t>Ipari félgyártmányok</t>
        </is>
      </c>
      <c r="D150" s="6" t="inlineStr">
        <is>
          <t>Zártszelvény</t>
        </is>
      </c>
      <c r="E150" s="6" t="inlineStr">
        <is>
          <t>ALCOMET</t>
        </is>
      </c>
      <c r="F150" s="6" t="inlineStr">
        <is>
          <t>SQT-02817</t>
        </is>
      </c>
      <c r="G150" s="6" t="inlineStr">
        <is>
          <t>Quadris Excel</t>
        </is>
      </c>
      <c r="H150" s="6" t="n">
        <v>3</v>
      </c>
      <c r="I150" s="6" t="n">
        <v>6</v>
      </c>
      <c r="J150" s="6" t="inlineStr">
        <is>
          <t>nincs</t>
        </is>
      </c>
      <c r="K150" s="6">
        <f>IF(AND(H150&gt;0,I150&gt;0),"Rendben",IF(AND(H150=0,I150=0),"Nincs kép és adat",IF(H150=0,"Nincs kép","Nincs adat")))</f>
        <v/>
      </c>
      <c r="L150" s="6" t="inlineStr">
        <is>
          <t>Igen</t>
        </is>
      </c>
      <c r="M150" s="7" t="inlineStr">
        <is>
          <t>Alcomet 2017 szabványprofil-katalógus (PDF)</t>
        </is>
      </c>
      <c r="N150" s="7" t="inlineStr">
        <is>
          <t>Megtalálva: Alcomet 500-2817 (kód: 500-2817)</t>
        </is>
      </c>
      <c r="O150" s="6" t="inlineStr"/>
      <c r="P150" s="11" t="inlineStr">
        <is>
          <t>https://website-9ib.pages.dev/termek/253535-35x35x3-mm-alu-zartszelveny/</t>
        </is>
      </c>
      <c r="Q150" s="12" t="inlineStr"/>
      <c r="R150" s="13" t="inlineStr"/>
      <c r="S150" s="6" t="inlineStr">
        <is>
          <t>253535-35x35x3-mm-alu-zartszelveny</t>
        </is>
      </c>
    </row>
    <row r="151">
      <c r="A151" s="6" t="inlineStr">
        <is>
          <t>250890</t>
        </is>
      </c>
      <c r="B151" s="7" t="inlineStr">
        <is>
          <t>40x20x2 mm Alu zártszelvény</t>
        </is>
      </c>
      <c r="C151" s="6" t="inlineStr">
        <is>
          <t>Ipari félgyártmányok</t>
        </is>
      </c>
      <c r="D151" s="6" t="inlineStr">
        <is>
          <t>Zártszelvény</t>
        </is>
      </c>
      <c r="E151" s="6" t="inlineStr">
        <is>
          <t>ALCOMET</t>
        </is>
      </c>
      <c r="F151" s="6" t="inlineStr">
        <is>
          <t>RCT-00890</t>
        </is>
      </c>
      <c r="G151" s="6" t="inlineStr">
        <is>
          <t>Quadris Excel</t>
        </is>
      </c>
      <c r="H151" s="6" t="n">
        <v>3</v>
      </c>
      <c r="I151" s="6" t="n">
        <v>6</v>
      </c>
      <c r="J151" s="6" t="inlineStr">
        <is>
          <t>nincs</t>
        </is>
      </c>
      <c r="K151" s="6">
        <f>IF(AND(H151&gt;0,I151&gt;0),"Rendben",IF(AND(H151=0,I151=0),"Nincs kép és adat",IF(H151=0,"Nincs kép","Nincs adat")))</f>
        <v/>
      </c>
      <c r="L151" s="6" t="inlineStr">
        <is>
          <t>Igen</t>
        </is>
      </c>
      <c r="M151" s="7" t="inlineStr">
        <is>
          <t>Alcomet 2017 szabványprofil-katalógus (PDF)</t>
        </is>
      </c>
      <c r="N151" s="7" t="inlineStr">
        <is>
          <t>Megtalálva: Alcomet 500-0890 (kód: 500-0890)</t>
        </is>
      </c>
      <c r="O151" s="6" t="inlineStr"/>
      <c r="P151" s="11" t="inlineStr">
        <is>
          <t>https://website-9ib.pages.dev/termek/250890-40x20x2-mm-alu-zartszelveny/</t>
        </is>
      </c>
      <c r="Q151" s="12" t="inlineStr"/>
      <c r="R151" s="13" t="inlineStr"/>
      <c r="S151" s="6" t="inlineStr">
        <is>
          <t>250890-40x20x2-mm-alu-zartszelveny</t>
        </is>
      </c>
    </row>
    <row r="152">
      <c r="A152" s="6" t="inlineStr">
        <is>
          <t>252242</t>
        </is>
      </c>
      <c r="B152" s="7" t="inlineStr">
        <is>
          <t>40x30x2 alu zártszelvény</t>
        </is>
      </c>
      <c r="C152" s="6" t="inlineStr">
        <is>
          <t>Ipari félgyártmányok</t>
        </is>
      </c>
      <c r="D152" s="6" t="inlineStr">
        <is>
          <t>Zártszelvény</t>
        </is>
      </c>
      <c r="E152" s="6" t="inlineStr">
        <is>
          <t>ALCOMET</t>
        </is>
      </c>
      <c r="F152" s="6" t="inlineStr">
        <is>
          <t>RCT-02242</t>
        </is>
      </c>
      <c r="G152" s="6" t="inlineStr">
        <is>
          <t>Quadris Excel</t>
        </is>
      </c>
      <c r="H152" s="6" t="n">
        <v>3</v>
      </c>
      <c r="I152" s="6" t="n">
        <v>6</v>
      </c>
      <c r="J152" s="6" t="inlineStr">
        <is>
          <t>nincs</t>
        </is>
      </c>
      <c r="K152" s="6">
        <f>IF(AND(H152&gt;0,I152&gt;0),"Rendben",IF(AND(H152=0,I152=0),"Nincs kép és adat",IF(H152=0,"Nincs kép","Nincs adat")))</f>
        <v/>
      </c>
      <c r="L152" s="6" t="inlineStr">
        <is>
          <t>Igen</t>
        </is>
      </c>
      <c r="M152" s="7" t="inlineStr">
        <is>
          <t>Alcomet 2017 szabványprofil-katalógus (PDF)</t>
        </is>
      </c>
      <c r="N152" s="7" t="inlineStr">
        <is>
          <t>Megtalálva: Alcomet 500-2242 (kód: 500-2242)</t>
        </is>
      </c>
      <c r="O152" s="6" t="inlineStr"/>
      <c r="P152" s="11" t="inlineStr">
        <is>
          <t>https://website-9ib.pages.dev/termek/252242-40x30x2-alu-zartszelveny/</t>
        </is>
      </c>
      <c r="Q152" s="12" t="inlineStr"/>
      <c r="R152" s="13" t="inlineStr"/>
      <c r="S152" s="6" t="inlineStr">
        <is>
          <t>252242-40x30x2-alu-zartszelveny</t>
        </is>
      </c>
    </row>
    <row r="153">
      <c r="A153" s="6" t="inlineStr">
        <is>
          <t>255340</t>
        </is>
      </c>
      <c r="B153" s="7" t="inlineStr">
        <is>
          <t>40x40x3 R2 mm Alu zártszelvény</t>
        </is>
      </c>
      <c r="C153" s="6" t="inlineStr">
        <is>
          <t>Ipari félgyártmányok</t>
        </is>
      </c>
      <c r="D153" s="6" t="inlineStr">
        <is>
          <t>Zártszelvény</t>
        </is>
      </c>
      <c r="E153" s="6" t="inlineStr">
        <is>
          <t>ALCOMET</t>
        </is>
      </c>
      <c r="F153" s="6" t="inlineStr">
        <is>
          <t>SQT-05340</t>
        </is>
      </c>
      <c r="G153" s="6" t="inlineStr">
        <is>
          <t>Quadris Excel</t>
        </is>
      </c>
      <c r="H153" s="6" t="n">
        <v>3</v>
      </c>
      <c r="I153" s="6" t="n">
        <v>6</v>
      </c>
      <c r="J153" s="6" t="inlineStr">
        <is>
          <t>nincs</t>
        </is>
      </c>
      <c r="K153" s="6">
        <f>IF(AND(H153&gt;0,I153&gt;0),"Rendben",IF(AND(H153=0,I153=0),"Nincs kép és adat",IF(H153=0,"Nincs kép","Nincs adat")))</f>
        <v/>
      </c>
      <c r="L153" s="6" t="inlineStr">
        <is>
          <t>Igen</t>
        </is>
      </c>
      <c r="M153" s="7" t="inlineStr">
        <is>
          <t>Alcomet 2017 szabványprofil-katalógus (PDF)</t>
        </is>
      </c>
      <c r="N153" s="7" t="inlineStr">
        <is>
          <t>Megtalálva: Alcomet 500-5340 (kód: 500-5340)</t>
        </is>
      </c>
      <c r="O153" s="6" t="inlineStr"/>
      <c r="P153" s="11" t="inlineStr">
        <is>
          <t>https://website-9ib.pages.dev/termek/255340-40x40x3-r2-mm-alu-zartszelveny/</t>
        </is>
      </c>
      <c r="Q153" s="12" t="inlineStr"/>
      <c r="R153" s="13" t="inlineStr"/>
      <c r="S153" s="6" t="inlineStr">
        <is>
          <t>255340-40x40x3-r2-mm-alu-zartszelveny</t>
        </is>
      </c>
    </row>
    <row r="154">
      <c r="A154" s="6" t="inlineStr">
        <is>
          <t>252296</t>
        </is>
      </c>
      <c r="B154" s="7" t="inlineStr">
        <is>
          <t>40x8 mm Alu lapos profil</t>
        </is>
      </c>
      <c r="C154" s="6" t="inlineStr">
        <is>
          <t>Ipari félgyártmányok</t>
        </is>
      </c>
      <c r="D154" s="6" t="inlineStr">
        <is>
          <t>Lapos profil</t>
        </is>
      </c>
      <c r="E154" s="6" t="inlineStr">
        <is>
          <t>ALCOMET</t>
        </is>
      </c>
      <c r="F154" s="6" t="inlineStr">
        <is>
          <t>FLB-02296</t>
        </is>
      </c>
      <c r="G154" s="6" t="inlineStr">
        <is>
          <t>Quadris Excel</t>
        </is>
      </c>
      <c r="H154" s="6" t="n">
        <v>3</v>
      </c>
      <c r="I154" s="6" t="n">
        <v>6</v>
      </c>
      <c r="J154" s="6" t="inlineStr">
        <is>
          <t>nincs</t>
        </is>
      </c>
      <c r="K154" s="6">
        <f>IF(AND(H154&gt;0,I154&gt;0),"Rendben",IF(AND(H154=0,I154=0),"Nincs kép és adat",IF(H154=0,"Nincs kép","Nincs adat")))</f>
        <v/>
      </c>
      <c r="L154" s="6" t="inlineStr">
        <is>
          <t>Igen</t>
        </is>
      </c>
      <c r="M154" s="7" t="inlineStr">
        <is>
          <t>Alcomet 2017 szabványprofil-katalógus (PDF)</t>
        </is>
      </c>
      <c r="N154" s="7" t="inlineStr">
        <is>
          <t>Megtalálva: Alcomet 500-2296 (kód: 500-2296)</t>
        </is>
      </c>
      <c r="O154" s="6" t="inlineStr"/>
      <c r="P154" s="11" t="inlineStr">
        <is>
          <t>https://website-9ib.pages.dev/termek/252296-40x8-mm-alu-lapos-profil/</t>
        </is>
      </c>
      <c r="Q154" s="12" t="inlineStr"/>
      <c r="R154" s="13" t="inlineStr"/>
      <c r="S154" s="6" t="inlineStr">
        <is>
          <t>252296-40x8-mm-alu-lapos-profil</t>
        </is>
      </c>
    </row>
    <row r="155">
      <c r="A155" s="6" t="inlineStr">
        <is>
          <t>253812</t>
        </is>
      </c>
      <c r="B155" s="7" t="inlineStr">
        <is>
          <t>50x30x2 R5 alu zártszelvény 6000 mm</t>
        </is>
      </c>
      <c r="C155" s="6" t="inlineStr">
        <is>
          <t>Ipari félgyártmányok</t>
        </is>
      </c>
      <c r="D155" s="6" t="inlineStr">
        <is>
          <t>Zártszelvény</t>
        </is>
      </c>
      <c r="E155" s="6" t="inlineStr">
        <is>
          <t>ALCOMET</t>
        </is>
      </c>
      <c r="F155" s="6" t="inlineStr">
        <is>
          <t>RCT-03812</t>
        </is>
      </c>
      <c r="G155" s="6" t="inlineStr">
        <is>
          <t>Quadris Excel</t>
        </is>
      </c>
      <c r="H155" s="6" t="n">
        <v>3</v>
      </c>
      <c r="I155" s="6" t="n">
        <v>6</v>
      </c>
      <c r="J155" s="6" t="inlineStr">
        <is>
          <t>nincs</t>
        </is>
      </c>
      <c r="K155" s="6">
        <f>IF(AND(H155&gt;0,I155&gt;0),"Rendben",IF(AND(H155=0,I155=0),"Nincs kép és adat",IF(H155=0,"Nincs kép","Nincs adat")))</f>
        <v/>
      </c>
      <c r="L155" s="6" t="inlineStr">
        <is>
          <t>Igen</t>
        </is>
      </c>
      <c r="M155" s="7" t="inlineStr">
        <is>
          <t>Alcomet 2017 szabványprofil-katalógus (PDF)</t>
        </is>
      </c>
      <c r="N155" s="7" t="inlineStr">
        <is>
          <t>Megtalálva: Alcomet 500-3812 (kód: 500-3812)</t>
        </is>
      </c>
      <c r="O155" s="6" t="inlineStr"/>
      <c r="P155" s="11" t="inlineStr">
        <is>
          <t>https://website-9ib.pages.dev/termek/253812-50x30x2-r5-alu-zartszelveny-6000-mm/</t>
        </is>
      </c>
      <c r="Q155" s="12" t="inlineStr"/>
      <c r="R155" s="13" t="inlineStr"/>
      <c r="S155" s="6" t="inlineStr">
        <is>
          <t>253812-50x30x2-r5-alu-zartszelveny-6000-mm</t>
        </is>
      </c>
    </row>
    <row r="156">
      <c r="A156" s="6" t="inlineStr">
        <is>
          <t>251742</t>
        </is>
      </c>
      <c r="B156" s="7" t="inlineStr">
        <is>
          <t>50x5 mm Alu lapos profil</t>
        </is>
      </c>
      <c r="C156" s="6" t="inlineStr">
        <is>
          <t>Ipari félgyártmányok</t>
        </is>
      </c>
      <c r="D156" s="6" t="inlineStr">
        <is>
          <t>Lapos profil</t>
        </is>
      </c>
      <c r="E156" s="6" t="inlineStr">
        <is>
          <t>ALCOMET</t>
        </is>
      </c>
      <c r="F156" s="6" t="inlineStr">
        <is>
          <t>FLB-01742</t>
        </is>
      </c>
      <c r="G156" s="6" t="inlineStr">
        <is>
          <t>Quadris Excel</t>
        </is>
      </c>
      <c r="H156" s="6" t="n">
        <v>3</v>
      </c>
      <c r="I156" s="6" t="n">
        <v>6</v>
      </c>
      <c r="J156" s="6" t="inlineStr">
        <is>
          <t>nincs</t>
        </is>
      </c>
      <c r="K156" s="6">
        <f>IF(AND(H156&gt;0,I156&gt;0),"Rendben",IF(AND(H156=0,I156=0),"Nincs kép és adat",IF(H156=0,"Nincs kép","Nincs adat")))</f>
        <v/>
      </c>
      <c r="L156" s="6" t="inlineStr">
        <is>
          <t>Igen</t>
        </is>
      </c>
      <c r="M156" s="7" t="inlineStr">
        <is>
          <t>Alcomet 2017 szabványprofil-katalógus (PDF)</t>
        </is>
      </c>
      <c r="N156" s="7" t="inlineStr">
        <is>
          <t>Megtalálva: Alcomet 500-1742 (kód: 500-1742)</t>
        </is>
      </c>
      <c r="O156" s="6" t="inlineStr"/>
      <c r="P156" s="11" t="inlineStr">
        <is>
          <t>https://website-9ib.pages.dev/termek/251742-50x5-mm-alu-lapos-profil/</t>
        </is>
      </c>
      <c r="Q156" s="12" t="inlineStr"/>
      <c r="R156" s="13" t="inlineStr"/>
      <c r="S156" s="6" t="inlineStr">
        <is>
          <t>251742-50x5-mm-alu-lapos-profil</t>
        </is>
      </c>
    </row>
    <row r="157">
      <c r="A157" s="6" t="inlineStr">
        <is>
          <t>258352</t>
        </is>
      </c>
      <c r="B157" s="7" t="inlineStr">
        <is>
          <t>50x50x3 alu zártszelvény</t>
        </is>
      </c>
      <c r="C157" s="6" t="inlineStr">
        <is>
          <t>Ipari félgyártmányok</t>
        </is>
      </c>
      <c r="D157" s="6" t="inlineStr">
        <is>
          <t>Zártszelvény</t>
        </is>
      </c>
      <c r="E157" s="6" t="inlineStr">
        <is>
          <t>ALCOMET</t>
        </is>
      </c>
      <c r="F157" s="6" t="inlineStr">
        <is>
          <t>A8352</t>
        </is>
      </c>
      <c r="G157" s="6" t="inlineStr">
        <is>
          <t>Quadris Excel</t>
        </is>
      </c>
      <c r="H157" s="6" t="n">
        <v>3</v>
      </c>
      <c r="I157" s="6" t="n">
        <v>6</v>
      </c>
      <c r="J157" s="6" t="inlineStr">
        <is>
          <t>nincs</t>
        </is>
      </c>
      <c r="K157" s="6">
        <f>IF(AND(H157&gt;0,I157&gt;0),"Rendben",IF(AND(H157=0,I157=0),"Nincs kép és adat",IF(H157=0,"Nincs kép","Nincs adat")))</f>
        <v/>
      </c>
      <c r="L157" s="6" t="inlineStr">
        <is>
          <t>Igen</t>
        </is>
      </c>
      <c r="M157" s="7" t="inlineStr">
        <is>
          <t>Alcomet 2017 szabványprofil-katalógus (PDF)</t>
        </is>
      </c>
      <c r="N157" s="7" t="inlineStr">
        <is>
          <t>Megtalálva: Alcomet 500-2229 (kód: 500-2229)</t>
        </is>
      </c>
      <c r="O157" s="6" t="inlineStr"/>
      <c r="P157" s="11" t="inlineStr">
        <is>
          <t>https://website-9ib.pages.dev/termek/258352-50x50x3-alu-zartszelveny/</t>
        </is>
      </c>
      <c r="Q157" s="12" t="inlineStr"/>
      <c r="R157" s="13" t="inlineStr"/>
      <c r="S157" s="6" t="inlineStr">
        <is>
          <t>258352-50x50x3-alu-zartszelveny</t>
        </is>
      </c>
    </row>
    <row r="158">
      <c r="A158" s="6" t="inlineStr">
        <is>
          <t>250297</t>
        </is>
      </c>
      <c r="B158" s="7" t="inlineStr">
        <is>
          <t>50x50x5 Alu "L" profil</t>
        </is>
      </c>
      <c r="C158" s="6" t="inlineStr">
        <is>
          <t>Ipari félgyártmányok</t>
        </is>
      </c>
      <c r="D158" s="6" t="inlineStr">
        <is>
          <t>L profil</t>
        </is>
      </c>
      <c r="E158" s="6" t="inlineStr">
        <is>
          <t>ALCOMET</t>
        </is>
      </c>
      <c r="F158" s="6" t="inlineStr">
        <is>
          <t>LPR-00297</t>
        </is>
      </c>
      <c r="G158" s="6" t="inlineStr">
        <is>
          <t>Quadris Excel</t>
        </is>
      </c>
      <c r="H158" s="6" t="n">
        <v>3</v>
      </c>
      <c r="I158" s="6" t="n">
        <v>6</v>
      </c>
      <c r="J158" s="6" t="inlineStr">
        <is>
          <t>nincs</t>
        </is>
      </c>
      <c r="K158" s="6">
        <f>IF(AND(H158&gt;0,I158&gt;0),"Rendben",IF(AND(H158=0,I158=0),"Nincs kép és adat",IF(H158=0,"Nincs kép","Nincs adat")))</f>
        <v/>
      </c>
      <c r="L158" s="6" t="inlineStr">
        <is>
          <t>Igen</t>
        </is>
      </c>
      <c r="M158" s="7" t="inlineStr">
        <is>
          <t>Alcomet 2017 szabványprofil-katalógus (PDF)</t>
        </is>
      </c>
      <c r="N158" s="7" t="inlineStr">
        <is>
          <t>Megtalálva: Alcomet 500-0297 (kód: 500-0297)</t>
        </is>
      </c>
      <c r="O158" s="6" t="inlineStr"/>
      <c r="P158" s="11" t="inlineStr">
        <is>
          <t>https://website-9ib.pages.dev/termek/250297-50x50x5-alu-l-profil/</t>
        </is>
      </c>
      <c r="Q158" s="12" t="inlineStr"/>
      <c r="R158" s="13" t="inlineStr"/>
      <c r="S158" s="6" t="inlineStr">
        <is>
          <t>250297-50x50x5-alu-l-profil</t>
        </is>
      </c>
    </row>
    <row r="159">
      <c r="A159" s="6" t="inlineStr">
        <is>
          <t>255610</t>
        </is>
      </c>
      <c r="B159" s="7" t="inlineStr">
        <is>
          <t>60x30x2,5 R2,5 mm alu zártszelvény</t>
        </is>
      </c>
      <c r="C159" s="6" t="inlineStr">
        <is>
          <t>Ipari félgyártmányok</t>
        </is>
      </c>
      <c r="D159" s="6" t="inlineStr">
        <is>
          <t>Zártszelvény</t>
        </is>
      </c>
      <c r="E159" s="6" t="inlineStr">
        <is>
          <t>ALCOMET</t>
        </is>
      </c>
      <c r="F159" s="6" t="inlineStr">
        <is>
          <t>RCT-05610</t>
        </is>
      </c>
      <c r="G159" s="6" t="inlineStr">
        <is>
          <t>Quadris Excel</t>
        </is>
      </c>
      <c r="H159" s="6" t="n">
        <v>3</v>
      </c>
      <c r="I159" s="6" t="n">
        <v>6</v>
      </c>
      <c r="J159" s="6" t="inlineStr">
        <is>
          <t>nincs</t>
        </is>
      </c>
      <c r="K159" s="6">
        <f>IF(AND(H159&gt;0,I159&gt;0),"Rendben",IF(AND(H159=0,I159=0),"Nincs kép és adat",IF(H159=0,"Nincs kép","Nincs adat")))</f>
        <v/>
      </c>
      <c r="L159" s="6" t="inlineStr">
        <is>
          <t>Igen</t>
        </is>
      </c>
      <c r="M159" s="7" t="inlineStr">
        <is>
          <t>Alcomet 2017 szabványprofil-katalógus (PDF)</t>
        </is>
      </c>
      <c r="N159" s="7" t="inlineStr">
        <is>
          <t>Megtalálva: Alcomet 500-5610 (kód: 500-5610)</t>
        </is>
      </c>
      <c r="O159" s="6" t="inlineStr"/>
      <c r="P159" s="11" t="inlineStr">
        <is>
          <t>https://website-9ib.pages.dev/termek/255610-60x30x2-5-r2-5-mm-alu-zartszelveny/</t>
        </is>
      </c>
      <c r="Q159" s="12" t="inlineStr"/>
      <c r="R159" s="13" t="inlineStr"/>
      <c r="S159" s="6" t="inlineStr">
        <is>
          <t>255610-60x30x2-5-r2-5-mm-alu-zartszelveny</t>
        </is>
      </c>
    </row>
    <row r="160">
      <c r="A160" s="6" t="inlineStr">
        <is>
          <t>255070</t>
        </is>
      </c>
      <c r="B160" s="7" t="inlineStr">
        <is>
          <t>60x30x3 mm Alu zártszelvény</t>
        </is>
      </c>
      <c r="C160" s="6" t="inlineStr">
        <is>
          <t>Ipari félgyártmányok</t>
        </is>
      </c>
      <c r="D160" s="6" t="inlineStr">
        <is>
          <t>Zártszelvény</t>
        </is>
      </c>
      <c r="E160" s="6" t="inlineStr">
        <is>
          <t>ALCOMET</t>
        </is>
      </c>
      <c r="F160" s="6" t="inlineStr">
        <is>
          <t>RCT-05070</t>
        </is>
      </c>
      <c r="G160" s="6" t="inlineStr">
        <is>
          <t>Quadris Excel</t>
        </is>
      </c>
      <c r="H160" s="6" t="n">
        <v>3</v>
      </c>
      <c r="I160" s="6" t="n">
        <v>6</v>
      </c>
      <c r="J160" s="6" t="inlineStr">
        <is>
          <t>nincs</t>
        </is>
      </c>
      <c r="K160" s="6">
        <f>IF(AND(H160&gt;0,I160&gt;0),"Rendben",IF(AND(H160=0,I160=0),"Nincs kép és adat",IF(H160=0,"Nincs kép","Nincs adat")))</f>
        <v/>
      </c>
      <c r="L160" s="6" t="inlineStr">
        <is>
          <t>Igen</t>
        </is>
      </c>
      <c r="M160" s="7" t="inlineStr">
        <is>
          <t>Alcomet 2017 szabványprofil-katalógus (PDF)</t>
        </is>
      </c>
      <c r="N160" s="7" t="inlineStr">
        <is>
          <t>Megtalálva: Alcomet 500-5070 (kód: 500-5070)</t>
        </is>
      </c>
      <c r="O160" s="6" t="inlineStr"/>
      <c r="P160" s="11" t="inlineStr">
        <is>
          <t>https://website-9ib.pages.dev/termek/255070-60x30x3-mm-alu-zartszelveny/</t>
        </is>
      </c>
      <c r="Q160" s="12" t="inlineStr"/>
      <c r="R160" s="13" t="inlineStr"/>
      <c r="S160" s="6" t="inlineStr">
        <is>
          <t>255070-60x30x3-mm-alu-zartszelveny</t>
        </is>
      </c>
    </row>
    <row r="161">
      <c r="A161" s="6" t="inlineStr">
        <is>
          <t>252444</t>
        </is>
      </c>
      <c r="B161" s="7" t="inlineStr">
        <is>
          <t>60x40x2,5 mm alu zártszelvény</t>
        </is>
      </c>
      <c r="C161" s="6" t="inlineStr">
        <is>
          <t>Ipari félgyártmányok</t>
        </is>
      </c>
      <c r="D161" s="6" t="inlineStr">
        <is>
          <t>Zártszelvény</t>
        </is>
      </c>
      <c r="E161" s="6" t="inlineStr">
        <is>
          <t>ALCOMET</t>
        </is>
      </c>
      <c r="F161" s="6" t="inlineStr">
        <is>
          <t>RCT-02444</t>
        </is>
      </c>
      <c r="G161" s="6" t="inlineStr">
        <is>
          <t>Quadris Excel</t>
        </is>
      </c>
      <c r="H161" s="6" t="n">
        <v>3</v>
      </c>
      <c r="I161" s="6" t="n">
        <v>6</v>
      </c>
      <c r="J161" s="6" t="inlineStr">
        <is>
          <t>nincs</t>
        </is>
      </c>
      <c r="K161" s="6">
        <f>IF(AND(H161&gt;0,I161&gt;0),"Rendben",IF(AND(H161=0,I161=0),"Nincs kép és adat",IF(H161=0,"Nincs kép","Nincs adat")))</f>
        <v/>
      </c>
      <c r="L161" s="6" t="inlineStr">
        <is>
          <t>Igen</t>
        </is>
      </c>
      <c r="M161" s="7" t="inlineStr">
        <is>
          <t>Alcomet 2017 szabványprofil-katalógus (PDF)</t>
        </is>
      </c>
      <c r="N161" s="7" t="inlineStr">
        <is>
          <t>Megtalálva: Alcomet 500-2444 (kód: 500-2444)</t>
        </is>
      </c>
      <c r="O161" s="6" t="inlineStr"/>
      <c r="P161" s="11" t="inlineStr">
        <is>
          <t>https://website-9ib.pages.dev/termek/252444-60x40x2-5-mm-alu-zartszelveny/</t>
        </is>
      </c>
      <c r="Q161" s="12" t="inlineStr"/>
      <c r="R161" s="13" t="inlineStr"/>
      <c r="S161" s="6" t="inlineStr">
        <is>
          <t>252444-60x40x2-5-mm-alu-zartszelveny</t>
        </is>
      </c>
    </row>
    <row r="162">
      <c r="A162" s="6" t="inlineStr">
        <is>
          <t>252687</t>
        </is>
      </c>
      <c r="B162" s="7" t="inlineStr">
        <is>
          <t>60x40x4 alu zártszelvény</t>
        </is>
      </c>
      <c r="C162" s="6" t="inlineStr">
        <is>
          <t>Ipari félgyártmányok</t>
        </is>
      </c>
      <c r="D162" s="6" t="inlineStr">
        <is>
          <t>Zártszelvény</t>
        </is>
      </c>
      <c r="E162" s="6" t="inlineStr">
        <is>
          <t>ALCOMET</t>
        </is>
      </c>
      <c r="F162" s="6" t="inlineStr">
        <is>
          <t>1302687</t>
        </is>
      </c>
      <c r="G162" s="6" t="inlineStr">
        <is>
          <t>Quadris Excel</t>
        </is>
      </c>
      <c r="H162" s="6" t="n">
        <v>3</v>
      </c>
      <c r="I162" s="6" t="n">
        <v>6</v>
      </c>
      <c r="J162" s="6" t="inlineStr">
        <is>
          <t>nincs</t>
        </is>
      </c>
      <c r="K162" s="6">
        <f>IF(AND(H162&gt;0,I162&gt;0),"Rendben",IF(AND(H162=0,I162=0),"Nincs kép és adat",IF(H162=0,"Nincs kép","Nincs adat")))</f>
        <v/>
      </c>
      <c r="L162" s="6" t="inlineStr">
        <is>
          <t>Igen</t>
        </is>
      </c>
      <c r="M162" s="7" t="inlineStr">
        <is>
          <t>Alcomet 2017 szabványprofil-katalógus (PDF)</t>
        </is>
      </c>
      <c r="N162" s="7" t="inlineStr">
        <is>
          <t>Megtalálva: Alcomet 500-2334 (kód: 500-2334)</t>
        </is>
      </c>
      <c r="O162" s="6" t="inlineStr"/>
      <c r="P162" s="11" t="inlineStr">
        <is>
          <t>https://website-9ib.pages.dev/termek/252687-60x40x4-alu-zartszelveny/</t>
        </is>
      </c>
      <c r="Q162" s="12" t="inlineStr"/>
      <c r="R162" s="13" t="inlineStr"/>
      <c r="S162" s="6" t="inlineStr">
        <is>
          <t>252687-60x40x4-alu-zartszelveny</t>
        </is>
      </c>
    </row>
    <row r="163">
      <c r="A163" s="6" t="inlineStr">
        <is>
          <t>256468</t>
        </is>
      </c>
      <c r="B163" s="7" t="inlineStr">
        <is>
          <t>60x40x4 mm R4/2 alu zártszelvény</t>
        </is>
      </c>
      <c r="C163" s="6" t="inlineStr">
        <is>
          <t>Ipari félgyártmányok</t>
        </is>
      </c>
      <c r="D163" s="6" t="inlineStr">
        <is>
          <t>Zártszelvény</t>
        </is>
      </c>
      <c r="E163" s="6" t="inlineStr">
        <is>
          <t>ALCOMET</t>
        </is>
      </c>
      <c r="F163" s="6" t="inlineStr">
        <is>
          <t>RCT-06468</t>
        </is>
      </c>
      <c r="G163" s="6" t="inlineStr">
        <is>
          <t>Quadris Excel</t>
        </is>
      </c>
      <c r="H163" s="6" t="n">
        <v>3</v>
      </c>
      <c r="I163" s="6" t="n">
        <v>6</v>
      </c>
      <c r="J163" s="6" t="inlineStr">
        <is>
          <t>nincs</t>
        </is>
      </c>
      <c r="K163" s="6">
        <f>IF(AND(H163&gt;0,I163&gt;0),"Rendben",IF(AND(H163=0,I163=0),"Nincs kép és adat",IF(H163=0,"Nincs kép","Nincs adat")))</f>
        <v/>
      </c>
      <c r="L163" s="6" t="inlineStr">
        <is>
          <t>Igen</t>
        </is>
      </c>
      <c r="M163" s="7" t="inlineStr">
        <is>
          <t>Alcomet 2017 szabványprofil-katalógus (PDF)</t>
        </is>
      </c>
      <c r="N163" s="7" t="inlineStr">
        <is>
          <t>Megtalálva: Alcomet 500-6468 (kód: 500-6468)</t>
        </is>
      </c>
      <c r="O163" s="6" t="inlineStr"/>
      <c r="P163" s="11" t="inlineStr">
        <is>
          <t>https://website-9ib.pages.dev/termek/256468-60x40x4-mm-r4-2-alu-zartszelveny/</t>
        </is>
      </c>
      <c r="Q163" s="12" t="inlineStr"/>
      <c r="R163" s="13" t="inlineStr"/>
      <c r="S163" s="6" t="inlineStr">
        <is>
          <t>256468-60x40x4-mm-r4-2-alu-zartszelveny</t>
        </is>
      </c>
    </row>
    <row r="164">
      <c r="A164" s="6" t="inlineStr">
        <is>
          <t>254979</t>
        </is>
      </c>
      <c r="B164" s="7" t="inlineStr">
        <is>
          <t>60x50x50x5 mm "U" profil</t>
        </is>
      </c>
      <c r="C164" s="6" t="inlineStr">
        <is>
          <t>Ipari félgyártmányok</t>
        </is>
      </c>
      <c r="D164" s="6" t="inlineStr">
        <is>
          <t>U profil</t>
        </is>
      </c>
      <c r="E164" s="6" t="inlineStr">
        <is>
          <t>ALCOMET</t>
        </is>
      </c>
      <c r="F164" s="6" t="inlineStr">
        <is>
          <t>UPR-04979</t>
        </is>
      </c>
      <c r="G164" s="6" t="inlineStr">
        <is>
          <t>Quadris Excel</t>
        </is>
      </c>
      <c r="H164" s="6" t="n">
        <v>3</v>
      </c>
      <c r="I164" s="6" t="n">
        <v>7</v>
      </c>
      <c r="J164" s="6" t="inlineStr">
        <is>
          <t>nincs</t>
        </is>
      </c>
      <c r="K164" s="6">
        <f>IF(AND(H164&gt;0,I164&gt;0),"Rendben",IF(AND(H164=0,I164=0),"Nincs kép és adat",IF(H164=0,"Nincs kép","Nincs adat")))</f>
        <v/>
      </c>
      <c r="L164" s="6" t="inlineStr">
        <is>
          <t>Igen</t>
        </is>
      </c>
      <c r="M164" s="7" t="inlineStr">
        <is>
          <t>Alcomet 2017 szabványprofil-katalógus (PDF)</t>
        </is>
      </c>
      <c r="N164" s="7" t="inlineStr">
        <is>
          <t>Megtalálva: Alcomet 500-4979 (kód: 500-4979)</t>
        </is>
      </c>
      <c r="O164" s="6" t="inlineStr"/>
      <c r="P164" s="11" t="inlineStr">
        <is>
          <t>https://website-9ib.pages.dev/termek/254979-60x50x50x5-mm-u-profil/</t>
        </is>
      </c>
      <c r="Q164" s="12" t="inlineStr"/>
      <c r="R164" s="13" t="inlineStr"/>
      <c r="S164" s="6" t="inlineStr">
        <is>
          <t>254979-60x50x50x5-mm-u-profil</t>
        </is>
      </c>
    </row>
    <row r="165">
      <c r="A165" s="6" t="inlineStr">
        <is>
          <t>252672</t>
        </is>
      </c>
      <c r="B165" s="7" t="inlineStr">
        <is>
          <t>80x20x2 alu zártszelvény</t>
        </is>
      </c>
      <c r="C165" s="6" t="inlineStr">
        <is>
          <t>Ipari félgyártmányok</t>
        </is>
      </c>
      <c r="D165" s="6" t="inlineStr">
        <is>
          <t>Zártszelvény</t>
        </is>
      </c>
      <c r="E165" s="6" t="inlineStr">
        <is>
          <t>ALCOMET</t>
        </is>
      </c>
      <c r="F165" s="6" t="inlineStr"/>
      <c r="G165" s="6" t="inlineStr">
        <is>
          <t>Quadris Excel</t>
        </is>
      </c>
      <c r="H165" s="6" t="n">
        <v>3</v>
      </c>
      <c r="I165" s="6" t="n">
        <v>6</v>
      </c>
      <c r="J165" s="6" t="inlineStr">
        <is>
          <t>nincs</t>
        </is>
      </c>
      <c r="K165" s="6">
        <f>IF(AND(H165&gt;0,I165&gt;0),"Rendben",IF(AND(H165=0,I165=0),"Nincs kép és adat",IF(H165=0,"Nincs kép","Nincs adat")))</f>
        <v/>
      </c>
      <c r="L165" s="6" t="inlineStr">
        <is>
          <t>Igen</t>
        </is>
      </c>
      <c r="M165" s="7" t="inlineStr">
        <is>
          <t>Alcomet 2017 szabványprofil-katalógus (PDF)</t>
        </is>
      </c>
      <c r="N165" s="7" t="inlineStr">
        <is>
          <t>Megtalálva: Alcomet 500-2672 (kód: 500-2672)</t>
        </is>
      </c>
      <c r="O165" s="6" t="inlineStr"/>
      <c r="P165" s="11" t="inlineStr">
        <is>
          <t>https://website-9ib.pages.dev/termek/252672-80x20x2-alu-zartszelveny/</t>
        </is>
      </c>
      <c r="Q165" s="12" t="inlineStr"/>
      <c r="R165" s="13" t="inlineStr"/>
      <c r="S165" s="6" t="inlineStr">
        <is>
          <t>252672-80x20x2-alu-zartszelveny</t>
        </is>
      </c>
    </row>
    <row r="166">
      <c r="A166" s="6" t="inlineStr">
        <is>
          <t>252763</t>
        </is>
      </c>
      <c r="B166" s="7" t="inlineStr">
        <is>
          <t>80x40x3 alu zártszelvény</t>
        </is>
      </c>
      <c r="C166" s="6" t="inlineStr">
        <is>
          <t>Ipari félgyártmányok</t>
        </is>
      </c>
      <c r="D166" s="6" t="inlineStr">
        <is>
          <t>Zártszelvény</t>
        </is>
      </c>
      <c r="E166" s="6" t="inlineStr">
        <is>
          <t>ALCOMET</t>
        </is>
      </c>
      <c r="F166" s="6" t="inlineStr"/>
      <c r="G166" s="6" t="inlineStr">
        <is>
          <t>Quadris Excel</t>
        </is>
      </c>
      <c r="H166" s="6" t="n">
        <v>3</v>
      </c>
      <c r="I166" s="6" t="n">
        <v>6</v>
      </c>
      <c r="J166" s="6" t="inlineStr">
        <is>
          <t>nincs</t>
        </is>
      </c>
      <c r="K166" s="6">
        <f>IF(AND(H166&gt;0,I166&gt;0),"Rendben",IF(AND(H166=0,I166=0),"Nincs kép és adat",IF(H166=0,"Nincs kép","Nincs adat")))</f>
        <v/>
      </c>
      <c r="L166" s="6" t="inlineStr">
        <is>
          <t>Igen</t>
        </is>
      </c>
      <c r="M166" s="7" t="inlineStr">
        <is>
          <t>Alcomet 2017 szabványprofil-katalógus (PDF)</t>
        </is>
      </c>
      <c r="N166" s="7" t="inlineStr">
        <is>
          <t>Megtalálva: Alcomet 500-2335 (kód: 500-2335)</t>
        </is>
      </c>
      <c r="O166" s="6" t="inlineStr"/>
      <c r="P166" s="11" t="inlineStr">
        <is>
          <t>https://website-9ib.pages.dev/termek/252763-80x40x3-alu-zartszelveny/</t>
        </is>
      </c>
      <c r="Q166" s="12" t="inlineStr"/>
      <c r="R166" s="13" t="inlineStr"/>
      <c r="S166" s="6" t="inlineStr">
        <is>
          <t>252763-80x40x3-alu-zartszelveny</t>
        </is>
      </c>
    </row>
    <row r="167">
      <c r="A167" s="6" t="inlineStr">
        <is>
          <t>255207</t>
        </is>
      </c>
      <c r="B167" s="7" t="inlineStr">
        <is>
          <t>80x40x3 mm R5 Alu zártszelvény</t>
        </is>
      </c>
      <c r="C167" s="6" t="inlineStr">
        <is>
          <t>Ipari félgyártmányok</t>
        </is>
      </c>
      <c r="D167" s="6" t="inlineStr">
        <is>
          <t>Zártszelvény</t>
        </is>
      </c>
      <c r="E167" s="6" t="inlineStr">
        <is>
          <t>ALCOMET</t>
        </is>
      </c>
      <c r="F167" s="6" t="inlineStr">
        <is>
          <t>RCT-05207</t>
        </is>
      </c>
      <c r="G167" s="6" t="inlineStr">
        <is>
          <t>Quadris Excel</t>
        </is>
      </c>
      <c r="H167" s="6" t="n">
        <v>3</v>
      </c>
      <c r="I167" s="6" t="n">
        <v>6</v>
      </c>
      <c r="J167" s="6" t="inlineStr">
        <is>
          <t>nincs</t>
        </is>
      </c>
      <c r="K167" s="6">
        <f>IF(AND(H167&gt;0,I167&gt;0),"Rendben",IF(AND(H167=0,I167=0),"Nincs kép és adat",IF(H167=0,"Nincs kép","Nincs adat")))</f>
        <v/>
      </c>
      <c r="L167" s="6" t="inlineStr">
        <is>
          <t>Igen</t>
        </is>
      </c>
      <c r="M167" s="7" t="inlineStr">
        <is>
          <t>Alcomet 2017 szabványprofil-katalógus (PDF)</t>
        </is>
      </c>
      <c r="N167" s="7" t="inlineStr">
        <is>
          <t>Megtalálva: Alcomet 500-5207 (kód: 500-5207)</t>
        </is>
      </c>
      <c r="O167" s="6" t="inlineStr"/>
      <c r="P167" s="11" t="inlineStr">
        <is>
          <t>https://website-9ib.pages.dev/termek/255207-80x40x3-mm-r5-alu-zartszelveny/</t>
        </is>
      </c>
      <c r="Q167" s="12" t="inlineStr"/>
      <c r="R167" s="13" t="inlineStr"/>
      <c r="S167" s="6" t="inlineStr">
        <is>
          <t>255207-80x40x3-mm-r5-alu-zartszelveny</t>
        </is>
      </c>
    </row>
    <row r="168">
      <c r="A168" s="6" t="inlineStr">
        <is>
          <t>252764</t>
        </is>
      </c>
      <c r="B168" s="7" t="inlineStr">
        <is>
          <t>80x40x4 alu zártszelvény</t>
        </is>
      </c>
      <c r="C168" s="6" t="inlineStr">
        <is>
          <t>Ipari félgyártmányok</t>
        </is>
      </c>
      <c r="D168" s="6" t="inlineStr">
        <is>
          <t>Zártszelvény</t>
        </is>
      </c>
      <c r="E168" s="6" t="inlineStr">
        <is>
          <t>ALCOMET</t>
        </is>
      </c>
      <c r="F168" s="6" t="inlineStr">
        <is>
          <t>RCT-02345</t>
        </is>
      </c>
      <c r="G168" s="6" t="inlineStr">
        <is>
          <t>Quadris Excel</t>
        </is>
      </c>
      <c r="H168" s="6" t="n">
        <v>3</v>
      </c>
      <c r="I168" s="6" t="n">
        <v>6</v>
      </c>
      <c r="J168" s="6" t="inlineStr">
        <is>
          <t>nincs</t>
        </is>
      </c>
      <c r="K168" s="6">
        <f>IF(AND(H168&gt;0,I168&gt;0),"Rendben",IF(AND(H168=0,I168=0),"Nincs kép és adat",IF(H168=0,"Nincs kép","Nincs adat")))</f>
        <v/>
      </c>
      <c r="L168" s="6" t="inlineStr">
        <is>
          <t>Igen</t>
        </is>
      </c>
      <c r="M168" s="7" t="inlineStr">
        <is>
          <t>Alcomet 2017 szabványprofil-katalógus (PDF)</t>
        </is>
      </c>
      <c r="N168" s="7" t="inlineStr">
        <is>
          <t>Megtalálva: Alcomet 500-2345 (kód: 500-2345)</t>
        </is>
      </c>
      <c r="O168" s="6" t="inlineStr"/>
      <c r="P168" s="11" t="inlineStr">
        <is>
          <t>https://website-9ib.pages.dev/termek/252764-80x40x4-alu-zartszelveny/</t>
        </is>
      </c>
      <c r="Q168" s="12" t="inlineStr"/>
      <c r="R168" s="13" t="inlineStr"/>
      <c r="S168" s="6" t="inlineStr">
        <is>
          <t>252764-80x40x4-alu-zartszelveny</t>
        </is>
      </c>
    </row>
    <row r="169">
      <c r="A169" s="6" t="inlineStr">
        <is>
          <t>258418</t>
        </is>
      </c>
      <c r="B169" s="7" t="inlineStr">
        <is>
          <t>80x50x4 mm R3 Alu Zártszelvény</t>
        </is>
      </c>
      <c r="C169" s="6" t="inlineStr">
        <is>
          <t>Ipari félgyártmányok</t>
        </is>
      </c>
      <c r="D169" s="6" t="inlineStr">
        <is>
          <t>Zártszelvény</t>
        </is>
      </c>
      <c r="E169" s="6" t="inlineStr">
        <is>
          <t>ALCOMET</t>
        </is>
      </c>
      <c r="F169" s="6" t="inlineStr">
        <is>
          <t>A8418</t>
        </is>
      </c>
      <c r="G169" s="6" t="inlineStr">
        <is>
          <t>Quadris Excel</t>
        </is>
      </c>
      <c r="H169" s="6" t="n">
        <v>3</v>
      </c>
      <c r="I169" s="6" t="n">
        <v>6</v>
      </c>
      <c r="J169" s="6" t="inlineStr">
        <is>
          <t>nincs</t>
        </is>
      </c>
      <c r="K169" s="6">
        <f>IF(AND(H169&gt;0,I169&gt;0),"Rendben",IF(AND(H169=0,I169=0),"Nincs kép és adat",IF(H169=0,"Nincs kép","Nincs adat")))</f>
        <v/>
      </c>
      <c r="L169" s="6" t="inlineStr">
        <is>
          <t>Igen</t>
        </is>
      </c>
      <c r="M169" s="7" t="inlineStr">
        <is>
          <t>Alcomet 2017 szabványprofil-katalógus (PDF)</t>
        </is>
      </c>
      <c r="N169" s="7" t="inlineStr">
        <is>
          <t>Megtalálva: Alcomet 500-2232 (kód: 500-2232)</t>
        </is>
      </c>
      <c r="O169" s="6" t="inlineStr"/>
      <c r="P169" s="11" t="inlineStr">
        <is>
          <t>https://website-9ib.pages.dev/termek/258418-80x50x4-mm-r3-alu-zartszelveny/</t>
        </is>
      </c>
      <c r="Q169" s="12" t="inlineStr"/>
      <c r="R169" s="13" t="inlineStr"/>
      <c r="S169" s="6" t="inlineStr">
        <is>
          <t>258418-80x50x4-mm-r3-alu-zartszelveny</t>
        </is>
      </c>
    </row>
    <row r="170">
      <c r="A170" s="6" t="inlineStr">
        <is>
          <t>255473</t>
        </is>
      </c>
      <c r="B170" s="7" t="inlineStr">
        <is>
          <t>80x80x4 mm Alu zártszelvény</t>
        </is>
      </c>
      <c r="C170" s="6" t="inlineStr">
        <is>
          <t>Ipari félgyártmányok</t>
        </is>
      </c>
      <c r="D170" s="6" t="inlineStr">
        <is>
          <t>Zártszelvény</t>
        </is>
      </c>
      <c r="E170" s="6" t="inlineStr">
        <is>
          <t>ALCOMET</t>
        </is>
      </c>
      <c r="F170" s="6" t="inlineStr"/>
      <c r="G170" s="6" t="inlineStr">
        <is>
          <t>Quadris Excel</t>
        </is>
      </c>
      <c r="H170" s="6" t="n">
        <v>3</v>
      </c>
      <c r="I170" s="6" t="n">
        <v>6</v>
      </c>
      <c r="J170" s="6" t="inlineStr">
        <is>
          <t>nincs</t>
        </is>
      </c>
      <c r="K170" s="6">
        <f>IF(AND(H170&gt;0,I170&gt;0),"Rendben",IF(AND(H170=0,I170=0),"Nincs kép és adat",IF(H170=0,"Nincs kép","Nincs adat")))</f>
        <v/>
      </c>
      <c r="L170" s="6" t="inlineStr">
        <is>
          <t>Igen</t>
        </is>
      </c>
      <c r="M170" s="7" t="inlineStr">
        <is>
          <t>Alcomet 2017 szabványprofil-katalógus (PDF)</t>
        </is>
      </c>
      <c r="N170" s="7" t="inlineStr">
        <is>
          <t>Megtalálva: Alcomet 500-0473 (kód: 500-0473)</t>
        </is>
      </c>
      <c r="O170" s="6" t="inlineStr"/>
      <c r="P170" s="11" t="inlineStr">
        <is>
          <t>https://website-9ib.pages.dev/termek/255473-80x80x4-mm-alu-zartszelveny/</t>
        </is>
      </c>
      <c r="Q170" s="12" t="inlineStr"/>
      <c r="R170" s="13" t="inlineStr"/>
      <c r="S170" s="6" t="inlineStr">
        <is>
          <t>255473-80x80x4-mm-alu-zartszelveny</t>
        </is>
      </c>
    </row>
    <row r="171">
      <c r="A171" s="6" t="inlineStr">
        <is>
          <t>227576</t>
        </is>
      </c>
      <c r="B171" s="7" t="inlineStr">
        <is>
          <t>Zártszelvény 60x30x2 mm OR3/IR1 elox</t>
        </is>
      </c>
      <c r="C171" s="6" t="inlineStr">
        <is>
          <t>Ipari félgyártmányok</t>
        </is>
      </c>
      <c r="D171" s="6" t="inlineStr">
        <is>
          <t>Zártszelvény</t>
        </is>
      </c>
      <c r="E171" s="6" t="inlineStr">
        <is>
          <t>ALCOMET</t>
        </is>
      </c>
      <c r="F171" s="6" t="inlineStr">
        <is>
          <t>RCT-07576</t>
        </is>
      </c>
      <c r="G171" s="6" t="inlineStr">
        <is>
          <t>Quadris Excel</t>
        </is>
      </c>
      <c r="H171" s="6" t="n">
        <v>3</v>
      </c>
      <c r="I171" s="6" t="n">
        <v>6</v>
      </c>
      <c r="J171" s="6" t="inlineStr">
        <is>
          <t>nincs</t>
        </is>
      </c>
      <c r="K171" s="6">
        <f>IF(AND(H171&gt;0,I171&gt;0),"Rendben",IF(AND(H171=0,I171=0),"Nincs kép és adat",IF(H171=0,"Nincs kép","Nincs adat")))</f>
        <v/>
      </c>
      <c r="L171" s="6" t="inlineStr">
        <is>
          <t>Igen</t>
        </is>
      </c>
      <c r="M171" s="7" t="inlineStr">
        <is>
          <t>Alcomet 2017 szabványprofil-katalógus (PDF)</t>
        </is>
      </c>
      <c r="N171" s="7" t="inlineStr">
        <is>
          <t>Megtalálva: Alcomet 500-2258 (kód: 500-2258)</t>
        </is>
      </c>
      <c r="O171" s="6" t="inlineStr"/>
      <c r="P171" s="11" t="inlineStr">
        <is>
          <t>https://website-9ib.pages.dev/termek/227576-zartszelveny-60x30x2-mm-or3-ir1-elox/</t>
        </is>
      </c>
      <c r="Q171" s="12" t="inlineStr"/>
      <c r="R171" s="13" t="inlineStr"/>
      <c r="S171" s="6" t="inlineStr">
        <is>
          <t>227576-zartszelveny-60x30x2-mm-or3-ir1-elox</t>
        </is>
      </c>
    </row>
    <row r="172">
      <c r="A172" s="6" t="inlineStr">
        <is>
          <t>222923</t>
        </is>
      </c>
      <c r="B172" s="7" t="inlineStr">
        <is>
          <t>60x1,5 mm Ponyvacső</t>
        </is>
      </c>
      <c r="C172" s="6" t="inlineStr">
        <is>
          <t>Ponyvarendszer kiegészítők</t>
        </is>
      </c>
      <c r="D172" s="6" t="inlineStr">
        <is>
          <t>Ponyvacsövek</t>
        </is>
      </c>
      <c r="E172" s="6" t="inlineStr">
        <is>
          <t>ALCOMET</t>
        </is>
      </c>
      <c r="F172" s="6" t="inlineStr">
        <is>
          <t>RNT-02923</t>
        </is>
      </c>
      <c r="G172" s="6" t="inlineStr">
        <is>
          <t>Quadris Excel</t>
        </is>
      </c>
      <c r="H172" s="6" t="n">
        <v>3</v>
      </c>
      <c r="I172" s="6" t="n">
        <v>6</v>
      </c>
      <c r="J172" s="6" t="inlineStr">
        <is>
          <t>nincs</t>
        </is>
      </c>
      <c r="K172" s="6">
        <f>IF(AND(H172&gt;0,I172&gt;0),"Rendben",IF(AND(H172=0,I172=0),"Nincs kép és adat",IF(H172=0,"Nincs kép","Nincs adat")))</f>
        <v/>
      </c>
      <c r="L172" s="6" t="inlineStr">
        <is>
          <t>Igen</t>
        </is>
      </c>
      <c r="M172" s="7" t="inlineStr">
        <is>
          <t>Alcomet 2017 szabványprofil-katalógus (PDF)</t>
        </is>
      </c>
      <c r="N172" s="7" t="inlineStr">
        <is>
          <t>Megtalálva: Alcomet 500-2923 (kód: 500-2923)</t>
        </is>
      </c>
      <c r="O172" s="6" t="inlineStr"/>
      <c r="P172" s="11" t="inlineStr">
        <is>
          <t>https://website-9ib.pages.dev/termek/222923-60x1-5-mm-ponyvacso/</t>
        </is>
      </c>
      <c r="Q172" s="12" t="inlineStr"/>
      <c r="R172" s="13" t="inlineStr"/>
      <c r="S172" s="6" t="inlineStr">
        <is>
          <t>222923-60x1-5-mm-ponyvacso</t>
        </is>
      </c>
    </row>
    <row r="173">
      <c r="A173" s="6" t="inlineStr">
        <is>
          <t>222985</t>
        </is>
      </c>
      <c r="B173" s="7" t="inlineStr">
        <is>
          <t>D50 mm alu cső</t>
        </is>
      </c>
      <c r="C173" s="6" t="inlineStr">
        <is>
          <t>Ponyvarendszer kiegészítők</t>
        </is>
      </c>
      <c r="D173" s="6" t="inlineStr">
        <is>
          <t>Ponyvacsövek</t>
        </is>
      </c>
      <c r="E173" s="6" t="inlineStr">
        <is>
          <t>ALCOMET</t>
        </is>
      </c>
      <c r="F173" s="6" t="inlineStr">
        <is>
          <t>RNT-02985</t>
        </is>
      </c>
      <c r="G173" s="6" t="inlineStr">
        <is>
          <t>Quadris Excel</t>
        </is>
      </c>
      <c r="H173" s="6" t="n">
        <v>3</v>
      </c>
      <c r="I173" s="6" t="n">
        <v>6</v>
      </c>
      <c r="J173" s="6" t="inlineStr">
        <is>
          <t>nincs</t>
        </is>
      </c>
      <c r="K173" s="6">
        <f>IF(AND(H173&gt;0,I173&gt;0),"Rendben",IF(AND(H173=0,I173=0),"Nincs kép és adat",IF(H173=0,"Nincs kép","Nincs adat")))</f>
        <v/>
      </c>
      <c r="L173" s="6" t="inlineStr">
        <is>
          <t>Igen</t>
        </is>
      </c>
      <c r="M173" s="7" t="inlineStr">
        <is>
          <t>Alcomet 2017 szabványprofil-katalógus (PDF)</t>
        </is>
      </c>
      <c r="N173" s="7" t="inlineStr">
        <is>
          <t>Megtalálva: Alcomet 500-2985 (kód: 500-2985)</t>
        </is>
      </c>
      <c r="O173" s="6" t="inlineStr"/>
      <c r="P173" s="11" t="inlineStr">
        <is>
          <t>https://website-9ib.pages.dev/termek/222985-d50-mm-alu-cso/</t>
        </is>
      </c>
      <c r="Q173" s="12" t="inlineStr"/>
      <c r="R173" s="13" t="inlineStr"/>
      <c r="S173" s="6" t="inlineStr">
        <is>
          <t>222985-d50-mm-alu-cso</t>
        </is>
      </c>
    </row>
    <row r="174">
      <c r="A174" s="6" t="inlineStr">
        <is>
          <t>237798</t>
        </is>
      </c>
      <c r="B174" s="7" t="inlineStr">
        <is>
          <t>Speciális 35 ALSÓ KERET profil EC</t>
        </is>
      </c>
      <c r="C174" s="6" t="inlineStr">
        <is>
          <t>Zárt-dobozos és hűtős profilok</t>
        </is>
      </c>
      <c r="D174" s="6" t="inlineStr">
        <is>
          <t>Zárt-dobozos és hűtős profilok</t>
        </is>
      </c>
      <c r="E174" s="6" t="inlineStr">
        <is>
          <t>ALCOMET</t>
        </is>
      </c>
      <c r="F174" s="6" t="inlineStr">
        <is>
          <t>DRP-07798</t>
        </is>
      </c>
      <c r="G174" s="6" t="inlineStr">
        <is>
          <t>Quadris Excel</t>
        </is>
      </c>
      <c r="H174" s="6" t="n">
        <v>0</v>
      </c>
      <c r="I174" s="6" t="n">
        <v>0</v>
      </c>
      <c r="J174" s="6" t="inlineStr">
        <is>
          <t>nincs</t>
        </is>
      </c>
      <c r="K174" s="6">
        <f>IF(AND(H174&gt;0,I174&gt;0),"Rendben",IF(AND(H174=0,I174=0),"Nincs kép és adat",IF(H174=0,"Nincs kép","Nincs adat")))</f>
        <v/>
      </c>
      <c r="L174" s="6" t="inlineStr">
        <is>
          <t>Igen</t>
        </is>
      </c>
      <c r="M174" s="7" t="inlineStr">
        <is>
          <t>Alcomet 2017 szabványprofil-katalógus (PDF)</t>
        </is>
      </c>
      <c r="N174" s="7" t="inlineStr">
        <is>
          <t>Nem találtuk: Alcomet 2017 szabványprofil-katalógus (PDF)</t>
        </is>
      </c>
      <c r="O174" s="6" t="inlineStr"/>
      <c r="P174" s="11" t="inlineStr">
        <is>
          <t>https://website-9ib.pages.dev/termek/237798-specialis-35-also-keret-profil-ec/</t>
        </is>
      </c>
      <c r="Q174" s="12" t="inlineStr"/>
      <c r="R174" s="13" t="inlineStr"/>
      <c r="S174" s="6" t="inlineStr">
        <is>
          <t>237798-specialis-35-also-keret-profil-ec</t>
        </is>
      </c>
    </row>
    <row r="175">
      <c r="A175" s="6" t="inlineStr">
        <is>
          <t>237797</t>
        </is>
      </c>
      <c r="B175" s="7" t="inlineStr">
        <is>
          <t>Speciális TETŐ profil EC</t>
        </is>
      </c>
      <c r="C175" s="6" t="inlineStr">
        <is>
          <t>Zárt-dobozos és hűtős profilok</t>
        </is>
      </c>
      <c r="D175" s="6" t="inlineStr">
        <is>
          <t>Zárt-dobozos és hűtős profilok</t>
        </is>
      </c>
      <c r="E175" s="6" t="inlineStr">
        <is>
          <t>ALCOMET</t>
        </is>
      </c>
      <c r="F175" s="6" t="inlineStr">
        <is>
          <t>DRP-07797</t>
        </is>
      </c>
      <c r="G175" s="6" t="inlineStr">
        <is>
          <t>Quadris Excel</t>
        </is>
      </c>
      <c r="H175" s="6" t="n">
        <v>0</v>
      </c>
      <c r="I175" s="6" t="n">
        <v>0</v>
      </c>
      <c r="J175" s="6" t="inlineStr">
        <is>
          <t>nincs</t>
        </is>
      </c>
      <c r="K175" s="6">
        <f>IF(AND(H175&gt;0,I175&gt;0),"Rendben",IF(AND(H175=0,I175=0),"Nincs kép és adat",IF(H175=0,"Nincs kép","Nincs adat")))</f>
        <v/>
      </c>
      <c r="L175" s="6" t="inlineStr">
        <is>
          <t>Igen</t>
        </is>
      </c>
      <c r="M175" s="7" t="inlineStr">
        <is>
          <t>Alcomet 2017 szabványprofil-katalógus (PDF)</t>
        </is>
      </c>
      <c r="N175" s="7" t="inlineStr">
        <is>
          <t>Nem találtuk: Alcomet 2017 szabványprofil-katalógus (PDF)</t>
        </is>
      </c>
      <c r="O175" s="6" t="inlineStr"/>
      <c r="P175" s="11" t="inlineStr">
        <is>
          <t>https://website-9ib.pages.dev/termek/237797-specialis-teto-profil-ec/</t>
        </is>
      </c>
      <c r="Q175" s="12" t="inlineStr"/>
      <c r="R175" s="13" t="inlineStr"/>
      <c r="S175" s="6" t="inlineStr">
        <is>
          <t>237797-specialis-teto-profil-ec</t>
        </is>
      </c>
    </row>
    <row r="176">
      <c r="A176" s="6" t="inlineStr">
        <is>
          <t>222139/n</t>
        </is>
      </c>
      <c r="B176" s="7" t="inlineStr">
        <is>
          <t>"h" szegő 25 mm</t>
        </is>
      </c>
      <c r="C176" s="6" t="inlineStr">
        <is>
          <t>Platós és ponyvás oldalfal profilok és szegők</t>
        </is>
      </c>
      <c r="D176" s="6" t="inlineStr">
        <is>
          <t>Szegő profilok</t>
        </is>
      </c>
      <c r="E176" s="6" t="inlineStr">
        <is>
          <t>Allco</t>
        </is>
      </c>
      <c r="F176" s="6" t="inlineStr">
        <is>
          <t>2139</t>
        </is>
      </c>
      <c r="G176" s="6" t="inlineStr">
        <is>
          <t>Quadris Excel</t>
        </is>
      </c>
      <c r="H176" s="6" t="n">
        <v>0</v>
      </c>
      <c r="I176" s="6" t="n">
        <v>0</v>
      </c>
      <c r="J176" s="6" t="inlineStr">
        <is>
          <t>nincs</t>
        </is>
      </c>
      <c r="K176" s="6">
        <f>IF(AND(H176&gt;0,I176&gt;0),"Rendben",IF(AND(H176=0,I176=0),"Nincs kép és adat",IF(H176=0,"Nincs kép","Nincs adat")))</f>
        <v/>
      </c>
      <c r="L176" s="6" t="inlineStr">
        <is>
          <t>Nem</t>
        </is>
      </c>
      <c r="M176" s="7" t="inlineStr">
        <is>
          <t>–</t>
        </is>
      </c>
      <c r="N176" s="7" t="inlineStr">
        <is>
          <t>Nem kerestük – nincs ismert weboldal vagy katalógus</t>
        </is>
      </c>
      <c r="O176" s="6" t="inlineStr"/>
      <c r="P176" s="11" t="inlineStr">
        <is>
          <t>https://website-9ib.pages.dev/termek/222139-n-h-szego-25-mm/</t>
        </is>
      </c>
      <c r="Q176" s="12" t="inlineStr"/>
      <c r="R176" s="13" t="inlineStr"/>
      <c r="S176" s="6" t="inlineStr">
        <is>
          <t>222139-n-h-szego-25-mm</t>
        </is>
      </c>
    </row>
    <row r="177">
      <c r="A177" s="6" t="inlineStr">
        <is>
          <t>222139</t>
        </is>
      </c>
      <c r="B177" s="7" t="inlineStr">
        <is>
          <t>"h" szegő 25 mm elox</t>
        </is>
      </c>
      <c r="C177" s="6" t="inlineStr">
        <is>
          <t>Platós és ponyvás oldalfal profilok és szegők</t>
        </is>
      </c>
      <c r="D177" s="6" t="inlineStr">
        <is>
          <t>Szegő profilok</t>
        </is>
      </c>
      <c r="E177" s="6" t="inlineStr">
        <is>
          <t>Allco</t>
        </is>
      </c>
      <c r="F177" s="6" t="inlineStr">
        <is>
          <t>1700038</t>
        </is>
      </c>
      <c r="G177" s="6" t="inlineStr">
        <is>
          <t>Quadris Excel</t>
        </is>
      </c>
      <c r="H177" s="6" t="n">
        <v>0</v>
      </c>
      <c r="I177" s="6" t="n">
        <v>0</v>
      </c>
      <c r="J177" s="6" t="inlineStr">
        <is>
          <t>nincs</t>
        </is>
      </c>
      <c r="K177" s="6">
        <f>IF(AND(H177&gt;0,I177&gt;0),"Rendben",IF(AND(H177=0,I177=0),"Nincs kép és adat",IF(H177=0,"Nincs kép","Nincs adat")))</f>
        <v/>
      </c>
      <c r="L177" s="6" t="inlineStr">
        <is>
          <t>Nem</t>
        </is>
      </c>
      <c r="M177" s="7" t="inlineStr">
        <is>
          <t>–</t>
        </is>
      </c>
      <c r="N177" s="7" t="inlineStr">
        <is>
          <t>Nem kerestük – nincs ismert weboldal vagy katalógus</t>
        </is>
      </c>
      <c r="O177" s="6" t="inlineStr"/>
      <c r="P177" s="11" t="inlineStr">
        <is>
          <t>https://website-9ib.pages.dev/termek/222139-h-szego-25-mm-elox/</t>
        </is>
      </c>
      <c r="Q177" s="12" t="inlineStr"/>
      <c r="R177" s="13" t="inlineStr"/>
      <c r="S177" s="6" t="inlineStr">
        <is>
          <t>222139-h-szego-25-mm-elox</t>
        </is>
      </c>
    </row>
    <row r="178">
      <c r="A178" s="6" t="inlineStr">
        <is>
          <t>222137/n</t>
        </is>
      </c>
      <c r="B178" s="7" t="inlineStr">
        <is>
          <t>"u" 25 mm szegő profil</t>
        </is>
      </c>
      <c r="C178" s="6" t="inlineStr">
        <is>
          <t>Platós és ponyvás oldalfal profilok és szegők</t>
        </is>
      </c>
      <c r="D178" s="6" t="inlineStr">
        <is>
          <t>Szegő profilok</t>
        </is>
      </c>
      <c r="E178" s="6" t="inlineStr">
        <is>
          <t>Allco</t>
        </is>
      </c>
      <c r="F178" s="6" t="inlineStr">
        <is>
          <t>2137</t>
        </is>
      </c>
      <c r="G178" s="6" t="inlineStr">
        <is>
          <t>Quadris Excel</t>
        </is>
      </c>
      <c r="H178" s="6" t="n">
        <v>0</v>
      </c>
      <c r="I178" s="6" t="n">
        <v>0</v>
      </c>
      <c r="J178" s="6" t="inlineStr">
        <is>
          <t>nincs</t>
        </is>
      </c>
      <c r="K178" s="6">
        <f>IF(AND(H178&gt;0,I178&gt;0),"Rendben",IF(AND(H178=0,I178=0),"Nincs kép és adat",IF(H178=0,"Nincs kép","Nincs adat")))</f>
        <v/>
      </c>
      <c r="L178" s="6" t="inlineStr">
        <is>
          <t>Nem</t>
        </is>
      </c>
      <c r="M178" s="7" t="inlineStr">
        <is>
          <t>–</t>
        </is>
      </c>
      <c r="N178" s="7" t="inlineStr">
        <is>
          <t>Nem kerestük – nincs ismert weboldal vagy katalógus</t>
        </is>
      </c>
      <c r="O178" s="6" t="inlineStr"/>
      <c r="P178" s="11" t="inlineStr">
        <is>
          <t>https://website-9ib.pages.dev/termek/222137-n-u-25-mm-szego-profil/</t>
        </is>
      </c>
      <c r="Q178" s="12" t="inlineStr"/>
      <c r="R178" s="13" t="inlineStr"/>
      <c r="S178" s="6" t="inlineStr">
        <is>
          <t>222137-n-u-25-mm-szego-profil</t>
        </is>
      </c>
    </row>
    <row r="179">
      <c r="A179" s="6" t="inlineStr">
        <is>
          <t>222137</t>
        </is>
      </c>
      <c r="B179" s="7" t="inlineStr">
        <is>
          <t>"u" 25 mm szegő profil elox</t>
        </is>
      </c>
      <c r="C179" s="6" t="inlineStr">
        <is>
          <t>Platós és ponyvás oldalfal profilok és szegők</t>
        </is>
      </c>
      <c r="D179" s="6" t="inlineStr">
        <is>
          <t>Szegő profilok</t>
        </is>
      </c>
      <c r="E179" s="6" t="inlineStr">
        <is>
          <t>Allco</t>
        </is>
      </c>
      <c r="F179" s="6" t="inlineStr">
        <is>
          <t>2137</t>
        </is>
      </c>
      <c r="G179" s="6" t="inlineStr">
        <is>
          <t>Quadris Excel</t>
        </is>
      </c>
      <c r="H179" s="6" t="n">
        <v>0</v>
      </c>
      <c r="I179" s="6" t="n">
        <v>0</v>
      </c>
      <c r="J179" s="6" t="inlineStr">
        <is>
          <t>nincs</t>
        </is>
      </c>
      <c r="K179" s="6">
        <f>IF(AND(H179&gt;0,I179&gt;0),"Rendben",IF(AND(H179=0,I179=0),"Nincs kép és adat",IF(H179=0,"Nincs kép","Nincs adat")))</f>
        <v/>
      </c>
      <c r="L179" s="6" t="inlineStr">
        <is>
          <t>Nem</t>
        </is>
      </c>
      <c r="M179" s="7" t="inlineStr">
        <is>
          <t>–</t>
        </is>
      </c>
      <c r="N179" s="7" t="inlineStr">
        <is>
          <t>Nem kerestük – nincs ismert weboldal vagy katalógus</t>
        </is>
      </c>
      <c r="O179" s="6" t="inlineStr"/>
      <c r="P179" s="11" t="inlineStr">
        <is>
          <t>https://website-9ib.pages.dev/termek/222137-u-25-mm-szego-profil-elox/</t>
        </is>
      </c>
      <c r="Q179" s="12" t="inlineStr"/>
      <c r="R179" s="13" t="inlineStr"/>
      <c r="S179" s="6" t="inlineStr">
        <is>
          <t>222137-u-25-mm-szego-profil-elox</t>
        </is>
      </c>
    </row>
    <row r="180">
      <c r="A180" s="6" t="inlineStr">
        <is>
          <t>226115</t>
        </is>
      </c>
      <c r="B180" s="7" t="inlineStr">
        <is>
          <t>Alsó tömítéses 200 mm elox profil</t>
        </is>
      </c>
      <c r="C180" s="6" t="inlineStr">
        <is>
          <t>Platós és ponyvás oldalfal profilok és szegők</t>
        </is>
      </c>
      <c r="D180" s="6" t="inlineStr">
        <is>
          <t>25 mm vastag oldalfal rendszerek</t>
        </is>
      </c>
      <c r="E180" s="6" t="inlineStr">
        <is>
          <t>Allco</t>
        </is>
      </c>
      <c r="F180" s="6" t="inlineStr">
        <is>
          <t>VZPN1747</t>
        </is>
      </c>
      <c r="G180" s="6" t="inlineStr">
        <is>
          <t>Quadris Excel</t>
        </is>
      </c>
      <c r="H180" s="6" t="n">
        <v>0</v>
      </c>
      <c r="I180" s="6" t="n">
        <v>0</v>
      </c>
      <c r="J180" s="6" t="inlineStr">
        <is>
          <t>nincs</t>
        </is>
      </c>
      <c r="K180" s="6">
        <f>IF(AND(H180&gt;0,I180&gt;0),"Rendben",IF(AND(H180=0,I180=0),"Nincs kép és adat",IF(H180=0,"Nincs kép","Nincs adat")))</f>
        <v/>
      </c>
      <c r="L180" s="6" t="inlineStr">
        <is>
          <t>Nem</t>
        </is>
      </c>
      <c r="M180" s="7" t="inlineStr">
        <is>
          <t>–</t>
        </is>
      </c>
      <c r="N180" s="7" t="inlineStr">
        <is>
          <t>Nem kerestük – nincs ismert weboldal vagy katalógus</t>
        </is>
      </c>
      <c r="O180" s="6" t="inlineStr"/>
      <c r="P180" s="11" t="inlineStr">
        <is>
          <t>https://website-9ib.pages.dev/termek/226115-also-tomiteses-200-mm-elox-profil/</t>
        </is>
      </c>
      <c r="Q180" s="12" t="inlineStr"/>
      <c r="R180" s="13" t="inlineStr"/>
      <c r="S180" s="6" t="inlineStr">
        <is>
          <t>226115-also-tomiteses-200-mm-elox-profil</t>
        </is>
      </c>
    </row>
    <row r="181">
      <c r="A181" s="6" t="inlineStr">
        <is>
          <t>388005</t>
        </is>
      </c>
      <c r="B181" s="7" t="inlineStr">
        <is>
          <t>Ponyvabeakasztó alu profil 70 mm elox</t>
        </is>
      </c>
      <c r="C181" s="6" t="inlineStr">
        <is>
          <t>Ponyvarendszer kiegészítők</t>
        </is>
      </c>
      <c r="D181" s="6" t="inlineStr">
        <is>
          <t>Ponyvafeszítő profilok és alkatrészei</t>
        </is>
      </c>
      <c r="E181" s="6" t="inlineStr">
        <is>
          <t>Allco</t>
        </is>
      </c>
      <c r="F181" s="6" t="inlineStr">
        <is>
          <t>T1.8005.1</t>
        </is>
      </c>
      <c r="G181" s="6" t="inlineStr">
        <is>
          <t>Quadris Excel</t>
        </is>
      </c>
      <c r="H181" s="6" t="n">
        <v>0</v>
      </c>
      <c r="I181" s="6" t="n">
        <v>0</v>
      </c>
      <c r="J181" s="6" t="inlineStr">
        <is>
          <t>nincs</t>
        </is>
      </c>
      <c r="K181" s="6">
        <f>IF(AND(H181&gt;0,I181&gt;0),"Rendben",IF(AND(H181=0,I181=0),"Nincs kép és adat",IF(H181=0,"Nincs kép","Nincs adat")))</f>
        <v/>
      </c>
      <c r="L181" s="6" t="inlineStr">
        <is>
          <t>Nem</t>
        </is>
      </c>
      <c r="M181" s="7" t="inlineStr">
        <is>
          <t>–</t>
        </is>
      </c>
      <c r="N181" s="7" t="inlineStr">
        <is>
          <t>Nem kerestük – nincs ismert weboldal vagy katalógus</t>
        </is>
      </c>
      <c r="O181" s="6" t="inlineStr"/>
      <c r="P181" s="11" t="inlineStr">
        <is>
          <t>https://website-9ib.pages.dev/termek/388005-ponyvabeakaszto-alu-profil-70-mm-elox/</t>
        </is>
      </c>
      <c r="Q181" s="12" t="inlineStr"/>
      <c r="R181" s="13" t="inlineStr"/>
      <c r="S181" s="6" t="inlineStr">
        <is>
          <t>388005-ponyvabeakaszto-alu-profil-70-mm-elox</t>
        </is>
      </c>
    </row>
    <row r="182">
      <c r="A182" s="6" t="inlineStr">
        <is>
          <t>231309</t>
        </is>
      </c>
      <c r="B182" s="7" t="inlineStr">
        <is>
          <t>AN "h" ajtószegő 30 mm elox</t>
        </is>
      </c>
      <c r="C182" s="6" t="inlineStr">
        <is>
          <t>Zárt-dobozos és hűtős profilok</t>
        </is>
      </c>
      <c r="D182" s="6" t="inlineStr">
        <is>
          <t>Zárt-dobozos és hűtős profilok</t>
        </is>
      </c>
      <c r="E182" s="6" t="inlineStr">
        <is>
          <t>ALSAP</t>
        </is>
      </c>
      <c r="F182" s="6" t="inlineStr">
        <is>
          <t>1309AN</t>
        </is>
      </c>
      <c r="G182" s="6" t="inlineStr">
        <is>
          <t>Quadris Excel</t>
        </is>
      </c>
      <c r="H182" s="6" t="n">
        <v>0</v>
      </c>
      <c r="I182" s="6" t="n">
        <v>0</v>
      </c>
      <c r="J182" s="6" t="inlineStr">
        <is>
          <t>nincs</t>
        </is>
      </c>
      <c r="K182" s="6">
        <f>IF(AND(H182&gt;0,I182&gt;0),"Rendben",IF(AND(H182=0,I182=0),"Nincs kép és adat",IF(H182=0,"Nincs kép","Nincs adat")))</f>
        <v/>
      </c>
      <c r="L182" s="6" t="inlineStr">
        <is>
          <t>Nem</t>
        </is>
      </c>
      <c r="M182" s="7" t="inlineStr">
        <is>
          <t>–</t>
        </is>
      </c>
      <c r="N182" s="7" t="inlineStr">
        <is>
          <t>Nem kerestük – nincs ismert weboldal vagy katalógus</t>
        </is>
      </c>
      <c r="O182" s="6" t="inlineStr"/>
      <c r="P182" s="11" t="inlineStr">
        <is>
          <t>https://website-9ib.pages.dev/termek/231309-an-h-ajtoszego-30-mm-elox/</t>
        </is>
      </c>
      <c r="Q182" s="12" t="inlineStr"/>
      <c r="R182" s="13" t="inlineStr"/>
      <c r="S182" s="6" t="inlineStr">
        <is>
          <t>231309-an-h-ajtoszego-30-mm-elox</t>
        </is>
      </c>
    </row>
    <row r="183">
      <c r="A183" s="6" t="inlineStr">
        <is>
          <t>231308</t>
        </is>
      </c>
      <c r="B183" s="7" t="inlineStr">
        <is>
          <t>AN Tömítéses ajtószegő 30 mm elox</t>
        </is>
      </c>
      <c r="C183" s="6" t="inlineStr">
        <is>
          <t>Zárt-dobozos és hűtős profilok</t>
        </is>
      </c>
      <c r="D183" s="6" t="inlineStr">
        <is>
          <t>Zárt-dobozos és hűtős profilok</t>
        </is>
      </c>
      <c r="E183" s="6" t="inlineStr">
        <is>
          <t>ALSAP</t>
        </is>
      </c>
      <c r="F183" s="6" t="inlineStr">
        <is>
          <t>1308AN</t>
        </is>
      </c>
      <c r="G183" s="6" t="inlineStr">
        <is>
          <t>Quadris Excel</t>
        </is>
      </c>
      <c r="H183" s="6" t="n">
        <v>0</v>
      </c>
      <c r="I183" s="6" t="n">
        <v>0</v>
      </c>
      <c r="J183" s="6" t="inlineStr">
        <is>
          <t>nincs</t>
        </is>
      </c>
      <c r="K183" s="6">
        <f>IF(AND(H183&gt;0,I183&gt;0),"Rendben",IF(AND(H183=0,I183=0),"Nincs kép és adat",IF(H183=0,"Nincs kép","Nincs adat")))</f>
        <v/>
      </c>
      <c r="L183" s="6" t="inlineStr">
        <is>
          <t>Nem</t>
        </is>
      </c>
      <c r="M183" s="7" t="inlineStr">
        <is>
          <t>–</t>
        </is>
      </c>
      <c r="N183" s="7" t="inlineStr">
        <is>
          <t>Nem kerestük – nincs ismert weboldal vagy katalógus</t>
        </is>
      </c>
      <c r="O183" s="6" t="inlineStr"/>
      <c r="P183" s="11" t="inlineStr">
        <is>
          <t>https://website-9ib.pages.dev/termek/231308-an-tomiteses-ajtoszego-30-mm-elox/</t>
        </is>
      </c>
      <c r="Q183" s="12" t="inlineStr"/>
      <c r="R183" s="13" t="inlineStr"/>
      <c r="S183" s="6" t="inlineStr">
        <is>
          <t>231308-an-tomiteses-ajtoszego-30-mm-elox</t>
        </is>
      </c>
    </row>
    <row r="184">
      <c r="A184" s="6" t="inlineStr">
        <is>
          <t>238066</t>
        </is>
      </c>
      <c r="B184" s="7" t="inlineStr">
        <is>
          <t>CS Tömítéses ajtószegő 25 mm elox</t>
        </is>
      </c>
      <c r="C184" s="6" t="inlineStr">
        <is>
          <t>Zárt-dobozos és hűtős profilok</t>
        </is>
      </c>
      <c r="D184" s="6" t="inlineStr">
        <is>
          <t>Zárt-dobozos és hűtős profilok</t>
        </is>
      </c>
      <c r="E184" s="6" t="inlineStr">
        <is>
          <t>ALSAP</t>
        </is>
      </c>
      <c r="F184" s="6" t="inlineStr">
        <is>
          <t>223132E</t>
        </is>
      </c>
      <c r="G184" s="6" t="inlineStr">
        <is>
          <t>Quadris Excel</t>
        </is>
      </c>
      <c r="H184" s="6" t="n">
        <v>0</v>
      </c>
      <c r="I184" s="6" t="n">
        <v>0</v>
      </c>
      <c r="J184" s="6" t="inlineStr">
        <is>
          <t>nincs</t>
        </is>
      </c>
      <c r="K184" s="6">
        <f>IF(AND(H184&gt;0,I184&gt;0),"Rendben",IF(AND(H184=0,I184=0),"Nincs kép és adat",IF(H184=0,"Nincs kép","Nincs adat")))</f>
        <v/>
      </c>
      <c r="L184" s="6" t="inlineStr">
        <is>
          <t>Nem</t>
        </is>
      </c>
      <c r="M184" s="7" t="inlineStr">
        <is>
          <t>–</t>
        </is>
      </c>
      <c r="N184" s="7" t="inlineStr">
        <is>
          <t>Nem kerestük – nincs ismert weboldal vagy katalógus</t>
        </is>
      </c>
      <c r="O184" s="6" t="inlineStr"/>
      <c r="P184" s="11" t="inlineStr">
        <is>
          <t>https://website-9ib.pages.dev/termek/238066-cs-tomiteses-ajtoszego-25-mm-elox/</t>
        </is>
      </c>
      <c r="Q184" s="12" t="inlineStr"/>
      <c r="R184" s="13" t="inlineStr"/>
      <c r="S184" s="6" t="inlineStr">
        <is>
          <t>238066-cs-tomiteses-ajtoszego-25-mm-elox</t>
        </is>
      </c>
    </row>
    <row r="185">
      <c r="A185" s="6" t="inlineStr">
        <is>
          <t>238067</t>
        </is>
      </c>
      <c r="B185" s="7" t="inlineStr">
        <is>
          <t>Tömítés a szegő profilhoz</t>
        </is>
      </c>
      <c r="C185" s="6" t="inlineStr">
        <is>
          <t>Zárt-dobozos és hűtős profilok</t>
        </is>
      </c>
      <c r="D185" s="6" t="inlineStr">
        <is>
          <t>Zárt-dobozos és hűtős profilok</t>
        </is>
      </c>
      <c r="E185" s="6" t="inlineStr">
        <is>
          <t>ALSAP</t>
        </is>
      </c>
      <c r="F185" s="6" t="inlineStr">
        <is>
          <t>220306</t>
        </is>
      </c>
      <c r="G185" s="6" t="inlineStr">
        <is>
          <t>Quadris Excel</t>
        </is>
      </c>
      <c r="H185" s="6" t="n">
        <v>0</v>
      </c>
      <c r="I185" s="6" t="n">
        <v>0</v>
      </c>
      <c r="J185" s="6" t="inlineStr">
        <is>
          <t>nincs</t>
        </is>
      </c>
      <c r="K185" s="6">
        <f>IF(AND(H185&gt;0,I185&gt;0),"Rendben",IF(AND(H185=0,I185=0),"Nincs kép és adat",IF(H185=0,"Nincs kép","Nincs adat")))</f>
        <v/>
      </c>
      <c r="L185" s="6" t="inlineStr">
        <is>
          <t>Nem</t>
        </is>
      </c>
      <c r="M185" s="7" t="inlineStr">
        <is>
          <t>–</t>
        </is>
      </c>
      <c r="N185" s="7" t="inlineStr">
        <is>
          <t>Nem kerestük – nincs ismert weboldal vagy katalógus</t>
        </is>
      </c>
      <c r="O185" s="6" t="inlineStr"/>
      <c r="P185" s="11" t="inlineStr">
        <is>
          <t>https://website-9ib.pages.dev/termek/238067-tomites-a-szego-profilhoz/</t>
        </is>
      </c>
      <c r="Q185" s="12" t="inlineStr"/>
      <c r="R185" s="13" t="inlineStr"/>
      <c r="S185" s="6" t="inlineStr">
        <is>
          <t>238067-tomites-a-szego-profilhoz</t>
        </is>
      </c>
    </row>
    <row r="186">
      <c r="A186" s="6" t="inlineStr"/>
      <c r="B186" s="7" t="inlineStr">
        <is>
          <t>356297B Alu középső Rakonca 400 mm/80 np</t>
        </is>
      </c>
      <c r="C186" s="6" t="inlineStr">
        <is>
          <t>Acél és alu rakoncák és szegők</t>
        </is>
      </c>
      <c r="D186" s="6" t="inlineStr">
        <is>
          <t>Alumínium rakoncák</t>
        </is>
      </c>
      <c r="E186" s="6" t="inlineStr">
        <is>
          <t>Alu-SV</t>
        </is>
      </c>
      <c r="F186" s="6" t="inlineStr">
        <is>
          <t>62974B0000</t>
        </is>
      </c>
      <c r="G186" s="6" t="inlineStr">
        <is>
          <t>Quadris Excel</t>
        </is>
      </c>
      <c r="H186" s="6" t="n">
        <v>1</v>
      </c>
      <c r="I186" s="6" t="n">
        <v>7</v>
      </c>
      <c r="J186" s="6" t="inlineStr">
        <is>
          <t>nincs</t>
        </is>
      </c>
      <c r="K186" s="6">
        <f>IF(AND(H186&gt;0,I186&gt;0),"Rendben",IF(AND(H186=0,I186=0),"Nincs kép és adat",IF(H186=0,"Nincs kép","Nincs adat")))</f>
        <v/>
      </c>
      <c r="L186" s="6" t="inlineStr">
        <is>
          <t>Igen</t>
        </is>
      </c>
      <c r="M186" s="7" t="inlineStr">
        <is>
          <t>alu-sv.com webáruház, keresés rendelési számra</t>
        </is>
      </c>
      <c r="N186" s="7" t="inlineStr">
        <is>
          <t>Megtalálva: Middle pillar AluGrip 400, anod, No edge (kód: 62974B0000)</t>
        </is>
      </c>
      <c r="O186" s="11" t="inlineStr">
        <is>
          <t>https://www.alu-sv.com/en/goods.ep/4000006_pillars/48000765_middle-pillar-alugrip-400--anod--no-edge</t>
        </is>
      </c>
      <c r="P186" s="11" t="inlineStr">
        <is>
          <t>https://website-9ib.pages.dev/termek/356297b-alu-kozepso-rakonca-400-mm-80-np/</t>
        </is>
      </c>
      <c r="Q186" s="12" t="inlineStr"/>
      <c r="R186" s="13" t="inlineStr"/>
      <c r="S186" s="6" t="inlineStr">
        <is>
          <t>356297b-alu-kozepso-rakonca-400-mm-80-np</t>
        </is>
      </c>
    </row>
    <row r="187">
      <c r="A187" s="6" t="inlineStr">
        <is>
          <t>356297</t>
        </is>
      </c>
      <c r="B187" s="7" t="inlineStr">
        <is>
          <t>Alu középső Rakonca 400 mm/80</t>
        </is>
      </c>
      <c r="C187" s="6" t="inlineStr">
        <is>
          <t>Acél és alu rakoncák és szegők</t>
        </is>
      </c>
      <c r="D187" s="6" t="inlineStr">
        <is>
          <t>Alumínium rakoncák</t>
        </is>
      </c>
      <c r="E187" s="6" t="inlineStr">
        <is>
          <t>Alu-SV</t>
        </is>
      </c>
      <c r="F187" s="6" t="inlineStr">
        <is>
          <t>62974BB011</t>
        </is>
      </c>
      <c r="G187" s="6" t="inlineStr">
        <is>
          <t>Quadris Excel</t>
        </is>
      </c>
      <c r="H187" s="6" t="n">
        <v>1</v>
      </c>
      <c r="I187" s="6" t="n">
        <v>7</v>
      </c>
      <c r="J187" s="6" t="inlineStr">
        <is>
          <t>nincs</t>
        </is>
      </c>
      <c r="K187" s="6">
        <f>IF(AND(H187&gt;0,I187&gt;0),"Rendben",IF(AND(H187=0,I187=0),"Nincs kép és adat",IF(H187=0,"Nincs kép","Nincs adat")))</f>
        <v/>
      </c>
      <c r="L187" s="6" t="inlineStr">
        <is>
          <t>Igen</t>
        </is>
      </c>
      <c r="M187" s="7" t="inlineStr">
        <is>
          <t>alu-sv.com webáruház, keresés rendelési számra</t>
        </is>
      </c>
      <c r="N187" s="7" t="inlineStr">
        <is>
          <t>Megtalálva: Midlle pillar AluGrip 400, anod. (kód: 62974BB011)</t>
        </is>
      </c>
      <c r="O187" s="11" t="inlineStr">
        <is>
          <t>https://www.alu-sv.com/en/goods.ep/4000006_pillars/910105248_midlle-pillar-alugrip-400--anod.</t>
        </is>
      </c>
      <c r="P187" s="11" t="inlineStr">
        <is>
          <t>https://website-9ib.pages.dev/termek/356297-alu-kozepso-rakonca-400-mm-80/</t>
        </is>
      </c>
      <c r="Q187" s="12" t="inlineStr"/>
      <c r="R187" s="13" t="inlineStr"/>
      <c r="S187" s="6" t="inlineStr">
        <is>
          <t>356297-alu-kozepso-rakonca-400-mm-80</t>
        </is>
      </c>
    </row>
    <row r="188">
      <c r="A188" s="6" t="inlineStr">
        <is>
          <t>356287</t>
        </is>
      </c>
      <c r="B188" s="7" t="inlineStr">
        <is>
          <t>Alu középső rakonca 400 mm/60, billenő toldással</t>
        </is>
      </c>
      <c r="C188" s="6" t="inlineStr">
        <is>
          <t>Acél és alu rakoncák és szegők</t>
        </is>
      </c>
      <c r="D188" s="6" t="inlineStr">
        <is>
          <t>Alumínium rakoncák</t>
        </is>
      </c>
      <c r="E188" s="6" t="inlineStr">
        <is>
          <t>Alu-SV</t>
        </is>
      </c>
      <c r="F188" s="6" t="inlineStr">
        <is>
          <t>6287CS6000</t>
        </is>
      </c>
      <c r="G188" s="6" t="inlineStr">
        <is>
          <t>Quadris Excel</t>
        </is>
      </c>
      <c r="H188" s="6" t="n">
        <v>1</v>
      </c>
      <c r="I188" s="6" t="n">
        <v>7</v>
      </c>
      <c r="J188" s="6" t="inlineStr">
        <is>
          <t>nincs</t>
        </is>
      </c>
      <c r="K188" s="6">
        <f>IF(AND(H188&gt;0,I188&gt;0),"Rendben",IF(AND(H188=0,I188=0),"Nincs kép és adat",IF(H188=0,"Nincs kép","Nincs adat")))</f>
        <v/>
      </c>
      <c r="L188" s="6" t="inlineStr">
        <is>
          <t>Igen</t>
        </is>
      </c>
      <c r="M188" s="7" t="inlineStr">
        <is>
          <t>alu-sv.com webáruház, keresés rendelési számra</t>
        </is>
      </c>
      <c r="N188" s="7" t="inlineStr">
        <is>
          <t>Megtalálva: Pillar AluGrip 60/CS with extension (kód: 6287CS6000)</t>
        </is>
      </c>
      <c r="O188" s="11" t="inlineStr">
        <is>
          <t>https://www.alu-sv.com/en/goods.ep/13000002_side-pillars--front-and-rear-al-pillars/910108523_pillar-alugrip-60-cs-with-extension</t>
        </is>
      </c>
      <c r="P188" s="11" t="inlineStr">
        <is>
          <t>https://website-9ib.pages.dev/termek/356287-alu-kozepso-rakonca-400-mm-60-billeno-toldassal/</t>
        </is>
      </c>
      <c r="Q188" s="12" t="inlineStr"/>
      <c r="R188" s="13" t="inlineStr"/>
      <c r="S188" s="6" t="inlineStr">
        <is>
          <t>356287-alu-kozepso-rakonca-400-mm-60-billeno-toldassal</t>
        </is>
      </c>
    </row>
    <row r="189">
      <c r="A189" s="6" t="inlineStr">
        <is>
          <t>351155</t>
        </is>
      </c>
      <c r="B189" s="7" t="inlineStr">
        <is>
          <t>Alu rakonca Top-kuplung</t>
        </is>
      </c>
      <c r="C189" s="6" t="inlineStr">
        <is>
          <t>Acél és alu rakoncák és szegők</t>
        </is>
      </c>
      <c r="D189" s="6" t="inlineStr">
        <is>
          <t>Alumínium rakoncák</t>
        </is>
      </c>
      <c r="E189" s="6" t="inlineStr">
        <is>
          <t>Alu-SV</t>
        </is>
      </c>
      <c r="F189" s="6" t="inlineStr"/>
      <c r="G189" s="6" t="inlineStr">
        <is>
          <t>Quadris Excel</t>
        </is>
      </c>
      <c r="H189" s="6" t="n">
        <v>0</v>
      </c>
      <c r="I189" s="6" t="n">
        <v>0</v>
      </c>
      <c r="J189" s="6" t="inlineStr">
        <is>
          <t>nincs</t>
        </is>
      </c>
      <c r="K189" s="6">
        <f>IF(AND(H189&gt;0,I189&gt;0),"Rendben",IF(AND(H189=0,I189=0),"Nincs kép és adat",IF(H189=0,"Nincs kép","Nincs adat")))</f>
        <v/>
      </c>
      <c r="L189" s="6" t="inlineStr">
        <is>
          <t>Igen</t>
        </is>
      </c>
      <c r="M189" s="7" t="inlineStr">
        <is>
          <t>alu-sv.com webáruház, keresés rendelési számra</t>
        </is>
      </c>
      <c r="N189" s="7" t="inlineStr">
        <is>
          <t>Nem találtuk: alu-sv.com webáruház, keresés rendelési számra</t>
        </is>
      </c>
      <c r="O189" s="6" t="inlineStr"/>
      <c r="P189" s="11" t="inlineStr">
        <is>
          <t>https://website-9ib.pages.dev/termek/351155-alu-rakonca-top-kuplung/</t>
        </is>
      </c>
      <c r="Q189" s="12" t="inlineStr"/>
      <c r="R189" s="13" t="inlineStr"/>
      <c r="S189" s="6" t="inlineStr">
        <is>
          <t>351155-alu-rakonca-top-kuplung</t>
        </is>
      </c>
    </row>
    <row r="190">
      <c r="A190" s="6" t="inlineStr">
        <is>
          <t>351142</t>
        </is>
      </c>
      <c r="B190" s="7" t="inlineStr">
        <is>
          <t>Alu rakonca magasító elox</t>
        </is>
      </c>
      <c r="C190" s="6" t="inlineStr">
        <is>
          <t>Acél és alu rakoncák és szegők</t>
        </is>
      </c>
      <c r="D190" s="6" t="inlineStr">
        <is>
          <t>Alumínium rakoncák</t>
        </is>
      </c>
      <c r="E190" s="6" t="inlineStr">
        <is>
          <t>Alu-SV</t>
        </is>
      </c>
      <c r="F190" s="6" t="inlineStr">
        <is>
          <t>62K113542B</t>
        </is>
      </c>
      <c r="G190" s="6" t="inlineStr">
        <is>
          <t>Quadris Excel</t>
        </is>
      </c>
      <c r="H190" s="6" t="n">
        <v>0</v>
      </c>
      <c r="I190" s="6" t="n">
        <v>0</v>
      </c>
      <c r="J190" s="6" t="inlineStr">
        <is>
          <t>nincs</t>
        </is>
      </c>
      <c r="K190" s="6">
        <f>IF(AND(H190&gt;0,I190&gt;0),"Rendben",IF(AND(H190=0,I190=0),"Nincs kép és adat",IF(H190=0,"Nincs kép","Nincs adat")))</f>
        <v/>
      </c>
      <c r="L190" s="6" t="inlineStr">
        <is>
          <t>Igen</t>
        </is>
      </c>
      <c r="M190" s="7" t="inlineStr">
        <is>
          <t>alu-sv.com webáruház, keresés rendelési számra</t>
        </is>
      </c>
      <c r="N190" s="7" t="inlineStr">
        <is>
          <t>Nem találtuk: alu-sv.com webáruház, keresés rendelési számra</t>
        </is>
      </c>
      <c r="O190" s="6" t="inlineStr"/>
      <c r="P190" s="11" t="inlineStr">
        <is>
          <t>https://website-9ib.pages.dev/termek/351142-alu-rakonca-magasito-elox/</t>
        </is>
      </c>
      <c r="Q190" s="12" t="inlineStr"/>
      <c r="R190" s="13" t="inlineStr"/>
      <c r="S190" s="6" t="inlineStr">
        <is>
          <t>351142-alu-rakonca-magasito-elox</t>
        </is>
      </c>
    </row>
    <row r="191">
      <c r="A191" s="6" t="inlineStr">
        <is>
          <t>357271</t>
        </is>
      </c>
      <c r="B191" s="7" t="inlineStr">
        <is>
          <t>KG hátsó alu szegőprofil elox</t>
        </is>
      </c>
      <c r="C191" s="6" t="inlineStr">
        <is>
          <t>Acél és alu rakoncák és szegők</t>
        </is>
      </c>
      <c r="D191" s="6" t="inlineStr">
        <is>
          <t>Alumínium rakoncák</t>
        </is>
      </c>
      <c r="E191" s="6" t="inlineStr">
        <is>
          <t>Alu-SV</t>
        </is>
      </c>
      <c r="F191" s="6" t="inlineStr">
        <is>
          <t>110900</t>
        </is>
      </c>
      <c r="G191" s="6" t="inlineStr">
        <is>
          <t>Quadris Excel</t>
        </is>
      </c>
      <c r="H191" s="6" t="n">
        <v>0</v>
      </c>
      <c r="I191" s="6" t="n">
        <v>0</v>
      </c>
      <c r="J191" s="6" t="inlineStr">
        <is>
          <t>nincs</t>
        </is>
      </c>
      <c r="K191" s="6">
        <f>IF(AND(H191&gt;0,I191&gt;0),"Rendben",IF(AND(H191=0,I191=0),"Nincs kép és adat",IF(H191=0,"Nincs kép","Nincs adat")))</f>
        <v/>
      </c>
      <c r="L191" s="6" t="inlineStr">
        <is>
          <t>Igen</t>
        </is>
      </c>
      <c r="M191" s="7" t="inlineStr">
        <is>
          <t>alu-sv.com webáruház, keresés rendelési számra</t>
        </is>
      </c>
      <c r="N191" s="7" t="inlineStr">
        <is>
          <t>Nem találtuk: alu-sv.com webáruház, keresés rendelési számra</t>
        </is>
      </c>
      <c r="O191" s="6" t="inlineStr"/>
      <c r="P191" s="11" t="inlineStr">
        <is>
          <t>https://website-9ib.pages.dev/termek/357271-kg-hatso-alu-szegoprofil-elox/</t>
        </is>
      </c>
      <c r="Q191" s="12" t="inlineStr"/>
      <c r="R191" s="13" t="inlineStr"/>
      <c r="S191" s="6" t="inlineStr">
        <is>
          <t>357271-kg-hatso-alu-szegoprofil-elox</t>
        </is>
      </c>
    </row>
    <row r="192">
      <c r="A192" s="6" t="inlineStr">
        <is>
          <t>357270</t>
        </is>
      </c>
      <c r="B192" s="7" t="inlineStr">
        <is>
          <t>KG oldalsó alu szegő profil elox</t>
        </is>
      </c>
      <c r="C192" s="6" t="inlineStr">
        <is>
          <t>Acél és alu rakoncák és szegők</t>
        </is>
      </c>
      <c r="D192" s="6" t="inlineStr">
        <is>
          <t>Alumínium rakoncák</t>
        </is>
      </c>
      <c r="E192" s="6" t="inlineStr">
        <is>
          <t>Alu-SV</t>
        </is>
      </c>
      <c r="F192" s="6" t="inlineStr">
        <is>
          <t>110827</t>
        </is>
      </c>
      <c r="G192" s="6" t="inlineStr">
        <is>
          <t>Quadris Excel</t>
        </is>
      </c>
      <c r="H192" s="6" t="n">
        <v>0</v>
      </c>
      <c r="I192" s="6" t="n">
        <v>0</v>
      </c>
      <c r="J192" s="6" t="inlineStr">
        <is>
          <t>nincs</t>
        </is>
      </c>
      <c r="K192" s="6">
        <f>IF(AND(H192&gt;0,I192&gt;0),"Rendben",IF(AND(H192=0,I192=0),"Nincs kép és adat",IF(H192=0,"Nincs kép","Nincs adat")))</f>
        <v/>
      </c>
      <c r="L192" s="6" t="inlineStr">
        <is>
          <t>Igen</t>
        </is>
      </c>
      <c r="M192" s="7" t="inlineStr">
        <is>
          <t>alu-sv.com webáruház, keresés rendelési számra</t>
        </is>
      </c>
      <c r="N192" s="7" t="inlineStr">
        <is>
          <t>Nem találtuk: alu-sv.com webáruház, keresés rendelési számra</t>
        </is>
      </c>
      <c r="O192" s="6" t="inlineStr"/>
      <c r="P192" s="11" t="inlineStr">
        <is>
          <t>https://website-9ib.pages.dev/termek/357270-kg-oldalso-alu-szego-profil-elox/</t>
        </is>
      </c>
      <c r="Q192" s="12" t="inlineStr"/>
      <c r="R192" s="13" t="inlineStr"/>
      <c r="S192" s="6" t="inlineStr">
        <is>
          <t>357270-kg-oldalso-alu-szego-profil-elox</t>
        </is>
      </c>
    </row>
    <row r="193">
      <c r="A193" s="6" t="inlineStr">
        <is>
          <t>201094</t>
        </is>
      </c>
      <c r="B193" s="7" t="inlineStr">
        <is>
          <t>Targonca ütköző profil</t>
        </is>
      </c>
      <c r="C193" s="6" t="inlineStr">
        <is>
          <t>Alumínium alváz profilok</t>
        </is>
      </c>
      <c r="D193" s="6" t="inlineStr">
        <is>
          <t>Targonca ütköző</t>
        </is>
      </c>
      <c r="E193" s="6" t="inlineStr">
        <is>
          <t>Alu-SV</t>
        </is>
      </c>
      <c r="F193" s="6" t="inlineStr">
        <is>
          <t>2200071094</t>
        </is>
      </c>
      <c r="G193" s="6" t="inlineStr">
        <is>
          <t>Quadris Excel</t>
        </is>
      </c>
      <c r="H193" s="6" t="n">
        <v>1</v>
      </c>
      <c r="I193" s="6" t="n">
        <v>7</v>
      </c>
      <c r="J193" s="6" t="inlineStr">
        <is>
          <t>nincs</t>
        </is>
      </c>
      <c r="K193" s="6">
        <f>IF(AND(H193&gt;0,I193&gt;0),"Rendben",IF(AND(H193=0,I193=0),"Nincs kép és adat",IF(H193=0,"Nincs kép","Nincs adat")))</f>
        <v/>
      </c>
      <c r="L193" s="6" t="inlineStr">
        <is>
          <t>Igen</t>
        </is>
      </c>
      <c r="M193" s="7" t="inlineStr">
        <is>
          <t>alu-sv.com webáruház, keresés rendelési számra</t>
        </is>
      </c>
      <c r="N193" s="7" t="inlineStr">
        <is>
          <t>Megtalálva: Frame profile 33x37mm Al (kód: 2200071094)</t>
        </is>
      </c>
      <c r="O193" s="11" t="inlineStr">
        <is>
          <t>https://www.alu-sv.com/en/goods.ep/4000043_bumpers-and-buffers/126000004_frame-profile-33x37mm-al</t>
        </is>
      </c>
      <c r="P193" s="11" t="inlineStr">
        <is>
          <t>https://website-9ib.pages.dev/termek/201094-targonca-utkozo-profil/</t>
        </is>
      </c>
      <c r="Q193" s="12" t="inlineStr"/>
      <c r="R193" s="13" t="inlineStr"/>
      <c r="S193" s="6" t="inlineStr">
        <is>
          <t>201094-targonca-utkozo-profil</t>
        </is>
      </c>
    </row>
    <row r="194">
      <c r="A194" s="6" t="inlineStr">
        <is>
          <t>203492</t>
        </is>
      </c>
      <c r="B194" s="7" t="inlineStr">
        <is>
          <t>Autószállító padló keret profil 30 mm</t>
        </is>
      </c>
      <c r="C194" s="6" t="inlineStr">
        <is>
          <t>Alumínium padló profilok</t>
        </is>
      </c>
      <c r="D194" s="6" t="inlineStr">
        <is>
          <t>Autószállító profilok</t>
        </is>
      </c>
      <c r="E194" s="6" t="inlineStr">
        <is>
          <t>Alu-SV</t>
        </is>
      </c>
      <c r="F194" s="6" t="inlineStr">
        <is>
          <t>6600013492</t>
        </is>
      </c>
      <c r="G194" s="6" t="inlineStr">
        <is>
          <t>Quadris Excel</t>
        </is>
      </c>
      <c r="H194" s="6" t="n">
        <v>1</v>
      </c>
      <c r="I194" s="6" t="n">
        <v>6</v>
      </c>
      <c r="J194" s="6" t="inlineStr">
        <is>
          <t>nincs</t>
        </is>
      </c>
      <c r="K194" s="6">
        <f>IF(AND(H194&gt;0,I194&gt;0),"Rendben",IF(AND(H194=0,I194=0),"Nincs kép és adat",IF(H194=0,"Nincs kép","Nincs adat")))</f>
        <v/>
      </c>
      <c r="L194" s="6" t="inlineStr">
        <is>
          <t>Igen</t>
        </is>
      </c>
      <c r="M194" s="7" t="inlineStr">
        <is>
          <t>alu-sv.com webáruház, keresés rendelési számra</t>
        </is>
      </c>
      <c r="N194" s="7" t="inlineStr">
        <is>
          <t>Megtalálva: Edgeprofil 30mm for tow truck (kód: 6600013492)</t>
        </is>
      </c>
      <c r="O194" s="11" t="inlineStr">
        <is>
          <t>https://www.alu-sv.com/en/goods.ep/4000049_aluminium-floors/910099447_edgeprofil-30mm-for-tow-truck</t>
        </is>
      </c>
      <c r="P194" s="11" t="inlineStr">
        <is>
          <t>https://website-9ib.pages.dev/termek/203492-autoszallito-padlo-keret-profil-30-mm/</t>
        </is>
      </c>
      <c r="Q194" s="12" t="inlineStr"/>
      <c r="R194" s="13" t="inlineStr"/>
      <c r="S194" s="6" t="inlineStr">
        <is>
          <t>203492-autoszallito-padlo-keret-profil-30-mm</t>
        </is>
      </c>
    </row>
    <row r="195">
      <c r="A195" s="6" t="inlineStr">
        <is>
          <t>222233</t>
        </is>
      </c>
      <c r="B195" s="7" t="inlineStr">
        <is>
          <t>Rámpa szegő G profil</t>
        </is>
      </c>
      <c r="C195" s="6" t="inlineStr">
        <is>
          <t>Alumínium padló profilok</t>
        </is>
      </c>
      <c r="D195" s="6" t="inlineStr">
        <is>
          <t>Rámpa profilok</t>
        </is>
      </c>
      <c r="E195" s="6" t="inlineStr">
        <is>
          <t>Alu-SV</t>
        </is>
      </c>
      <c r="F195" s="6" t="inlineStr">
        <is>
          <t>6600012233</t>
        </is>
      </c>
      <c r="G195" s="6" t="inlineStr">
        <is>
          <t>Quadris Excel</t>
        </is>
      </c>
      <c r="H195" s="6" t="n">
        <v>1</v>
      </c>
      <c r="I195" s="6" t="n">
        <v>7</v>
      </c>
      <c r="J195" s="6" t="inlineStr">
        <is>
          <t>nincs</t>
        </is>
      </c>
      <c r="K195" s="6">
        <f>IF(AND(H195&gt;0,I195&gt;0),"Rendben",IF(AND(H195=0,I195=0),"Nincs kép és adat",IF(H195=0,"Nincs kép","Nincs adat")))</f>
        <v/>
      </c>
      <c r="L195" s="6" t="inlineStr">
        <is>
          <t>Igen</t>
        </is>
      </c>
      <c r="M195" s="7" t="inlineStr">
        <is>
          <t>alu-sv.com webáruház, keresés rendelési számra</t>
        </is>
      </c>
      <c r="N195" s="7" t="inlineStr">
        <is>
          <t>Megtalálva: Mounting ramp side profile G al (kód: 6600012233)</t>
        </is>
      </c>
      <c r="O195" s="11" t="inlineStr">
        <is>
          <t>https://www.alu-sv.com/en/goods.ep/4000050_aluminium-overruns/70000028_mounting-ramp-side-profile-g-al</t>
        </is>
      </c>
      <c r="P195" s="11" t="inlineStr">
        <is>
          <t>https://website-9ib.pages.dev/termek/222233-rampa-szego-g-profil/</t>
        </is>
      </c>
      <c r="Q195" s="12" t="inlineStr"/>
      <c r="R195" s="13" t="inlineStr"/>
      <c r="S195" s="6" t="inlineStr">
        <is>
          <t>222233-rampa-szego-g-profil</t>
        </is>
      </c>
    </row>
    <row r="196">
      <c r="A196" s="6" t="inlineStr">
        <is>
          <t>502502</t>
        </is>
      </c>
      <c r="B196" s="7" t="inlineStr">
        <is>
          <t>Dupla görgős gumiütköző 222x115</t>
        </is>
      </c>
      <c r="C196" s="6" t="inlineStr">
        <is>
          <t>Dobozos felépítmény alkatrészek</t>
        </is>
      </c>
      <c r="D196" s="6" t="inlineStr">
        <is>
          <t>Gumiütközők</t>
        </is>
      </c>
      <c r="E196" s="6" t="inlineStr">
        <is>
          <t>Alu-SV</t>
        </is>
      </c>
      <c r="F196" s="6" t="inlineStr">
        <is>
          <t>55322251</t>
        </is>
      </c>
      <c r="G196" s="6" t="inlineStr">
        <is>
          <t>Quadris Excel</t>
        </is>
      </c>
      <c r="H196" s="6" t="n">
        <v>0</v>
      </c>
      <c r="I196" s="6" t="n">
        <v>0</v>
      </c>
      <c r="J196" s="6" t="inlineStr">
        <is>
          <t>nincs</t>
        </is>
      </c>
      <c r="K196" s="6">
        <f>IF(AND(H196&gt;0,I196&gt;0),"Rendben",IF(AND(H196=0,I196=0),"Nincs kép és adat",IF(H196=0,"Nincs kép","Nincs adat")))</f>
        <v/>
      </c>
      <c r="L196" s="6" t="inlineStr">
        <is>
          <t>Igen</t>
        </is>
      </c>
      <c r="M196" s="7" t="inlineStr">
        <is>
          <t>alu-sv.com webáruház, keresés rendelési számra</t>
        </is>
      </c>
      <c r="N196" s="7" t="inlineStr">
        <is>
          <t>Nem találtuk: alu-sv.com webáruház, keresés rendelési számra</t>
        </is>
      </c>
      <c r="O196" s="6" t="inlineStr"/>
      <c r="P196" s="11" t="inlineStr">
        <is>
          <t>https://website-9ib.pages.dev/termek/502502-dupla-gorgos-gumiutkozo-222x115/</t>
        </is>
      </c>
      <c r="Q196" s="12" t="inlineStr"/>
      <c r="R196" s="13" t="inlineStr"/>
      <c r="S196" s="6" t="inlineStr">
        <is>
          <t>502502-dupla-gorgos-gumiutkozo-222x115</t>
        </is>
      </c>
    </row>
    <row r="197">
      <c r="A197" s="6" t="inlineStr">
        <is>
          <t>812910</t>
        </is>
      </c>
      <c r="B197" s="7" t="inlineStr">
        <is>
          <t>ELOX alu oldalajtó zsanér, lépcsős</t>
        </is>
      </c>
      <c r="C197" s="6" t="inlineStr">
        <is>
          <t>Dobozos felépítmény alkatrészek</t>
        </is>
      </c>
      <c r="D197" s="6" t="inlineStr">
        <is>
          <t>Zsanérok</t>
        </is>
      </c>
      <c r="E197" s="6" t="inlineStr">
        <is>
          <t>Alu-SV</t>
        </is>
      </c>
      <c r="F197" s="6" t="inlineStr">
        <is>
          <t>62LP212910</t>
        </is>
      </c>
      <c r="G197" s="6" t="inlineStr">
        <is>
          <t>Quadris Excel</t>
        </is>
      </c>
      <c r="H197" s="6" t="n">
        <v>1</v>
      </c>
      <c r="I197" s="6" t="n">
        <v>7</v>
      </c>
      <c r="J197" s="6" t="inlineStr">
        <is>
          <t>nincs</t>
        </is>
      </c>
      <c r="K197" s="6">
        <f>IF(AND(H197&gt;0,I197&gt;0),"Rendben",IF(AND(H197=0,I197=0),"Nincs kép és adat",IF(H197=0,"Nincs kép","Nincs adat")))</f>
        <v/>
      </c>
      <c r="L197" s="6" t="inlineStr">
        <is>
          <t>Igen</t>
        </is>
      </c>
      <c r="M197" s="7" t="inlineStr">
        <is>
          <t>alu-sv.com webáruház, keresés rendelési számra</t>
        </is>
      </c>
      <c r="N197" s="7" t="inlineStr">
        <is>
          <t>Megtalálva: Hinge AL 180° anodized 170x48mm (kód: 62LP212910)</t>
        </is>
      </c>
      <c r="O197" s="11" t="inlineStr">
        <is>
          <t>https://www.alu-sv.com/en/goods.ep/4000022_closed-body-hinges/103000083_hinge-al-180-anodized-170x48mm</t>
        </is>
      </c>
      <c r="P197" s="11" t="inlineStr">
        <is>
          <t>https://website-9ib.pages.dev/termek/812910-elox-alu-oldalajto-zsaner-lepcsos/</t>
        </is>
      </c>
      <c r="Q197" s="12" t="inlineStr"/>
      <c r="R197" s="13" t="inlineStr"/>
      <c r="S197" s="6" t="inlineStr">
        <is>
          <t>812910-elox-alu-oldalajto-zsaner-lepcsos</t>
        </is>
      </c>
    </row>
    <row r="198">
      <c r="A198" s="6" t="inlineStr">
        <is>
          <t>102040</t>
        </is>
      </c>
      <c r="B198" s="7" t="inlineStr">
        <is>
          <t>INOX sarokelem nagy</t>
        </is>
      </c>
      <c r="C198" s="6" t="inlineStr">
        <is>
          <t>Dobozos felépítmény alkatrészek</t>
        </is>
      </c>
      <c r="D198" s="6" t="inlineStr">
        <is>
          <t>Egyéb dobozos felépítmény tartozékok</t>
        </is>
      </c>
      <c r="E198" s="6" t="inlineStr">
        <is>
          <t>Alu-SV</t>
        </is>
      </c>
      <c r="F198" s="6" t="inlineStr">
        <is>
          <t>62002040P9</t>
        </is>
      </c>
      <c r="G198" s="6" t="inlineStr">
        <is>
          <t>Quadris Excel</t>
        </is>
      </c>
      <c r="H198" s="6" t="n">
        <v>1</v>
      </c>
      <c r="I198" s="6" t="n">
        <v>7</v>
      </c>
      <c r="J198" s="6" t="inlineStr">
        <is>
          <t>nincs</t>
        </is>
      </c>
      <c r="K198" s="6">
        <f>IF(AND(H198&gt;0,I198&gt;0),"Rendben",IF(AND(H198=0,I198=0),"Nincs kép és adat",IF(H198=0,"Nincs kép","Nincs adat")))</f>
        <v/>
      </c>
      <c r="L198" s="6" t="inlineStr">
        <is>
          <t>Igen</t>
        </is>
      </c>
      <c r="M198" s="7" t="inlineStr">
        <is>
          <t>alu-sv.com webáruház, keresés rendelési számra</t>
        </is>
      </c>
      <c r="N198" s="7" t="inlineStr">
        <is>
          <t>Megtalálva: Box corner protector 115x115x115mm inox (kód: 62002040P9)</t>
        </is>
      </c>
      <c r="O198" s="11" t="inlineStr">
        <is>
          <t>https://www.alu-sv.com/en/goods.ep/4000027_closed-body-arcal/91000042_box-corner-protector-115x115x115mm-inox</t>
        </is>
      </c>
      <c r="P198" s="11" t="inlineStr">
        <is>
          <t>https://website-9ib.pages.dev/termek/102040-inox-sarokelem-nagy/</t>
        </is>
      </c>
      <c r="Q198" s="12" t="inlineStr"/>
      <c r="R198" s="13" t="inlineStr"/>
      <c r="S198" s="6" t="inlineStr">
        <is>
          <t>102040-inox-sarokelem-nagy</t>
        </is>
      </c>
    </row>
    <row r="199">
      <c r="A199" s="6" t="inlineStr">
        <is>
          <t>502501</t>
        </is>
      </c>
      <c r="B199" s="7" t="inlineStr">
        <is>
          <t>Szimpla görgős gumiütköző/D100/118</t>
        </is>
      </c>
      <c r="C199" s="6" t="inlineStr">
        <is>
          <t>Dobozos felépítmény alkatrészek</t>
        </is>
      </c>
      <c r="D199" s="6" t="inlineStr">
        <is>
          <t>Gumiütközők</t>
        </is>
      </c>
      <c r="E199" s="6" t="inlineStr">
        <is>
          <t>Alu-SV</t>
        </is>
      </c>
      <c r="F199" s="6" t="inlineStr">
        <is>
          <t>55322252</t>
        </is>
      </c>
      <c r="G199" s="6" t="inlineStr">
        <is>
          <t>Quadris Excel</t>
        </is>
      </c>
      <c r="H199" s="6" t="n">
        <v>0</v>
      </c>
      <c r="I199" s="6" t="n">
        <v>0</v>
      </c>
      <c r="J199" s="6" t="inlineStr">
        <is>
          <t>nincs</t>
        </is>
      </c>
      <c r="K199" s="6">
        <f>IF(AND(H199&gt;0,I199&gt;0),"Rendben",IF(AND(H199=0,I199=0),"Nincs kép és adat",IF(H199=0,"Nincs kép","Nincs adat")))</f>
        <v/>
      </c>
      <c r="L199" s="6" t="inlineStr">
        <is>
          <t>Igen</t>
        </is>
      </c>
      <c r="M199" s="7" t="inlineStr">
        <is>
          <t>alu-sv.com webáruház, keresés rendelési számra</t>
        </is>
      </c>
      <c r="N199" s="7" t="inlineStr">
        <is>
          <t>Nem találtuk: alu-sv.com webáruház, keresés rendelési számra</t>
        </is>
      </c>
      <c r="O199" s="6" t="inlineStr"/>
      <c r="P199" s="11" t="inlineStr">
        <is>
          <t>https://website-9ib.pages.dev/termek/502501-szimpla-gorgos-gumiutkozo-d100-118/</t>
        </is>
      </c>
      <c r="Q199" s="12" t="inlineStr"/>
      <c r="R199" s="13" t="inlineStr"/>
      <c r="S199" s="6" t="inlineStr">
        <is>
          <t>502501-szimpla-gorgos-gumiutkozo-d100-118</t>
        </is>
      </c>
    </row>
    <row r="200">
      <c r="A200" s="6" t="inlineStr">
        <is>
          <t>502500</t>
        </is>
      </c>
      <c r="B200" s="7" t="inlineStr">
        <is>
          <t>Szimpla görgős gumiütköző/D70/85</t>
        </is>
      </c>
      <c r="C200" s="6" t="inlineStr">
        <is>
          <t>Dobozos felépítmény alkatrészek</t>
        </is>
      </c>
      <c r="D200" s="6" t="inlineStr">
        <is>
          <t>Gumiütközők</t>
        </is>
      </c>
      <c r="E200" s="6" t="inlineStr">
        <is>
          <t>Alu-SV</t>
        </is>
      </c>
      <c r="F200" s="6" t="inlineStr">
        <is>
          <t>43950250C0</t>
        </is>
      </c>
      <c r="G200" s="6" t="inlineStr">
        <is>
          <t>Quadris Excel</t>
        </is>
      </c>
      <c r="H200" s="6" t="n">
        <v>1</v>
      </c>
      <c r="I200" s="6" t="n">
        <v>8</v>
      </c>
      <c r="J200" s="6" t="inlineStr">
        <is>
          <t>nincs</t>
        </is>
      </c>
      <c r="K200" s="6">
        <f>IF(AND(H200&gt;0,I200&gt;0),"Rendben",IF(AND(H200=0,I200=0),"Nincs kép és adat",IF(H200=0,"Nincs kép","Nincs adat")))</f>
        <v/>
      </c>
      <c r="L200" s="6" t="inlineStr">
        <is>
          <t>Igen</t>
        </is>
      </c>
      <c r="M200" s="7" t="inlineStr">
        <is>
          <t>alu-sv.com webáruház, keresés rendelési számra</t>
        </is>
      </c>
      <c r="N200" s="7" t="inlineStr">
        <is>
          <t>Megtalálva: Buffer with rollers 1 cylinder 120x92mm (kód: 43950250C0)</t>
        </is>
      </c>
      <c r="O200" s="11" t="inlineStr">
        <is>
          <t>https://www.alu-sv.com/en/goods.ep/4000043_bumpers-and-buffers/99000116_buffer-with-rollers-1-cylinder-120x92mm</t>
        </is>
      </c>
      <c r="P200" s="11" t="inlineStr">
        <is>
          <t>https://website-9ib.pages.dev/termek/502500-szimpla-gorgos-gumiutkozo-d70-85/</t>
        </is>
      </c>
      <c r="Q200" s="12" t="inlineStr"/>
      <c r="R200" s="13" t="inlineStr"/>
      <c r="S200" s="6" t="inlineStr">
        <is>
          <t>502500-szimpla-gorgos-gumiutkozo-d70-85</t>
        </is>
      </c>
    </row>
    <row r="201">
      <c r="A201" s="6" t="inlineStr">
        <is>
          <t>103654</t>
        </is>
      </c>
      <c r="B201" s="7" t="inlineStr">
        <is>
          <t>Öntött sarokelem</t>
        </is>
      </c>
      <c r="C201" s="6" t="inlineStr">
        <is>
          <t>Dobozos felépítmény alkatrészek</t>
        </is>
      </c>
      <c r="D201" s="6" t="inlineStr">
        <is>
          <t>Egyéb dobozos felépítmény tartozékok</t>
        </is>
      </c>
      <c r="E201" s="6" t="inlineStr">
        <is>
          <t>Alu-SV</t>
        </is>
      </c>
      <c r="F201" s="6" t="inlineStr"/>
      <c r="G201" s="6" t="inlineStr">
        <is>
          <t>Quadris Excel</t>
        </is>
      </c>
      <c r="H201" s="6" t="n">
        <v>0</v>
      </c>
      <c r="I201" s="6" t="n">
        <v>0</v>
      </c>
      <c r="J201" s="6" t="inlineStr">
        <is>
          <t>nincs</t>
        </is>
      </c>
      <c r="K201" s="6">
        <f>IF(AND(H201&gt;0,I201&gt;0),"Rendben",IF(AND(H201=0,I201=0),"Nincs kép és adat",IF(H201=0,"Nincs kép","Nincs adat")))</f>
        <v/>
      </c>
      <c r="L201" s="6" t="inlineStr">
        <is>
          <t>Igen</t>
        </is>
      </c>
      <c r="M201" s="7" t="inlineStr">
        <is>
          <t>alu-sv.com webáruház, keresés rendelési számra</t>
        </is>
      </c>
      <c r="N201" s="7" t="inlineStr">
        <is>
          <t>Nem találtuk: alu-sv.com webáruház, keresés rendelési számra</t>
        </is>
      </c>
      <c r="O201" s="6" t="inlineStr"/>
      <c r="P201" s="11" t="inlineStr">
        <is>
          <t>https://website-9ib.pages.dev/termek/103654-ontott-sarokelem/</t>
        </is>
      </c>
      <c r="Q201" s="12" t="inlineStr"/>
      <c r="R201" s="13" t="inlineStr"/>
      <c r="S201" s="6" t="inlineStr">
        <is>
          <t>103654-ontott-sarokelem</t>
        </is>
      </c>
    </row>
    <row r="202">
      <c r="A202" s="6" t="inlineStr"/>
      <c r="B202" s="7" t="inlineStr">
        <is>
          <t>66K0800 Alu zártszelvény 80x35/4R elox</t>
        </is>
      </c>
      <c r="C202" s="6" t="inlineStr">
        <is>
          <t>Elhúzható rolóponyvás rendszer</t>
        </is>
      </c>
      <c r="D202" s="6" t="inlineStr">
        <is>
          <t>Alumínium sarok oszlopok</t>
        </is>
      </c>
      <c r="E202" s="6" t="inlineStr">
        <is>
          <t>Alu-SV</t>
        </is>
      </c>
      <c r="F202" s="6" t="inlineStr">
        <is>
          <t>66K0EU0800</t>
        </is>
      </c>
      <c r="G202" s="6" t="inlineStr">
        <is>
          <t>Quadris Excel</t>
        </is>
      </c>
      <c r="H202" s="6" t="n">
        <v>1</v>
      </c>
      <c r="I202" s="6" t="n">
        <v>7</v>
      </c>
      <c r="J202" s="6" t="inlineStr">
        <is>
          <t>nincs</t>
        </is>
      </c>
      <c r="K202" s="6">
        <f>IF(AND(H202&gt;0,I202&gt;0),"Rendben",IF(AND(H202=0,I202=0),"Nincs kép és adat",IF(H202=0,"Nincs kép","Nincs adat")))</f>
        <v/>
      </c>
      <c r="L202" s="6" t="inlineStr">
        <is>
          <t>Igen</t>
        </is>
      </c>
      <c r="M202" s="7" t="inlineStr">
        <is>
          <t>alu-sv.com webáruház, keresés rendelési számra</t>
        </is>
      </c>
      <c r="N202" s="7" t="inlineStr">
        <is>
          <t>Megtalálva: Profile CS MINI 80x35mm, anodized (kód: 66K0EU0800)</t>
        </is>
      </c>
      <c r="O202" s="11" t="inlineStr">
        <is>
          <t>https://www.alu-sv.com/en/goods.ep/4000006_pillars/28000322_profile-cs-mini-80x35mm--anodized</t>
        </is>
      </c>
      <c r="P202" s="11" t="inlineStr">
        <is>
          <t>https://website-9ib.pages.dev/termek/66k0800-alu-zartszelveny-80x35-4r-elox/</t>
        </is>
      </c>
      <c r="Q202" s="12" t="inlineStr"/>
      <c r="R202" s="13" t="inlineStr"/>
      <c r="S202" s="6" t="inlineStr">
        <is>
          <t>66k0800-alu-zartszelveny-80x35-4r-elox</t>
        </is>
      </c>
    </row>
    <row r="203">
      <c r="A203" s="6" t="inlineStr">
        <is>
          <t>6613366</t>
        </is>
      </c>
      <c r="B203" s="7" t="inlineStr">
        <is>
          <t>AL/ECO 120 mm külső palást profil elox</t>
        </is>
      </c>
      <c r="C203" s="6" t="inlineStr">
        <is>
          <t>Elhúzható rolóponyvás rendszer</t>
        </is>
      </c>
      <c r="D203" s="6" t="inlineStr">
        <is>
          <t>Alumínium sarok oszlopok</t>
        </is>
      </c>
      <c r="E203" s="6" t="inlineStr">
        <is>
          <t>Alu-SV</t>
        </is>
      </c>
      <c r="F203" s="6" t="inlineStr">
        <is>
          <t>6612013366</t>
        </is>
      </c>
      <c r="G203" s="6" t="inlineStr">
        <is>
          <t>Quadris Excel</t>
        </is>
      </c>
      <c r="H203" s="6" t="n">
        <v>1</v>
      </c>
      <c r="I203" s="6" t="n">
        <v>7</v>
      </c>
      <c r="J203" s="6" t="inlineStr">
        <is>
          <t>nincs</t>
        </is>
      </c>
      <c r="K203" s="6">
        <f>IF(AND(H203&gt;0,I203&gt;0),"Rendben",IF(AND(H203=0,I203=0),"Nincs kép és adat",IF(H203=0,"Nincs kép","Nincs adat")))</f>
        <v/>
      </c>
      <c r="L203" s="6" t="inlineStr">
        <is>
          <t>Igen</t>
        </is>
      </c>
      <c r="M203" s="7" t="inlineStr">
        <is>
          <t>alu-sv.com webáruház, keresés rendelési számra</t>
        </is>
      </c>
      <c r="N203" s="7" t="inlineStr">
        <is>
          <t>Megtalálva: AL/ECO sheet profile 120mm, anodize (kód: 6612013366)</t>
        </is>
      </c>
      <c r="O203" s="11" t="inlineStr">
        <is>
          <t>https://www.alu-sv.com/en/goods.ep/4000017_edscha-cs/910092718_al-eco-sheet-profile-120mm--anodize</t>
        </is>
      </c>
      <c r="P203" s="11" t="inlineStr">
        <is>
          <t>https://website-9ib.pages.dev/termek/6613366-al-eco-120-mm-kulso-palast-profil-elox/</t>
        </is>
      </c>
      <c r="Q203" s="12" t="inlineStr"/>
      <c r="R203" s="13" t="inlineStr"/>
      <c r="S203" s="6" t="inlineStr">
        <is>
          <t>6613366-al-eco-120-mm-kulso-palast-profil-elox</t>
        </is>
      </c>
    </row>
    <row r="204">
      <c r="A204" s="6" t="inlineStr">
        <is>
          <t>6613365</t>
        </is>
      </c>
      <c r="B204" s="7" t="inlineStr">
        <is>
          <t>AL/ECO merevítő profil natúr</t>
        </is>
      </c>
      <c r="C204" s="6" t="inlineStr">
        <is>
          <t>Elhúzható rolóponyvás rendszer</t>
        </is>
      </c>
      <c r="D204" s="6" t="inlineStr">
        <is>
          <t>Alumínium sarok oszlopok</t>
        </is>
      </c>
      <c r="E204" s="6" t="inlineStr">
        <is>
          <t>Alu-SV</t>
        </is>
      </c>
      <c r="F204" s="6" t="inlineStr">
        <is>
          <t>6600013365</t>
        </is>
      </c>
      <c r="G204" s="6" t="inlineStr">
        <is>
          <t>Quadris Excel</t>
        </is>
      </c>
      <c r="H204" s="6" t="n">
        <v>1</v>
      </c>
      <c r="I204" s="6" t="n">
        <v>7</v>
      </c>
      <c r="J204" s="6" t="inlineStr">
        <is>
          <t>nincs</t>
        </is>
      </c>
      <c r="K204" s="6">
        <f>IF(AND(H204&gt;0,I204&gt;0),"Rendben",IF(AND(H204=0,I204=0),"Nincs kép és adat",IF(H204=0,"Nincs kép","Nincs adat")))</f>
        <v/>
      </c>
      <c r="L204" s="6" t="inlineStr">
        <is>
          <t>Igen</t>
        </is>
      </c>
      <c r="M204" s="7" t="inlineStr">
        <is>
          <t>alu-sv.com webáruház, keresés rendelési számra</t>
        </is>
      </c>
      <c r="N204" s="7" t="inlineStr">
        <is>
          <t>Megtalálva: AL/ECO sheet profile counterpart (kód: 6600013365)</t>
        </is>
      </c>
      <c r="O204" s="11" t="inlineStr">
        <is>
          <t>https://www.alu-sv.com/en/goods.ep/4000017_edscha-cs/910092720_al-eco-sheet-profile-counterpart</t>
        </is>
      </c>
      <c r="P204" s="11" t="inlineStr">
        <is>
          <t>https://website-9ib.pages.dev/termek/6613365-al-eco-merevito-profil-natur/</t>
        </is>
      </c>
      <c r="Q204" s="12" t="inlineStr"/>
      <c r="R204" s="13" t="inlineStr"/>
      <c r="S204" s="6" t="inlineStr">
        <is>
          <t>6613365-al-eco-merevito-profil-natur</t>
        </is>
      </c>
    </row>
    <row r="205">
      <c r="A205" s="6" t="inlineStr"/>
      <c r="B205" s="7" t="inlineStr">
        <is>
          <t>ALU első takaró lemez</t>
        </is>
      </c>
      <c r="C205" s="6" t="inlineStr">
        <is>
          <t>Elhúzható rolóponyvás rendszer</t>
        </is>
      </c>
      <c r="D205" s="6" t="inlineStr">
        <is>
          <t>Alumínium sarok oszlopok</t>
        </is>
      </c>
      <c r="E205" s="6" t="inlineStr">
        <is>
          <t>Alu-SV</t>
        </is>
      </c>
      <c r="F205" s="6" t="inlineStr">
        <is>
          <t>66PL111085</t>
        </is>
      </c>
      <c r="G205" s="6" t="inlineStr">
        <is>
          <t>Quadris Excel</t>
        </is>
      </c>
      <c r="H205" s="6" t="n">
        <v>1</v>
      </c>
      <c r="I205" s="6" t="n">
        <v>7</v>
      </c>
      <c r="J205" s="6" t="inlineStr">
        <is>
          <t>nincs</t>
        </is>
      </c>
      <c r="K205" s="6">
        <f>IF(AND(H205&gt;0,I205&gt;0),"Rendben",IF(AND(H205=0,I205=0),"Nincs kép és adat",IF(H205=0,"Nincs kép","Nincs adat")))</f>
        <v/>
      </c>
      <c r="L205" s="6" t="inlineStr">
        <is>
          <t>Igen</t>
        </is>
      </c>
      <c r="M205" s="7" t="inlineStr">
        <is>
          <t>alu-sv.com webáruház, keresés rendelési számra</t>
        </is>
      </c>
      <c r="N205" s="7" t="inlineStr">
        <is>
          <t>Megtalálva: Front plate 2550mm, anod (kód: 66PL111085)</t>
        </is>
      </c>
      <c r="O205" s="11" t="inlineStr">
        <is>
          <t>https://www.alu-sv.com/en/goods.ep/4000017_edscha-cs/910111993_front-plate-2550mm--anod</t>
        </is>
      </c>
      <c r="P205" s="11" t="inlineStr">
        <is>
          <t>https://website-9ib.pages.dev/termek/alu-elso-takaro-lemez/</t>
        </is>
      </c>
      <c r="Q205" s="12" t="inlineStr"/>
      <c r="R205" s="13" t="inlineStr"/>
      <c r="S205" s="6" t="inlineStr">
        <is>
          <t>alu-elso-takaro-lemez</t>
        </is>
      </c>
    </row>
    <row r="206">
      <c r="A206" s="6" t="inlineStr">
        <is>
          <t>66177147</t>
        </is>
      </c>
      <c r="B206" s="7" t="inlineStr">
        <is>
          <t>MAX-os első elox oszlop 3000 mm</t>
        </is>
      </c>
      <c r="C206" s="6" t="inlineStr">
        <is>
          <t>Elhúzható rolóponyvás rendszer</t>
        </is>
      </c>
      <c r="D206" s="6" t="inlineStr">
        <is>
          <t>Alumínium sarok oszlopok</t>
        </is>
      </c>
      <c r="E206" s="6" t="inlineStr">
        <is>
          <t>Alu-SV</t>
        </is>
      </c>
      <c r="F206" s="6" t="inlineStr">
        <is>
          <t>66OP177147</t>
        </is>
      </c>
      <c r="G206" s="6" t="inlineStr">
        <is>
          <t>Quadris Excel</t>
        </is>
      </c>
      <c r="H206" s="6" t="n">
        <v>0</v>
      </c>
      <c r="I206" s="6" t="n">
        <v>0</v>
      </c>
      <c r="J206" s="6" t="inlineStr">
        <is>
          <t>nincs</t>
        </is>
      </c>
      <c r="K206" s="6">
        <f>IF(AND(H206&gt;0,I206&gt;0),"Rendben",IF(AND(H206=0,I206=0),"Nincs kép és adat",IF(H206=0,"Nincs kép","Nincs adat")))</f>
        <v/>
      </c>
      <c r="L206" s="6" t="inlineStr">
        <is>
          <t>Igen</t>
        </is>
      </c>
      <c r="M206" s="7" t="inlineStr">
        <is>
          <t>alu-sv.com webáruház, keresés rendelési számra</t>
        </is>
      </c>
      <c r="N206" s="7" t="inlineStr">
        <is>
          <t>Nem találtuk: alu-sv.com webáruház, keresés rendelési számra</t>
        </is>
      </c>
      <c r="O206" s="6" t="inlineStr"/>
      <c r="P206" s="11" t="inlineStr">
        <is>
          <t>https://website-9ib.pages.dev/termek/66177147-max-os-elso-elox-oszlop-3000-mm/</t>
        </is>
      </c>
      <c r="Q206" s="12" t="inlineStr"/>
      <c r="R206" s="13" t="inlineStr"/>
      <c r="S206" s="6" t="inlineStr">
        <is>
          <t>66177147-max-os-elso-elox-oszlop-3000-mm</t>
        </is>
      </c>
    </row>
    <row r="207">
      <c r="A207" s="6" t="inlineStr">
        <is>
          <t>66177137</t>
        </is>
      </c>
      <c r="B207" s="7" t="inlineStr">
        <is>
          <t>MAX-os első elox oszlop 3150 mm</t>
        </is>
      </c>
      <c r="C207" s="6" t="inlineStr">
        <is>
          <t>Elhúzható rolóponyvás rendszer</t>
        </is>
      </c>
      <c r="D207" s="6" t="inlineStr">
        <is>
          <t>Alumínium sarok oszlopok</t>
        </is>
      </c>
      <c r="E207" s="6" t="inlineStr">
        <is>
          <t>Alu-SV</t>
        </is>
      </c>
      <c r="F207" s="6" t="inlineStr">
        <is>
          <t>66OP177137</t>
        </is>
      </c>
      <c r="G207" s="6" t="inlineStr">
        <is>
          <t>Quadris Excel</t>
        </is>
      </c>
      <c r="H207" s="6" t="n">
        <v>0</v>
      </c>
      <c r="I207" s="6" t="n">
        <v>0</v>
      </c>
      <c r="J207" s="6" t="inlineStr">
        <is>
          <t>nincs</t>
        </is>
      </c>
      <c r="K207" s="6">
        <f>IF(AND(H207&gt;0,I207&gt;0),"Rendben",IF(AND(H207=0,I207=0),"Nincs kép és adat",IF(H207=0,"Nincs kép","Nincs adat")))</f>
        <v/>
      </c>
      <c r="L207" s="6" t="inlineStr">
        <is>
          <t>Igen</t>
        </is>
      </c>
      <c r="M207" s="7" t="inlineStr">
        <is>
          <t>alu-sv.com webáruház, keresés rendelési számra</t>
        </is>
      </c>
      <c r="N207" s="7" t="inlineStr">
        <is>
          <t>Nem találtuk: alu-sv.com webáruház, keresés rendelési számra</t>
        </is>
      </c>
      <c r="O207" s="6" t="inlineStr"/>
      <c r="P207" s="11" t="inlineStr">
        <is>
          <t>https://website-9ib.pages.dev/termek/66177137-max-os-elso-elox-oszlop-3150-mm/</t>
        </is>
      </c>
      <c r="Q207" s="12" t="inlineStr"/>
      <c r="R207" s="13" t="inlineStr"/>
      <c r="S207" s="6" t="inlineStr">
        <is>
          <t>66177137-max-os-elso-elox-oszlop-3150-mm</t>
        </is>
      </c>
    </row>
    <row r="208">
      <c r="A208" s="6" t="inlineStr">
        <is>
          <t>66177300</t>
        </is>
      </c>
      <c r="B208" s="7" t="inlineStr">
        <is>
          <t>MAX-os első elox oszlop 3300 mm</t>
        </is>
      </c>
      <c r="C208" s="6" t="inlineStr">
        <is>
          <t>Elhúzható rolóponyvás rendszer</t>
        </is>
      </c>
      <c r="D208" s="6" t="inlineStr">
        <is>
          <t>Alumínium sarok oszlopok</t>
        </is>
      </c>
      <c r="E208" s="6" t="inlineStr">
        <is>
          <t>Alu-SV</t>
        </is>
      </c>
      <c r="F208" s="6" t="inlineStr">
        <is>
          <t>66OP177127</t>
        </is>
      </c>
      <c r="G208" s="6" t="inlineStr">
        <is>
          <t>Quadris Excel</t>
        </is>
      </c>
      <c r="H208" s="6" t="n">
        <v>0</v>
      </c>
      <c r="I208" s="6" t="n">
        <v>0</v>
      </c>
      <c r="J208" s="6" t="inlineStr">
        <is>
          <t>nincs</t>
        </is>
      </c>
      <c r="K208" s="6">
        <f>IF(AND(H208&gt;0,I208&gt;0),"Rendben",IF(AND(H208=0,I208=0),"Nincs kép és adat",IF(H208=0,"Nincs kép","Nincs adat")))</f>
        <v/>
      </c>
      <c r="L208" s="6" t="inlineStr">
        <is>
          <t>Igen</t>
        </is>
      </c>
      <c r="M208" s="7" t="inlineStr">
        <is>
          <t>alu-sv.com webáruház, keresés rendelési számra</t>
        </is>
      </c>
      <c r="N208" s="7" t="inlineStr">
        <is>
          <t>Nem találtuk: alu-sv.com webáruház, keresés rendelési számra</t>
        </is>
      </c>
      <c r="O208" s="6" t="inlineStr"/>
      <c r="P208" s="11" t="inlineStr">
        <is>
          <t>https://website-9ib.pages.dev/termek/66177300-max-os-elso-elox-oszlop-3300-mm/</t>
        </is>
      </c>
      <c r="Q208" s="12" t="inlineStr"/>
      <c r="R208" s="13" t="inlineStr"/>
      <c r="S208" s="6" t="inlineStr">
        <is>
          <t>66177300-max-os-elso-elox-oszlop-3300-mm</t>
        </is>
      </c>
    </row>
    <row r="209">
      <c r="A209" s="6" t="inlineStr">
        <is>
          <t>6635245</t>
        </is>
      </c>
      <c r="B209" s="7" t="inlineStr">
        <is>
          <t>MAX-os hátsó elox oszlop 3000 mm</t>
        </is>
      </c>
      <c r="C209" s="6" t="inlineStr">
        <is>
          <t>Elhúzható rolóponyvás rendszer</t>
        </is>
      </c>
      <c r="D209" s="6" t="inlineStr">
        <is>
          <t>Alumínium sarok oszlopok</t>
        </is>
      </c>
      <c r="E209" s="6" t="inlineStr">
        <is>
          <t>Alu-SV</t>
        </is>
      </c>
      <c r="F209" s="6" t="inlineStr">
        <is>
          <t>66OZ035245</t>
        </is>
      </c>
      <c r="G209" s="6" t="inlineStr">
        <is>
          <t>Quadris Excel</t>
        </is>
      </c>
      <c r="H209" s="6" t="n">
        <v>0</v>
      </c>
      <c r="I209" s="6" t="n">
        <v>0</v>
      </c>
      <c r="J209" s="6" t="inlineStr">
        <is>
          <t>nincs</t>
        </is>
      </c>
      <c r="K209" s="6">
        <f>IF(AND(H209&gt;0,I209&gt;0),"Rendben",IF(AND(H209=0,I209=0),"Nincs kép és adat",IF(H209=0,"Nincs kép","Nincs adat")))</f>
        <v/>
      </c>
      <c r="L209" s="6" t="inlineStr">
        <is>
          <t>Igen</t>
        </is>
      </c>
      <c r="M209" s="7" t="inlineStr">
        <is>
          <t>alu-sv.com webáruház, keresés rendelési számra</t>
        </is>
      </c>
      <c r="N209" s="7" t="inlineStr">
        <is>
          <t>Nem találtuk: alu-sv.com webáruház, keresés rendelési számra</t>
        </is>
      </c>
      <c r="O209" s="6" t="inlineStr"/>
      <c r="P209" s="11" t="inlineStr">
        <is>
          <t>https://website-9ib.pages.dev/termek/6635245-max-os-hatso-elox-oszlop-3000-mm/</t>
        </is>
      </c>
      <c r="Q209" s="12" t="inlineStr"/>
      <c r="R209" s="13" t="inlineStr"/>
      <c r="S209" s="6" t="inlineStr">
        <is>
          <t>6635245-max-os-hatso-elox-oszlop-3000-mm</t>
        </is>
      </c>
    </row>
    <row r="210">
      <c r="A210" s="6" t="inlineStr">
        <is>
          <t>6635255</t>
        </is>
      </c>
      <c r="B210" s="7" t="inlineStr">
        <is>
          <t>MAX-os hátsó elox oszlop 3150 mm</t>
        </is>
      </c>
      <c r="C210" s="6" t="inlineStr">
        <is>
          <t>Elhúzható rolóponyvás rendszer</t>
        </is>
      </c>
      <c r="D210" s="6" t="inlineStr">
        <is>
          <t>Alumínium sarok oszlopok</t>
        </is>
      </c>
      <c r="E210" s="6" t="inlineStr">
        <is>
          <t>Alu-SV</t>
        </is>
      </c>
      <c r="F210" s="6" t="inlineStr">
        <is>
          <t>66OZ035255</t>
        </is>
      </c>
      <c r="G210" s="6" t="inlineStr">
        <is>
          <t>Quadris Excel</t>
        </is>
      </c>
      <c r="H210" s="6" t="n">
        <v>1</v>
      </c>
      <c r="I210" s="6" t="n">
        <v>7</v>
      </c>
      <c r="J210" s="6" t="inlineStr">
        <is>
          <t>nincs</t>
        </is>
      </c>
      <c r="K210" s="6">
        <f>IF(AND(H210&gt;0,I210&gt;0),"Rendben",IF(AND(H210=0,I210=0),"Nincs kép és adat",IF(H210=0,"Nincs kép","Nincs adat")))</f>
        <v/>
      </c>
      <c r="L210" s="6" t="inlineStr">
        <is>
          <t>Igen</t>
        </is>
      </c>
      <c r="M210" s="7" t="inlineStr">
        <is>
          <t>alu-sv.com webáruház, keresés rendelési számra</t>
        </is>
      </c>
      <c r="N210" s="7" t="inlineStr">
        <is>
          <t>Megtalálva: Pillar profile CS MAX rear, 3150mm, anod (kód: 66OZ035255)</t>
        </is>
      </c>
      <c r="O210" s="11" t="inlineStr">
        <is>
          <t>https://www.alu-sv.com/en/goods.ep/13000002_side-pillars--front-and-rear-al-pillars/10000293_pillar-profile-cs-max-rear--3150mm--anod</t>
        </is>
      </c>
      <c r="P210" s="11" t="inlineStr">
        <is>
          <t>https://website-9ib.pages.dev/termek/6635255-max-os-hatso-elox-oszlop-3150-mm/</t>
        </is>
      </c>
      <c r="Q210" s="12" t="inlineStr"/>
      <c r="R210" s="13" t="inlineStr"/>
      <c r="S210" s="6" t="inlineStr">
        <is>
          <t>6635255-max-os-hatso-elox-oszlop-3150-mm</t>
        </is>
      </c>
    </row>
    <row r="211">
      <c r="A211" s="6" t="inlineStr">
        <is>
          <t>6635300</t>
        </is>
      </c>
      <c r="B211" s="7" t="inlineStr">
        <is>
          <t>MAX-os hátsó elox oszlop 3300 mm</t>
        </is>
      </c>
      <c r="C211" s="6" t="inlineStr">
        <is>
          <t>Elhúzható rolóponyvás rendszer</t>
        </is>
      </c>
      <c r="D211" s="6" t="inlineStr">
        <is>
          <t>Alumínium sarok oszlopok</t>
        </is>
      </c>
      <c r="E211" s="6" t="inlineStr">
        <is>
          <t>Alu-SV</t>
        </is>
      </c>
      <c r="F211" s="6" t="inlineStr">
        <is>
          <t>66OZ035265</t>
        </is>
      </c>
      <c r="G211" s="6" t="inlineStr">
        <is>
          <t>Quadris Excel</t>
        </is>
      </c>
      <c r="H211" s="6" t="n">
        <v>0</v>
      </c>
      <c r="I211" s="6" t="n">
        <v>0</v>
      </c>
      <c r="J211" s="6" t="inlineStr">
        <is>
          <t>nincs</t>
        </is>
      </c>
      <c r="K211" s="6">
        <f>IF(AND(H211&gt;0,I211&gt;0),"Rendben",IF(AND(H211=0,I211=0),"Nincs kép és adat",IF(H211=0,"Nincs kép","Nincs adat")))</f>
        <v/>
      </c>
      <c r="L211" s="6" t="inlineStr">
        <is>
          <t>Igen</t>
        </is>
      </c>
      <c r="M211" s="7" t="inlineStr">
        <is>
          <t>alu-sv.com webáruház, keresés rendelési számra</t>
        </is>
      </c>
      <c r="N211" s="7" t="inlineStr">
        <is>
          <t>Nem találtuk: alu-sv.com webáruház, keresés rendelési számra</t>
        </is>
      </c>
      <c r="O211" s="6" t="inlineStr"/>
      <c r="P211" s="11" t="inlineStr">
        <is>
          <t>https://website-9ib.pages.dev/termek/6635300-max-os-hatso-elox-oszlop-3300-mm/</t>
        </is>
      </c>
      <c r="Q211" s="12" t="inlineStr"/>
      <c r="R211" s="13" t="inlineStr"/>
      <c r="S211" s="6" t="inlineStr">
        <is>
          <t>6635300-max-os-hatso-elox-oszlop-3300-mm</t>
        </is>
      </c>
    </row>
    <row r="212">
      <c r="A212" s="6" t="inlineStr">
        <is>
          <t>663980</t>
        </is>
      </c>
      <c r="B212" s="7" t="inlineStr">
        <is>
          <t>MIDI első oszlop FLAT elox 246</t>
        </is>
      </c>
      <c r="C212" s="6" t="inlineStr">
        <is>
          <t>Elhúzható rolóponyvás rendszer</t>
        </is>
      </c>
      <c r="D212" s="6" t="inlineStr">
        <is>
          <t>Alumínium sarok oszlopok</t>
        </is>
      </c>
      <c r="E212" s="6" t="inlineStr">
        <is>
          <t>Alu-SV</t>
        </is>
      </c>
      <c r="F212" s="6" t="inlineStr">
        <is>
          <t>66KE309800</t>
        </is>
      </c>
      <c r="G212" s="6" t="inlineStr">
        <is>
          <t>Quadris Excel</t>
        </is>
      </c>
      <c r="H212" s="6" t="n">
        <v>1</v>
      </c>
      <c r="I212" s="6" t="n">
        <v>7</v>
      </c>
      <c r="J212" s="6" t="inlineStr">
        <is>
          <t>nincs</t>
        </is>
      </c>
      <c r="K212" s="6">
        <f>IF(AND(H212&gt;0,I212&gt;0),"Rendben",IF(AND(H212=0,I212=0),"Nincs kép és adat",IF(H212=0,"Nincs kép","Nincs adat")))</f>
        <v/>
      </c>
      <c r="L212" s="6" t="inlineStr">
        <is>
          <t>Igen</t>
        </is>
      </c>
      <c r="M212" s="7" t="inlineStr">
        <is>
          <t>alu-sv.com webáruház, keresés rendelési számra</t>
        </is>
      </c>
      <c r="N212" s="7" t="inlineStr">
        <is>
          <t>Megtalálva: Pillar profile CS MIDI head-on anod (kód: 66KE309800)</t>
        </is>
      </c>
      <c r="O212" s="11" t="inlineStr">
        <is>
          <t>https://www.alu-sv.com/en/goods.ep/13000002_side-pillars--front-and-rear-al-pillars/118000025_pillar-profile-cs-midi-head-on-anod</t>
        </is>
      </c>
      <c r="P212" s="11" t="inlineStr">
        <is>
          <t>https://website-9ib.pages.dev/termek/663980-midi-elso-oszlop-flat-elox-246/</t>
        </is>
      </c>
      <c r="Q212" s="12" t="inlineStr"/>
      <c r="R212" s="13" t="inlineStr"/>
      <c r="S212" s="6" t="inlineStr">
        <is>
          <t>663980-midi-elso-oszlop-flat-elox-246</t>
        </is>
      </c>
    </row>
    <row r="213">
      <c r="A213" s="6" t="inlineStr">
        <is>
          <t>661090</t>
        </is>
      </c>
      <c r="B213" s="7" t="inlineStr">
        <is>
          <t>MIDI első oszlop LIFT elox 135</t>
        </is>
      </c>
      <c r="C213" s="6" t="inlineStr">
        <is>
          <t>Elhúzható rolóponyvás rendszer</t>
        </is>
      </c>
      <c r="D213" s="6" t="inlineStr">
        <is>
          <t>Alumínium sarok oszlopok</t>
        </is>
      </c>
      <c r="E213" s="6" t="inlineStr">
        <is>
          <t>Alu-SV</t>
        </is>
      </c>
      <c r="F213" s="6" t="inlineStr">
        <is>
          <t>66K0EP1090</t>
        </is>
      </c>
      <c r="G213" s="6" t="inlineStr">
        <is>
          <t>Quadris Excel</t>
        </is>
      </c>
      <c r="H213" s="6" t="n">
        <v>1</v>
      </c>
      <c r="I213" s="6" t="n">
        <v>7</v>
      </c>
      <c r="J213" s="6" t="inlineStr">
        <is>
          <t>nincs</t>
        </is>
      </c>
      <c r="K213" s="6">
        <f>IF(AND(H213&gt;0,I213&gt;0),"Rendben",IF(AND(H213=0,I213=0),"Nincs kép és adat",IF(H213=0,"Nincs kép","Nincs adat")))</f>
        <v/>
      </c>
      <c r="L213" s="6" t="inlineStr">
        <is>
          <t>Igen</t>
        </is>
      </c>
      <c r="M213" s="7" t="inlineStr">
        <is>
          <t>alu-sv.com webáruház, keresés rendelési számra</t>
        </is>
      </c>
      <c r="N213" s="7" t="inlineStr">
        <is>
          <t>Megtalálva: Pillar profile CS MIDI front 135 anod. (kód: 66K0EP1090)</t>
        </is>
      </c>
      <c r="O213" s="11" t="inlineStr">
        <is>
          <t>https://www.alu-sv.com/en/goods.ep/13000002_side-pillars--front-and-rear-al-pillars/910120403_pillar-profile-cs-midi-front-135-anod.</t>
        </is>
      </c>
      <c r="P213" s="11" t="inlineStr">
        <is>
          <t>https://website-9ib.pages.dev/termek/661090-midi-elso-oszlop-lift-elox-135/</t>
        </is>
      </c>
      <c r="Q213" s="12" t="inlineStr"/>
      <c r="R213" s="13" t="inlineStr"/>
      <c r="S213" s="6" t="inlineStr">
        <is>
          <t>661090-midi-elso-oszlop-lift-elox-135</t>
        </is>
      </c>
    </row>
    <row r="214">
      <c r="A214" s="6" t="inlineStr">
        <is>
          <t>6614358</t>
        </is>
      </c>
      <c r="B214" s="7" t="inlineStr">
        <is>
          <t>MIDI hátsó "u" szegős oszlop elox</t>
        </is>
      </c>
      <c r="C214" s="6" t="inlineStr">
        <is>
          <t>Elhúzható rolóponyvás rendszer</t>
        </is>
      </c>
      <c r="D214" s="6" t="inlineStr">
        <is>
          <t>Alumínium sarok oszlopok</t>
        </is>
      </c>
      <c r="E214" s="6" t="inlineStr">
        <is>
          <t>Alu-SV</t>
        </is>
      </c>
      <c r="F214" s="6" t="inlineStr">
        <is>
          <t>66K2Z14358</t>
        </is>
      </c>
      <c r="G214" s="6" t="inlineStr">
        <is>
          <t>Quadris Excel</t>
        </is>
      </c>
      <c r="H214" s="6" t="n">
        <v>1</v>
      </c>
      <c r="I214" s="6" t="n">
        <v>7</v>
      </c>
      <c r="J214" s="6" t="inlineStr">
        <is>
          <t>nincs</t>
        </is>
      </c>
      <c r="K214" s="6">
        <f>IF(AND(H214&gt;0,I214&gt;0),"Rendben",IF(AND(H214=0,I214=0),"Nincs kép és adat",IF(H214=0,"Nincs kép","Nincs adat")))</f>
        <v/>
      </c>
      <c r="L214" s="6" t="inlineStr">
        <is>
          <t>Igen</t>
        </is>
      </c>
      <c r="M214" s="7" t="inlineStr">
        <is>
          <t>alu-sv.com webáruház, keresés rendelési számra</t>
        </is>
      </c>
      <c r="N214" s="7" t="inlineStr">
        <is>
          <t>Megtalálva: Pillar profile CS MIDI rear 2024, anod (kód: 66K2Z14358)</t>
        </is>
      </c>
      <c r="O214" s="11" t="inlineStr">
        <is>
          <t>https://www.alu-sv.com/en/goods.ep/13000002_side-pillars--front-and-rear-al-pillars/910191452_pillar-profile-cs-midi-rear-2024--anod</t>
        </is>
      </c>
      <c r="P214" s="11" t="inlineStr">
        <is>
          <t>https://website-9ib.pages.dev/termek/6614358-midi-hatso-u-szegos-oszlop-elox/</t>
        </is>
      </c>
      <c r="Q214" s="12" t="inlineStr"/>
      <c r="R214" s="13" t="inlineStr"/>
      <c r="S214" s="6" t="inlineStr">
        <is>
          <t>6614358-midi-hatso-u-szegos-oszlop-elox</t>
        </is>
      </c>
    </row>
    <row r="215">
      <c r="A215" s="6" t="inlineStr">
        <is>
          <t>662000</t>
        </is>
      </c>
      <c r="B215" s="7" t="inlineStr">
        <is>
          <t>MIDI hátsó LIFT oszlop elox</t>
        </is>
      </c>
      <c r="C215" s="6" t="inlineStr">
        <is>
          <t>Elhúzható rolóponyvás rendszer</t>
        </is>
      </c>
      <c r="D215" s="6" t="inlineStr">
        <is>
          <t>Alumínium sarok oszlopok</t>
        </is>
      </c>
      <c r="E215" s="6" t="inlineStr">
        <is>
          <t>Alu-SV</t>
        </is>
      </c>
      <c r="F215" s="6" t="inlineStr">
        <is>
          <t>66K0EZ2000</t>
        </is>
      </c>
      <c r="G215" s="6" t="inlineStr">
        <is>
          <t>Quadris Excel</t>
        </is>
      </c>
      <c r="H215" s="6" t="n">
        <v>1</v>
      </c>
      <c r="I215" s="6" t="n">
        <v>7</v>
      </c>
      <c r="J215" s="6" t="inlineStr">
        <is>
          <t>nincs</t>
        </is>
      </c>
      <c r="K215" s="6">
        <f>IF(AND(H215&gt;0,I215&gt;0),"Rendben",IF(AND(H215=0,I215=0),"Nincs kép és adat",IF(H215=0,"Nincs kép","Nincs adat")))</f>
        <v/>
      </c>
      <c r="L215" s="6" t="inlineStr">
        <is>
          <t>Igen</t>
        </is>
      </c>
      <c r="M215" s="7" t="inlineStr">
        <is>
          <t>alu-sv.com webáruház, keresés rendelési számra</t>
        </is>
      </c>
      <c r="N215" s="7" t="inlineStr">
        <is>
          <t>Megtalálva: Pillar profile CS MIDI rear lift anod. (kód: 66K0EZ2000)</t>
        </is>
      </c>
      <c r="O215" s="11" t="inlineStr">
        <is>
          <t>https://www.alu-sv.com/en/goods.ep/13000002_side-pillars--front-and-rear-al-pillars/114000054_pillar-profile-cs-midi-rear-lift-anod.</t>
        </is>
      </c>
      <c r="P215" s="11" t="inlineStr">
        <is>
          <t>https://website-9ib.pages.dev/termek/662000-midi-hatso-lift-oszlop-elox/</t>
        </is>
      </c>
      <c r="Q215" s="12" t="inlineStr"/>
      <c r="R215" s="13" t="inlineStr"/>
      <c r="S215" s="6" t="inlineStr">
        <is>
          <t>662000-midi-hatso-lift-oszlop-elox</t>
        </is>
      </c>
    </row>
    <row r="216">
      <c r="A216" s="6" t="inlineStr">
        <is>
          <t>6613575</t>
        </is>
      </c>
      <c r="B216" s="7" t="inlineStr">
        <is>
          <t>MINI első 100 alu oszlop elox</t>
        </is>
      </c>
      <c r="C216" s="6" t="inlineStr">
        <is>
          <t>Elhúzható rolóponyvás rendszer</t>
        </is>
      </c>
      <c r="D216" s="6" t="inlineStr">
        <is>
          <t>Alumínium sarok oszlopok</t>
        </is>
      </c>
      <c r="E216" s="6" t="inlineStr">
        <is>
          <t>Alu-SV</t>
        </is>
      </c>
      <c r="F216" s="6" t="inlineStr">
        <is>
          <t>6612013575</t>
        </is>
      </c>
      <c r="G216" s="6" t="inlineStr">
        <is>
          <t>Quadris Excel</t>
        </is>
      </c>
      <c r="H216" s="6" t="n">
        <v>1</v>
      </c>
      <c r="I216" s="6" t="n">
        <v>7</v>
      </c>
      <c r="J216" s="6" t="inlineStr">
        <is>
          <t>nincs</t>
        </is>
      </c>
      <c r="K216" s="6">
        <f>IF(AND(H216&gt;0,I216&gt;0),"Rendben",IF(AND(H216=0,I216=0),"Nincs kép és adat",IF(H216=0,"Nincs kép","Nincs adat")))</f>
        <v/>
      </c>
      <c r="L216" s="6" t="inlineStr">
        <is>
          <t>Igen</t>
        </is>
      </c>
      <c r="M216" s="7" t="inlineStr">
        <is>
          <t>alu-sv.com webáruház, keresés rendelési számra</t>
        </is>
      </c>
      <c r="N216" s="7" t="inlineStr">
        <is>
          <t>Megtalálva: Pillar profile CS MINI front70(100)ano. (kód: 6612013575)</t>
        </is>
      </c>
      <c r="O216" s="11" t="inlineStr">
        <is>
          <t>https://www.alu-sv.com/en/goods.ep/13000002_side-pillars--front-and-rear-al-pillars/910104244_pillar-profile-cs-mini-front70(100)ano.</t>
        </is>
      </c>
      <c r="P216" s="11" t="inlineStr">
        <is>
          <t>https://website-9ib.pages.dev/termek/6613575-mini-elso-100-alu-oszlop-elox/</t>
        </is>
      </c>
      <c r="Q216" s="12" t="inlineStr"/>
      <c r="R216" s="13" t="inlineStr"/>
      <c r="S216" s="6" t="inlineStr">
        <is>
          <t>6613575-mini-elso-100-alu-oszlop-elox</t>
        </is>
      </c>
    </row>
    <row r="217">
      <c r="A217" s="6" t="inlineStr">
        <is>
          <t>6613576</t>
        </is>
      </c>
      <c r="B217" s="7" t="inlineStr">
        <is>
          <t>MINI első FLAT alu oszlop elox</t>
        </is>
      </c>
      <c r="C217" s="6" t="inlineStr">
        <is>
          <t>Elhúzható rolóponyvás rendszer</t>
        </is>
      </c>
      <c r="D217" s="6" t="inlineStr">
        <is>
          <t>Alumínium sarok oszlopok</t>
        </is>
      </c>
      <c r="E217" s="6" t="inlineStr">
        <is>
          <t>Alu-SV</t>
        </is>
      </c>
      <c r="F217" s="6" t="inlineStr">
        <is>
          <t>6612013576</t>
        </is>
      </c>
      <c r="G217" s="6" t="inlineStr">
        <is>
          <t>Quadris Excel</t>
        </is>
      </c>
      <c r="H217" s="6" t="n">
        <v>0</v>
      </c>
      <c r="I217" s="6" t="n">
        <v>0</v>
      </c>
      <c r="J217" s="6" t="inlineStr">
        <is>
          <t>nincs</t>
        </is>
      </c>
      <c r="K217" s="6">
        <f>IF(AND(H217&gt;0,I217&gt;0),"Rendben",IF(AND(H217=0,I217=0),"Nincs kép és adat",IF(H217=0,"Nincs kép","Nincs adat")))</f>
        <v/>
      </c>
      <c r="L217" s="6" t="inlineStr">
        <is>
          <t>Igen</t>
        </is>
      </c>
      <c r="M217" s="7" t="inlineStr">
        <is>
          <t>alu-sv.com webáruház, keresés rendelési számra</t>
        </is>
      </c>
      <c r="N217" s="7" t="inlineStr">
        <is>
          <t>Nem találtuk: alu-sv.com webáruház, keresés rendelési számra</t>
        </is>
      </c>
      <c r="O217" s="6" t="inlineStr"/>
      <c r="P217" s="11" t="inlineStr">
        <is>
          <t>https://website-9ib.pages.dev/termek/6613576-mini-elso-flat-alu-oszlop-elox/</t>
        </is>
      </c>
      <c r="Q217" s="12" t="inlineStr"/>
      <c r="R217" s="13" t="inlineStr"/>
      <c r="S217" s="6" t="inlineStr">
        <is>
          <t>6613576-mini-elso-flat-alu-oszlop-elox</t>
        </is>
      </c>
    </row>
    <row r="218">
      <c r="A218" s="6" t="inlineStr">
        <is>
          <t>6613555</t>
        </is>
      </c>
      <c r="B218" s="7" t="inlineStr">
        <is>
          <t>MINI hátsó oszlop HN elox 110/138</t>
        </is>
      </c>
      <c r="C218" s="6" t="inlineStr">
        <is>
          <t>Elhúzható rolóponyvás rendszer</t>
        </is>
      </c>
      <c r="D218" s="6" t="inlineStr">
        <is>
          <t>Alumínium sarok oszlopok</t>
        </is>
      </c>
      <c r="E218" s="6" t="inlineStr">
        <is>
          <t>Alu-SV</t>
        </is>
      </c>
      <c r="F218" s="6" t="inlineStr">
        <is>
          <t>6612013555</t>
        </is>
      </c>
      <c r="G218" s="6" t="inlineStr">
        <is>
          <t>Quadris Excel</t>
        </is>
      </c>
      <c r="H218" s="6" t="n">
        <v>1</v>
      </c>
      <c r="I218" s="6" t="n">
        <v>7</v>
      </c>
      <c r="J218" s="6" t="inlineStr">
        <is>
          <t>nincs</t>
        </is>
      </c>
      <c r="K218" s="6">
        <f>IF(AND(H218&gt;0,I218&gt;0),"Rendben",IF(AND(H218=0,I218=0),"Nincs kép és adat",IF(H218=0,"Nincs kép","Nincs adat")))</f>
        <v/>
      </c>
      <c r="L218" s="6" t="inlineStr">
        <is>
          <t>Igen</t>
        </is>
      </c>
      <c r="M218" s="7" t="inlineStr">
        <is>
          <t>alu-sv.com webáruház, keresés rendelési számra</t>
        </is>
      </c>
      <c r="N218" s="7" t="inlineStr">
        <is>
          <t>Megtalálva: Pillar profile CS MINIrear110(138)anod (kód: 6612013555)</t>
        </is>
      </c>
      <c r="O218" s="11" t="inlineStr">
        <is>
          <t>https://www.alu-sv.com/en/goods.ep/13000002_side-pillars--front-and-rear-al-pillars/910104243_pillar-profile-cs-minirear110(138)anod</t>
        </is>
      </c>
      <c r="P218" s="11" t="inlineStr">
        <is>
          <t>https://website-9ib.pages.dev/termek/6613555-mini-hatso-oszlop-hn-elox-110-138/</t>
        </is>
      </c>
      <c r="Q218" s="12" t="inlineStr"/>
      <c r="R218" s="13" t="inlineStr"/>
      <c r="S218" s="6" t="inlineStr">
        <is>
          <t>6613555-mini-hatso-oszlop-hn-elox-110-138</t>
        </is>
      </c>
    </row>
    <row r="219">
      <c r="A219" s="6" t="inlineStr">
        <is>
          <t>6613554</t>
        </is>
      </c>
      <c r="B219" s="7" t="inlineStr">
        <is>
          <t>MINI hátsó oszlop elox 110/166</t>
        </is>
      </c>
      <c r="C219" s="6" t="inlineStr">
        <is>
          <t>Elhúzható rolóponyvás rendszer</t>
        </is>
      </c>
      <c r="D219" s="6" t="inlineStr">
        <is>
          <t>Alumínium sarok oszlopok</t>
        </is>
      </c>
      <c r="E219" s="6" t="inlineStr">
        <is>
          <t>Alu-SV</t>
        </is>
      </c>
      <c r="F219" s="6" t="inlineStr">
        <is>
          <t>6612013554</t>
        </is>
      </c>
      <c r="G219" s="6" t="inlineStr">
        <is>
          <t>Quadris Excel</t>
        </is>
      </c>
      <c r="H219" s="6" t="n">
        <v>1</v>
      </c>
      <c r="I219" s="6" t="n">
        <v>7</v>
      </c>
      <c r="J219" s="6" t="inlineStr">
        <is>
          <t>nincs</t>
        </is>
      </c>
      <c r="K219" s="6">
        <f>IF(AND(H219&gt;0,I219&gt;0),"Rendben",IF(AND(H219=0,I219=0),"Nincs kép és adat",IF(H219=0,"Nincs kép","Nincs adat")))</f>
        <v/>
      </c>
      <c r="L219" s="6" t="inlineStr">
        <is>
          <t>Igen</t>
        </is>
      </c>
      <c r="M219" s="7" t="inlineStr">
        <is>
          <t>alu-sv.com webáruház, keresés rendelési számra</t>
        </is>
      </c>
      <c r="N219" s="7" t="inlineStr">
        <is>
          <t>Megtalálva: Pillar profile CS MINI rear110(166)ano (kód: 6612013554)</t>
        </is>
      </c>
      <c r="O219" s="11" t="inlineStr">
        <is>
          <t>https://www.alu-sv.com/en/goods.ep/13000002_side-pillars--front-and-rear-al-pillars/910104241_pillar-profile-cs-mini-rear110(166)ano</t>
        </is>
      </c>
      <c r="P219" s="11" t="inlineStr">
        <is>
          <t>https://website-9ib.pages.dev/termek/6613554-mini-hatso-oszlop-elox-110-166/</t>
        </is>
      </c>
      <c r="Q219" s="12" t="inlineStr"/>
      <c r="R219" s="13" t="inlineStr"/>
      <c r="S219" s="6" t="inlineStr">
        <is>
          <t>6613554-mini-hatso-oszlop-elox-110-166</t>
        </is>
      </c>
    </row>
    <row r="220">
      <c r="A220" s="6" t="inlineStr">
        <is>
          <t>6613553</t>
        </is>
      </c>
      <c r="B220" s="7" t="inlineStr">
        <is>
          <t>MINI hátsó oszlop elox 111 mm</t>
        </is>
      </c>
      <c r="C220" s="6" t="inlineStr">
        <is>
          <t>Elhúzható rolóponyvás rendszer</t>
        </is>
      </c>
      <c r="D220" s="6" t="inlineStr">
        <is>
          <t>Alumínium sarok oszlopok</t>
        </is>
      </c>
      <c r="E220" s="6" t="inlineStr">
        <is>
          <t>Alu-SV</t>
        </is>
      </c>
      <c r="F220" s="6" t="inlineStr">
        <is>
          <t>6612013553</t>
        </is>
      </c>
      <c r="G220" s="6" t="inlineStr">
        <is>
          <t>Quadris Excel</t>
        </is>
      </c>
      <c r="H220" s="6" t="n">
        <v>1</v>
      </c>
      <c r="I220" s="6" t="n">
        <v>7</v>
      </c>
      <c r="J220" s="6" t="inlineStr">
        <is>
          <t>nincs</t>
        </is>
      </c>
      <c r="K220" s="6">
        <f>IF(AND(H220&gt;0,I220&gt;0),"Rendben",IF(AND(H220=0,I220=0),"Nincs kép és adat",IF(H220=0,"Nincs kép","Nincs adat")))</f>
        <v/>
      </c>
      <c r="L220" s="6" t="inlineStr">
        <is>
          <t>Igen</t>
        </is>
      </c>
      <c r="M220" s="7" t="inlineStr">
        <is>
          <t>alu-sv.com webáruház, keresés rendelési számra</t>
        </is>
      </c>
      <c r="N220" s="7" t="inlineStr">
        <is>
          <t>Megtalálva: Pillar profile CS MINI rear 111anod (kód: 6612013553)</t>
        </is>
      </c>
      <c r="O220" s="11" t="inlineStr">
        <is>
          <t>https://www.alu-sv.com/en/goods.ep/13000002_side-pillars--front-and-rear-al-pillars/67000056_pillar-profile-cs-mini-rear-111anod</t>
        </is>
      </c>
      <c r="P220" s="11" t="inlineStr">
        <is>
          <t>https://website-9ib.pages.dev/termek/6613553-mini-hatso-oszlop-elox-111-mm/</t>
        </is>
      </c>
      <c r="Q220" s="12" t="inlineStr"/>
      <c r="R220" s="13" t="inlineStr"/>
      <c r="S220" s="6" t="inlineStr">
        <is>
          <t>6613553-mini-hatso-oszlop-elox-111-mm</t>
        </is>
      </c>
    </row>
    <row r="221">
      <c r="A221" s="6" t="inlineStr"/>
      <c r="B221" s="7" t="inlineStr">
        <is>
          <t>3515P23 Alumínium zár ellendarab UNI elox</t>
        </is>
      </c>
      <c r="C221" s="6" t="inlineStr">
        <is>
          <t>Platós alkatrészek és kiegészítők</t>
        </is>
      </c>
      <c r="D221" s="6" t="inlineStr">
        <is>
          <t>Z-Zárak</t>
        </is>
      </c>
      <c r="E221" s="6" t="inlineStr">
        <is>
          <t>Alu-SV</t>
        </is>
      </c>
      <c r="F221" s="6" t="inlineStr">
        <is>
          <t>2ZSB3</t>
        </is>
      </c>
      <c r="G221" s="6" t="inlineStr">
        <is>
          <t>Quadris Excel</t>
        </is>
      </c>
      <c r="H221" s="6" t="n">
        <v>0</v>
      </c>
      <c r="I221" s="6" t="n">
        <v>0</v>
      </c>
      <c r="J221" s="6" t="inlineStr">
        <is>
          <t>nincs</t>
        </is>
      </c>
      <c r="K221" s="6">
        <f>IF(AND(H221&gt;0,I221&gt;0),"Rendben",IF(AND(H221=0,I221=0),"Nincs kép és adat",IF(H221=0,"Nincs kép","Nincs adat")))</f>
        <v/>
      </c>
      <c r="L221" s="6" t="inlineStr">
        <is>
          <t>Igen</t>
        </is>
      </c>
      <c r="M221" s="7" t="inlineStr">
        <is>
          <t>alu-sv.com webáruház, keresés rendelési számra</t>
        </is>
      </c>
      <c r="N221" s="7" t="inlineStr">
        <is>
          <t>Nem találtuk: alu-sv.com webáruház, keresés rendelési számra</t>
        </is>
      </c>
      <c r="O221" s="6" t="inlineStr"/>
      <c r="P221" s="11" t="inlineStr">
        <is>
          <t>https://website-9ib.pages.dev/termek/3515p23-aluminium-zar-ellendarab-uni-elox/</t>
        </is>
      </c>
      <c r="Q221" s="12" t="inlineStr"/>
      <c r="R221" s="13" t="inlineStr"/>
      <c r="S221" s="6" t="inlineStr">
        <is>
          <t>3515p23-aluminium-zar-ellendarab-uni-elox</t>
        </is>
      </c>
    </row>
    <row r="222">
      <c r="A222" s="6" t="inlineStr">
        <is>
          <t>506116</t>
        </is>
      </c>
      <c r="B222" s="7" t="inlineStr">
        <is>
          <t>Horganyzott SÜLLYESZTETT fellépő</t>
        </is>
      </c>
      <c r="C222" s="6" t="inlineStr">
        <is>
          <t>Platós alkatrészek és kiegészítők</t>
        </is>
      </c>
      <c r="D222" s="6" t="inlineStr">
        <is>
          <t>Fellépő</t>
        </is>
      </c>
      <c r="E222" s="6" t="inlineStr">
        <is>
          <t>Alu-SV</t>
        </is>
      </c>
      <c r="F222" s="6" t="inlineStr">
        <is>
          <t>1000060116</t>
        </is>
      </c>
      <c r="G222" s="6" t="inlineStr">
        <is>
          <t>Quadris Excel</t>
        </is>
      </c>
      <c r="H222" s="6" t="n">
        <v>1</v>
      </c>
      <c r="I222" s="6" t="n">
        <v>7</v>
      </c>
      <c r="J222" s="6" t="inlineStr">
        <is>
          <t>nincs</t>
        </is>
      </c>
      <c r="K222" s="6">
        <f>IF(AND(H222&gt;0,I222&gt;0),"Rendben",IF(AND(H222=0,I222=0),"Nincs kép és adat",IF(H222=0,"Nincs kép","Nincs adat")))</f>
        <v/>
      </c>
      <c r="L222" s="6" t="inlineStr">
        <is>
          <t>Igen</t>
        </is>
      </c>
      <c r="M222" s="7" t="inlineStr">
        <is>
          <t>alu-sv.com webáruház, keresés rendelési számra</t>
        </is>
      </c>
      <c r="N222" s="7" t="inlineStr">
        <is>
          <t>Megtalálva: Folding step 160x150mm (kód: 1000060116)</t>
        </is>
      </c>
      <c r="O222" s="11" t="inlineStr">
        <is>
          <t>https://www.alu-sv.com/en/goods.ep/4000041_steps/62000217_folding-step-160x150mm</t>
        </is>
      </c>
      <c r="P222" s="11" t="inlineStr">
        <is>
          <t>https://website-9ib.pages.dev/termek/506116-horganyzott-sullyesztett-fellepo/</t>
        </is>
      </c>
      <c r="Q222" s="12" t="inlineStr"/>
      <c r="R222" s="13" t="inlineStr"/>
      <c r="S222" s="6" t="inlineStr">
        <is>
          <t>506116-horganyzott-sullyesztett-fellepo</t>
        </is>
      </c>
    </row>
    <row r="223">
      <c r="A223" s="6" t="inlineStr">
        <is>
          <t>117775</t>
        </is>
      </c>
      <c r="B223" s="7" t="inlineStr">
        <is>
          <t>Körmös anya</t>
        </is>
      </c>
      <c r="C223" s="6" t="inlineStr">
        <is>
          <t>Platós alkatrészek és kiegészítők</t>
        </is>
      </c>
      <c r="D223" s="6" t="inlineStr">
        <is>
          <t>Kötőelemek</t>
        </is>
      </c>
      <c r="E223" s="6" t="inlineStr">
        <is>
          <t>Alu-SV</t>
        </is>
      </c>
      <c r="F223" s="6" t="inlineStr">
        <is>
          <t>6600107775</t>
        </is>
      </c>
      <c r="G223" s="6" t="inlineStr">
        <is>
          <t>Quadris Excel</t>
        </is>
      </c>
      <c r="H223" s="6" t="n">
        <v>1</v>
      </c>
      <c r="I223" s="6" t="n">
        <v>5</v>
      </c>
      <c r="J223" s="6" t="inlineStr">
        <is>
          <t>nincs</t>
        </is>
      </c>
      <c r="K223" s="6">
        <f>IF(AND(H223&gt;0,I223&gt;0),"Rendben",IF(AND(H223=0,I223=0),"Nincs kép és adat",IF(H223=0,"Nincs kép","Nincs adat")))</f>
        <v/>
      </c>
      <c r="L223" s="6" t="inlineStr">
        <is>
          <t>Igen</t>
        </is>
      </c>
      <c r="M223" s="7" t="inlineStr">
        <is>
          <t>alu-sv.com webáruház, keresés rendelési számra</t>
        </is>
      </c>
      <c r="N223" s="7" t="inlineStr">
        <is>
          <t>Megtalálva: Clamp Palcom M10/20 mm (kód: 6600107775)</t>
        </is>
      </c>
      <c r="O223" s="11" t="inlineStr">
        <is>
          <t>https://www.alu-sv.com/en/goods.ep/4000002_parts-for-aluminium-platforms/1482_clamp-palcom-m10-20-mm</t>
        </is>
      </c>
      <c r="P223" s="11" t="inlineStr">
        <is>
          <t>https://website-9ib.pages.dev/termek/117775-kormos-anya/</t>
        </is>
      </c>
      <c r="Q223" s="12" t="inlineStr"/>
      <c r="R223" s="13" t="inlineStr"/>
      <c r="S223" s="6" t="inlineStr">
        <is>
          <t>117775-kormos-anya</t>
        </is>
      </c>
    </row>
    <row r="224">
      <c r="A224" s="6" t="inlineStr">
        <is>
          <t>117774</t>
        </is>
      </c>
      <c r="B224" s="7" t="inlineStr">
        <is>
          <t>Kötőelem apa</t>
        </is>
      </c>
      <c r="C224" s="6" t="inlineStr">
        <is>
          <t>Platós alkatrészek és kiegészítők</t>
        </is>
      </c>
      <c r="D224" s="6" t="inlineStr">
        <is>
          <t>Kötőelemek</t>
        </is>
      </c>
      <c r="E224" s="6" t="inlineStr">
        <is>
          <t>Alu-SV</t>
        </is>
      </c>
      <c r="F224" s="6" t="inlineStr">
        <is>
          <t>6600107776</t>
        </is>
      </c>
      <c r="G224" s="6" t="inlineStr">
        <is>
          <t>Quadris Excel</t>
        </is>
      </c>
      <c r="H224" s="6" t="n">
        <v>1</v>
      </c>
      <c r="I224" s="6" t="n">
        <v>5</v>
      </c>
      <c r="J224" s="6" t="inlineStr">
        <is>
          <t>nincs</t>
        </is>
      </c>
      <c r="K224" s="6">
        <f>IF(AND(H224&gt;0,I224&gt;0),"Rendben",IF(AND(H224=0,I224=0),"Nincs kép és adat",IF(H224=0,"Nincs kép","Nincs adat")))</f>
        <v/>
      </c>
      <c r="L224" s="6" t="inlineStr">
        <is>
          <t>Igen</t>
        </is>
      </c>
      <c r="M224" s="7" t="inlineStr">
        <is>
          <t>alu-sv.com webáruház, keresés rendelési számra</t>
        </is>
      </c>
      <c r="N224" s="7" t="inlineStr">
        <is>
          <t>Megtalálva: Clamp Palcom o10,5/44 mm (kód: 6600107776)</t>
        </is>
      </c>
      <c r="O224" s="11" t="inlineStr">
        <is>
          <t>https://www.alu-sv.com/en/goods.ep/4000002_parts-for-aluminium-platforms/1483_clamp-palcom-o10-5-44-mm</t>
        </is>
      </c>
      <c r="P224" s="11" t="inlineStr">
        <is>
          <t>https://website-9ib.pages.dev/termek/117774-kotoelem-apa/</t>
        </is>
      </c>
      <c r="Q224" s="12" t="inlineStr"/>
      <c r="R224" s="13" t="inlineStr"/>
      <c r="S224" s="6" t="inlineStr">
        <is>
          <t>117774-kotoelem-apa</t>
        </is>
      </c>
    </row>
    <row r="225">
      <c r="A225" s="6" t="inlineStr">
        <is>
          <t>117776</t>
        </is>
      </c>
      <c r="B225" s="7" t="inlineStr">
        <is>
          <t>Kötőelem apa kerethez</t>
        </is>
      </c>
      <c r="C225" s="6" t="inlineStr">
        <is>
          <t>Platós alkatrészek és kiegészítők</t>
        </is>
      </c>
      <c r="D225" s="6" t="inlineStr">
        <is>
          <t>Kötőelemek</t>
        </is>
      </c>
      <c r="E225" s="6" t="inlineStr">
        <is>
          <t>Alu-SV</t>
        </is>
      </c>
      <c r="F225" s="6" t="inlineStr">
        <is>
          <t>6600117776</t>
        </is>
      </c>
      <c r="G225" s="6" t="inlineStr">
        <is>
          <t>Quadris Excel</t>
        </is>
      </c>
      <c r="H225" s="6" t="n">
        <v>1</v>
      </c>
      <c r="I225" s="6" t="n">
        <v>8</v>
      </c>
      <c r="J225" s="6" t="inlineStr">
        <is>
          <t>nincs</t>
        </is>
      </c>
      <c r="K225" s="6">
        <f>IF(AND(H225&gt;0,I225&gt;0),"Rendben",IF(AND(H225=0,I225=0),"Nincs kép és adat",IF(H225=0,"Nincs kép","Nincs adat")))</f>
        <v/>
      </c>
      <c r="L225" s="6" t="inlineStr">
        <is>
          <t>Igen</t>
        </is>
      </c>
      <c r="M225" s="7" t="inlineStr">
        <is>
          <t>alu-sv.com webáruház, keresés rendelési számra</t>
        </is>
      </c>
      <c r="N225" s="7" t="inlineStr">
        <is>
          <t>Megtalálva: Clamp Palcom 13x44x44 mm (kód: 6600117776)</t>
        </is>
      </c>
      <c r="O225" s="11" t="inlineStr">
        <is>
          <t>https://www.alu-sv.com/en/goods.ep/4000002_parts-for-aluminium-platforms/910098750_clamp-palcom-13x44x44-mm</t>
        </is>
      </c>
      <c r="P225" s="11" t="inlineStr">
        <is>
          <t>https://website-9ib.pages.dev/termek/117776-kotoelem-apa-kerethez/</t>
        </is>
      </c>
      <c r="Q225" s="12" t="inlineStr"/>
      <c r="R225" s="13" t="inlineStr"/>
      <c r="S225" s="6" t="inlineStr">
        <is>
          <t>117776-kotoelem-apa-kerethez</t>
        </is>
      </c>
    </row>
    <row r="226">
      <c r="A226" s="6" t="inlineStr">
        <is>
          <t>117773</t>
        </is>
      </c>
      <c r="B226" s="7" t="inlineStr">
        <is>
          <t>Kötőelem csavar</t>
        </is>
      </c>
      <c r="C226" s="6" t="inlineStr">
        <is>
          <t>Platós alkatrészek és kiegészítők</t>
        </is>
      </c>
      <c r="D226" s="6" t="inlineStr">
        <is>
          <t>Kötőelemek</t>
        </is>
      </c>
      <c r="E226" s="6" t="inlineStr">
        <is>
          <t>Alu-SV</t>
        </is>
      </c>
      <c r="F226" s="6" t="inlineStr">
        <is>
          <t>117773</t>
        </is>
      </c>
      <c r="G226" s="6" t="inlineStr">
        <is>
          <t>Quadris Excel</t>
        </is>
      </c>
      <c r="H226" s="6" t="n">
        <v>0</v>
      </c>
      <c r="I226" s="6" t="n">
        <v>0</v>
      </c>
      <c r="J226" s="6" t="inlineStr">
        <is>
          <t>nincs</t>
        </is>
      </c>
      <c r="K226" s="6">
        <f>IF(AND(H226&gt;0,I226&gt;0),"Rendben",IF(AND(H226=0,I226=0),"Nincs kép és adat",IF(H226=0,"Nincs kép","Nincs adat")))</f>
        <v/>
      </c>
      <c r="L226" s="6" t="inlineStr">
        <is>
          <t>Igen</t>
        </is>
      </c>
      <c r="M226" s="7" t="inlineStr">
        <is>
          <t>alu-sv.com webáruház, keresés rendelési számra</t>
        </is>
      </c>
      <c r="N226" s="7" t="inlineStr">
        <is>
          <t>Nem találtuk: alu-sv.com webáruház, keresés rendelési számra</t>
        </is>
      </c>
      <c r="O226" s="6" t="inlineStr"/>
      <c r="P226" s="11" t="inlineStr">
        <is>
          <t>https://website-9ib.pages.dev/termek/117773-kotoelem-csavar/</t>
        </is>
      </c>
      <c r="Q226" s="12" t="inlineStr"/>
      <c r="R226" s="13" t="inlineStr"/>
      <c r="S226" s="6" t="inlineStr">
        <is>
          <t>117773-kotoelem-csavar</t>
        </is>
      </c>
    </row>
    <row r="227">
      <c r="A227" s="6" t="inlineStr">
        <is>
          <t>117787</t>
        </is>
      </c>
      <c r="B227" s="7" t="inlineStr">
        <is>
          <t>Kötőelem garn. 8mm</t>
        </is>
      </c>
      <c r="C227" s="6" t="inlineStr">
        <is>
          <t>Platós alkatrészek és kiegészítők</t>
        </is>
      </c>
      <c r="D227" s="6" t="inlineStr">
        <is>
          <t>Kötőelemek</t>
        </is>
      </c>
      <c r="E227" s="6" t="inlineStr">
        <is>
          <t>Alu-SV</t>
        </is>
      </c>
      <c r="F227" s="6" t="inlineStr">
        <is>
          <t>6600197787</t>
        </is>
      </c>
      <c r="G227" s="6" t="inlineStr">
        <is>
          <t>Quadris Excel</t>
        </is>
      </c>
      <c r="H227" s="6" t="n">
        <v>1</v>
      </c>
      <c r="I227" s="6" t="n">
        <v>4</v>
      </c>
      <c r="J227" s="6" t="inlineStr">
        <is>
          <t>nincs</t>
        </is>
      </c>
      <c r="K227" s="6">
        <f>IF(AND(H227&gt;0,I227&gt;0),"Rendben",IF(AND(H227=0,I227=0),"Nincs kép és adat",IF(H227=0,"Nincs kép","Nincs adat")))</f>
        <v/>
      </c>
      <c r="L227" s="6" t="inlineStr">
        <is>
          <t>Igen</t>
        </is>
      </c>
      <c r="M227" s="7" t="inlineStr">
        <is>
          <t>alu-sv.com webáruház, keresés rendelési számra</t>
        </is>
      </c>
      <c r="N227" s="7" t="inlineStr">
        <is>
          <t>Megtalálva: Clamp Palcom high 8mm (kód: 6600197787)</t>
        </is>
      </c>
      <c r="O227" s="11" t="inlineStr">
        <is>
          <t>https://www.alu-sv.com/en/goods.ep/4000002_parts-for-aluminium-platforms/28000067_clamp-palcom-high-8mm</t>
        </is>
      </c>
      <c r="P227" s="11" t="inlineStr">
        <is>
          <t>https://website-9ib.pages.dev/termek/117787-kotoelem-garn-8mm/</t>
        </is>
      </c>
      <c r="Q227" s="12" t="inlineStr"/>
      <c r="R227" s="13" t="inlineStr"/>
      <c r="S227" s="6" t="inlineStr">
        <is>
          <t>117787-kotoelem-garn-8mm</t>
        </is>
      </c>
    </row>
    <row r="228">
      <c r="A228" s="6" t="inlineStr">
        <is>
          <t>117777</t>
        </is>
      </c>
      <c r="B228" s="7" t="inlineStr">
        <is>
          <t>Kötőelem garn. kerethez</t>
        </is>
      </c>
      <c r="C228" s="6" t="inlineStr">
        <is>
          <t>Platós alkatrészek és kiegészítők</t>
        </is>
      </c>
      <c r="D228" s="6" t="inlineStr">
        <is>
          <t>Kötőelemek</t>
        </is>
      </c>
      <c r="E228" s="6" t="inlineStr">
        <is>
          <t>Alu-SV</t>
        </is>
      </c>
      <c r="F228" s="6" t="inlineStr">
        <is>
          <t>6600187777</t>
        </is>
      </c>
      <c r="G228" s="6" t="inlineStr">
        <is>
          <t>Quadris Excel</t>
        </is>
      </c>
      <c r="H228" s="6" t="n">
        <v>1</v>
      </c>
      <c r="I228" s="6" t="n">
        <v>4</v>
      </c>
      <c r="J228" s="6" t="inlineStr">
        <is>
          <t>nincs</t>
        </is>
      </c>
      <c r="K228" s="6">
        <f>IF(AND(H228&gt;0,I228&gt;0),"Rendben",IF(AND(H228=0,I228=0),"Nincs kép és adat",IF(H228=0,"Nincs kép","Nincs adat")))</f>
        <v/>
      </c>
      <c r="L228" s="6" t="inlineStr">
        <is>
          <t>Igen</t>
        </is>
      </c>
      <c r="M228" s="7" t="inlineStr">
        <is>
          <t>alu-sv.com webáruház, keresés rendelési számra</t>
        </is>
      </c>
      <c r="N228" s="7" t="inlineStr">
        <is>
          <t>Megtalálva: Clamp Palcom low 4mm (kód: 6600187777)</t>
        </is>
      </c>
      <c r="O228" s="11" t="inlineStr">
        <is>
          <t>https://www.alu-sv.com/en/goods.ep/4000002_parts-for-aluminium-platforms/910098749_clamp-palcom-low-4mm</t>
        </is>
      </c>
      <c r="P228" s="11" t="inlineStr">
        <is>
          <t>https://website-9ib.pages.dev/termek/117777-kotoelem-garn-kerethez/</t>
        </is>
      </c>
      <c r="Q228" s="12" t="inlineStr"/>
      <c r="R228" s="13" t="inlineStr"/>
      <c r="S228" s="6" t="inlineStr">
        <is>
          <t>117777-kotoelem-garn-kerethez</t>
        </is>
      </c>
    </row>
    <row r="229">
      <c r="A229" s="6" t="inlineStr"/>
      <c r="B229" s="7" t="inlineStr">
        <is>
          <t>M12x80 Rugós felfüggesztés</t>
        </is>
      </c>
      <c r="C229" s="6" t="inlineStr">
        <is>
          <t>Platós alkatrészek és kiegészítők</t>
        </is>
      </c>
      <c r="D229" s="6" t="inlineStr">
        <is>
          <t>Alváz konzolok</t>
        </is>
      </c>
      <c r="E229" s="6" t="inlineStr">
        <is>
          <t>Alu-SV</t>
        </is>
      </c>
      <c r="F229" s="6" t="inlineStr">
        <is>
          <t>6200SM1280</t>
        </is>
      </c>
      <c r="G229" s="6" t="inlineStr">
        <is>
          <t>Quadris Excel</t>
        </is>
      </c>
      <c r="H229" s="6" t="n">
        <v>1</v>
      </c>
      <c r="I229" s="6" t="n">
        <v>4</v>
      </c>
      <c r="J229" s="6" t="inlineStr">
        <is>
          <t>nincs</t>
        </is>
      </c>
      <c r="K229" s="6">
        <f>IF(AND(H229&gt;0,I229&gt;0),"Rendben",IF(AND(H229=0,I229=0),"Nincs kép és adat",IF(H229=0,"Nincs kép","Nincs adat")))</f>
        <v/>
      </c>
      <c r="L229" s="6" t="inlineStr">
        <is>
          <t>Igen</t>
        </is>
      </c>
      <c r="M229" s="7" t="inlineStr">
        <is>
          <t>alu-sv.com webáruház, keresés rendelési számra</t>
        </is>
      </c>
      <c r="N229" s="7" t="inlineStr">
        <is>
          <t>Megtalálva: Set M12x80 for elastic connection (kód: 6200SM1280)</t>
        </is>
      </c>
      <c r="O229" s="11" t="inlineStr">
        <is>
          <t>https://www.alu-sv.com/en/goods.ep/4000002_parts-for-aluminium-platforms/28000153_set-m12x80-for-elastic-connection</t>
        </is>
      </c>
      <c r="P229" s="11" t="inlineStr">
        <is>
          <t>https://website-9ib.pages.dev/termek/m12x80-rugos-felfuggesztes/</t>
        </is>
      </c>
      <c r="Q229" s="12" t="inlineStr"/>
      <c r="R229" s="13" t="inlineStr"/>
      <c r="S229" s="6" t="inlineStr">
        <is>
          <t>m12x80-rugos-felfuggesztes</t>
        </is>
      </c>
    </row>
    <row r="230">
      <c r="A230" s="6" t="inlineStr"/>
      <c r="B230" s="7" t="inlineStr">
        <is>
          <t>M14x100 Rugós felfüggesztés</t>
        </is>
      </c>
      <c r="C230" s="6" t="inlineStr">
        <is>
          <t>Platós alkatrészek és kiegészítők</t>
        </is>
      </c>
      <c r="D230" s="6" t="inlineStr">
        <is>
          <t>Alváz konzolok</t>
        </is>
      </c>
      <c r="E230" s="6" t="inlineStr">
        <is>
          <t>Alu-SV</t>
        </is>
      </c>
      <c r="F230" s="6" t="inlineStr">
        <is>
          <t>6200SM1410</t>
        </is>
      </c>
      <c r="G230" s="6" t="inlineStr">
        <is>
          <t>Quadris Excel</t>
        </is>
      </c>
      <c r="H230" s="6" t="n">
        <v>1</v>
      </c>
      <c r="I230" s="6" t="n">
        <v>4</v>
      </c>
      <c r="J230" s="6" t="inlineStr">
        <is>
          <t>nincs</t>
        </is>
      </c>
      <c r="K230" s="6">
        <f>IF(AND(H230&gt;0,I230&gt;0),"Rendben",IF(AND(H230=0,I230=0),"Nincs kép és adat",IF(H230=0,"Nincs kép","Nincs adat")))</f>
        <v/>
      </c>
      <c r="L230" s="6" t="inlineStr">
        <is>
          <t>Igen</t>
        </is>
      </c>
      <c r="M230" s="7" t="inlineStr">
        <is>
          <t>alu-sv.com webáruház, keresés rendelési számra</t>
        </is>
      </c>
      <c r="N230" s="7" t="inlineStr">
        <is>
          <t>Megtalálva: Set M14x100 for elastic connection (kód: 6200SM1410)</t>
        </is>
      </c>
      <c r="O230" s="11" t="inlineStr">
        <is>
          <t>https://www.alu-sv.com/en/goods.ep/4000002_parts-for-aluminium-platforms/28000154_set-m14x100-for-elastic-connection</t>
        </is>
      </c>
      <c r="P230" s="11" t="inlineStr">
        <is>
          <t>https://website-9ib.pages.dev/termek/m14x100-rugos-felfuggesztes/</t>
        </is>
      </c>
      <c r="Q230" s="12" t="inlineStr"/>
      <c r="R230" s="13" t="inlineStr"/>
      <c r="S230" s="6" t="inlineStr">
        <is>
          <t>m14x100-rugos-felfuggesztes</t>
        </is>
      </c>
    </row>
    <row r="231">
      <c r="A231" s="6" t="inlineStr">
        <is>
          <t>117502</t>
        </is>
      </c>
      <c r="B231" s="7" t="inlineStr">
        <is>
          <t>NAGY Körmös anya 103 mm</t>
        </is>
      </c>
      <c r="C231" s="6" t="inlineStr">
        <is>
          <t>Platós alkatrészek és kiegészítők</t>
        </is>
      </c>
      <c r="D231" s="6" t="inlineStr">
        <is>
          <t>Kötőelemek</t>
        </is>
      </c>
      <c r="E231" s="6" t="inlineStr">
        <is>
          <t>Alu-SV</t>
        </is>
      </c>
      <c r="F231" s="6" t="inlineStr">
        <is>
          <t>6600201502</t>
        </is>
      </c>
      <c r="G231" s="6" t="inlineStr">
        <is>
          <t>Quadris Excel</t>
        </is>
      </c>
      <c r="H231" s="6" t="n">
        <v>1</v>
      </c>
      <c r="I231" s="6" t="n">
        <v>7</v>
      </c>
      <c r="J231" s="6" t="inlineStr">
        <is>
          <t>nincs</t>
        </is>
      </c>
      <c r="K231" s="6">
        <f>IF(AND(H231&gt;0,I231&gt;0),"Rendben",IF(AND(H231=0,I231=0),"Nincs kép és adat",IF(H231=0,"Nincs kép","Nincs adat")))</f>
        <v/>
      </c>
      <c r="L231" s="6" t="inlineStr">
        <is>
          <t>Igen</t>
        </is>
      </c>
      <c r="M231" s="7" t="inlineStr">
        <is>
          <t>alu-sv.com webáruház, keresés rendelési számra</t>
        </is>
      </c>
      <c r="N231" s="7" t="inlineStr">
        <is>
          <t>Megtalálva: Frame clamp aluminium 103 mm (kód: 6600201502)</t>
        </is>
      </c>
      <c r="O231" s="11" t="inlineStr">
        <is>
          <t>https://www.alu-sv.com/en/goods.ep/4000002_parts-for-aluminium-platforms/910097223_frame-clamp-aluminium-103-mm</t>
        </is>
      </c>
      <c r="P231" s="11" t="inlineStr">
        <is>
          <t>https://website-9ib.pages.dev/termek/117502-nagy-kormos-anya-103-mm/</t>
        </is>
      </c>
      <c r="Q231" s="12" t="inlineStr"/>
      <c r="R231" s="13" t="inlineStr"/>
      <c r="S231" s="6" t="inlineStr">
        <is>
          <t>117502-nagy-kormos-anya-103-mm</t>
        </is>
      </c>
    </row>
    <row r="232">
      <c r="A232" s="6" t="inlineStr">
        <is>
          <t>222528</t>
        </is>
      </c>
      <c r="B232" s="7" t="inlineStr">
        <is>
          <t>"u" szegő zártszelvény erősítéssel 25 mm elox</t>
        </is>
      </c>
      <c r="C232" s="6" t="inlineStr">
        <is>
          <t>Platós és ponyvás oldalfal profilok és szegők</t>
        </is>
      </c>
      <c r="D232" s="6" t="inlineStr">
        <is>
          <t>Szegő profilok</t>
        </is>
      </c>
      <c r="E232" s="6" t="inlineStr">
        <is>
          <t>Alu-SV</t>
        </is>
      </c>
      <c r="F232" s="6" t="inlineStr">
        <is>
          <t>6612012528</t>
        </is>
      </c>
      <c r="G232" s="6" t="inlineStr">
        <is>
          <t>Quadris Excel</t>
        </is>
      </c>
      <c r="H232" s="6" t="n">
        <v>1</v>
      </c>
      <c r="I232" s="6" t="n">
        <v>7</v>
      </c>
      <c r="J232" s="6" t="inlineStr">
        <is>
          <t>nincs</t>
        </is>
      </c>
      <c r="K232" s="6">
        <f>IF(AND(H232&gt;0,I232&gt;0),"Rendben",IF(AND(H232=0,I232=0),"Nincs kép és adat",IF(H232=0,"Nincs kép","Nincs adat")))</f>
        <v/>
      </c>
      <c r="L232" s="6" t="inlineStr">
        <is>
          <t>Igen</t>
        </is>
      </c>
      <c r="M232" s="7" t="inlineStr">
        <is>
          <t>alu-sv.com webáruház, keresés rendelési számra</t>
        </is>
      </c>
      <c r="N232" s="7" t="inlineStr">
        <is>
          <t>Megtalálva: A edging profile Safegrip (kód: 6612012528)</t>
        </is>
      </c>
      <c r="O232" s="11" t="inlineStr">
        <is>
          <t>https://www.alu-sv.com/en/goods.ep/19000002_dropsides--dropside-profiles/39000532_a-edging-profile-safegrip</t>
        </is>
      </c>
      <c r="P232" s="11" t="inlineStr">
        <is>
          <t>https://website-9ib.pages.dev/termek/222528-u-szego-zartszelveny-erositessel-25-mm-elox/</t>
        </is>
      </c>
      <c r="Q232" s="12" t="inlineStr"/>
      <c r="R232" s="13" t="inlineStr"/>
      <c r="S232" s="6" t="inlineStr">
        <is>
          <t>222528-u-szego-zartszelveny-erositessel-25-mm-elox</t>
        </is>
      </c>
    </row>
    <row r="233">
      <c r="A233" s="6" t="inlineStr">
        <is>
          <t>226915/n</t>
        </is>
      </c>
      <c r="B233" s="7" t="inlineStr">
        <is>
          <t>30 mm "u" Szegő profil</t>
        </is>
      </c>
      <c r="C233" s="6" t="inlineStr">
        <is>
          <t>Platós és ponyvás oldalfal profilok és szegők</t>
        </is>
      </c>
      <c r="D233" s="6" t="inlineStr">
        <is>
          <t>Szegő profilok</t>
        </is>
      </c>
      <c r="E233" s="6" t="inlineStr">
        <is>
          <t>Alu-SV</t>
        </is>
      </c>
      <c r="F233" s="6" t="inlineStr">
        <is>
          <t>6915</t>
        </is>
      </c>
      <c r="G233" s="6" t="inlineStr">
        <is>
          <t>Quadris Excel</t>
        </is>
      </c>
      <c r="H233" s="6" t="n">
        <v>0</v>
      </c>
      <c r="I233" s="6" t="n">
        <v>0</v>
      </c>
      <c r="J233" s="6" t="inlineStr">
        <is>
          <t>nincs</t>
        </is>
      </c>
      <c r="K233" s="6">
        <f>IF(AND(H233&gt;0,I233&gt;0),"Rendben",IF(AND(H233=0,I233=0),"Nincs kép és adat",IF(H233=0,"Nincs kép","Nincs adat")))</f>
        <v/>
      </c>
      <c r="L233" s="6" t="inlineStr">
        <is>
          <t>Igen</t>
        </is>
      </c>
      <c r="M233" s="7" t="inlineStr">
        <is>
          <t>alu-sv.com webáruház, keresés rendelési számra</t>
        </is>
      </c>
      <c r="N233" s="7" t="inlineStr">
        <is>
          <t>Nem találtuk: alu-sv.com webáruház, keresés rendelési számra</t>
        </is>
      </c>
      <c r="O233" s="6" t="inlineStr"/>
      <c r="P233" s="11" t="inlineStr">
        <is>
          <t>https://website-9ib.pages.dev/termek/226915-n-30-mm-u-szego-profil/</t>
        </is>
      </c>
      <c r="Q233" s="12" t="inlineStr"/>
      <c r="R233" s="13" t="inlineStr"/>
      <c r="S233" s="6" t="inlineStr">
        <is>
          <t>226915-n-30-mm-u-szego-profil</t>
        </is>
      </c>
    </row>
    <row r="234">
      <c r="A234" s="6" t="inlineStr">
        <is>
          <t>245240</t>
        </is>
      </c>
      <c r="B234" s="7" t="inlineStr">
        <is>
          <t>Billencs alsó 200x40 mm</t>
        </is>
      </c>
      <c r="C234" s="6" t="inlineStr">
        <is>
          <t>Platós és ponyvás oldalfal profilok és szegők</t>
        </is>
      </c>
      <c r="D234" s="6" t="inlineStr">
        <is>
          <t>Alumínium billencs oldalfalak</t>
        </is>
      </c>
      <c r="E234" s="6" t="inlineStr">
        <is>
          <t>Alu-SV</t>
        </is>
      </c>
      <c r="F234" s="6" t="inlineStr">
        <is>
          <t>66S5200400</t>
        </is>
      </c>
      <c r="G234" s="6" t="inlineStr">
        <is>
          <t>Quadris Excel</t>
        </is>
      </c>
      <c r="H234" s="6" t="n">
        <v>1</v>
      </c>
      <c r="I234" s="6" t="n">
        <v>5</v>
      </c>
      <c r="J234" s="6" t="inlineStr">
        <is>
          <t>nincs</t>
        </is>
      </c>
      <c r="K234" s="6">
        <f>IF(AND(H234&gt;0,I234&gt;0),"Rendben",IF(AND(H234=0,I234=0),"Nincs kép és adat",IF(H234=0,"Nincs kép","Nincs adat")))</f>
        <v/>
      </c>
      <c r="L234" s="6" t="inlineStr">
        <is>
          <t>Igen</t>
        </is>
      </c>
      <c r="M234" s="7" t="inlineStr">
        <is>
          <t>alu-sv.com webáruház, keresés rendelési számra</t>
        </is>
      </c>
      <c r="N234" s="7" t="inlineStr">
        <is>
          <t>Megtalálva: Tipper profile bottom 200x40 mm (kód: 66S5200400)</t>
        </is>
      </c>
      <c r="O234" s="11" t="inlineStr">
        <is>
          <t>https://www.alu-sv.com/en/goods.ep/4000010_al-dropsides-dropside-prof.-30-40-60-65/38000483_tipper-profile-bottom-200x40-mm</t>
        </is>
      </c>
      <c r="P234" s="11" t="inlineStr">
        <is>
          <t>https://website-9ib.pages.dev/termek/245240-billencs-also-200x40-mm/</t>
        </is>
      </c>
      <c r="Q234" s="12" t="inlineStr"/>
      <c r="R234" s="13" t="inlineStr"/>
      <c r="S234" s="6" t="inlineStr">
        <is>
          <t>245240-billencs-also-200x40-mm</t>
        </is>
      </c>
    </row>
    <row r="235">
      <c r="A235" s="6" t="inlineStr">
        <is>
          <t>247243</t>
        </is>
      </c>
      <c r="B235" s="7" t="inlineStr">
        <is>
          <t>Billencs felső 200x40 mm</t>
        </is>
      </c>
      <c r="C235" s="6" t="inlineStr">
        <is>
          <t>Platós és ponyvás oldalfal profilok és szegők</t>
        </is>
      </c>
      <c r="D235" s="6" t="inlineStr">
        <is>
          <t>Alumínium billencs oldalfalak</t>
        </is>
      </c>
      <c r="E235" s="6" t="inlineStr">
        <is>
          <t>Alu-SV</t>
        </is>
      </c>
      <c r="F235" s="6" t="inlineStr">
        <is>
          <t>1141037243</t>
        </is>
      </c>
      <c r="G235" s="6" t="inlineStr">
        <is>
          <t>Quadris Excel</t>
        </is>
      </c>
      <c r="H235" s="6" t="n">
        <v>1</v>
      </c>
      <c r="I235" s="6" t="n">
        <v>7</v>
      </c>
      <c r="J235" s="6" t="inlineStr">
        <is>
          <t>nincs</t>
        </is>
      </c>
      <c r="K235" s="6">
        <f>IF(AND(H235&gt;0,I235&gt;0),"Rendben",IF(AND(H235=0,I235=0),"Nincs kép és adat",IF(H235=0,"Nincs kép","Nincs adat")))</f>
        <v/>
      </c>
      <c r="L235" s="6" t="inlineStr">
        <is>
          <t>Igen</t>
        </is>
      </c>
      <c r="M235" s="7" t="inlineStr">
        <is>
          <t>alu-sv.com webáruház, keresés rendelési számra</t>
        </is>
      </c>
      <c r="N235" s="7" t="inlineStr">
        <is>
          <t>Megtalálva: Tipper top profile 200x40 mm (kód: 1141037243)</t>
        </is>
      </c>
      <c r="O235" s="11" t="inlineStr">
        <is>
          <t>https://www.alu-sv.com/en/goods.ep/4000010_al-dropsides-dropside-prof.-30-40-60-65/31000511_tipper-top-profile-200x40-mm</t>
        </is>
      </c>
      <c r="P235" s="11" t="inlineStr">
        <is>
          <t>https://website-9ib.pages.dev/termek/247243-billencs-felso-200x40-mm/</t>
        </is>
      </c>
      <c r="Q235" s="12" t="inlineStr"/>
      <c r="R235" s="13" t="inlineStr"/>
      <c r="S235" s="6" t="inlineStr">
        <is>
          <t>247243-billencs-felso-200x40-mm</t>
        </is>
      </c>
    </row>
    <row r="236">
      <c r="A236" s="6" t="inlineStr">
        <is>
          <t>243240</t>
        </is>
      </c>
      <c r="B236" s="7" t="inlineStr">
        <is>
          <t>Billencs középső 200x40 mm</t>
        </is>
      </c>
      <c r="C236" s="6" t="inlineStr">
        <is>
          <t>Platós és ponyvás oldalfal profilok és szegők</t>
        </is>
      </c>
      <c r="D236" s="6" t="inlineStr">
        <is>
          <t>Alumínium billencs oldalfalak</t>
        </is>
      </c>
      <c r="E236" s="6" t="inlineStr">
        <is>
          <t>Alu-SV</t>
        </is>
      </c>
      <c r="F236" s="6" t="inlineStr">
        <is>
          <t>66S3200400</t>
        </is>
      </c>
      <c r="G236" s="6" t="inlineStr">
        <is>
          <t>Quadris Excel</t>
        </is>
      </c>
      <c r="H236" s="6" t="n">
        <v>1</v>
      </c>
      <c r="I236" s="6" t="n">
        <v>5</v>
      </c>
      <c r="J236" s="6" t="inlineStr">
        <is>
          <t>nincs</t>
        </is>
      </c>
      <c r="K236" s="6">
        <f>IF(AND(H236&gt;0,I236&gt;0),"Rendben",IF(AND(H236=0,I236=0),"Nincs kép és adat",IF(H236=0,"Nincs kép","Nincs adat")))</f>
        <v/>
      </c>
      <c r="L236" s="6" t="inlineStr">
        <is>
          <t>Igen</t>
        </is>
      </c>
      <c r="M236" s="7" t="inlineStr">
        <is>
          <t>alu-sv.com webáruház, keresés rendelési számra</t>
        </is>
      </c>
      <c r="N236" s="7" t="inlineStr">
        <is>
          <t>Megtalálva: Tipper profile middle 200x40 mm (kód: 66S3200400)</t>
        </is>
      </c>
      <c r="O236" s="11" t="inlineStr">
        <is>
          <t>https://www.alu-sv.com/en/goods.ep/4000010_al-dropsides-dropside-prof.-30-40-60-65/38000482_tipper-profile-middle-200x40-mm</t>
        </is>
      </c>
      <c r="P236" s="11" t="inlineStr">
        <is>
          <t>https://website-9ib.pages.dev/termek/243240-billencs-kozepso-200x40-mm/</t>
        </is>
      </c>
      <c r="Q236" s="12" t="inlineStr"/>
      <c r="R236" s="13" t="inlineStr"/>
      <c r="S236" s="6" t="inlineStr">
        <is>
          <t>243240-billencs-kozepso-200x40-mm</t>
        </is>
      </c>
    </row>
    <row r="237">
      <c r="A237" s="6" t="inlineStr">
        <is>
          <t>228240</t>
        </is>
      </c>
      <c r="B237" s="7" t="inlineStr">
        <is>
          <t>Felső 100 mm elox profil</t>
        </is>
      </c>
      <c r="C237" s="6" t="inlineStr">
        <is>
          <t>Platós és ponyvás oldalfal profilok és szegők</t>
        </is>
      </c>
      <c r="D237" s="6" t="inlineStr">
        <is>
          <t>25 mm vastag oldalfal rendszerek</t>
        </is>
      </c>
      <c r="E237" s="6" t="inlineStr">
        <is>
          <t>Alu-SV</t>
        </is>
      </c>
      <c r="F237" s="6" t="inlineStr">
        <is>
          <t>8240</t>
        </is>
      </c>
      <c r="G237" s="6" t="inlineStr">
        <is>
          <t>Quadris Excel</t>
        </is>
      </c>
      <c r="H237" s="6" t="n">
        <v>1</v>
      </c>
      <c r="I237" s="6" t="n">
        <v>7</v>
      </c>
      <c r="J237" s="6" t="inlineStr">
        <is>
          <t>nincs</t>
        </is>
      </c>
      <c r="K237" s="6">
        <f>IF(AND(H237&gt;0,I237&gt;0),"Rendben",IF(AND(H237=0,I237=0),"Nincs kép és adat",IF(H237=0,"Nincs kép","Nincs adat")))</f>
        <v/>
      </c>
      <c r="L237" s="6" t="inlineStr">
        <is>
          <t>Igen</t>
        </is>
      </c>
      <c r="M237" s="7" t="inlineStr">
        <is>
          <t>alu-sv.com webáruház, keresés rendelési számra</t>
        </is>
      </c>
      <c r="N237" s="7" t="inlineStr">
        <is>
          <t>Megtalálva: Top profile Eurolock 100mm, anodized (kód: 6611128240)</t>
        </is>
      </c>
      <c r="O237" s="11" t="inlineStr">
        <is>
          <t>https://www.alu-sv.com/en/goods.ep/19000002_dropsides--dropside-profiles/15000001_top-profile-eurolock-100mm--anodized</t>
        </is>
      </c>
      <c r="P237" s="11" t="inlineStr">
        <is>
          <t>https://website-9ib.pages.dev/termek/228240-felso-100-mm-elox-profil/</t>
        </is>
      </c>
      <c r="Q237" s="12" t="inlineStr"/>
      <c r="R237" s="13" t="inlineStr"/>
      <c r="S237" s="6" t="inlineStr">
        <is>
          <t>228240-felso-100-mm-elox-profil</t>
        </is>
      </c>
    </row>
    <row r="238">
      <c r="A238" s="6" t="inlineStr">
        <is>
          <t>227785</t>
        </is>
      </c>
      <c r="B238" s="7" t="inlineStr">
        <is>
          <t>Köztes 100 mm elox profil</t>
        </is>
      </c>
      <c r="C238" s="6" t="inlineStr">
        <is>
          <t>Platós és ponyvás oldalfal profilok és szegők</t>
        </is>
      </c>
      <c r="D238" s="6" t="inlineStr">
        <is>
          <t>25 mm vastag oldalfal rendszerek</t>
        </is>
      </c>
      <c r="E238" s="6" t="inlineStr">
        <is>
          <t>Alu-SV</t>
        </is>
      </c>
      <c r="F238" s="6" t="inlineStr">
        <is>
          <t>6611127785</t>
        </is>
      </c>
      <c r="G238" s="6" t="inlineStr">
        <is>
          <t>Quadris Excel</t>
        </is>
      </c>
      <c r="H238" s="6" t="n">
        <v>1</v>
      </c>
      <c r="I238" s="6" t="n">
        <v>7</v>
      </c>
      <c r="J238" s="6" t="inlineStr">
        <is>
          <t>nincs</t>
        </is>
      </c>
      <c r="K238" s="6">
        <f>IF(AND(H238&gt;0,I238&gt;0),"Rendben",IF(AND(H238=0,I238=0),"Nincs kép és adat",IF(H238=0,"Nincs kép","Nincs adat")))</f>
        <v/>
      </c>
      <c r="L238" s="6" t="inlineStr">
        <is>
          <t>Igen</t>
        </is>
      </c>
      <c r="M238" s="7" t="inlineStr">
        <is>
          <t>alu-sv.com webáruház, keresés rendelési számra</t>
        </is>
      </c>
      <c r="N238" s="7" t="inlineStr">
        <is>
          <t>Megtalálva: Middle profile EUROLOCK 100mm, anodized (kód: 6611127785)</t>
        </is>
      </c>
      <c r="O238" s="11" t="inlineStr">
        <is>
          <t>https://www.alu-sv.com/en/goods.ep/19000002_dropsides--dropside-profiles/1513_middle-profile-eurolock-100mm--anodized</t>
        </is>
      </c>
      <c r="P238" s="11" t="inlineStr">
        <is>
          <t>https://website-9ib.pages.dev/termek/227785-koztes-100-mm-elox-profil/</t>
        </is>
      </c>
      <c r="Q238" s="12" t="inlineStr"/>
      <c r="R238" s="13" t="inlineStr"/>
      <c r="S238" s="6" t="inlineStr">
        <is>
          <t>227785-koztes-100-mm-elox-profil</t>
        </is>
      </c>
    </row>
    <row r="239">
      <c r="A239" s="6" t="inlineStr">
        <is>
          <t>223563</t>
        </is>
      </c>
      <c r="B239" s="7" t="inlineStr">
        <is>
          <t>Tömítés alsó záróprofilhoz.</t>
        </is>
      </c>
      <c r="C239" s="6" t="inlineStr">
        <is>
          <t>Platós és ponyvás oldalfal profilok és szegők</t>
        </is>
      </c>
      <c r="D239" s="6" t="inlineStr">
        <is>
          <t>25 mm vastag oldalfal rendszerek</t>
        </is>
      </c>
      <c r="E239" s="6" t="inlineStr">
        <is>
          <t>Alu-SV</t>
        </is>
      </c>
      <c r="F239" s="6" t="inlineStr">
        <is>
          <t>1001063563</t>
        </is>
      </c>
      <c r="G239" s="6" t="inlineStr">
        <is>
          <t>Quadris Excel</t>
        </is>
      </c>
      <c r="H239" s="6" t="n">
        <v>1</v>
      </c>
      <c r="I239" s="6" t="n">
        <v>5</v>
      </c>
      <c r="J239" s="6" t="inlineStr">
        <is>
          <t>nincs</t>
        </is>
      </c>
      <c r="K239" s="6">
        <f>IF(AND(H239&gt;0,I239&gt;0),"Rendben",IF(AND(H239=0,I239=0),"Nincs kép és adat",IF(H239=0,"Nincs kép","Nincs adat")))</f>
        <v/>
      </c>
      <c r="L239" s="6" t="inlineStr">
        <is>
          <t>Igen</t>
        </is>
      </c>
      <c r="M239" s="7" t="inlineStr">
        <is>
          <t>alu-sv.com webáruház, keresés rendelési számra</t>
        </is>
      </c>
      <c r="N239" s="7" t="inlineStr">
        <is>
          <t>Megtalálva: Gasket for lower profile Eurolock (kód: 1001063563)</t>
        </is>
      </c>
      <c r="O239" s="11" t="inlineStr">
        <is>
          <t>https://www.alu-sv.com/en/goods.ep/19000002_dropsides--dropside-profiles/136_gasket-for-lower-profile-eurolock</t>
        </is>
      </c>
      <c r="P239" s="11" t="inlineStr">
        <is>
          <t>https://website-9ib.pages.dev/termek/223563-tomites-also-zaroprofilhoz/</t>
        </is>
      </c>
      <c r="Q239" s="12" t="inlineStr"/>
      <c r="R239" s="13" t="inlineStr"/>
      <c r="S239" s="6" t="inlineStr">
        <is>
          <t>223563-tomites-also-zaroprofilhoz</t>
        </is>
      </c>
    </row>
    <row r="240">
      <c r="A240" s="6" t="inlineStr">
        <is>
          <t>100021</t>
        </is>
      </c>
      <c r="B240" s="7" t="inlineStr">
        <is>
          <t>100x25 mm festett szegecselhető deszkatartó zseb</t>
        </is>
      </c>
      <c r="C240" s="6" t="inlineStr">
        <is>
          <t>Ponyvarendszer kiegészítők</t>
        </is>
      </c>
      <c r="D240" s="6" t="inlineStr">
        <is>
          <t>Ponyvatartó alkatrészek</t>
        </is>
      </c>
      <c r="E240" s="6" t="inlineStr">
        <is>
          <t>Alu-SV</t>
        </is>
      </c>
      <c r="F240" s="6" t="inlineStr">
        <is>
          <t>62K0000021</t>
        </is>
      </c>
      <c r="G240" s="6" t="inlineStr">
        <is>
          <t>Quadris Excel</t>
        </is>
      </c>
      <c r="H240" s="6" t="n">
        <v>1</v>
      </c>
      <c r="I240" s="6" t="n">
        <v>7</v>
      </c>
      <c r="J240" s="6" t="inlineStr">
        <is>
          <t>nincs</t>
        </is>
      </c>
      <c r="K240" s="6">
        <f>IF(AND(H240&gt;0,I240&gt;0),"Rendben",IF(AND(H240=0,I240=0),"Nincs kép és adat",IF(H240=0,"Nincs kép","Nincs adat")))</f>
        <v/>
      </c>
      <c r="L240" s="6" t="inlineStr">
        <is>
          <t>Igen</t>
        </is>
      </c>
      <c r="M240" s="7" t="inlineStr">
        <is>
          <t>alu-sv.com webáruház, keresés rendelési számra</t>
        </is>
      </c>
      <c r="N240" s="7" t="inlineStr">
        <is>
          <t>Megtalálva: Holder of tarp. prof. riveting black (kód: 62K0000021)</t>
        </is>
      </c>
      <c r="O240" s="11" t="inlineStr">
        <is>
          <t>https://www.alu-sv.com/en/goods.ep/4000018_pevne-plachtove-konstrukce/7000310_holder-of-tarp.-prof.-riveting-black</t>
        </is>
      </c>
      <c r="P240" s="11" t="inlineStr">
        <is>
          <t>https://website-9ib.pages.dev/termek/100021-100x25-mm-festett-szegecselheto-deszkatarto-zseb/</t>
        </is>
      </c>
      <c r="Q240" s="12" t="inlineStr"/>
      <c r="R240" s="13" t="inlineStr"/>
      <c r="S240" s="6" t="inlineStr">
        <is>
          <t>100021-100x25-mm-festett-szegecselheto-deszkatarto-zseb</t>
        </is>
      </c>
    </row>
    <row r="241">
      <c r="A241" s="6" t="inlineStr">
        <is>
          <t>107409</t>
        </is>
      </c>
      <c r="B241" s="7" t="inlineStr">
        <is>
          <t>465x25 mm festett szegecselhető deszkatartó zseb</t>
        </is>
      </c>
      <c r="C241" s="6" t="inlineStr">
        <is>
          <t>Ponyvarendszer kiegészítők</t>
        </is>
      </c>
      <c r="D241" s="6" t="inlineStr">
        <is>
          <t>Ponyvatartó alkatrészek</t>
        </is>
      </c>
      <c r="E241" s="6" t="inlineStr">
        <is>
          <t>Alu-SV</t>
        </is>
      </c>
      <c r="F241" s="6" t="inlineStr">
        <is>
          <t>62HCS17409</t>
        </is>
      </c>
      <c r="G241" s="6" t="inlineStr">
        <is>
          <t>Quadris Excel</t>
        </is>
      </c>
      <c r="H241" s="6" t="n">
        <v>1</v>
      </c>
      <c r="I241" s="6" t="n">
        <v>7</v>
      </c>
      <c r="J241" s="6" t="inlineStr">
        <is>
          <t>nincs</t>
        </is>
      </c>
      <c r="K241" s="6">
        <f>IF(AND(H241&gt;0,I241&gt;0),"Rendben",IF(AND(H241=0,I241=0),"Nincs kép és adat",IF(H241=0,"Nincs kép","Nincs adat")))</f>
        <v/>
      </c>
      <c r="L241" s="6" t="inlineStr">
        <is>
          <t>Igen</t>
        </is>
      </c>
      <c r="M241" s="7" t="inlineStr">
        <is>
          <t>alu-sv.com webáruház, keresés rendelési számra</t>
        </is>
      </c>
      <c r="N241" s="7" t="inlineStr">
        <is>
          <t>Megtalálva: Pillar flange CS VarioMaster 465mm (kód: 62HCS17409)</t>
        </is>
      </c>
      <c r="O241" s="11" t="inlineStr">
        <is>
          <t>https://www.alu-sv.com/en/goods.ep/13000002_side-pillars--front-and-rear-al-pillars/306000040_pillar-flange-cs-variomaster-465mm</t>
        </is>
      </c>
      <c r="P241" s="11" t="inlineStr">
        <is>
          <t>https://website-9ib.pages.dev/termek/107409-465x25-mm-festett-szegecselheto-deszkatarto-zseb/</t>
        </is>
      </c>
      <c r="Q241" s="12" t="inlineStr"/>
      <c r="R241" s="13" t="inlineStr"/>
      <c r="S241" s="6" t="inlineStr">
        <is>
          <t>107409-465x25-mm-festett-szegecselheto-deszkatarto-zseb</t>
        </is>
      </c>
    </row>
    <row r="242">
      <c r="A242" s="6" t="inlineStr">
        <is>
          <t>106107</t>
        </is>
      </c>
      <c r="B242" s="7" t="inlineStr">
        <is>
          <t>Alu elox szeg. deszkatartó "L" 25x19x32 mm</t>
        </is>
      </c>
      <c r="C242" s="6" t="inlineStr">
        <is>
          <t>Ponyvarendszer kiegészítők</t>
        </is>
      </c>
      <c r="D242" s="6" t="inlineStr">
        <is>
          <t>Ponyvatartó alkatrészek</t>
        </is>
      </c>
      <c r="E242" s="6" t="inlineStr">
        <is>
          <t>Alu-SV</t>
        </is>
      </c>
      <c r="F242" s="6" t="inlineStr">
        <is>
          <t>610010E107</t>
        </is>
      </c>
      <c r="G242" s="6" t="inlineStr">
        <is>
          <t>Quadris Excel</t>
        </is>
      </c>
      <c r="H242" s="6" t="n">
        <v>1</v>
      </c>
      <c r="I242" s="6" t="n">
        <v>7</v>
      </c>
      <c r="J242" s="6" t="inlineStr">
        <is>
          <t>nincs</t>
        </is>
      </c>
      <c r="K242" s="6">
        <f>IF(AND(H242&gt;0,I242&gt;0),"Rendben",IF(AND(H242=0,I242=0),"Nincs kép és adat",IF(H242=0,"Nincs kép","Nincs adat")))</f>
        <v/>
      </c>
      <c r="L242" s="6" t="inlineStr">
        <is>
          <t>Igen</t>
        </is>
      </c>
      <c r="M242" s="7" t="inlineStr">
        <is>
          <t>alu-sv.com webáruház, keresés rendelési számra</t>
        </is>
      </c>
      <c r="N242" s="7" t="inlineStr">
        <is>
          <t>Megtalálva: Stopper of tarpaulin profile, anodized (kód: 610010E107)</t>
        </is>
      </c>
      <c r="O242" s="11" t="inlineStr">
        <is>
          <t>https://www.alu-sv.com/en/goods.ep/4000018_pevne-plachtove-konstrukce/87000121_stopper-of-tarpaulin-profile--anodized</t>
        </is>
      </c>
      <c r="P242" s="11" t="inlineStr">
        <is>
          <t>https://website-9ib.pages.dev/termek/106107-alu-elox-szeg-deszkatarto-l-25x19x32-mm/</t>
        </is>
      </c>
      <c r="Q242" s="12" t="inlineStr"/>
      <c r="R242" s="13" t="inlineStr"/>
      <c r="S242" s="6" t="inlineStr">
        <is>
          <t>106107-alu-elox-szeg-deszkatarto-l-25x19x32-mm</t>
        </is>
      </c>
    </row>
    <row r="243">
      <c r="A243" s="6" t="inlineStr">
        <is>
          <t>106282</t>
        </is>
      </c>
      <c r="B243" s="7" t="inlineStr">
        <is>
          <t>Targoncaütköző-profil rögzítő csavar készlet</t>
        </is>
      </c>
      <c r="C243" s="6" t="inlineStr">
        <is>
          <t>Ponyvarendszer kiegészítők</t>
        </is>
      </c>
      <c r="D243" s="6" t="inlineStr">
        <is>
          <t>Ponyvatartó alkatrészek</t>
        </is>
      </c>
      <c r="E243" s="6" t="inlineStr">
        <is>
          <t>Alu-SV</t>
        </is>
      </c>
      <c r="F243" s="6" t="inlineStr">
        <is>
          <t>62LP000822</t>
        </is>
      </c>
      <c r="G243" s="6" t="inlineStr">
        <is>
          <t>Quadris Excel</t>
        </is>
      </c>
      <c r="H243" s="6" t="n">
        <v>1</v>
      </c>
      <c r="I243" s="6" t="n">
        <v>8</v>
      </c>
      <c r="J243" s="6" t="inlineStr">
        <is>
          <t>nincs</t>
        </is>
      </c>
      <c r="K243" s="6">
        <f>IF(AND(H243&gt;0,I243&gt;0),"Rendben",IF(AND(H243=0,I243=0),"Nincs kép és adat",IF(H243=0,"Nincs kép","Nincs adat")))</f>
        <v/>
      </c>
      <c r="L243" s="6" t="inlineStr">
        <is>
          <t>Igen</t>
        </is>
      </c>
      <c r="M243" s="7" t="inlineStr">
        <is>
          <t>alu-sv.com webáruház, keresés rendelési számra</t>
        </is>
      </c>
      <c r="N243" s="7" t="inlineStr">
        <is>
          <t>Megtalálva: Screw for profile 2200071094 (kód: 62LP000822)</t>
        </is>
      </c>
      <c r="O243" s="11" t="inlineStr">
        <is>
          <t>https://www.alu-sv.com/en/goods.ep/4000043_bumpers-and-buffers/39000629_screw-for-profile-2200071094</t>
        </is>
      </c>
      <c r="P243" s="11" t="inlineStr">
        <is>
          <t>https://website-9ib.pages.dev/termek/106282-targoncautkozo-profil-rogzito-csavar-keszlet/</t>
        </is>
      </c>
      <c r="Q243" s="12" t="inlineStr"/>
      <c r="R243" s="13" t="inlineStr"/>
      <c r="S243" s="6" t="inlineStr">
        <is>
          <t>106282-targoncautkozo-profil-rogzito-csavar-keszlet</t>
        </is>
      </c>
    </row>
    <row r="244">
      <c r="A244" s="6" t="inlineStr">
        <is>
          <t>127111</t>
        </is>
      </c>
      <c r="B244" s="7" t="inlineStr">
        <is>
          <t>3-részes rakományrögzítő ovál tányér KICS 350kg</t>
        </is>
      </c>
      <c r="C244" s="6" t="inlineStr">
        <is>
          <t>Rakományrögzítés</t>
        </is>
      </c>
      <c r="D244" s="6" t="inlineStr">
        <is>
          <t>Rakományrögzítés</t>
        </is>
      </c>
      <c r="E244" s="6" t="inlineStr">
        <is>
          <t>Alu-SV</t>
        </is>
      </c>
      <c r="F244" s="6" t="inlineStr">
        <is>
          <t>2100071111</t>
        </is>
      </c>
      <c r="G244" s="6" t="inlineStr">
        <is>
          <t>Quadris Excel</t>
        </is>
      </c>
      <c r="H244" s="6" t="n">
        <v>1</v>
      </c>
      <c r="I244" s="6" t="n">
        <v>7</v>
      </c>
      <c r="J244" s="6" t="inlineStr">
        <is>
          <t>nincs</t>
        </is>
      </c>
      <c r="K244" s="6">
        <f>IF(AND(H244&gt;0,I244&gt;0),"Rendben",IF(AND(H244=0,I244=0),"Nincs kép és adat",IF(H244=0,"Nincs kép","Nincs adat")))</f>
        <v/>
      </c>
      <c r="L244" s="6" t="inlineStr">
        <is>
          <t>Igen</t>
        </is>
      </c>
      <c r="M244" s="7" t="inlineStr">
        <is>
          <t>alu-sv.com webáruház, keresés rendelési számra</t>
        </is>
      </c>
      <c r="N244" s="7" t="inlineStr">
        <is>
          <t>Megtalálva: Pivoting stowing ring, 350kg (kód: 2100071111)</t>
        </is>
      </c>
      <c r="O244" s="11" t="inlineStr">
        <is>
          <t>https://www.alu-sv.com/en/goods.ep/4000036_lashing-rings/34000390_pivoting-stowing-ring--350kg</t>
        </is>
      </c>
      <c r="P244" s="11" t="inlineStr">
        <is>
          <t>https://website-9ib.pages.dev/termek/127111-3-reszes-rakomanyrogzito-oval-tanyer-kics-350kg/</t>
        </is>
      </c>
      <c r="Q244" s="12" t="inlineStr"/>
      <c r="R244" s="13" t="inlineStr"/>
      <c r="S244" s="6" t="inlineStr">
        <is>
          <t>127111-3-reszes-rakomanyrogzito-oval-tanyer-kics-350kg</t>
        </is>
      </c>
    </row>
    <row r="245">
      <c r="A245" s="6" t="inlineStr">
        <is>
          <t>121206</t>
        </is>
      </c>
      <c r="B245" s="7" t="inlineStr">
        <is>
          <t>Gyűrűs rakományrögzítő 400 daN D40</t>
        </is>
      </c>
      <c r="C245" s="6" t="inlineStr">
        <is>
          <t>Rakományrögzítés</t>
        </is>
      </c>
      <c r="D245" s="6" t="inlineStr">
        <is>
          <t>Rakományrögzítés</t>
        </is>
      </c>
      <c r="E245" s="6" t="inlineStr">
        <is>
          <t>Alu-SV</t>
        </is>
      </c>
      <c r="F245" s="6" t="inlineStr">
        <is>
          <t>2301206</t>
        </is>
      </c>
      <c r="G245" s="6" t="inlineStr">
        <is>
          <t>Quadris Excel</t>
        </is>
      </c>
      <c r="H245" s="6" t="n">
        <v>0</v>
      </c>
      <c r="I245" s="6" t="n">
        <v>0</v>
      </c>
      <c r="J245" s="6" t="inlineStr">
        <is>
          <t>nincs</t>
        </is>
      </c>
      <c r="K245" s="6">
        <f>IF(AND(H245&gt;0,I245&gt;0),"Rendben",IF(AND(H245=0,I245=0),"Nincs kép és adat",IF(H245=0,"Nincs kép","Nincs adat")))</f>
        <v/>
      </c>
      <c r="L245" s="6" t="inlineStr">
        <is>
          <t>Igen</t>
        </is>
      </c>
      <c r="M245" s="7" t="inlineStr">
        <is>
          <t>alu-sv.com webáruház, keresés rendelési számra</t>
        </is>
      </c>
      <c r="N245" s="7" t="inlineStr">
        <is>
          <t>Nem találtuk: alu-sv.com webáruház, keresés rendelési számra</t>
        </is>
      </c>
      <c r="O245" s="6" t="inlineStr"/>
      <c r="P245" s="11" t="inlineStr">
        <is>
          <t>https://website-9ib.pages.dev/termek/121206-gyurus-rakomanyrogzito-400-dan-d40/</t>
        </is>
      </c>
      <c r="Q245" s="12" t="inlineStr"/>
      <c r="R245" s="13" t="inlineStr"/>
      <c r="S245" s="6" t="inlineStr">
        <is>
          <t>121206-gyurus-rakomanyrogzito-400-dan-d40</t>
        </is>
      </c>
    </row>
    <row r="246">
      <c r="A246" s="6" t="inlineStr">
        <is>
          <t>1263935</t>
        </is>
      </c>
      <c r="B246" s="7" t="inlineStr">
        <is>
          <t>Kombi ponyvatartó rakományrögzítő sín - acél</t>
        </is>
      </c>
      <c r="C246" s="6" t="inlineStr">
        <is>
          <t>Rakományrögzítés</t>
        </is>
      </c>
      <c r="D246" s="6" t="inlineStr">
        <is>
          <t>Rakományrögzítés</t>
        </is>
      </c>
      <c r="E246" s="6" t="inlineStr">
        <is>
          <t>Alu-SV</t>
        </is>
      </c>
      <c r="F246" s="6" t="inlineStr">
        <is>
          <t>226030093500</t>
        </is>
      </c>
      <c r="G246" s="6" t="inlineStr">
        <is>
          <t>Quadris Excel</t>
        </is>
      </c>
      <c r="H246" s="6" t="n">
        <v>0</v>
      </c>
      <c r="I246" s="6" t="n">
        <v>0</v>
      </c>
      <c r="J246" s="6" t="inlineStr">
        <is>
          <t>nincs</t>
        </is>
      </c>
      <c r="K246" s="6">
        <f>IF(AND(H246&gt;0,I246&gt;0),"Rendben",IF(AND(H246=0,I246=0),"Nincs kép és adat",IF(H246=0,"Nincs kép","Nincs adat")))</f>
        <v/>
      </c>
      <c r="L246" s="6" t="inlineStr">
        <is>
          <t>Igen</t>
        </is>
      </c>
      <c r="M246" s="7" t="inlineStr">
        <is>
          <t>alu-sv.com webáruház, keresés rendelési számra</t>
        </is>
      </c>
      <c r="N246" s="7" t="inlineStr">
        <is>
          <t>Nem találtuk: alu-sv.com webáruház, keresés rendelési számra</t>
        </is>
      </c>
      <c r="O246" s="6" t="inlineStr"/>
      <c r="P246" s="11" t="inlineStr">
        <is>
          <t>https://website-9ib.pages.dev/termek/1263935-kombi-ponyvatarto-rakomanyrogzito-sin-acel/</t>
        </is>
      </c>
      <c r="Q246" s="12" t="inlineStr"/>
      <c r="R246" s="13" t="inlineStr"/>
      <c r="S246" s="6" t="inlineStr">
        <is>
          <t>1263935-kombi-ponyvatarto-rakomanyrogzito-sin-acel</t>
        </is>
      </c>
    </row>
    <row r="247">
      <c r="A247" s="6" t="inlineStr">
        <is>
          <t>120682</t>
        </is>
      </c>
      <c r="B247" s="7" t="inlineStr">
        <is>
          <t>Műanyag végzár Airline sínhez</t>
        </is>
      </c>
      <c r="C247" s="6" t="inlineStr">
        <is>
          <t>Rakományrögzítés</t>
        </is>
      </c>
      <c r="D247" s="6" t="inlineStr">
        <is>
          <t>Rakományrögzítés</t>
        </is>
      </c>
      <c r="E247" s="6" t="inlineStr">
        <is>
          <t>Alu-SV</t>
        </is>
      </c>
      <c r="F247" s="6" t="inlineStr">
        <is>
          <t>2100520682</t>
        </is>
      </c>
      <c r="G247" s="6" t="inlineStr">
        <is>
          <t>Quadris Excel</t>
        </is>
      </c>
      <c r="H247" s="6" t="n">
        <v>1</v>
      </c>
      <c r="I247" s="6" t="n">
        <v>6</v>
      </c>
      <c r="J247" s="6" t="inlineStr">
        <is>
          <t>nincs</t>
        </is>
      </c>
      <c r="K247" s="6">
        <f>IF(AND(H247&gt;0,I247&gt;0),"Rendben",IF(AND(H247=0,I247=0),"Nincs kép és adat",IF(H247=0,"Nincs kép","Nincs adat")))</f>
        <v/>
      </c>
      <c r="L247" s="6" t="inlineStr">
        <is>
          <t>Igen</t>
        </is>
      </c>
      <c r="M247" s="7" t="inlineStr">
        <is>
          <t>alu-sv.com webáruház, keresés rendelési számra</t>
        </is>
      </c>
      <c r="N247" s="7" t="inlineStr">
        <is>
          <t>Megtalálva: Lath end cap Airline, plastic 50mm (kód: 2100520682)</t>
        </is>
      </c>
      <c r="O247" s="11" t="inlineStr">
        <is>
          <t>https://www.alu-sv.com/en/goods.ep/4000037_cargo-securing-lathes/12000523_lath-end-cap-airline--plastic-50mm</t>
        </is>
      </c>
      <c r="P247" s="11" t="inlineStr">
        <is>
          <t>https://website-9ib.pages.dev/termek/120682-muanyag-vegzar-airline-sinhez/</t>
        </is>
      </c>
      <c r="Q247" s="12" t="inlineStr"/>
      <c r="R247" s="13" t="inlineStr"/>
      <c r="S247" s="6" t="inlineStr">
        <is>
          <t>120682-muanyag-vegzar-airline-sinhez</t>
        </is>
      </c>
    </row>
    <row r="248">
      <c r="A248" s="6" t="inlineStr">
        <is>
          <t>127159</t>
        </is>
      </c>
      <c r="B248" s="7" t="inlineStr">
        <is>
          <t>Pálcás rakományrögzítő sín sülly.- alu/5m</t>
        </is>
      </c>
      <c r="C248" s="6" t="inlineStr">
        <is>
          <t>Rakományrögzítés</t>
        </is>
      </c>
      <c r="D248" s="6" t="inlineStr">
        <is>
          <t>Rakományrögzítés</t>
        </is>
      </c>
      <c r="E248" s="6" t="inlineStr">
        <is>
          <t>Alu-SV</t>
        </is>
      </c>
      <c r="F248" s="6" t="inlineStr"/>
      <c r="G248" s="6" t="inlineStr">
        <is>
          <t>Quadris Excel</t>
        </is>
      </c>
      <c r="H248" s="6" t="n">
        <v>0</v>
      </c>
      <c r="I248" s="6" t="n">
        <v>0</v>
      </c>
      <c r="J248" s="6" t="inlineStr">
        <is>
          <t>nincs</t>
        </is>
      </c>
      <c r="K248" s="6">
        <f>IF(AND(H248&gt;0,I248&gt;0),"Rendben",IF(AND(H248=0,I248=0),"Nincs kép és adat",IF(H248=0,"Nincs kép","Nincs adat")))</f>
        <v/>
      </c>
      <c r="L248" s="6" t="inlineStr">
        <is>
          <t>Igen</t>
        </is>
      </c>
      <c r="M248" s="7" t="inlineStr">
        <is>
          <t>alu-sv.com webáruház, keresés rendelési számra</t>
        </is>
      </c>
      <c r="N248" s="7" t="inlineStr">
        <is>
          <t>Nem találtuk: alu-sv.com webáruház, keresés rendelési számra</t>
        </is>
      </c>
      <c r="O248" s="6" t="inlineStr"/>
      <c r="P248" s="11" t="inlineStr">
        <is>
          <t>https://website-9ib.pages.dev/termek/127159-palcas-rakomanyrogzito-sin-sully-alu-5m/</t>
        </is>
      </c>
      <c r="Q248" s="12" t="inlineStr"/>
      <c r="R248" s="13" t="inlineStr"/>
      <c r="S248" s="6" t="inlineStr">
        <is>
          <t>127159-palcas-rakomanyrogzito-sin-sully-alu-5m</t>
        </is>
      </c>
    </row>
    <row r="249">
      <c r="A249" s="6" t="inlineStr">
        <is>
          <t>122000</t>
        </is>
      </c>
      <c r="B249" s="7" t="inlineStr">
        <is>
          <t>Rakományrögzítő kengyel 1000 dAN P</t>
        </is>
      </c>
      <c r="C249" s="6" t="inlineStr">
        <is>
          <t>Rakományrögzítés</t>
        </is>
      </c>
      <c r="D249" s="6" t="inlineStr">
        <is>
          <t>Rakományrögzítés</t>
        </is>
      </c>
      <c r="E249" s="6" t="inlineStr">
        <is>
          <t>Alu-SV</t>
        </is>
      </c>
      <c r="F249" s="6" t="inlineStr">
        <is>
          <t>3U2000</t>
        </is>
      </c>
      <c r="G249" s="6" t="inlineStr">
        <is>
          <t>Quadris Excel</t>
        </is>
      </c>
      <c r="H249" s="6" t="n">
        <v>0</v>
      </c>
      <c r="I249" s="6" t="n">
        <v>0</v>
      </c>
      <c r="J249" s="6" t="inlineStr">
        <is>
          <t>nincs</t>
        </is>
      </c>
      <c r="K249" s="6">
        <f>IF(AND(H249&gt;0,I249&gt;0),"Rendben",IF(AND(H249=0,I249=0),"Nincs kép és adat",IF(H249=0,"Nincs kép","Nincs adat")))</f>
        <v/>
      </c>
      <c r="L249" s="6" t="inlineStr">
        <is>
          <t>Igen</t>
        </is>
      </c>
      <c r="M249" s="7" t="inlineStr">
        <is>
          <t>alu-sv.com webáruház, keresés rendelési számra</t>
        </is>
      </c>
      <c r="N249" s="7" t="inlineStr">
        <is>
          <t>Nem találtuk: alu-sv.com webáruház, keresés rendelési számra</t>
        </is>
      </c>
      <c r="O249" s="6" t="inlineStr"/>
      <c r="P249" s="11" t="inlineStr">
        <is>
          <t>https://website-9ib.pages.dev/termek/122000-rakomanyrogzito-kengyel-1000-dan-p/</t>
        </is>
      </c>
      <c r="Q249" s="12" t="inlineStr"/>
      <c r="R249" s="13" t="inlineStr"/>
      <c r="S249" s="6" t="inlineStr">
        <is>
          <t>122000-rakomanyrogzito-kengyel-1000-dan-p</t>
        </is>
      </c>
    </row>
    <row r="250">
      <c r="A250" s="6" t="inlineStr">
        <is>
          <t>122850</t>
        </is>
      </c>
      <c r="B250" s="7" t="inlineStr">
        <is>
          <t>Rakományrögzítő kengyel 1000 dAN SV</t>
        </is>
      </c>
      <c r="C250" s="6" t="inlineStr">
        <is>
          <t>Rakományrögzítés</t>
        </is>
      </c>
      <c r="D250" s="6" t="inlineStr">
        <is>
          <t>Rakományrögzítés</t>
        </is>
      </c>
      <c r="E250" s="6" t="inlineStr">
        <is>
          <t>Alu-SV</t>
        </is>
      </c>
      <c r="F250" s="6" t="inlineStr">
        <is>
          <t>4364382850</t>
        </is>
      </c>
      <c r="G250" s="6" t="inlineStr">
        <is>
          <t>Quadris Excel</t>
        </is>
      </c>
      <c r="H250" s="6" t="n">
        <v>1</v>
      </c>
      <c r="I250" s="6" t="n">
        <v>7</v>
      </c>
      <c r="J250" s="6" t="inlineStr">
        <is>
          <t>nincs</t>
        </is>
      </c>
      <c r="K250" s="6">
        <f>IF(AND(H250&gt;0,I250&gt;0),"Rendben",IF(AND(H250=0,I250=0),"Nincs kép és adat",IF(H250=0,"Nincs kép","Nincs adat")))</f>
        <v/>
      </c>
      <c r="L250" s="6" t="inlineStr">
        <is>
          <t>Igen</t>
        </is>
      </c>
      <c r="M250" s="7" t="inlineStr">
        <is>
          <t>alu-sv.com webáruház, keresés rendelési számra</t>
        </is>
      </c>
      <c r="N250" s="7" t="inlineStr">
        <is>
          <t>Megtalálva: Frame stowing ring M8 1000daN (kód: 4364382850)</t>
        </is>
      </c>
      <c r="O250" s="11" t="inlineStr">
        <is>
          <t>https://www.alu-sv.com/en/goods.ep/4000036_lashing-rings/39000650_frame-stowing-ring-m8-1000dan</t>
        </is>
      </c>
      <c r="P250" s="11" t="inlineStr">
        <is>
          <t>https://website-9ib.pages.dev/termek/122850-rakomanyrogzito-kengyel-1000-dan-sv/</t>
        </is>
      </c>
      <c r="Q250" s="12" t="inlineStr"/>
      <c r="R250" s="13" t="inlineStr"/>
      <c r="S250" s="6" t="inlineStr">
        <is>
          <t>122850-rakomanyrogzito-kengyel-1000-dan-sv</t>
        </is>
      </c>
    </row>
    <row r="251">
      <c r="A251" s="6" t="inlineStr">
        <is>
          <t>122263</t>
        </is>
      </c>
      <c r="B251" s="7" t="inlineStr">
        <is>
          <t>Süllyesztett Airline sín alu 3000mm</t>
        </is>
      </c>
      <c r="C251" s="6" t="inlineStr">
        <is>
          <t>Rakományrögzítés</t>
        </is>
      </c>
      <c r="D251" s="6" t="inlineStr">
        <is>
          <t>Rakományrögzítés</t>
        </is>
      </c>
      <c r="E251" s="6" t="inlineStr">
        <is>
          <t>Alu-SV</t>
        </is>
      </c>
      <c r="F251" s="6" t="inlineStr">
        <is>
          <t>2171226300</t>
        </is>
      </c>
      <c r="G251" s="6" t="inlineStr">
        <is>
          <t>Quadris Excel</t>
        </is>
      </c>
      <c r="H251" s="6" t="n">
        <v>0</v>
      </c>
      <c r="I251" s="6" t="n">
        <v>0</v>
      </c>
      <c r="J251" s="6" t="inlineStr">
        <is>
          <t>nincs</t>
        </is>
      </c>
      <c r="K251" s="6">
        <f>IF(AND(H251&gt;0,I251&gt;0),"Rendben",IF(AND(H251=0,I251=0),"Nincs kép és adat",IF(H251=0,"Nincs kép","Nincs adat")))</f>
        <v/>
      </c>
      <c r="L251" s="6" t="inlineStr">
        <is>
          <t>Igen</t>
        </is>
      </c>
      <c r="M251" s="7" t="inlineStr">
        <is>
          <t>alu-sv.com webáruház, keresés rendelési számra</t>
        </is>
      </c>
      <c r="N251" s="7" t="inlineStr">
        <is>
          <t>Nem találtuk: alu-sv.com webáruház, keresés rendelési számra</t>
        </is>
      </c>
      <c r="O251" s="6" t="inlineStr"/>
      <c r="P251" s="11" t="inlineStr">
        <is>
          <t>https://website-9ib.pages.dev/termek/122263-sullyesztett-airline-sin-alu-3000mm/</t>
        </is>
      </c>
      <c r="Q251" s="12" t="inlineStr"/>
      <c r="R251" s="13" t="inlineStr"/>
      <c r="S251" s="6" t="inlineStr">
        <is>
          <t>122263-sullyesztett-airline-sin-alu-3000mm</t>
        </is>
      </c>
    </row>
    <row r="252">
      <c r="A252" s="6" t="inlineStr">
        <is>
          <t>123025</t>
        </is>
      </c>
      <c r="B252" s="7" t="inlineStr">
        <is>
          <t>Térelválasztó falzár 2400-2700 mm 400daN</t>
        </is>
      </c>
      <c r="C252" s="6" t="inlineStr">
        <is>
          <t>Rakományrögzítés</t>
        </is>
      </c>
      <c r="D252" s="6" t="inlineStr">
        <is>
          <t>Rakományrögzítés</t>
        </is>
      </c>
      <c r="E252" s="6" t="inlineStr">
        <is>
          <t>Alu-SV</t>
        </is>
      </c>
      <c r="F252" s="6" t="inlineStr">
        <is>
          <t>3F50030225</t>
        </is>
      </c>
      <c r="G252" s="6" t="inlineStr">
        <is>
          <t>Quadris Excel</t>
        </is>
      </c>
      <c r="H252" s="6" t="n">
        <v>1</v>
      </c>
      <c r="I252" s="6" t="n">
        <v>7</v>
      </c>
      <c r="J252" s="6" t="inlineStr">
        <is>
          <t>nincs</t>
        </is>
      </c>
      <c r="K252" s="6">
        <f>IF(AND(H252&gt;0,I252&gt;0),"Rendben",IF(AND(H252=0,I252=0),"Nincs kép és adat",IF(H252=0,"Nincs kép","Nincs adat")))</f>
        <v/>
      </c>
      <c r="L252" s="6" t="inlineStr">
        <is>
          <t>Igen</t>
        </is>
      </c>
      <c r="M252" s="7" t="inlineStr">
        <is>
          <t>alu-sv.com webáruház, keresés rendelési számra</t>
        </is>
      </c>
      <c r="N252" s="7" t="inlineStr">
        <is>
          <t>Megtalálva: .Stowing bar 2400-2700 mm 400daN (kód: 3F50030225)</t>
        </is>
      </c>
      <c r="O252" s="11" t="inlineStr">
        <is>
          <t>https://www.alu-sv.com/en/goods.ep/13000005_inter-dropsides-stowing-bar/36000019_.stowing-bar-2400-2700-mm-400dan</t>
        </is>
      </c>
      <c r="P252" s="11" t="inlineStr">
        <is>
          <t>https://website-9ib.pages.dev/termek/123025-terelvalaszto-falzar-2400-2700-mm-400dan/</t>
        </is>
      </c>
      <c r="Q252" s="12" t="inlineStr"/>
      <c r="R252" s="13" t="inlineStr"/>
      <c r="S252" s="6" t="inlineStr">
        <is>
          <t>123025-terelvalaszto-falzar-2400-2700-mm-400dan</t>
        </is>
      </c>
    </row>
    <row r="253">
      <c r="A253" s="6" t="inlineStr">
        <is>
          <t>231144</t>
        </is>
      </c>
      <c r="B253" s="7" t="inlineStr">
        <is>
          <t>"Z" esővető alu profil 60 mm</t>
        </is>
      </c>
      <c r="C253" s="6" t="inlineStr">
        <is>
          <t>Zárt-dobozos és hűtős profilok</t>
        </is>
      </c>
      <c r="D253" s="6" t="inlineStr">
        <is>
          <t>Zárt-dobozos és hűtős profilok</t>
        </is>
      </c>
      <c r="E253" s="6" t="inlineStr">
        <is>
          <t>Alu-SV</t>
        </is>
      </c>
      <c r="F253" s="6" t="inlineStr">
        <is>
          <t>6612014350</t>
        </is>
      </c>
      <c r="G253" s="6" t="inlineStr">
        <is>
          <t>Quadris Excel</t>
        </is>
      </c>
      <c r="H253" s="6" t="n">
        <v>1</v>
      </c>
      <c r="I253" s="6" t="n">
        <v>5</v>
      </c>
      <c r="J253" s="6" t="inlineStr">
        <is>
          <t>nincs</t>
        </is>
      </c>
      <c r="K253" s="6">
        <f>IF(AND(H253&gt;0,I253&gt;0),"Rendben",IF(AND(H253=0,I253=0),"Nincs kép és adat",IF(H253=0,"Nincs kép","Nincs adat")))</f>
        <v/>
      </c>
      <c r="L253" s="6" t="inlineStr">
        <is>
          <t>Igen</t>
        </is>
      </c>
      <c r="M253" s="7" t="inlineStr">
        <is>
          <t>alu-sv.com webáruház, keresés rendelési számra</t>
        </is>
      </c>
      <c r="N253" s="7" t="inlineStr">
        <is>
          <t>Megtalálva: Dripchannel profile, anodized (kód: 6612014350)</t>
        </is>
      </c>
      <c r="O253" s="11" t="inlineStr">
        <is>
          <t>https://www.alu-sv.com/en/goods.ep/19000001_closed-body-aluminum-profiles/910189874_dripchannel-profile--anodized</t>
        </is>
      </c>
      <c r="P253" s="11" t="inlineStr">
        <is>
          <t>https://website-9ib.pages.dev/termek/231144-z-esoveto-alu-profil-60-mm/</t>
        </is>
      </c>
      <c r="Q253" s="12" t="inlineStr"/>
      <c r="R253" s="13" t="inlineStr"/>
      <c r="S253" s="6" t="inlineStr">
        <is>
          <t>231144-z-esoveto-alu-profil-60-mm</t>
        </is>
      </c>
    </row>
    <row r="254">
      <c r="A254" s="6" t="inlineStr">
        <is>
          <t>231791</t>
        </is>
      </c>
      <c r="B254" s="7" t="inlineStr">
        <is>
          <t>15,3x26 mm "L" profil elox</t>
        </is>
      </c>
      <c r="C254" s="6" t="inlineStr">
        <is>
          <t>Zárt-dobozos és hűtős profilok</t>
        </is>
      </c>
      <c r="D254" s="6" t="inlineStr">
        <is>
          <t>Zárt-dobozos és hűtős profilok</t>
        </is>
      </c>
      <c r="E254" s="6" t="inlineStr">
        <is>
          <t>Alu-SV</t>
        </is>
      </c>
      <c r="F254" s="6" t="inlineStr">
        <is>
          <t>66L2011791</t>
        </is>
      </c>
      <c r="G254" s="6" t="inlineStr">
        <is>
          <t>Quadris Excel</t>
        </is>
      </c>
      <c r="H254" s="6" t="n">
        <v>1</v>
      </c>
      <c r="I254" s="6" t="n">
        <v>5</v>
      </c>
      <c r="J254" s="6" t="inlineStr">
        <is>
          <t>nincs</t>
        </is>
      </c>
      <c r="K254" s="6">
        <f>IF(AND(H254&gt;0,I254&gt;0),"Rendben",IF(AND(H254=0,I254=0),"Nincs kép és adat",IF(H254=0,"Nincs kép","Nincs adat")))</f>
        <v/>
      </c>
      <c r="L254" s="6" t="inlineStr">
        <is>
          <t>Igen</t>
        </is>
      </c>
      <c r="M254" s="7" t="inlineStr">
        <is>
          <t>alu-sv.com webáruház, keresés rendelési számra</t>
        </is>
      </c>
      <c r="N254" s="7" t="inlineStr">
        <is>
          <t>Megtalálva: Profil L 26x15,3mm, anodized (kód: 66L2011791)</t>
        </is>
      </c>
      <c r="O254" s="11" t="inlineStr">
        <is>
          <t>https://www.alu-sv.com/en/goods.ep/19000001_closed-body-aluminum-profiles/70000030_profil-l-26x15-3mm--anodized</t>
        </is>
      </c>
      <c r="P254" s="11" t="inlineStr">
        <is>
          <t>https://website-9ib.pages.dev/termek/231791-15-3x26-mm-l-profil-elox/</t>
        </is>
      </c>
      <c r="Q254" s="12" t="inlineStr"/>
      <c r="R254" s="13" t="inlineStr"/>
      <c r="S254" s="6" t="inlineStr">
        <is>
          <t>231791-15-3x26-mm-l-profil-elox</t>
        </is>
      </c>
    </row>
    <row r="255">
      <c r="A255" s="6" t="inlineStr">
        <is>
          <t>237768</t>
        </is>
      </c>
      <c r="B255" s="7" t="inlineStr">
        <is>
          <t>40x40x2,5/R elox L profil</t>
        </is>
      </c>
      <c r="C255" s="6" t="inlineStr">
        <is>
          <t>Zárt-dobozos és hűtős profilok</t>
        </is>
      </c>
      <c r="D255" s="6" t="inlineStr">
        <is>
          <t>Zárt-dobozos és hűtős profilok</t>
        </is>
      </c>
      <c r="E255" s="6" t="inlineStr">
        <is>
          <t>Alu-SV</t>
        </is>
      </c>
      <c r="F255" s="6" t="inlineStr">
        <is>
          <t>6612007768</t>
        </is>
      </c>
      <c r="G255" s="6" t="inlineStr">
        <is>
          <t>Quadris Excel</t>
        </is>
      </c>
      <c r="H255" s="6" t="n">
        <v>1</v>
      </c>
      <c r="I255" s="6" t="n">
        <v>7</v>
      </c>
      <c r="J255" s="6" t="inlineStr">
        <is>
          <t>nincs</t>
        </is>
      </c>
      <c r="K255" s="6">
        <f>IF(AND(H255&gt;0,I255&gt;0),"Rendben",IF(AND(H255=0,I255=0),"Nincs kép és adat",IF(H255=0,"Nincs kép","Nincs adat")))</f>
        <v/>
      </c>
      <c r="L255" s="6" t="inlineStr">
        <is>
          <t>Igen</t>
        </is>
      </c>
      <c r="M255" s="7" t="inlineStr">
        <is>
          <t>alu-sv.com webáruház, keresés rendelési számra</t>
        </is>
      </c>
      <c r="N255" s="7" t="inlineStr">
        <is>
          <t>Megtalálva: Inside profile L40x40, anodized (kód: 6612007768)</t>
        </is>
      </c>
      <c r="O255" s="11" t="inlineStr">
        <is>
          <t>https://www.alu-sv.com/en/goods.ep/19000001_closed-body-aluminum-profiles/87000229_inside-profile-l40x40--anodized</t>
        </is>
      </c>
      <c r="P255" s="11" t="inlineStr">
        <is>
          <t>https://website-9ib.pages.dev/termek/237768-40x40x2-5-r-elox-l-profil/</t>
        </is>
      </c>
      <c r="Q255" s="12" t="inlineStr"/>
      <c r="R255" s="13" t="inlineStr"/>
      <c r="S255" s="6" t="inlineStr">
        <is>
          <t>237768-40x40x2-5-r-elox-l-profil</t>
        </is>
      </c>
    </row>
    <row r="256">
      <c r="A256" s="6" t="inlineStr">
        <is>
          <t>237767/n</t>
        </is>
      </c>
      <c r="B256" s="7" t="inlineStr">
        <is>
          <t>60x60 "L" profil</t>
        </is>
      </c>
      <c r="C256" s="6" t="inlineStr">
        <is>
          <t>Zárt-dobozos és hűtős profilok</t>
        </is>
      </c>
      <c r="D256" s="6" t="inlineStr">
        <is>
          <t>Zárt-dobozos és hűtős profilok</t>
        </is>
      </c>
      <c r="E256" s="6" t="inlineStr">
        <is>
          <t>Alu-SV</t>
        </is>
      </c>
      <c r="F256" s="6" t="inlineStr">
        <is>
          <t>6600007767</t>
        </is>
      </c>
      <c r="G256" s="6" t="inlineStr">
        <is>
          <t>Quadris Excel</t>
        </is>
      </c>
      <c r="H256" s="6" t="n">
        <v>1</v>
      </c>
      <c r="I256" s="6" t="n">
        <v>7</v>
      </c>
      <c r="J256" s="6" t="inlineStr">
        <is>
          <t>nincs</t>
        </is>
      </c>
      <c r="K256" s="6">
        <f>IF(AND(H256&gt;0,I256&gt;0),"Rendben",IF(AND(H256=0,I256=0),"Nincs kép és adat",IF(H256=0,"Nincs kép","Nincs adat")))</f>
        <v/>
      </c>
      <c r="L256" s="6" t="inlineStr">
        <is>
          <t>Igen</t>
        </is>
      </c>
      <c r="M256" s="7" t="inlineStr">
        <is>
          <t>alu-sv.com webáruház, keresés rendelési számra</t>
        </is>
      </c>
      <c r="N256" s="7" t="inlineStr">
        <is>
          <t>Megtalálva: Internal profile L 60x60mm, al (kód: 6600007767)</t>
        </is>
      </c>
      <c r="O256" s="11" t="inlineStr">
        <is>
          <t>https://www.alu-sv.com/en/goods.ep/19000001_closed-body-aluminum-profiles/1468_internal-profile-l-60x60mm--al</t>
        </is>
      </c>
      <c r="P256" s="11" t="inlineStr">
        <is>
          <t>https://website-9ib.pages.dev/termek/237767-n-60x60-l-profil/</t>
        </is>
      </c>
      <c r="Q256" s="12" t="inlineStr"/>
      <c r="R256" s="13" t="inlineStr"/>
      <c r="S256" s="6" t="inlineStr">
        <is>
          <t>237767-n-60x60-l-profil</t>
        </is>
      </c>
    </row>
    <row r="257">
      <c r="A257" s="6" t="inlineStr">
        <is>
          <t>231726/n</t>
        </is>
      </c>
      <c r="B257" s="7" t="inlineStr">
        <is>
          <t>B Tömítéses ajtószegő 25 mm</t>
        </is>
      </c>
      <c r="C257" s="6" t="inlineStr">
        <is>
          <t>Zárt-dobozos és hűtős profilok</t>
        </is>
      </c>
      <c r="D257" s="6" t="inlineStr">
        <is>
          <t>Zárt-dobozos és hűtős profilok</t>
        </is>
      </c>
      <c r="E257" s="6" t="inlineStr">
        <is>
          <t>Alu-SV</t>
        </is>
      </c>
      <c r="F257" s="6" t="inlineStr">
        <is>
          <t>1317 260-000</t>
        </is>
      </c>
      <c r="G257" s="6" t="inlineStr">
        <is>
          <t>Quadris Excel</t>
        </is>
      </c>
      <c r="H257" s="6" t="n">
        <v>0</v>
      </c>
      <c r="I257" s="6" t="n">
        <v>0</v>
      </c>
      <c r="J257" s="6" t="inlineStr">
        <is>
          <t>nincs</t>
        </is>
      </c>
      <c r="K257" s="6">
        <f>IF(AND(H257&gt;0,I257&gt;0),"Rendben",IF(AND(H257=0,I257=0),"Nincs kép és adat",IF(H257=0,"Nincs kép","Nincs adat")))</f>
        <v/>
      </c>
      <c r="L257" s="6" t="inlineStr">
        <is>
          <t>Igen</t>
        </is>
      </c>
      <c r="M257" s="7" t="inlineStr">
        <is>
          <t>alu-sv.com webáruház, keresés rendelési számra</t>
        </is>
      </c>
      <c r="N257" s="7" t="inlineStr">
        <is>
          <t>Nem találtuk: alu-sv.com webáruház, keresés rendelési számra</t>
        </is>
      </c>
      <c r="O257" s="6" t="inlineStr"/>
      <c r="P257" s="11" t="inlineStr">
        <is>
          <t>https://website-9ib.pages.dev/termek/231726-n-b-tomiteses-ajtoszego-25-mm/</t>
        </is>
      </c>
      <c r="Q257" s="12" t="inlineStr"/>
      <c r="R257" s="13" t="inlineStr"/>
      <c r="S257" s="6" t="inlineStr">
        <is>
          <t>231726-n-b-tomiteses-ajtoszego-25-mm</t>
        </is>
      </c>
    </row>
    <row r="258">
      <c r="A258" s="6" t="inlineStr">
        <is>
          <t>237310/20</t>
        </is>
      </c>
      <c r="B258" s="7" t="inlineStr">
        <is>
          <t>Dupla alu zsanér</t>
        </is>
      </c>
      <c r="C258" s="6" t="inlineStr">
        <is>
          <t>Zárt-dobozos és hűtős profilok</t>
        </is>
      </c>
      <c r="D258" s="6" t="inlineStr">
        <is>
          <t>Zárt-dobozos és hűtős profilok</t>
        </is>
      </c>
      <c r="E258" s="6" t="inlineStr">
        <is>
          <t>Alu-SV</t>
        </is>
      </c>
      <c r="F258" s="6" t="inlineStr">
        <is>
          <t>4163673200</t>
        </is>
      </c>
      <c r="G258" s="6" t="inlineStr">
        <is>
          <t>Quadris Excel</t>
        </is>
      </c>
      <c r="H258" s="6" t="n">
        <v>1</v>
      </c>
      <c r="I258" s="6" t="n">
        <v>7</v>
      </c>
      <c r="J258" s="6" t="inlineStr">
        <is>
          <t>nincs</t>
        </is>
      </c>
      <c r="K258" s="6">
        <f>IF(AND(H258&gt;0,I258&gt;0),"Rendben",IF(AND(H258=0,I258=0),"Nincs kép és adat",IF(H258=0,"Nincs kép","Nincs adat")))</f>
        <v/>
      </c>
      <c r="L258" s="6" t="inlineStr">
        <is>
          <t>Igen</t>
        </is>
      </c>
      <c r="M258" s="7" t="inlineStr">
        <is>
          <t>alu-sv.com webáruház, keresés rendelési számra</t>
        </is>
      </c>
      <c r="N258" s="7" t="inlineStr">
        <is>
          <t>Megtalálva: Continuous hinge 155 counterpart max5,3m (kód: 4163673200)</t>
        </is>
      </c>
      <c r="O258" s="11" t="inlineStr">
        <is>
          <t>https://www.alu-sv.com/en/goods.ep/4000022_closed-body-hinges/815_continuous-hinge-155-counterpart-max5-3m</t>
        </is>
      </c>
      <c r="P258" s="11" t="inlineStr">
        <is>
          <t>https://website-9ib.pages.dev/termek/237310-20-dupla-alu-zsaner/</t>
        </is>
      </c>
      <c r="Q258" s="12" t="inlineStr"/>
      <c r="R258" s="13" t="inlineStr"/>
      <c r="S258" s="6" t="inlineStr">
        <is>
          <t>237310-20-dupla-alu-zsaner</t>
        </is>
      </c>
    </row>
    <row r="259">
      <c r="A259" s="6" t="inlineStr">
        <is>
          <t>233176</t>
        </is>
      </c>
      <c r="B259" s="7" t="inlineStr">
        <is>
          <t>Esőcsatorna elox nagy 7500</t>
        </is>
      </c>
      <c r="C259" s="6" t="inlineStr">
        <is>
          <t>Zárt-dobozos és hűtős profilok</t>
        </is>
      </c>
      <c r="D259" s="6" t="inlineStr">
        <is>
          <t>Zárt-dobozos és hűtős profilok</t>
        </is>
      </c>
      <c r="E259" s="6" t="inlineStr">
        <is>
          <t>Alu-SV</t>
        </is>
      </c>
      <c r="F259" s="6" t="inlineStr"/>
      <c r="G259" s="6" t="inlineStr">
        <is>
          <t>Quadris Excel</t>
        </is>
      </c>
      <c r="H259" s="6" t="n">
        <v>0</v>
      </c>
      <c r="I259" s="6" t="n">
        <v>0</v>
      </c>
      <c r="J259" s="6" t="inlineStr">
        <is>
          <t>nincs</t>
        </is>
      </c>
      <c r="K259" s="6">
        <f>IF(AND(H259&gt;0,I259&gt;0),"Rendben",IF(AND(H259=0,I259=0),"Nincs kép és adat",IF(H259=0,"Nincs kép","Nincs adat")))</f>
        <v/>
      </c>
      <c r="L259" s="6" t="inlineStr">
        <is>
          <t>Igen</t>
        </is>
      </c>
      <c r="M259" s="7" t="inlineStr">
        <is>
          <t>alu-sv.com webáruház, keresés rendelési számra</t>
        </is>
      </c>
      <c r="N259" s="7" t="inlineStr">
        <is>
          <t>Nem találtuk: alu-sv.com webáruház, keresés rendelési számra</t>
        </is>
      </c>
      <c r="O259" s="6" t="inlineStr"/>
      <c r="P259" s="11" t="inlineStr">
        <is>
          <t>https://website-9ib.pages.dev/termek/233176-esocsatorna-elox-nagy-7500/</t>
        </is>
      </c>
      <c r="Q259" s="12" t="inlineStr"/>
      <c r="R259" s="13" t="inlineStr"/>
      <c r="S259" s="6" t="inlineStr">
        <is>
          <t>233176-esocsatorna-elox-nagy-7500</t>
        </is>
      </c>
    </row>
    <row r="260">
      <c r="A260" s="6" t="inlineStr">
        <is>
          <t>238043</t>
        </is>
      </c>
      <c r="B260" s="7" t="inlineStr">
        <is>
          <t>Kalap profil natúr, 35/87 mm</t>
        </is>
      </c>
      <c r="C260" s="6" t="inlineStr">
        <is>
          <t>Zárt-dobozos és hűtős profilok</t>
        </is>
      </c>
      <c r="D260" s="6" t="inlineStr">
        <is>
          <t>Zárt-dobozos és hűtős profilok</t>
        </is>
      </c>
      <c r="E260" s="6" t="inlineStr">
        <is>
          <t>Alu-SV</t>
        </is>
      </c>
      <c r="F260" s="6" t="inlineStr">
        <is>
          <t>6600008043</t>
        </is>
      </c>
      <c r="G260" s="6" t="inlineStr">
        <is>
          <t>Quadris Excel</t>
        </is>
      </c>
      <c r="H260" s="6" t="n">
        <v>1</v>
      </c>
      <c r="I260" s="6" t="n">
        <v>7</v>
      </c>
      <c r="J260" s="6" t="inlineStr">
        <is>
          <t>nincs</t>
        </is>
      </c>
      <c r="K260" s="6">
        <f>IF(AND(H260&gt;0,I260&gt;0),"Rendben",IF(AND(H260=0,I260=0),"Nincs kép és adat",IF(H260=0,"Nincs kép","Nincs adat")))</f>
        <v/>
      </c>
      <c r="L260" s="6" t="inlineStr">
        <is>
          <t>Igen</t>
        </is>
      </c>
      <c r="M260" s="7" t="inlineStr">
        <is>
          <t>alu-sv.com webáruház, keresés rendelési számra</t>
        </is>
      </c>
      <c r="N260" s="7" t="inlineStr">
        <is>
          <t>Megtalálva: Roof profile omega 35mm, al (kód: 6600008043)</t>
        </is>
      </c>
      <c r="O260" s="11" t="inlineStr">
        <is>
          <t>https://www.alu-sv.com/en/goods.ep/19000001_closed-body-aluminum-profiles/1474_roof-profile-omega-35mm--al</t>
        </is>
      </c>
      <c r="P260" s="11" t="inlineStr">
        <is>
          <t>https://website-9ib.pages.dev/termek/238043-kalap-profil-natur-35-87-mm/</t>
        </is>
      </c>
      <c r="Q260" s="12" t="inlineStr"/>
      <c r="R260" s="13" t="inlineStr"/>
      <c r="S260" s="6" t="inlineStr">
        <is>
          <t>238043-kalap-profil-natur-35-87-mm</t>
        </is>
      </c>
    </row>
    <row r="261">
      <c r="A261" s="6" t="inlineStr">
        <is>
          <t>236817/n</t>
        </is>
      </c>
      <c r="B261" s="7" t="inlineStr">
        <is>
          <t>R50 Íves felső profil</t>
        </is>
      </c>
      <c r="C261" s="6" t="inlineStr">
        <is>
          <t>Zárt-dobozos és hűtős profilok</t>
        </is>
      </c>
      <c r="D261" s="6" t="inlineStr">
        <is>
          <t>Zárt-dobozos és hűtős profilok</t>
        </is>
      </c>
      <c r="E261" s="6" t="inlineStr">
        <is>
          <t>Alu-SV</t>
        </is>
      </c>
      <c r="F261" s="6" t="inlineStr">
        <is>
          <t>1000006817</t>
        </is>
      </c>
      <c r="G261" s="6" t="inlineStr">
        <is>
          <t>Quadris Excel</t>
        </is>
      </c>
      <c r="H261" s="6" t="n">
        <v>1</v>
      </c>
      <c r="I261" s="6" t="n">
        <v>7</v>
      </c>
      <c r="J261" s="6" t="inlineStr">
        <is>
          <t>nincs</t>
        </is>
      </c>
      <c r="K261" s="6">
        <f>IF(AND(H261&gt;0,I261&gt;0),"Rendben",IF(AND(H261=0,I261=0),"Nincs kép és adat",IF(H261=0,"Nincs kép","Nincs adat")))</f>
        <v/>
      </c>
      <c r="L261" s="6" t="inlineStr">
        <is>
          <t>Igen</t>
        </is>
      </c>
      <c r="M261" s="7" t="inlineStr">
        <is>
          <t>alu-sv.com webáruház, keresés rendelési számra</t>
        </is>
      </c>
      <c r="N261" s="7" t="inlineStr">
        <is>
          <t>Megtalálva: Edge profile R50, outdoor (kód: 1000006817)</t>
        </is>
      </c>
      <c r="O261" s="11" t="inlineStr">
        <is>
          <t>https://www.alu-sv.com/en/goods.ep/19000001_closed-body-aluminum-profiles/16000141_edge-profile-r50--outdoor</t>
        </is>
      </c>
      <c r="P261" s="11" t="inlineStr">
        <is>
          <t>https://website-9ib.pages.dev/termek/236817-n-r50-ives-felso-profil/</t>
        </is>
      </c>
      <c r="Q261" s="12" t="inlineStr"/>
      <c r="R261" s="13" t="inlineStr"/>
      <c r="S261" s="6" t="inlineStr">
        <is>
          <t>236817-n-r50-ives-felso-profil</t>
        </is>
      </c>
    </row>
    <row r="262">
      <c r="A262" s="6" t="inlineStr">
        <is>
          <t>236817</t>
        </is>
      </c>
      <c r="B262" s="7" t="inlineStr">
        <is>
          <t>R50 Íves felső profil elox</t>
        </is>
      </c>
      <c r="C262" s="6" t="inlineStr">
        <is>
          <t>Zárt-dobozos és hűtős profilok</t>
        </is>
      </c>
      <c r="D262" s="6" t="inlineStr">
        <is>
          <t>Zárt-dobozos és hűtős profilok</t>
        </is>
      </c>
      <c r="E262" s="6" t="inlineStr">
        <is>
          <t>Alu-SV</t>
        </is>
      </c>
      <c r="F262" s="6" t="inlineStr">
        <is>
          <t>1000068171</t>
        </is>
      </c>
      <c r="G262" s="6" t="inlineStr">
        <is>
          <t>Quadris Excel</t>
        </is>
      </c>
      <c r="H262" s="6" t="n">
        <v>1</v>
      </c>
      <c r="I262" s="6" t="n">
        <v>7</v>
      </c>
      <c r="J262" s="6" t="inlineStr">
        <is>
          <t>nincs</t>
        </is>
      </c>
      <c r="K262" s="6">
        <f>IF(AND(H262&gt;0,I262&gt;0),"Rendben",IF(AND(H262=0,I262=0),"Nincs kép és adat",IF(H262=0,"Nincs kép","Nincs adat")))</f>
        <v/>
      </c>
      <c r="L262" s="6" t="inlineStr">
        <is>
          <t>Igen</t>
        </is>
      </c>
      <c r="M262" s="7" t="inlineStr">
        <is>
          <t>alu-sv.com webáruház, keresés rendelési számra</t>
        </is>
      </c>
      <c r="N262" s="7" t="inlineStr">
        <is>
          <t>Megtalálva: Edge profile R50 outside, anodized (kód: 1000068171)</t>
        </is>
      </c>
      <c r="O262" s="11" t="inlineStr">
        <is>
          <t>https://www.alu-sv.com/en/goods.ep/19000001_closed-body-aluminum-profiles/15000175_edge-profile-r50-outside--anodized</t>
        </is>
      </c>
      <c r="P262" s="11" t="inlineStr">
        <is>
          <t>https://website-9ib.pages.dev/termek/236817-r50-ives-felso-profil-elox/</t>
        </is>
      </c>
      <c r="Q262" s="12" t="inlineStr"/>
      <c r="R262" s="13" t="inlineStr"/>
      <c r="S262" s="6" t="inlineStr">
        <is>
          <t>236817-r50-ives-felso-profil-elox</t>
        </is>
      </c>
    </row>
    <row r="263">
      <c r="A263" s="6" t="inlineStr"/>
      <c r="B263" s="7" t="inlineStr">
        <is>
          <t>L 12x1250x2500 mm Natúr rétegelt lemez</t>
        </is>
      </c>
      <c r="C263" s="6" t="inlineStr">
        <is>
          <t>Csúszásmentes rétegelt padló</t>
        </is>
      </c>
      <c r="D263" s="6" t="inlineStr">
        <is>
          <t>Rétegelt lemezek</t>
        </is>
      </c>
      <c r="E263" s="6" t="inlineStr">
        <is>
          <t>BAYU</t>
        </is>
      </c>
      <c r="F263" s="6" t="inlineStr"/>
      <c r="G263" s="6" t="inlineStr">
        <is>
          <t>Quadris Excel</t>
        </is>
      </c>
      <c r="H263" s="6" t="n">
        <v>3</v>
      </c>
      <c r="I263" s="6" t="n">
        <v>4</v>
      </c>
      <c r="J263" s="6" t="inlineStr">
        <is>
          <t>nincs</t>
        </is>
      </c>
      <c r="K263" s="6">
        <f>IF(AND(H263&gt;0,I263&gt;0),"Rendben",IF(AND(H263=0,I263=0),"Nincs kép és adat",IF(H263=0,"Nincs kép","Nincs adat")))</f>
        <v/>
      </c>
      <c r="L263" s="6" t="inlineStr">
        <is>
          <t>Nem</t>
        </is>
      </c>
      <c r="M263" s="7" t="inlineStr">
        <is>
          <t>Quadris-megnevezés (nincs beszállítói forrás)</t>
        </is>
      </c>
      <c r="N263" s="7" t="inlineStr">
        <is>
          <t>Beszállítói forrás nincs – adatlap a Quadris-megnevezésből (méretek, elméleti tömeg)</t>
        </is>
      </c>
      <c r="O263" s="6" t="inlineStr"/>
      <c r="P263" s="11" t="inlineStr">
        <is>
          <t>https://website-9ib.pages.dev/termek/l-12x1250x2500-mm-natur-retegelt-lemez/</t>
        </is>
      </c>
      <c r="Q263" s="12" t="inlineStr"/>
      <c r="R263" s="13" t="inlineStr"/>
      <c r="S263" s="6" t="inlineStr">
        <is>
          <t>l-12x1250x2500-mm-natur-retegelt-lemez</t>
        </is>
      </c>
    </row>
    <row r="264">
      <c r="A264" s="6" t="inlineStr"/>
      <c r="B264" s="7" t="inlineStr">
        <is>
          <t>L 12x1250x2500 mm rétegelt lemez fenolos</t>
        </is>
      </c>
      <c r="C264" s="6" t="inlineStr">
        <is>
          <t>Csúszásmentes rétegelt padló</t>
        </is>
      </c>
      <c r="D264" s="6" t="inlineStr">
        <is>
          <t>Rétegelt lemezek</t>
        </is>
      </c>
      <c r="E264" s="6" t="inlineStr">
        <is>
          <t>BAYU</t>
        </is>
      </c>
      <c r="F264" s="6" t="inlineStr"/>
      <c r="G264" s="6" t="inlineStr">
        <is>
          <t>Quadris Excel</t>
        </is>
      </c>
      <c r="H264" s="6" t="n">
        <v>3</v>
      </c>
      <c r="I264" s="6" t="n">
        <v>4</v>
      </c>
      <c r="J264" s="6" t="inlineStr">
        <is>
          <t>nincs</t>
        </is>
      </c>
      <c r="K264" s="6">
        <f>IF(AND(H264&gt;0,I264&gt;0),"Rendben",IF(AND(H264=0,I264=0),"Nincs kép és adat",IF(H264=0,"Nincs kép","Nincs adat")))</f>
        <v/>
      </c>
      <c r="L264" s="6" t="inlineStr">
        <is>
          <t>Nem</t>
        </is>
      </c>
      <c r="M264" s="7" t="inlineStr">
        <is>
          <t>Quadris-megnevezés (nincs beszállítói forrás)</t>
        </is>
      </c>
      <c r="N264" s="7" t="inlineStr">
        <is>
          <t>Beszállítói forrás nincs – adatlap a Quadris-megnevezésből (méretek, elméleti tömeg)</t>
        </is>
      </c>
      <c r="O264" s="6" t="inlineStr"/>
      <c r="P264" s="11" t="inlineStr">
        <is>
          <t>https://website-9ib.pages.dev/termek/l-12x1250x2500-mm-retegelt-lemez-fenolos/</t>
        </is>
      </c>
      <c r="Q264" s="12" t="inlineStr"/>
      <c r="R264" s="13" t="inlineStr"/>
      <c r="S264" s="6" t="inlineStr">
        <is>
          <t>l-12x1250x2500-mm-retegelt-lemez-fenolos</t>
        </is>
      </c>
    </row>
    <row r="265">
      <c r="A265" s="6" t="inlineStr"/>
      <c r="B265" s="7" t="inlineStr">
        <is>
          <t>L 15x1500x2500 Rétegelt lemez fenolos</t>
        </is>
      </c>
      <c r="C265" s="6" t="inlineStr">
        <is>
          <t>Csúszásmentes rétegelt padló</t>
        </is>
      </c>
      <c r="D265" s="6" t="inlineStr">
        <is>
          <t>Rétegelt lemezek</t>
        </is>
      </c>
      <c r="E265" s="6" t="inlineStr">
        <is>
          <t>BAYU</t>
        </is>
      </c>
      <c r="F265" s="6" t="inlineStr"/>
      <c r="G265" s="6" t="inlineStr">
        <is>
          <t>Quadris Excel</t>
        </is>
      </c>
      <c r="H265" s="6" t="n">
        <v>3</v>
      </c>
      <c r="I265" s="6" t="n">
        <v>4</v>
      </c>
      <c r="J265" s="6" t="inlineStr">
        <is>
          <t>nincs</t>
        </is>
      </c>
      <c r="K265" s="6">
        <f>IF(AND(H265&gt;0,I265&gt;0),"Rendben",IF(AND(H265=0,I265=0),"Nincs kép és adat",IF(H265=0,"Nincs kép","Nincs adat")))</f>
        <v/>
      </c>
      <c r="L265" s="6" t="inlineStr">
        <is>
          <t>Nem</t>
        </is>
      </c>
      <c r="M265" s="7" t="inlineStr">
        <is>
          <t>Quadris-megnevezés (nincs beszállítói forrás)</t>
        </is>
      </c>
      <c r="N265" s="7" t="inlineStr">
        <is>
          <t>Beszállítói forrás nincs – adatlap a Quadris-megnevezésből (méretek, elméleti tömeg)</t>
        </is>
      </c>
      <c r="O265" s="6" t="inlineStr"/>
      <c r="P265" s="11" t="inlineStr">
        <is>
          <t>https://website-9ib.pages.dev/termek/l-15x1500x2500-retegelt-lemez-fenolos/</t>
        </is>
      </c>
      <c r="Q265" s="12" t="inlineStr"/>
      <c r="R265" s="13" t="inlineStr"/>
      <c r="S265" s="6" t="inlineStr">
        <is>
          <t>l-15x1500x2500-retegelt-lemez-fenolos</t>
        </is>
      </c>
    </row>
    <row r="266">
      <c r="A266" s="6" t="inlineStr"/>
      <c r="B266" s="7" t="inlineStr">
        <is>
          <t>L 15x1500x3000 Rétegelt lemez fenolos</t>
        </is>
      </c>
      <c r="C266" s="6" t="inlineStr">
        <is>
          <t>Csúszásmentes rétegelt padló</t>
        </is>
      </c>
      <c r="D266" s="6" t="inlineStr">
        <is>
          <t>Rétegelt lemezek</t>
        </is>
      </c>
      <c r="E266" s="6" t="inlineStr">
        <is>
          <t>BAYU</t>
        </is>
      </c>
      <c r="F266" s="6" t="inlineStr"/>
      <c r="G266" s="6" t="inlineStr">
        <is>
          <t>Quadris Excel</t>
        </is>
      </c>
      <c r="H266" s="6" t="n">
        <v>3</v>
      </c>
      <c r="I266" s="6" t="n">
        <v>4</v>
      </c>
      <c r="J266" s="6" t="inlineStr">
        <is>
          <t>nincs</t>
        </is>
      </c>
      <c r="K266" s="6">
        <f>IF(AND(H266&gt;0,I266&gt;0),"Rendben",IF(AND(H266=0,I266=0),"Nincs kép és adat",IF(H266=0,"Nincs kép","Nincs adat")))</f>
        <v/>
      </c>
      <c r="L266" s="6" t="inlineStr">
        <is>
          <t>Nem</t>
        </is>
      </c>
      <c r="M266" s="7" t="inlineStr">
        <is>
          <t>Quadris-megnevezés (nincs beszállítói forrás)</t>
        </is>
      </c>
      <c r="N266" s="7" t="inlineStr">
        <is>
          <t>Beszállítói forrás nincs – adatlap a Quadris-megnevezésből (méretek, elméleti tömeg)</t>
        </is>
      </c>
      <c r="O266" s="6" t="inlineStr"/>
      <c r="P266" s="11" t="inlineStr">
        <is>
          <t>https://website-9ib.pages.dev/termek/l-15x1500x3000-retegelt-lemez-fenolos/</t>
        </is>
      </c>
      <c r="Q266" s="12" t="inlineStr"/>
      <c r="R266" s="13" t="inlineStr"/>
      <c r="S266" s="6" t="inlineStr">
        <is>
          <t>l-15x1500x3000-retegelt-lemez-fenolos</t>
        </is>
      </c>
    </row>
    <row r="267">
      <c r="A267" s="6" t="inlineStr"/>
      <c r="B267" s="7" t="inlineStr">
        <is>
          <t>L 15x2150x4000 Rétegelt lemez fenolos</t>
        </is>
      </c>
      <c r="C267" s="6" t="inlineStr">
        <is>
          <t>Csúszásmentes rétegelt padló</t>
        </is>
      </c>
      <c r="D267" s="6" t="inlineStr">
        <is>
          <t>Rétegelt lemezek</t>
        </is>
      </c>
      <c r="E267" s="6" t="inlineStr">
        <is>
          <t>BAYU</t>
        </is>
      </c>
      <c r="F267" s="6" t="inlineStr"/>
      <c r="G267" s="6" t="inlineStr">
        <is>
          <t>Quadris Excel</t>
        </is>
      </c>
      <c r="H267" s="6" t="n">
        <v>3</v>
      </c>
      <c r="I267" s="6" t="n">
        <v>4</v>
      </c>
      <c r="J267" s="6" t="inlineStr">
        <is>
          <t>nincs</t>
        </is>
      </c>
      <c r="K267" s="6">
        <f>IF(AND(H267&gt;0,I267&gt;0),"Rendben",IF(AND(H267=0,I267=0),"Nincs kép és adat",IF(H267=0,"Nincs kép","Nincs adat")))</f>
        <v/>
      </c>
      <c r="L267" s="6" t="inlineStr">
        <is>
          <t>Nem</t>
        </is>
      </c>
      <c r="M267" s="7" t="inlineStr">
        <is>
          <t>Quadris-megnevezés (nincs beszállítói forrás)</t>
        </is>
      </c>
      <c r="N267" s="7" t="inlineStr">
        <is>
          <t>Beszállítói forrás nincs – adatlap a Quadris-megnevezésből (méretek, elméleti tömeg)</t>
        </is>
      </c>
      <c r="O267" s="6" t="inlineStr"/>
      <c r="P267" s="11" t="inlineStr">
        <is>
          <t>https://website-9ib.pages.dev/termek/l-15x2150x4000-retegelt-lemez-fenolos/</t>
        </is>
      </c>
      <c r="Q267" s="12" t="inlineStr"/>
      <c r="R267" s="13" t="inlineStr"/>
      <c r="S267" s="6" t="inlineStr">
        <is>
          <t>l-15x2150x4000-retegelt-lemez-fenolos</t>
        </is>
      </c>
    </row>
    <row r="268">
      <c r="A268" s="6" t="inlineStr"/>
      <c r="B268" s="7" t="inlineStr">
        <is>
          <t>L 21x1500x2500 mm Rétegelt lemez fenolos</t>
        </is>
      </c>
      <c r="C268" s="6" t="inlineStr">
        <is>
          <t>Csúszásmentes rétegelt padló</t>
        </is>
      </c>
      <c r="D268" s="6" t="inlineStr">
        <is>
          <t>Rétegelt lemezek</t>
        </is>
      </c>
      <c r="E268" s="6" t="inlineStr">
        <is>
          <t>BAYU</t>
        </is>
      </c>
      <c r="F268" s="6" t="inlineStr"/>
      <c r="G268" s="6" t="inlineStr">
        <is>
          <t>Quadris Excel</t>
        </is>
      </c>
      <c r="H268" s="6" t="n">
        <v>3</v>
      </c>
      <c r="I268" s="6" t="n">
        <v>4</v>
      </c>
      <c r="J268" s="6" t="inlineStr">
        <is>
          <t>nincs</t>
        </is>
      </c>
      <c r="K268" s="6">
        <f>IF(AND(H268&gt;0,I268&gt;0),"Rendben",IF(AND(H268=0,I268=0),"Nincs kép és adat",IF(H268=0,"Nincs kép","Nincs adat")))</f>
        <v/>
      </c>
      <c r="L268" s="6" t="inlineStr">
        <is>
          <t>Nem</t>
        </is>
      </c>
      <c r="M268" s="7" t="inlineStr">
        <is>
          <t>Quadris-megnevezés (nincs beszállítói forrás)</t>
        </is>
      </c>
      <c r="N268" s="7" t="inlineStr">
        <is>
          <t>Beszállítói forrás nincs – adatlap a Quadris-megnevezésből (méretek, elméleti tömeg)</t>
        </is>
      </c>
      <c r="O268" s="6" t="inlineStr"/>
      <c r="P268" s="11" t="inlineStr">
        <is>
          <t>https://website-9ib.pages.dev/termek/l-21x1500x2500-mm-retegelt-lemez-fenolos/</t>
        </is>
      </c>
      <c r="Q268" s="12" t="inlineStr"/>
      <c r="R268" s="13" t="inlineStr"/>
      <c r="S268" s="6" t="inlineStr">
        <is>
          <t>l-21x1500x2500-mm-retegelt-lemez-fenolos</t>
        </is>
      </c>
    </row>
    <row r="269">
      <c r="A269" s="6" t="inlineStr"/>
      <c r="B269" s="7" t="inlineStr">
        <is>
          <t>L 30x1250x2500 Rétegelt lemez fenolos</t>
        </is>
      </c>
      <c r="C269" s="6" t="inlineStr">
        <is>
          <t>Csúszásmentes rétegelt padló</t>
        </is>
      </c>
      <c r="D269" s="6" t="inlineStr">
        <is>
          <t>Rétegelt lemezek</t>
        </is>
      </c>
      <c r="E269" s="6" t="inlineStr">
        <is>
          <t>BAYU</t>
        </is>
      </c>
      <c r="F269" s="6" t="inlineStr"/>
      <c r="G269" s="6" t="inlineStr">
        <is>
          <t>Quadris Excel</t>
        </is>
      </c>
      <c r="H269" s="6" t="n">
        <v>3</v>
      </c>
      <c r="I269" s="6" t="n">
        <v>4</v>
      </c>
      <c r="J269" s="6" t="inlineStr">
        <is>
          <t>nincs</t>
        </is>
      </c>
      <c r="K269" s="6">
        <f>IF(AND(H269&gt;0,I269&gt;0),"Rendben",IF(AND(H269=0,I269=0),"Nincs kép és adat",IF(H269=0,"Nincs kép","Nincs adat")))</f>
        <v/>
      </c>
      <c r="L269" s="6" t="inlineStr">
        <is>
          <t>Nem</t>
        </is>
      </c>
      <c r="M269" s="7" t="inlineStr">
        <is>
          <t>Quadris-megnevezés (nincs beszállítói forrás)</t>
        </is>
      </c>
      <c r="N269" s="7" t="inlineStr">
        <is>
          <t>Beszállítói forrás nincs – adatlap a Quadris-megnevezésből (méretek, elméleti tömeg)</t>
        </is>
      </c>
      <c r="O269" s="6" t="inlineStr"/>
      <c r="P269" s="11" t="inlineStr">
        <is>
          <t>https://website-9ib.pages.dev/termek/l-30x1250x2500-retegelt-lemez-fenolos/</t>
        </is>
      </c>
      <c r="Q269" s="12" t="inlineStr"/>
      <c r="R269" s="13" t="inlineStr"/>
      <c r="S269" s="6" t="inlineStr">
        <is>
          <t>l-30x1250x2500-retegelt-lemez-fenolos</t>
        </is>
      </c>
    </row>
    <row r="270">
      <c r="A270" s="6" t="inlineStr"/>
      <c r="B270" s="7" t="inlineStr">
        <is>
          <t>L 6,5x1250x2500 mm Natúr rétegelt lemez</t>
        </is>
      </c>
      <c r="C270" s="6" t="inlineStr">
        <is>
          <t>Csúszásmentes rétegelt padló</t>
        </is>
      </c>
      <c r="D270" s="6" t="inlineStr">
        <is>
          <t>Rétegelt lemezek</t>
        </is>
      </c>
      <c r="E270" s="6" t="inlineStr">
        <is>
          <t>BAYU</t>
        </is>
      </c>
      <c r="F270" s="6" t="inlineStr"/>
      <c r="G270" s="6" t="inlineStr">
        <is>
          <t>Quadris Excel</t>
        </is>
      </c>
      <c r="H270" s="6" t="n">
        <v>3</v>
      </c>
      <c r="I270" s="6" t="n">
        <v>4</v>
      </c>
      <c r="J270" s="6" t="inlineStr">
        <is>
          <t>nincs</t>
        </is>
      </c>
      <c r="K270" s="6">
        <f>IF(AND(H270&gt;0,I270&gt;0),"Rendben",IF(AND(H270=0,I270=0),"Nincs kép és adat",IF(H270=0,"Nincs kép","Nincs adat")))</f>
        <v/>
      </c>
      <c r="L270" s="6" t="inlineStr">
        <is>
          <t>Nem</t>
        </is>
      </c>
      <c r="M270" s="7" t="inlineStr">
        <is>
          <t>Quadris-megnevezés (nincs beszállítói forrás)</t>
        </is>
      </c>
      <c r="N270" s="7" t="inlineStr">
        <is>
          <t>Beszállítói forrás nincs – adatlap a Quadris-megnevezésből (méretek, elméleti tömeg)</t>
        </is>
      </c>
      <c r="O270" s="6" t="inlineStr"/>
      <c r="P270" s="11" t="inlineStr">
        <is>
          <t>https://website-9ib.pages.dev/termek/l-6-5x1250x2500-mm-natur-retegelt-lemez/</t>
        </is>
      </c>
      <c r="Q270" s="12" t="inlineStr"/>
      <c r="R270" s="13" t="inlineStr"/>
      <c r="S270" s="6" t="inlineStr">
        <is>
          <t>l-6-5x1250x2500-mm-natur-retegelt-lemez</t>
        </is>
      </c>
    </row>
    <row r="271">
      <c r="A271" s="6" t="inlineStr"/>
      <c r="B271" s="7" t="inlineStr">
        <is>
          <t>L 6,5x1250x2500 mm rétegelt lemez fenolos</t>
        </is>
      </c>
      <c r="C271" s="6" t="inlineStr">
        <is>
          <t>Csúszásmentes rétegelt padló</t>
        </is>
      </c>
      <c r="D271" s="6" t="inlineStr">
        <is>
          <t>Rétegelt lemezek</t>
        </is>
      </c>
      <c r="E271" s="6" t="inlineStr">
        <is>
          <t>BAYU</t>
        </is>
      </c>
      <c r="F271" s="6" t="inlineStr"/>
      <c r="G271" s="6" t="inlineStr">
        <is>
          <t>Quadris Excel</t>
        </is>
      </c>
      <c r="H271" s="6" t="n">
        <v>3</v>
      </c>
      <c r="I271" s="6" t="n">
        <v>4</v>
      </c>
      <c r="J271" s="6" t="inlineStr">
        <is>
          <t>nincs</t>
        </is>
      </c>
      <c r="K271" s="6">
        <f>IF(AND(H271&gt;0,I271&gt;0),"Rendben",IF(AND(H271=0,I271=0),"Nincs kép és adat",IF(H271=0,"Nincs kép","Nincs adat")))</f>
        <v/>
      </c>
      <c r="L271" s="6" t="inlineStr">
        <is>
          <t>Nem</t>
        </is>
      </c>
      <c r="M271" s="7" t="inlineStr">
        <is>
          <t>Quadris-megnevezés (nincs beszállítói forrás)</t>
        </is>
      </c>
      <c r="N271" s="7" t="inlineStr">
        <is>
          <t>Beszállítói forrás nincs – adatlap a Quadris-megnevezésből (méretek, elméleti tömeg)</t>
        </is>
      </c>
      <c r="O271" s="6" t="inlineStr"/>
      <c r="P271" s="11" t="inlineStr">
        <is>
          <t>https://website-9ib.pages.dev/termek/l-6-5x1250x2500-mm-retegelt-lemez-fenolos/</t>
        </is>
      </c>
      <c r="Q271" s="12" t="inlineStr"/>
      <c r="R271" s="13" t="inlineStr"/>
      <c r="S271" s="6" t="inlineStr">
        <is>
          <t>l-6-5x1250x2500-mm-retegelt-lemez-fenolos</t>
        </is>
      </c>
    </row>
    <row r="272">
      <c r="A272" s="6" t="inlineStr"/>
      <c r="B272" s="7" t="inlineStr">
        <is>
          <t>L 6,5x1500x3000 mm Natúr rétegelt lemez</t>
        </is>
      </c>
      <c r="C272" s="6" t="inlineStr">
        <is>
          <t>Csúszásmentes rétegelt padló</t>
        </is>
      </c>
      <c r="D272" s="6" t="inlineStr">
        <is>
          <t>Rétegelt lemezek</t>
        </is>
      </c>
      <c r="E272" s="6" t="inlineStr">
        <is>
          <t>BAYU</t>
        </is>
      </c>
      <c r="F272" s="6" t="inlineStr"/>
      <c r="G272" s="6" t="inlineStr">
        <is>
          <t>Quadris Excel</t>
        </is>
      </c>
      <c r="H272" s="6" t="n">
        <v>3</v>
      </c>
      <c r="I272" s="6" t="n">
        <v>4</v>
      </c>
      <c r="J272" s="6" t="inlineStr">
        <is>
          <t>nincs</t>
        </is>
      </c>
      <c r="K272" s="6">
        <f>IF(AND(H272&gt;0,I272&gt;0),"Rendben",IF(AND(H272=0,I272=0),"Nincs kép és adat",IF(H272=0,"Nincs kép","Nincs adat")))</f>
        <v/>
      </c>
      <c r="L272" s="6" t="inlineStr">
        <is>
          <t>Nem</t>
        </is>
      </c>
      <c r="M272" s="7" t="inlineStr">
        <is>
          <t>Quadris-megnevezés (nincs beszállítói forrás)</t>
        </is>
      </c>
      <c r="N272" s="7" t="inlineStr">
        <is>
          <t>Beszállítói forrás nincs – adatlap a Quadris-megnevezésből (méretek, elméleti tömeg)</t>
        </is>
      </c>
      <c r="O272" s="6" t="inlineStr"/>
      <c r="P272" s="11" t="inlineStr">
        <is>
          <t>https://website-9ib.pages.dev/termek/l-6-5x1500x3000-mm-natur-retegelt-lemez/</t>
        </is>
      </c>
      <c r="Q272" s="12" t="inlineStr"/>
      <c r="R272" s="13" t="inlineStr"/>
      <c r="S272" s="6" t="inlineStr">
        <is>
          <t>l-6-5x1500x3000-mm-natur-retegelt-lemez</t>
        </is>
      </c>
    </row>
    <row r="273">
      <c r="A273" s="6" t="inlineStr"/>
      <c r="B273" s="7" t="inlineStr">
        <is>
          <t>L 9x1250x2500 Rétegelt lemez fenolos</t>
        </is>
      </c>
      <c r="C273" s="6" t="inlineStr">
        <is>
          <t>Csúszásmentes rétegelt padló</t>
        </is>
      </c>
      <c r="D273" s="6" t="inlineStr">
        <is>
          <t>Rétegelt lemezek</t>
        </is>
      </c>
      <c r="E273" s="6" t="inlineStr">
        <is>
          <t>BAYU</t>
        </is>
      </c>
      <c r="F273" s="6" t="inlineStr"/>
      <c r="G273" s="6" t="inlineStr">
        <is>
          <t>Quadris Excel</t>
        </is>
      </c>
      <c r="H273" s="6" t="n">
        <v>3</v>
      </c>
      <c r="I273" s="6" t="n">
        <v>4</v>
      </c>
      <c r="J273" s="6" t="inlineStr">
        <is>
          <t>nincs</t>
        </is>
      </c>
      <c r="K273" s="6">
        <f>IF(AND(H273&gt;0,I273&gt;0),"Rendben",IF(AND(H273=0,I273=0),"Nincs kép és adat",IF(H273=0,"Nincs kép","Nincs adat")))</f>
        <v/>
      </c>
      <c r="L273" s="6" t="inlineStr">
        <is>
          <t>Nem</t>
        </is>
      </c>
      <c r="M273" s="7" t="inlineStr">
        <is>
          <t>Quadris-megnevezés (nincs beszállítói forrás)</t>
        </is>
      </c>
      <c r="N273" s="7" t="inlineStr">
        <is>
          <t>Beszállítói forrás nincs – adatlap a Quadris-megnevezésből (méretek, elméleti tömeg)</t>
        </is>
      </c>
      <c r="O273" s="6" t="inlineStr"/>
      <c r="P273" s="11" t="inlineStr">
        <is>
          <t>https://website-9ib.pages.dev/termek/l-9x1250x2500-retegelt-lemez-fenolos/</t>
        </is>
      </c>
      <c r="Q273" s="12" t="inlineStr"/>
      <c r="R273" s="13" t="inlineStr"/>
      <c r="S273" s="6" t="inlineStr">
        <is>
          <t>l-9x1250x2500-retegelt-lemez-fenolos</t>
        </is>
      </c>
    </row>
    <row r="274">
      <c r="A274" s="6" t="inlineStr"/>
      <c r="B274" s="7" t="inlineStr">
        <is>
          <t>L 9x1250x2500mm Natúr rétegelt lemez</t>
        </is>
      </c>
      <c r="C274" s="6" t="inlineStr">
        <is>
          <t>Csúszásmentes rétegelt padló</t>
        </is>
      </c>
      <c r="D274" s="6" t="inlineStr">
        <is>
          <t>Rétegelt lemezek</t>
        </is>
      </c>
      <c r="E274" s="6" t="inlineStr">
        <is>
          <t>BAYU</t>
        </is>
      </c>
      <c r="F274" s="6" t="inlineStr"/>
      <c r="G274" s="6" t="inlineStr">
        <is>
          <t>Quadris Excel</t>
        </is>
      </c>
      <c r="H274" s="6" t="n">
        <v>3</v>
      </c>
      <c r="I274" s="6" t="n">
        <v>4</v>
      </c>
      <c r="J274" s="6" t="inlineStr">
        <is>
          <t>nincs</t>
        </is>
      </c>
      <c r="K274" s="6">
        <f>IF(AND(H274&gt;0,I274&gt;0),"Rendben",IF(AND(H274=0,I274=0),"Nincs kép és adat",IF(H274=0,"Nincs kép","Nincs adat")))</f>
        <v/>
      </c>
      <c r="L274" s="6" t="inlineStr">
        <is>
          <t>Nem</t>
        </is>
      </c>
      <c r="M274" s="7" t="inlineStr">
        <is>
          <t>Quadris-megnevezés (nincs beszállítói forrás)</t>
        </is>
      </c>
      <c r="N274" s="7" t="inlineStr">
        <is>
          <t>Beszállítói forrás nincs – adatlap a Quadris-megnevezésből (méretek, elméleti tömeg)</t>
        </is>
      </c>
      <c r="O274" s="6" t="inlineStr"/>
      <c r="P274" s="11" t="inlineStr">
        <is>
          <t>https://website-9ib.pages.dev/termek/l-9x1250x2500mm-natur-retegelt-lemez/</t>
        </is>
      </c>
      <c r="Q274" s="12" t="inlineStr"/>
      <c r="R274" s="13" t="inlineStr"/>
      <c r="S274" s="6" t="inlineStr">
        <is>
          <t>l-9x1250x2500mm-natur-retegelt-lemez</t>
        </is>
      </c>
    </row>
    <row r="275">
      <c r="A275" s="6" t="inlineStr"/>
      <c r="B275" s="7" t="inlineStr">
        <is>
          <t>J50001 Íves sárvédő, 1380/880/400</t>
        </is>
      </c>
      <c r="C275" s="6" t="inlineStr">
        <is>
          <t>Sárvédők, szerszámosládák</t>
        </is>
      </c>
      <c r="D275" s="6" t="inlineStr">
        <is>
          <t>Sárvédők</t>
        </is>
      </c>
      <c r="E275" s="6" t="inlineStr">
        <is>
          <t>BMC Flexpar</t>
        </is>
      </c>
      <c r="F275" s="6" t="inlineStr">
        <is>
          <t>50001</t>
        </is>
      </c>
      <c r="G275" s="6" t="inlineStr">
        <is>
          <t>Quadris Excel</t>
        </is>
      </c>
      <c r="H275" s="6" t="n">
        <v>1</v>
      </c>
      <c r="I275" s="6" t="n">
        <v>6</v>
      </c>
      <c r="J275" s="6" t="inlineStr">
        <is>
          <t>van</t>
        </is>
      </c>
      <c r="K275" s="6">
        <f>IF(AND(H275&gt;0,I275&gt;0),"Rendben",IF(AND(H275=0,I275=0),"Nincs kép és adat",IF(H275=0,"Nincs kép","Nincs adat")))</f>
        <v/>
      </c>
      <c r="L275" s="6" t="inlineStr">
        <is>
          <t>Igen</t>
        </is>
      </c>
      <c r="M275" s="7" t="inlineStr">
        <is>
          <t>BMC termékoldalak; BMC 2025 katalógus (PDF)</t>
        </is>
      </c>
      <c r="N275" s="7" t="inlineStr">
        <is>
          <t>Megtalálva: PM400.000 (kód: PM400.000)</t>
        </is>
      </c>
      <c r="O275" s="11" t="inlineStr">
        <is>
          <t>https://www.bmcflexpar.com/flex-par-c-2/</t>
        </is>
      </c>
      <c r="P275" s="11" t="inlineStr">
        <is>
          <t>https://website-9ib.pages.dev/termek/j50001-ives-sarvedo-1380-880-400/</t>
        </is>
      </c>
      <c r="Q275" s="12" t="inlineStr"/>
      <c r="R275" s="13" t="inlineStr"/>
      <c r="S275" s="6" t="inlineStr">
        <is>
          <t>j50001-ives-sarvedo-1380-880-400</t>
        </is>
      </c>
    </row>
    <row r="276">
      <c r="A276" s="6" t="inlineStr"/>
      <c r="B276" s="7" t="inlineStr">
        <is>
          <t>J50002 Íves sárvédő, 1380/880/450</t>
        </is>
      </c>
      <c r="C276" s="6" t="inlineStr">
        <is>
          <t>Sárvédők, szerszámosládák</t>
        </is>
      </c>
      <c r="D276" s="6" t="inlineStr">
        <is>
          <t>Sárvédők</t>
        </is>
      </c>
      <c r="E276" s="6" t="inlineStr">
        <is>
          <t>BMC Flexpar</t>
        </is>
      </c>
      <c r="F276" s="6" t="inlineStr">
        <is>
          <t>50002</t>
        </is>
      </c>
      <c r="G276" s="6" t="inlineStr">
        <is>
          <t>Quadris Excel</t>
        </is>
      </c>
      <c r="H276" s="6" t="n">
        <v>1</v>
      </c>
      <c r="I276" s="6" t="n">
        <v>6</v>
      </c>
      <c r="J276" s="6" t="inlineStr">
        <is>
          <t>van</t>
        </is>
      </c>
      <c r="K276" s="6">
        <f>IF(AND(H276&gt;0,I276&gt;0),"Rendben",IF(AND(H276=0,I276=0),"Nincs kép és adat",IF(H276=0,"Nincs kép","Nincs adat")))</f>
        <v/>
      </c>
      <c r="L276" s="6" t="inlineStr">
        <is>
          <t>Igen</t>
        </is>
      </c>
      <c r="M276" s="7" t="inlineStr">
        <is>
          <t>BMC termékoldalak; BMC 2025 katalógus (PDF)</t>
        </is>
      </c>
      <c r="N276" s="7" t="inlineStr">
        <is>
          <t>Megtalálva: PM450.030 (kód: PM450.030)</t>
        </is>
      </c>
      <c r="O276" s="11" t="inlineStr">
        <is>
          <t>https://www.bmcflexpar.com/flex-par-c-2/</t>
        </is>
      </c>
      <c r="P276" s="11" t="inlineStr">
        <is>
          <t>https://website-9ib.pages.dev/termek/j50002-ives-sarvedo-1380-880-450/</t>
        </is>
      </c>
      <c r="Q276" s="12" t="inlineStr"/>
      <c r="R276" s="13" t="inlineStr"/>
      <c r="S276" s="6" t="inlineStr">
        <is>
          <t>j50002-ives-sarvedo-1380-880-450</t>
        </is>
      </c>
    </row>
    <row r="277">
      <c r="A277" s="6" t="inlineStr"/>
      <c r="B277" s="7" t="inlineStr">
        <is>
          <t>J50002/B Íves sárvédő, fehér csíkkal 1380/880/450</t>
        </is>
      </c>
      <c r="C277" s="6" t="inlineStr">
        <is>
          <t>Sárvédők, szerszámosládák</t>
        </is>
      </c>
      <c r="D277" s="6" t="inlineStr">
        <is>
          <t>Sárvédők</t>
        </is>
      </c>
      <c r="E277" s="6" t="inlineStr">
        <is>
          <t>BMC Flexpar</t>
        </is>
      </c>
      <c r="F277" s="6" t="inlineStr">
        <is>
          <t>BMC</t>
        </is>
      </c>
      <c r="G277" s="6" t="inlineStr">
        <is>
          <t>Quadris Excel</t>
        </is>
      </c>
      <c r="H277" s="6" t="n">
        <v>1</v>
      </c>
      <c r="I277" s="6" t="n">
        <v>6</v>
      </c>
      <c r="J277" s="6" t="inlineStr">
        <is>
          <t>van</t>
        </is>
      </c>
      <c r="K277" s="6">
        <f>IF(AND(H277&gt;0,I277&gt;0),"Rendben",IF(AND(H277=0,I277=0),"Nincs kép és adat",IF(H277=0,"Nincs kép","Nincs adat")))</f>
        <v/>
      </c>
      <c r="L277" s="6" t="inlineStr">
        <is>
          <t>Igen</t>
        </is>
      </c>
      <c r="M277" s="7" t="inlineStr">
        <is>
          <t>BMC termékoldalak; BMC 2025 katalógus (PDF)</t>
        </is>
      </c>
      <c r="N277" s="7" t="inlineStr">
        <is>
          <t>Megtalálva: PM450.130 (kód: PM450.130)</t>
        </is>
      </c>
      <c r="O277" s="11" t="inlineStr">
        <is>
          <t>https://www.bmcflexpar.com/flex-par-c-white-line/</t>
        </is>
      </c>
      <c r="P277" s="11" t="inlineStr">
        <is>
          <t>https://website-9ib.pages.dev/termek/j50002-b-ives-sarvedo-feher-csikkal-1380-880-450/</t>
        </is>
      </c>
      <c r="Q277" s="12" t="inlineStr"/>
      <c r="R277" s="13" t="inlineStr"/>
      <c r="S277" s="6" t="inlineStr">
        <is>
          <t>j50002-b-ives-sarvedo-feher-csikkal-1380-880-450</t>
        </is>
      </c>
    </row>
    <row r="278">
      <c r="A278" s="6" t="inlineStr"/>
      <c r="B278" s="7" t="inlineStr">
        <is>
          <t>J50003 Íves sárvédő, 1380/880/270</t>
        </is>
      </c>
      <c r="C278" s="6" t="inlineStr">
        <is>
          <t>Sárvédők, szerszámosládák</t>
        </is>
      </c>
      <c r="D278" s="6" t="inlineStr">
        <is>
          <t>Sárvédők</t>
        </is>
      </c>
      <c r="E278" s="6" t="inlineStr">
        <is>
          <t>BMC Flexpar</t>
        </is>
      </c>
      <c r="F278" s="6" t="inlineStr">
        <is>
          <t>50003</t>
        </is>
      </c>
      <c r="G278" s="6" t="inlineStr">
        <is>
          <t>Quadris Excel</t>
        </is>
      </c>
      <c r="H278" s="6" t="n">
        <v>1</v>
      </c>
      <c r="I278" s="6" t="n">
        <v>6</v>
      </c>
      <c r="J278" s="6" t="inlineStr">
        <is>
          <t>van</t>
        </is>
      </c>
      <c r="K278" s="6">
        <f>IF(AND(H278&gt;0,I278&gt;0),"Rendben",IF(AND(H278=0,I278=0),"Nincs kép és adat",IF(H278=0,"Nincs kép","Nincs adat")))</f>
        <v/>
      </c>
      <c r="L278" s="6" t="inlineStr">
        <is>
          <t>Igen</t>
        </is>
      </c>
      <c r="M278" s="7" t="inlineStr">
        <is>
          <t>BMC termékoldalak; BMC 2025 katalógus (PDF)</t>
        </is>
      </c>
      <c r="N278" s="7" t="inlineStr">
        <is>
          <t>Megtalálva: PM270.000 (kód: PM270.000)</t>
        </is>
      </c>
      <c r="O278" s="11" t="inlineStr">
        <is>
          <t>https://www.bmcflexpar.com/flex-par-c-2/</t>
        </is>
      </c>
      <c r="P278" s="11" t="inlineStr">
        <is>
          <t>https://website-9ib.pages.dev/termek/j50003-ives-sarvedo-1380-880-270/</t>
        </is>
      </c>
      <c r="Q278" s="12" t="inlineStr"/>
      <c r="R278" s="13" t="inlineStr"/>
      <c r="S278" s="6" t="inlineStr">
        <is>
          <t>j50003-ives-sarvedo-1380-880-270</t>
        </is>
      </c>
    </row>
    <row r="279">
      <c r="A279" s="6" t="inlineStr"/>
      <c r="B279" s="7" t="inlineStr">
        <is>
          <t>J50003/B Íves sárvédő, fehér csíkkal 1380/880/270</t>
        </is>
      </c>
      <c r="C279" s="6" t="inlineStr">
        <is>
          <t>Sárvédők, szerszámosládák</t>
        </is>
      </c>
      <c r="D279" s="6" t="inlineStr">
        <is>
          <t>Sárvédők</t>
        </is>
      </c>
      <c r="E279" s="6" t="inlineStr">
        <is>
          <t>BMC Flexpar</t>
        </is>
      </c>
      <c r="F279" s="6" t="inlineStr">
        <is>
          <t>BMC</t>
        </is>
      </c>
      <c r="G279" s="6" t="inlineStr">
        <is>
          <t>Quadris Excel</t>
        </is>
      </c>
      <c r="H279" s="6" t="n">
        <v>1</v>
      </c>
      <c r="I279" s="6" t="n">
        <v>6</v>
      </c>
      <c r="J279" s="6" t="inlineStr">
        <is>
          <t>van</t>
        </is>
      </c>
      <c r="K279" s="6">
        <f>IF(AND(H279&gt;0,I279&gt;0),"Rendben",IF(AND(H279=0,I279=0),"Nincs kép és adat",IF(H279=0,"Nincs kép","Nincs adat")))</f>
        <v/>
      </c>
      <c r="L279" s="6" t="inlineStr">
        <is>
          <t>Igen</t>
        </is>
      </c>
      <c r="M279" s="7" t="inlineStr">
        <is>
          <t>BMC termékoldalak; BMC 2025 katalógus (PDF)</t>
        </is>
      </c>
      <c r="N279" s="7" t="inlineStr">
        <is>
          <t>Megtalálva: PM270.100 (kód: PM270.100)</t>
        </is>
      </c>
      <c r="O279" s="11" t="inlineStr">
        <is>
          <t>https://www.bmcflexpar.com/flex-par-c-white-line/</t>
        </is>
      </c>
      <c r="P279" s="11" t="inlineStr">
        <is>
          <t>https://website-9ib.pages.dev/termek/j50003-b-ives-sarvedo-feher-csikkal-1380-880-270/</t>
        </is>
      </c>
      <c r="Q279" s="12" t="inlineStr"/>
      <c r="R279" s="13" t="inlineStr"/>
      <c r="S279" s="6" t="inlineStr">
        <is>
          <t>j50003-b-ives-sarvedo-feher-csikkal-1380-880-270</t>
        </is>
      </c>
    </row>
    <row r="280">
      <c r="A280" s="6" t="inlineStr"/>
      <c r="B280" s="7" t="inlineStr">
        <is>
          <t>J50019 450FT Csapott tetejű sárvédő</t>
        </is>
      </c>
      <c r="C280" s="6" t="inlineStr">
        <is>
          <t>Sárvédők, szerszámosládák</t>
        </is>
      </c>
      <c r="D280" s="6" t="inlineStr">
        <is>
          <t>Sárvédők</t>
        </is>
      </c>
      <c r="E280" s="6" t="inlineStr">
        <is>
          <t>BMC Flexpar</t>
        </is>
      </c>
      <c r="F280" s="6" t="inlineStr">
        <is>
          <t>50019</t>
        </is>
      </c>
      <c r="G280" s="6" t="inlineStr">
        <is>
          <t>Quadris Excel</t>
        </is>
      </c>
      <c r="H280" s="6" t="n">
        <v>1</v>
      </c>
      <c r="I280" s="6" t="n">
        <v>6</v>
      </c>
      <c r="J280" s="6" t="inlineStr">
        <is>
          <t>van</t>
        </is>
      </c>
      <c r="K280" s="6">
        <f>IF(AND(H280&gt;0,I280&gt;0),"Rendben",IF(AND(H280=0,I280=0),"Nincs kép és adat",IF(H280=0,"Nincs kép","Nincs adat")))</f>
        <v/>
      </c>
      <c r="L280" s="6" t="inlineStr">
        <is>
          <t>Igen</t>
        </is>
      </c>
      <c r="M280" s="7" t="inlineStr">
        <is>
          <t>BMC termékoldalak; BMC 2025 katalógus (PDF)</t>
        </is>
      </c>
      <c r="N280" s="7" t="inlineStr">
        <is>
          <t>Megtalálva: PM450.020 (kód: PM450.020)</t>
        </is>
      </c>
      <c r="O280" s="11" t="inlineStr">
        <is>
          <t>https://www.bmcflexpar.com/flex-par-ft/</t>
        </is>
      </c>
      <c r="P280" s="11" t="inlineStr">
        <is>
          <t>https://website-9ib.pages.dev/termek/j50019-450ft-csapott-teteju-sarvedo/</t>
        </is>
      </c>
      <c r="Q280" s="12" t="inlineStr"/>
      <c r="R280" s="13" t="inlineStr"/>
      <c r="S280" s="6" t="inlineStr">
        <is>
          <t>j50019-450ft-csapott-teteju-sarvedo</t>
        </is>
      </c>
    </row>
    <row r="281">
      <c r="A281" s="6" t="inlineStr"/>
      <c r="B281" s="7" t="inlineStr">
        <is>
          <t>J50019/B 450FT Csapott tetejű sárvédő, fehér csíkkal</t>
        </is>
      </c>
      <c r="C281" s="6" t="inlineStr">
        <is>
          <t>Sárvédők, szerszámosládák</t>
        </is>
      </c>
      <c r="D281" s="6" t="inlineStr">
        <is>
          <t>Sárvédők</t>
        </is>
      </c>
      <c r="E281" s="6" t="inlineStr">
        <is>
          <t>BMC Flexpar</t>
        </is>
      </c>
      <c r="F281" s="6" t="inlineStr">
        <is>
          <t>50019/B</t>
        </is>
      </c>
      <c r="G281" s="6" t="inlineStr">
        <is>
          <t>Quadris Excel</t>
        </is>
      </c>
      <c r="H281" s="6" t="n">
        <v>1</v>
      </c>
      <c r="I281" s="6" t="n">
        <v>6</v>
      </c>
      <c r="J281" s="6" t="inlineStr">
        <is>
          <t>van</t>
        </is>
      </c>
      <c r="K281" s="6">
        <f>IF(AND(H281&gt;0,I281&gt;0),"Rendben",IF(AND(H281=0,I281=0),"Nincs kép és adat",IF(H281=0,"Nincs kép","Nincs adat")))</f>
        <v/>
      </c>
      <c r="L281" s="6" t="inlineStr">
        <is>
          <t>Igen</t>
        </is>
      </c>
      <c r="M281" s="7" t="inlineStr">
        <is>
          <t>BMC termékoldalak; BMC 2025 katalógus (PDF)</t>
        </is>
      </c>
      <c r="N281" s="7" t="inlineStr">
        <is>
          <t>Megtalálva: PM450.120 (kód: PM450.120)</t>
        </is>
      </c>
      <c r="O281" s="11" t="inlineStr">
        <is>
          <t>https://www.bmcflexpar.com/flex-par-ft/</t>
        </is>
      </c>
      <c r="P281" s="11" t="inlineStr">
        <is>
          <t>https://website-9ib.pages.dev/termek/j50019-b-450ft-csapott-teteju-sarvedo-feher-csikkal/</t>
        </is>
      </c>
      <c r="Q281" s="12" t="inlineStr"/>
      <c r="R281" s="13" t="inlineStr"/>
      <c r="S281" s="6" t="inlineStr">
        <is>
          <t>j50019-b-450ft-csapott-teteju-sarvedo-feher-csikkal</t>
        </is>
      </c>
    </row>
    <row r="282">
      <c r="A282" s="6" t="inlineStr"/>
      <c r="B282" s="7" t="inlineStr">
        <is>
          <t>J50027 280FT Csapott tetejű sárvédő</t>
        </is>
      </c>
      <c r="C282" s="6" t="inlineStr">
        <is>
          <t>Sárvédők, szerszámosládák</t>
        </is>
      </c>
      <c r="D282" s="6" t="inlineStr">
        <is>
          <t>Sárvédők</t>
        </is>
      </c>
      <c r="E282" s="6" t="inlineStr">
        <is>
          <t>BMC Flexpar</t>
        </is>
      </c>
      <c r="F282" s="6" t="inlineStr">
        <is>
          <t>50027</t>
        </is>
      </c>
      <c r="G282" s="6" t="inlineStr">
        <is>
          <t>Quadris Excel</t>
        </is>
      </c>
      <c r="H282" s="6" t="n">
        <v>1</v>
      </c>
      <c r="I282" s="6" t="n">
        <v>6</v>
      </c>
      <c r="J282" s="6" t="inlineStr">
        <is>
          <t>van</t>
        </is>
      </c>
      <c r="K282" s="6">
        <f>IF(AND(H282&gt;0,I282&gt;0),"Rendben",IF(AND(H282=0,I282=0),"Nincs kép és adat",IF(H282=0,"Nincs kép","Nincs adat")))</f>
        <v/>
      </c>
      <c r="L282" s="6" t="inlineStr">
        <is>
          <t>Igen</t>
        </is>
      </c>
      <c r="M282" s="7" t="inlineStr">
        <is>
          <t>BMC termékoldalak; BMC 2025 katalógus (PDF)</t>
        </is>
      </c>
      <c r="N282" s="7" t="inlineStr">
        <is>
          <t>Megtalálva: PM280.000 (kód: PM280.000)</t>
        </is>
      </c>
      <c r="O282" s="11" t="inlineStr">
        <is>
          <t>https://www.bmcflexpar.com/flex-par-ft/</t>
        </is>
      </c>
      <c r="P282" s="11" t="inlineStr">
        <is>
          <t>https://website-9ib.pages.dev/termek/j50027-280ft-csapott-teteju-sarvedo/</t>
        </is>
      </c>
      <c r="Q282" s="12" t="inlineStr"/>
      <c r="R282" s="13" t="inlineStr"/>
      <c r="S282" s="6" t="inlineStr">
        <is>
          <t>j50027-280ft-csapott-teteju-sarvedo</t>
        </is>
      </c>
    </row>
    <row r="283">
      <c r="A283" s="6" t="inlineStr"/>
      <c r="B283" s="7" t="inlineStr">
        <is>
          <t>J50027/B 280FT Csapott tetejű sárvédő, fehér csíkkal</t>
        </is>
      </c>
      <c r="C283" s="6" t="inlineStr">
        <is>
          <t>Sárvédők, szerszámosládák</t>
        </is>
      </c>
      <c r="D283" s="6" t="inlineStr">
        <is>
          <t>Sárvédők</t>
        </is>
      </c>
      <c r="E283" s="6" t="inlineStr">
        <is>
          <t>BMC Flexpar</t>
        </is>
      </c>
      <c r="F283" s="6" t="inlineStr">
        <is>
          <t>50027/B</t>
        </is>
      </c>
      <c r="G283" s="6" t="inlineStr">
        <is>
          <t>Quadris Excel</t>
        </is>
      </c>
      <c r="H283" s="6" t="n">
        <v>1</v>
      </c>
      <c r="I283" s="6" t="n">
        <v>6</v>
      </c>
      <c r="J283" s="6" t="inlineStr">
        <is>
          <t>van</t>
        </is>
      </c>
      <c r="K283" s="6">
        <f>IF(AND(H283&gt;0,I283&gt;0),"Rendben",IF(AND(H283=0,I283=0),"Nincs kép és adat",IF(H283=0,"Nincs kép","Nincs adat")))</f>
        <v/>
      </c>
      <c r="L283" s="6" t="inlineStr">
        <is>
          <t>Igen</t>
        </is>
      </c>
      <c r="M283" s="7" t="inlineStr">
        <is>
          <t>BMC termékoldalak; BMC 2025 katalógus (PDF)</t>
        </is>
      </c>
      <c r="N283" s="7" t="inlineStr">
        <is>
          <t>Megtalálva: PM280.100 (kód: PM280.100)</t>
        </is>
      </c>
      <c r="O283" s="11" t="inlineStr">
        <is>
          <t>https://www.bmcflexpar.com/flex-par-ft/</t>
        </is>
      </c>
      <c r="P283" s="11" t="inlineStr">
        <is>
          <t>https://website-9ib.pages.dev/termek/j50027-b-280ft-csapott-teteju-sarvedo-feher-csikkal/</t>
        </is>
      </c>
      <c r="Q283" s="12" t="inlineStr"/>
      <c r="R283" s="13" t="inlineStr"/>
      <c r="S283" s="6" t="inlineStr">
        <is>
          <t>j50027-b-280ft-csapott-teteju-sarvedo-feher-csikkal</t>
        </is>
      </c>
    </row>
    <row r="284">
      <c r="A284" s="6" t="inlineStr"/>
      <c r="B284" s="7" t="inlineStr">
        <is>
          <t>J504335 Szerszámos láda 500x430x350 mm</t>
        </is>
      </c>
      <c r="C284" s="6" t="inlineStr">
        <is>
          <t>Sárvédők, szerszámosládák</t>
        </is>
      </c>
      <c r="D284" s="6" t="inlineStr">
        <is>
          <t>Dobozok + tartó konzolok</t>
        </is>
      </c>
      <c r="E284" s="6" t="inlineStr">
        <is>
          <t>BMC Flexpar</t>
        </is>
      </c>
      <c r="F284" s="6" t="inlineStr">
        <is>
          <t>C-504335</t>
        </is>
      </c>
      <c r="G284" s="6" t="inlineStr">
        <is>
          <t>Quadris Excel</t>
        </is>
      </c>
      <c r="H284" s="6" t="n">
        <v>1</v>
      </c>
      <c r="I284" s="6" t="n">
        <v>4</v>
      </c>
      <c r="J284" s="6" t="inlineStr">
        <is>
          <t>van</t>
        </is>
      </c>
      <c r="K284" s="6">
        <f>IF(AND(H284&gt;0,I284&gt;0),"Rendben",IF(AND(H284=0,I284=0),"Nincs kép és adat",IF(H284=0,"Nincs kép","Nincs adat")))</f>
        <v/>
      </c>
      <c r="L284" s="6" t="inlineStr">
        <is>
          <t>Igen</t>
        </is>
      </c>
      <c r="M284" s="7" t="inlineStr">
        <is>
          <t>BMC termékoldalak; BMC 2025 katalógus (PDF)</t>
        </is>
      </c>
      <c r="N284" s="7" t="inlineStr">
        <is>
          <t>Megtalálva: PT500.100 (kód: PT500.100)</t>
        </is>
      </c>
      <c r="O284" s="11" t="inlineStr">
        <is>
          <t>https://www.bmcflexpar.com/toolbox-evolution/</t>
        </is>
      </c>
      <c r="P284" s="11" t="inlineStr">
        <is>
          <t>https://website-9ib.pages.dev/termek/j504335-szerszamos-lada-500x430x350-mm/</t>
        </is>
      </c>
      <c r="Q284" s="12" t="inlineStr"/>
      <c r="R284" s="13" t="inlineStr"/>
      <c r="S284" s="6" t="inlineStr">
        <is>
          <t>j504335-szerszamos-lada-500x430x350-mm</t>
        </is>
      </c>
    </row>
    <row r="285">
      <c r="A285" s="6" t="inlineStr"/>
      <c r="B285" s="7" t="inlineStr">
        <is>
          <t>J605040 Szerszámos láda 600x500x400 mm</t>
        </is>
      </c>
      <c r="C285" s="6" t="inlineStr">
        <is>
          <t>Sárvédők, szerszámosládák</t>
        </is>
      </c>
      <c r="D285" s="6" t="inlineStr">
        <is>
          <t>Dobozok + tartó konzolok</t>
        </is>
      </c>
      <c r="E285" s="6" t="inlineStr">
        <is>
          <t>BMC Flexpar</t>
        </is>
      </c>
      <c r="F285" s="6" t="inlineStr">
        <is>
          <t>C-605040</t>
        </is>
      </c>
      <c r="G285" s="6" t="inlineStr">
        <is>
          <t>Quadris Excel</t>
        </is>
      </c>
      <c r="H285" s="6" t="n">
        <v>1</v>
      </c>
      <c r="I285" s="6" t="n">
        <v>4</v>
      </c>
      <c r="J285" s="6" t="inlineStr">
        <is>
          <t>van</t>
        </is>
      </c>
      <c r="K285" s="6">
        <f>IF(AND(H285&gt;0,I285&gt;0),"Rendben",IF(AND(H285=0,I285=0),"Nincs kép és adat",IF(H285=0,"Nincs kép","Nincs adat")))</f>
        <v/>
      </c>
      <c r="L285" s="6" t="inlineStr">
        <is>
          <t>Igen</t>
        </is>
      </c>
      <c r="M285" s="7" t="inlineStr">
        <is>
          <t>BMC termékoldalak; BMC 2025 katalógus (PDF)</t>
        </is>
      </c>
      <c r="N285" s="7" t="inlineStr">
        <is>
          <t>Megtalálva: PT600.100 (kód: PT600.100)</t>
        </is>
      </c>
      <c r="O285" s="11" t="inlineStr">
        <is>
          <t>https://www.bmcflexpar.com/toolbox-evolution/</t>
        </is>
      </c>
      <c r="P285" s="11" t="inlineStr">
        <is>
          <t>https://website-9ib.pages.dev/termek/j605040-szerszamos-lada-600x500x400-mm/</t>
        </is>
      </c>
      <c r="Q285" s="12" t="inlineStr"/>
      <c r="R285" s="13" t="inlineStr"/>
      <c r="S285" s="6" t="inlineStr">
        <is>
          <t>j605040-szerszamos-lada-600x500x400-mm</t>
        </is>
      </c>
    </row>
    <row r="286">
      <c r="A286" s="6" t="inlineStr"/>
      <c r="B286" s="7" t="inlineStr">
        <is>
          <t>J804550 Szerszámos láda 800x450x500 mm</t>
        </is>
      </c>
      <c r="C286" s="6" t="inlineStr">
        <is>
          <t>Sárvédők, szerszámosládák</t>
        </is>
      </c>
      <c r="D286" s="6" t="inlineStr">
        <is>
          <t>Dobozok + tartó konzolok</t>
        </is>
      </c>
      <c r="E286" s="6" t="inlineStr">
        <is>
          <t>BMC Flexpar</t>
        </is>
      </c>
      <c r="F286" s="6" t="inlineStr">
        <is>
          <t>C-804550</t>
        </is>
      </c>
      <c r="G286" s="6" t="inlineStr">
        <is>
          <t>Quadris Excel</t>
        </is>
      </c>
      <c r="H286" s="6" t="n">
        <v>1</v>
      </c>
      <c r="I286" s="6" t="n">
        <v>4</v>
      </c>
      <c r="J286" s="6" t="inlineStr">
        <is>
          <t>van</t>
        </is>
      </c>
      <c r="K286" s="6">
        <f>IF(AND(H286&gt;0,I286&gt;0),"Rendben",IF(AND(H286=0,I286=0),"Nincs kép és adat",IF(H286=0,"Nincs kép","Nincs adat")))</f>
        <v/>
      </c>
      <c r="L286" s="6" t="inlineStr">
        <is>
          <t>Igen</t>
        </is>
      </c>
      <c r="M286" s="7" t="inlineStr">
        <is>
          <t>BMC termékoldalak; BMC 2025 katalógus (PDF)</t>
        </is>
      </c>
      <c r="N286" s="7" t="inlineStr">
        <is>
          <t>Megtalálva: PT800.000 (kód: PT800.000)</t>
        </is>
      </c>
      <c r="O286" s="11" t="inlineStr">
        <is>
          <t>https://www.bmcflexpar.com/toolbox-pioneer/</t>
        </is>
      </c>
      <c r="P286" s="11" t="inlineStr">
        <is>
          <t>https://website-9ib.pages.dev/termek/j804550-szerszamos-lada-800x450x500-mm/</t>
        </is>
      </c>
      <c r="Q286" s="12" t="inlineStr"/>
      <c r="R286" s="13" t="inlineStr"/>
      <c r="S286" s="6" t="inlineStr">
        <is>
          <t>j804550-szerszamos-lada-800x450x500-mm</t>
        </is>
      </c>
    </row>
    <row r="287">
      <c r="A287" s="6" t="inlineStr">
        <is>
          <t>207833</t>
        </is>
      </c>
      <c r="B287" s="7" t="inlineStr">
        <is>
          <t>100x30 mm Aláfutásgátló elox profil</t>
        </is>
      </c>
      <c r="C287" s="6" t="inlineStr">
        <is>
          <t>Alumínium alváz profilok</t>
        </is>
      </c>
      <c r="D287" s="6" t="inlineStr">
        <is>
          <t>Aláfutásgátló profilok</t>
        </is>
      </c>
      <c r="E287" s="6" t="inlineStr">
        <is>
          <t>BODEGA</t>
        </is>
      </c>
      <c r="F287" s="6" t="inlineStr">
        <is>
          <t>TB27833</t>
        </is>
      </c>
      <c r="G287" s="6" t="inlineStr">
        <is>
          <t>Quadris Excel</t>
        </is>
      </c>
      <c r="H287" s="6" t="n">
        <v>1</v>
      </c>
      <c r="I287" s="6" t="n">
        <v>4</v>
      </c>
      <c r="J287" s="6" t="inlineStr">
        <is>
          <t>nincs</t>
        </is>
      </c>
      <c r="K287" s="6">
        <f>IF(AND(H287&gt;0,I287&gt;0),"Rendben",IF(AND(H287=0,I287=0),"Nincs kép és adat",IF(H287=0,"Nincs kép","Nincs adat")))</f>
        <v/>
      </c>
      <c r="L287" s="6" t="inlineStr">
        <is>
          <t>Igen</t>
        </is>
      </c>
      <c r="M287" s="7" t="inlineStr">
        <is>
          <t>Bodega Bordwände katalógus 2010 (PDF); bodega.it oldaltérkép</t>
        </is>
      </c>
      <c r="N287" s="7" t="inlineStr">
        <is>
          <t>Megtalálva: Bodega TB27833 (kód: TB27833)</t>
        </is>
      </c>
      <c r="O287" s="11" t="inlineStr">
        <is>
          <t>https://www.bodega.it</t>
        </is>
      </c>
      <c r="P287" s="11" t="inlineStr">
        <is>
          <t>https://website-9ib.pages.dev/termek/207833-100x30-mm-alafutasgatlo-elox-profil/</t>
        </is>
      </c>
      <c r="Q287" s="12" t="inlineStr"/>
      <c r="R287" s="13" t="inlineStr"/>
      <c r="S287" s="6" t="inlineStr">
        <is>
          <t>207833-100x30-mm-alafutasgatlo-elox-profil</t>
        </is>
      </c>
    </row>
    <row r="288">
      <c r="A288" s="6" t="inlineStr">
        <is>
          <t>2015290</t>
        </is>
      </c>
      <c r="B288" s="7" t="inlineStr">
        <is>
          <t>15 mm Keretprofil elox</t>
        </is>
      </c>
      <c r="C288" s="6" t="inlineStr">
        <is>
          <t>Alumínium alváz profilok</t>
        </is>
      </c>
      <c r="D288" s="6" t="inlineStr">
        <is>
          <t>Keret profilok</t>
        </is>
      </c>
      <c r="E288" s="6" t="inlineStr">
        <is>
          <t>BODEGA</t>
        </is>
      </c>
      <c r="F288" s="6" t="inlineStr">
        <is>
          <t>TB50290</t>
        </is>
      </c>
      <c r="G288" s="6" t="inlineStr">
        <is>
          <t>Quadris Excel</t>
        </is>
      </c>
      <c r="H288" s="6" t="n">
        <v>0</v>
      </c>
      <c r="I288" s="6" t="n">
        <v>0</v>
      </c>
      <c r="J288" s="6" t="inlineStr">
        <is>
          <t>nincs</t>
        </is>
      </c>
      <c r="K288" s="6">
        <f>IF(AND(H288&gt;0,I288&gt;0),"Rendben",IF(AND(H288=0,I288=0),"Nincs kép és adat",IF(H288=0,"Nincs kép","Nincs adat")))</f>
        <v/>
      </c>
      <c r="L288" s="6" t="inlineStr">
        <is>
          <t>Igen</t>
        </is>
      </c>
      <c r="M288" s="7" t="inlineStr">
        <is>
          <t>Bodega Bordwände katalógus 2010 (PDF); bodega.it oldaltérkép</t>
        </is>
      </c>
      <c r="N288" s="7" t="inlineStr">
        <is>
          <t>Nem találtuk: Bodega Bordwände katalógus 2010 (PDF); bodega.it oldaltérkép</t>
        </is>
      </c>
      <c r="O288" s="6" t="inlineStr"/>
      <c r="P288" s="11" t="inlineStr">
        <is>
          <t>https://website-9ib.pages.dev/termek/2015290-15-mm-keretprofil-elox/</t>
        </is>
      </c>
      <c r="Q288" s="12" t="inlineStr"/>
      <c r="R288" s="13" t="inlineStr"/>
      <c r="S288" s="6" t="inlineStr">
        <is>
          <t>2015290-15-mm-keretprofil-elox</t>
        </is>
      </c>
    </row>
    <row r="289">
      <c r="A289" s="6" t="inlineStr">
        <is>
          <t>2018290</t>
        </is>
      </c>
      <c r="B289" s="7" t="inlineStr">
        <is>
          <t>18 mm Keretprofil elox</t>
        </is>
      </c>
      <c r="C289" s="6" t="inlineStr">
        <is>
          <t>Alumínium alváz profilok</t>
        </is>
      </c>
      <c r="D289" s="6" t="inlineStr">
        <is>
          <t>Keret profilok</t>
        </is>
      </c>
      <c r="E289" s="6" t="inlineStr">
        <is>
          <t>BODEGA</t>
        </is>
      </c>
      <c r="F289" s="6" t="inlineStr">
        <is>
          <t>TB50042</t>
        </is>
      </c>
      <c r="G289" s="6" t="inlineStr">
        <is>
          <t>Quadris Excel</t>
        </is>
      </c>
      <c r="H289" s="6" t="n">
        <v>0</v>
      </c>
      <c r="I289" s="6" t="n">
        <v>0</v>
      </c>
      <c r="J289" s="6" t="inlineStr">
        <is>
          <t>nincs</t>
        </is>
      </c>
      <c r="K289" s="6">
        <f>IF(AND(H289&gt;0,I289&gt;0),"Rendben",IF(AND(H289=0,I289=0),"Nincs kép és adat",IF(H289=0,"Nincs kép","Nincs adat")))</f>
        <v/>
      </c>
      <c r="L289" s="6" t="inlineStr">
        <is>
          <t>Igen</t>
        </is>
      </c>
      <c r="M289" s="7" t="inlineStr">
        <is>
          <t>Bodega Bordwände katalógus 2010 (PDF); bodega.it oldaltérkép</t>
        </is>
      </c>
      <c r="N289" s="7" t="inlineStr">
        <is>
          <t>Nem találtuk: Bodega Bordwände katalógus 2010 (PDF); bodega.it oldaltérkép</t>
        </is>
      </c>
      <c r="O289" s="6" t="inlineStr"/>
      <c r="P289" s="11" t="inlineStr">
        <is>
          <t>https://website-9ib.pages.dev/termek/2018290-18-mm-keretprofil-elox/</t>
        </is>
      </c>
      <c r="Q289" s="12" t="inlineStr"/>
      <c r="R289" s="13" t="inlineStr"/>
      <c r="S289" s="6" t="inlineStr">
        <is>
          <t>2018290-18-mm-keretprofil-elox</t>
        </is>
      </c>
    </row>
    <row r="290">
      <c r="A290" s="6" t="inlineStr">
        <is>
          <t>226821/21</t>
        </is>
      </c>
      <c r="B290" s="7" t="inlineStr">
        <is>
          <t>Padló profil 200 mm</t>
        </is>
      </c>
      <c r="C290" s="6" t="inlineStr">
        <is>
          <t>Alumínium padló profilok</t>
        </is>
      </c>
      <c r="D290" s="6" t="inlineStr">
        <is>
          <t>Padló profilok</t>
        </is>
      </c>
      <c r="E290" s="6" t="inlineStr">
        <is>
          <t>BODEGA</t>
        </is>
      </c>
      <c r="F290" s="6" t="inlineStr">
        <is>
          <t>TB48968</t>
        </is>
      </c>
      <c r="G290" s="6" t="inlineStr">
        <is>
          <t>Quadris Excel</t>
        </is>
      </c>
      <c r="H290" s="6" t="n">
        <v>0</v>
      </c>
      <c r="I290" s="6" t="n">
        <v>0</v>
      </c>
      <c r="J290" s="6" t="inlineStr">
        <is>
          <t>nincs</t>
        </is>
      </c>
      <c r="K290" s="6">
        <f>IF(AND(H290&gt;0,I290&gt;0),"Rendben",IF(AND(H290=0,I290=0),"Nincs kép és adat",IF(H290=0,"Nincs kép","Nincs adat")))</f>
        <v/>
      </c>
      <c r="L290" s="6" t="inlineStr">
        <is>
          <t>Igen</t>
        </is>
      </c>
      <c r="M290" s="7" t="inlineStr">
        <is>
          <t>Bodega Bordwände katalógus 2010 (PDF); bodega.it oldaltérkép</t>
        </is>
      </c>
      <c r="N290" s="7" t="inlineStr">
        <is>
          <t>Nem találtuk: Bodega Bordwände katalógus 2010 (PDF); bodega.it oldaltérkép</t>
        </is>
      </c>
      <c r="O290" s="6" t="inlineStr"/>
      <c r="P290" s="11" t="inlineStr">
        <is>
          <t>https://website-9ib.pages.dev/termek/226821-21-padlo-profil-200-mm/</t>
        </is>
      </c>
      <c r="Q290" s="12" t="inlineStr"/>
      <c r="R290" s="13" t="inlineStr"/>
      <c r="S290" s="6" t="inlineStr">
        <is>
          <t>226821-21-padlo-profil-200-mm</t>
        </is>
      </c>
    </row>
    <row r="291">
      <c r="A291" s="6" t="inlineStr">
        <is>
          <t>252981</t>
        </is>
      </c>
      <c r="B291" s="7" t="inlineStr">
        <is>
          <t>20x20x3 alu zártszelvény</t>
        </is>
      </c>
      <c r="C291" s="6" t="inlineStr">
        <is>
          <t>Ipari félgyártmányok</t>
        </is>
      </c>
      <c r="D291" s="6" t="inlineStr">
        <is>
          <t>Zártszelvény</t>
        </is>
      </c>
      <c r="E291" s="6" t="inlineStr">
        <is>
          <t>BODEGA</t>
        </is>
      </c>
      <c r="F291" s="6" t="inlineStr"/>
      <c r="G291" s="6" t="inlineStr">
        <is>
          <t>Quadris Excel</t>
        </is>
      </c>
      <c r="H291" s="6" t="n">
        <v>3</v>
      </c>
      <c r="I291" s="6" t="n">
        <v>4</v>
      </c>
      <c r="J291" s="6" t="inlineStr">
        <is>
          <t>nincs</t>
        </is>
      </c>
      <c r="K291" s="6">
        <f>IF(AND(H291&gt;0,I291&gt;0),"Rendben",IF(AND(H291=0,I291=0),"Nincs kép és adat",IF(H291=0,"Nincs kép","Nincs adat")))</f>
        <v/>
      </c>
      <c r="L291" s="6" t="inlineStr">
        <is>
          <t>Igen</t>
        </is>
      </c>
      <c r="M291" s="7" t="inlineStr">
        <is>
          <t>Bodega Bordwände katalógus 2010 (PDF); bodega.it oldaltérkép</t>
        </is>
      </c>
      <c r="N291" s="7" t="inlineStr">
        <is>
          <t>Nem találtuk: Bodega Bordwände katalógus 2010 (PDF); bodega.it oldaltérkép; adatlap a Quadris-megnevezésből</t>
        </is>
      </c>
      <c r="O291" s="6" t="inlineStr"/>
      <c r="P291" s="11" t="inlineStr">
        <is>
          <t>https://website-9ib.pages.dev/termek/252981-20x20x3-alu-zartszelveny/</t>
        </is>
      </c>
      <c r="Q291" s="12" t="inlineStr"/>
      <c r="R291" s="13" t="inlineStr"/>
      <c r="S291" s="6" t="inlineStr">
        <is>
          <t>252981-20x20x3-alu-zartszelveny</t>
        </is>
      </c>
    </row>
    <row r="292">
      <c r="A292" s="6" t="inlineStr">
        <is>
          <t>258455</t>
        </is>
      </c>
      <c r="B292" s="7" t="inlineStr">
        <is>
          <t>60x40x2,5 R2 alu zártszelvény</t>
        </is>
      </c>
      <c r="C292" s="6" t="inlineStr">
        <is>
          <t>Ipari félgyártmányok</t>
        </is>
      </c>
      <c r="D292" s="6" t="inlineStr">
        <is>
          <t>Zártszelvény</t>
        </is>
      </c>
      <c r="E292" s="6" t="inlineStr">
        <is>
          <t>BODEGA</t>
        </is>
      </c>
      <c r="F292" s="6" t="inlineStr">
        <is>
          <t>TB18455</t>
        </is>
      </c>
      <c r="G292" s="6" t="inlineStr">
        <is>
          <t>Quadris Excel</t>
        </is>
      </c>
      <c r="H292" s="6" t="n">
        <v>3</v>
      </c>
      <c r="I292" s="6" t="n">
        <v>4</v>
      </c>
      <c r="J292" s="6" t="inlineStr">
        <is>
          <t>nincs</t>
        </is>
      </c>
      <c r="K292" s="6">
        <f>IF(AND(H292&gt;0,I292&gt;0),"Rendben",IF(AND(H292=0,I292=0),"Nincs kép és adat",IF(H292=0,"Nincs kép","Nincs adat")))</f>
        <v/>
      </c>
      <c r="L292" s="6" t="inlineStr">
        <is>
          <t>Igen</t>
        </is>
      </c>
      <c r="M292" s="7" t="inlineStr">
        <is>
          <t>Bodega Bordwände katalógus 2010 (PDF); bodega.it oldaltérkép</t>
        </is>
      </c>
      <c r="N292" s="7" t="inlineStr">
        <is>
          <t>Nem találtuk: Bodega Bordwände katalógus 2010 (PDF); bodega.it oldaltérkép; adatlap a Quadris-megnevezésből</t>
        </is>
      </c>
      <c r="O292" s="6" t="inlineStr"/>
      <c r="P292" s="11" t="inlineStr">
        <is>
          <t>https://website-9ib.pages.dev/termek/258455-60x40x2-5-r2-alu-zartszelveny/</t>
        </is>
      </c>
      <c r="Q292" s="12" t="inlineStr"/>
      <c r="R292" s="13" t="inlineStr"/>
      <c r="S292" s="6" t="inlineStr">
        <is>
          <t>258455-60x40x2-5-r2-alu-zartszelveny</t>
        </is>
      </c>
    </row>
    <row r="293">
      <c r="A293" s="6" t="inlineStr">
        <is>
          <t>252535</t>
        </is>
      </c>
      <c r="B293" s="7" t="inlineStr">
        <is>
          <t>60x40x3 alu zártszelvény</t>
        </is>
      </c>
      <c r="C293" s="6" t="inlineStr">
        <is>
          <t>Ipari félgyártmányok</t>
        </is>
      </c>
      <c r="D293" s="6" t="inlineStr">
        <is>
          <t>Zártszelvény</t>
        </is>
      </c>
      <c r="E293" s="6" t="inlineStr">
        <is>
          <t>BODEGA</t>
        </is>
      </c>
      <c r="F293" s="6" t="inlineStr"/>
      <c r="G293" s="6" t="inlineStr">
        <is>
          <t>Quadris Excel</t>
        </is>
      </c>
      <c r="H293" s="6" t="n">
        <v>3</v>
      </c>
      <c r="I293" s="6" t="n">
        <v>4</v>
      </c>
      <c r="J293" s="6" t="inlineStr">
        <is>
          <t>nincs</t>
        </is>
      </c>
      <c r="K293" s="6">
        <f>IF(AND(H293&gt;0,I293&gt;0),"Rendben",IF(AND(H293=0,I293=0),"Nincs kép és adat",IF(H293=0,"Nincs kép","Nincs adat")))</f>
        <v/>
      </c>
      <c r="L293" s="6" t="inlineStr">
        <is>
          <t>Igen</t>
        </is>
      </c>
      <c r="M293" s="7" t="inlineStr">
        <is>
          <t>Bodega Bordwände katalógus 2010 (PDF); bodega.it oldaltérkép</t>
        </is>
      </c>
      <c r="N293" s="7" t="inlineStr">
        <is>
          <t>Nem találtuk: Bodega Bordwände katalógus 2010 (PDF); bodega.it oldaltérkép; adatlap a Quadris-megnevezésből</t>
        </is>
      </c>
      <c r="O293" s="6" t="inlineStr"/>
      <c r="P293" s="11" t="inlineStr">
        <is>
          <t>https://website-9ib.pages.dev/termek/252535-60x40x3-alu-zartszelveny/</t>
        </is>
      </c>
      <c r="Q293" s="12" t="inlineStr"/>
      <c r="R293" s="13" t="inlineStr"/>
      <c r="S293" s="6" t="inlineStr">
        <is>
          <t>252535-60x40x3-alu-zartszelveny</t>
        </is>
      </c>
    </row>
    <row r="294">
      <c r="A294" s="6" t="inlineStr">
        <is>
          <t>251659</t>
        </is>
      </c>
      <c r="B294" s="7" t="inlineStr">
        <is>
          <t>80x50x4 mm R4 Alu Zártszelvény</t>
        </is>
      </c>
      <c r="C294" s="6" t="inlineStr">
        <is>
          <t>Ipari félgyártmányok</t>
        </is>
      </c>
      <c r="D294" s="6" t="inlineStr">
        <is>
          <t>Zártszelvény</t>
        </is>
      </c>
      <c r="E294" s="6" t="inlineStr">
        <is>
          <t>BODEGA</t>
        </is>
      </c>
      <c r="F294" s="6" t="inlineStr">
        <is>
          <t>TB51659</t>
        </is>
      </c>
      <c r="G294" s="6" t="inlineStr">
        <is>
          <t>Quadris Excel</t>
        </is>
      </c>
      <c r="H294" s="6" t="n">
        <v>3</v>
      </c>
      <c r="I294" s="6" t="n">
        <v>4</v>
      </c>
      <c r="J294" s="6" t="inlineStr">
        <is>
          <t>nincs</t>
        </is>
      </c>
      <c r="K294" s="6">
        <f>IF(AND(H294&gt;0,I294&gt;0),"Rendben",IF(AND(H294=0,I294=0),"Nincs kép és adat",IF(H294=0,"Nincs kép","Nincs adat")))</f>
        <v/>
      </c>
      <c r="L294" s="6" t="inlineStr">
        <is>
          <t>Igen</t>
        </is>
      </c>
      <c r="M294" s="7" t="inlineStr">
        <is>
          <t>Bodega Bordwände katalógus 2010 (PDF); bodega.it oldaltérkép</t>
        </is>
      </c>
      <c r="N294" s="7" t="inlineStr">
        <is>
          <t>Nem találtuk: Bodega Bordwände katalógus 2010 (PDF); bodega.it oldaltérkép; adatlap a Quadris-megnevezésből</t>
        </is>
      </c>
      <c r="O294" s="6" t="inlineStr"/>
      <c r="P294" s="11" t="inlineStr">
        <is>
          <t>https://website-9ib.pages.dev/termek/251659-80x50x4-mm-r4-alu-zartszelveny/</t>
        </is>
      </c>
      <c r="Q294" s="12" t="inlineStr"/>
      <c r="R294" s="13" t="inlineStr"/>
      <c r="S294" s="6" t="inlineStr">
        <is>
          <t>251659-80x50x4-mm-r4-alu-zartszelveny</t>
        </is>
      </c>
    </row>
    <row r="295">
      <c r="A295" s="6" t="inlineStr">
        <is>
          <t>228153</t>
        </is>
      </c>
      <c r="B295" s="7" t="inlineStr">
        <is>
          <t>"u" 25 mm szegő profil elox B</t>
        </is>
      </c>
      <c r="C295" s="6" t="inlineStr">
        <is>
          <t>Platós és ponyvás oldalfal profilok és szegők</t>
        </is>
      </c>
      <c r="D295" s="6" t="inlineStr">
        <is>
          <t>Szegő profilok</t>
        </is>
      </c>
      <c r="E295" s="6" t="inlineStr">
        <is>
          <t>BODEGA</t>
        </is>
      </c>
      <c r="F295" s="6" t="inlineStr">
        <is>
          <t>TB28153</t>
        </is>
      </c>
      <c r="G295" s="6" t="inlineStr">
        <is>
          <t>Quadris Excel</t>
        </is>
      </c>
      <c r="H295" s="6" t="n">
        <v>1</v>
      </c>
      <c r="I295" s="6" t="n">
        <v>5</v>
      </c>
      <c r="J295" s="6" t="inlineStr">
        <is>
          <t>nincs</t>
        </is>
      </c>
      <c r="K295" s="6">
        <f>IF(AND(H295&gt;0,I295&gt;0),"Rendben",IF(AND(H295=0,I295=0),"Nincs kép és adat",IF(H295=0,"Nincs kép","Nincs adat")))</f>
        <v/>
      </c>
      <c r="L295" s="6" t="inlineStr">
        <is>
          <t>Igen</t>
        </is>
      </c>
      <c r="M295" s="7" t="inlineStr">
        <is>
          <t>Bodega Bordwände katalógus 2010 (PDF); bodega.it oldaltérkép</t>
        </is>
      </c>
      <c r="N295" s="7" t="inlineStr">
        <is>
          <t>Megtalálva: Bodega TB28153 (kód: TB28153)</t>
        </is>
      </c>
      <c r="O295" s="11" t="inlineStr">
        <is>
          <t>https://www.bodega.it</t>
        </is>
      </c>
      <c r="P295" s="11" t="inlineStr">
        <is>
          <t>https://website-9ib.pages.dev/termek/228153-u-25-mm-szego-profil-elox-b/</t>
        </is>
      </c>
      <c r="Q295" s="12" t="inlineStr"/>
      <c r="R295" s="13" t="inlineStr"/>
      <c r="S295" s="6" t="inlineStr">
        <is>
          <t>228153-u-25-mm-szego-profil-elox-b</t>
        </is>
      </c>
    </row>
    <row r="296">
      <c r="A296" s="6" t="inlineStr">
        <is>
          <t>225455/n</t>
        </is>
      </c>
      <c r="B296" s="7" t="inlineStr">
        <is>
          <t>"u" 35 mm szegő profil</t>
        </is>
      </c>
      <c r="C296" s="6" t="inlineStr">
        <is>
          <t>Platós és ponyvás oldalfal profilok és szegők</t>
        </is>
      </c>
      <c r="D296" s="6" t="inlineStr">
        <is>
          <t>Szegő profilok</t>
        </is>
      </c>
      <c r="E296" s="6" t="inlineStr">
        <is>
          <t>BODEGA</t>
        </is>
      </c>
      <c r="F296" s="6" t="inlineStr">
        <is>
          <t>TB54550</t>
        </is>
      </c>
      <c r="G296" s="6" t="inlineStr">
        <is>
          <t>Quadris Excel</t>
        </is>
      </c>
      <c r="H296" s="6" t="n">
        <v>0</v>
      </c>
      <c r="I296" s="6" t="n">
        <v>0</v>
      </c>
      <c r="J296" s="6" t="inlineStr">
        <is>
          <t>nincs</t>
        </is>
      </c>
      <c r="K296" s="6">
        <f>IF(AND(H296&gt;0,I296&gt;0),"Rendben",IF(AND(H296=0,I296=0),"Nincs kép és adat",IF(H296=0,"Nincs kép","Nincs adat")))</f>
        <v/>
      </c>
      <c r="L296" s="6" t="inlineStr">
        <is>
          <t>Igen</t>
        </is>
      </c>
      <c r="M296" s="7" t="inlineStr">
        <is>
          <t>Bodega Bordwände katalógus 2010 (PDF); bodega.it oldaltérkép</t>
        </is>
      </c>
      <c r="N296" s="7" t="inlineStr">
        <is>
          <t>Nem találtuk: Bodega Bordwände katalógus 2010 (PDF); bodega.it oldaltérkép</t>
        </is>
      </c>
      <c r="O296" s="6" t="inlineStr"/>
      <c r="P296" s="11" t="inlineStr">
        <is>
          <t>https://website-9ib.pages.dev/termek/225455-n-u-35-mm-szego-profil/</t>
        </is>
      </c>
      <c r="Q296" s="12" t="inlineStr"/>
      <c r="R296" s="13" t="inlineStr"/>
      <c r="S296" s="6" t="inlineStr">
        <is>
          <t>225455-n-u-35-mm-szego-profil</t>
        </is>
      </c>
    </row>
    <row r="297">
      <c r="A297" s="6" t="inlineStr">
        <is>
          <t>225455</t>
        </is>
      </c>
      <c r="B297" s="7" t="inlineStr">
        <is>
          <t>"u" 35 mm szegő profil elox</t>
        </is>
      </c>
      <c r="C297" s="6" t="inlineStr">
        <is>
          <t>Platós és ponyvás oldalfal profilok és szegők</t>
        </is>
      </c>
      <c r="D297" s="6" t="inlineStr">
        <is>
          <t>Szegő profilok</t>
        </is>
      </c>
      <c r="E297" s="6" t="inlineStr">
        <is>
          <t>BODEGA</t>
        </is>
      </c>
      <c r="F297" s="6" t="inlineStr">
        <is>
          <t>TB54550</t>
        </is>
      </c>
      <c r="G297" s="6" t="inlineStr">
        <is>
          <t>Quadris Excel</t>
        </is>
      </c>
      <c r="H297" s="6" t="n">
        <v>0</v>
      </c>
      <c r="I297" s="6" t="n">
        <v>0</v>
      </c>
      <c r="J297" s="6" t="inlineStr">
        <is>
          <t>nincs</t>
        </is>
      </c>
      <c r="K297" s="6">
        <f>IF(AND(H297&gt;0,I297&gt;0),"Rendben",IF(AND(H297=0,I297=0),"Nincs kép és adat",IF(H297=0,"Nincs kép","Nincs adat")))</f>
        <v/>
      </c>
      <c r="L297" s="6" t="inlineStr">
        <is>
          <t>Igen</t>
        </is>
      </c>
      <c r="M297" s="7" t="inlineStr">
        <is>
          <t>Bodega Bordwände katalógus 2010 (PDF); bodega.it oldaltérkép</t>
        </is>
      </c>
      <c r="N297" s="7" t="inlineStr">
        <is>
          <t>Nem találtuk: Bodega Bordwände katalógus 2010 (PDF); bodega.it oldaltérkép</t>
        </is>
      </c>
      <c r="O297" s="6" t="inlineStr"/>
      <c r="P297" s="11" t="inlineStr">
        <is>
          <t>https://website-9ib.pages.dev/termek/225455-u-35-mm-szego-profil-elox/</t>
        </is>
      </c>
      <c r="Q297" s="12" t="inlineStr"/>
      <c r="R297" s="13" t="inlineStr"/>
      <c r="S297" s="6" t="inlineStr">
        <is>
          <t>225455-u-35-mm-szego-profil-elox</t>
        </is>
      </c>
    </row>
    <row r="298">
      <c r="A298" s="6" t="inlineStr">
        <is>
          <t>226671</t>
        </is>
      </c>
      <c r="B298" s="7" t="inlineStr">
        <is>
          <t>400 mm gumis oldalfal elox</t>
        </is>
      </c>
      <c r="C298" s="6" t="inlineStr">
        <is>
          <t>Platós és ponyvás oldalfal profilok és szegők</t>
        </is>
      </c>
      <c r="D298" s="6" t="inlineStr">
        <is>
          <t>25 mm monó profilok</t>
        </is>
      </c>
      <c r="E298" s="6" t="inlineStr">
        <is>
          <t>BODEGA</t>
        </is>
      </c>
      <c r="F298" s="6" t="inlineStr">
        <is>
          <t>TB36671</t>
        </is>
      </c>
      <c r="G298" s="6" t="inlineStr">
        <is>
          <t>Quadris Excel</t>
        </is>
      </c>
      <c r="H298" s="6" t="n">
        <v>0</v>
      </c>
      <c r="I298" s="6" t="n">
        <v>0</v>
      </c>
      <c r="J298" s="6" t="inlineStr">
        <is>
          <t>nincs</t>
        </is>
      </c>
      <c r="K298" s="6">
        <f>IF(AND(H298&gt;0,I298&gt;0),"Rendben",IF(AND(H298=0,I298=0),"Nincs kép és adat",IF(H298=0,"Nincs kép","Nincs adat")))</f>
        <v/>
      </c>
      <c r="L298" s="6" t="inlineStr">
        <is>
          <t>Igen</t>
        </is>
      </c>
      <c r="M298" s="7" t="inlineStr">
        <is>
          <t>Bodega Bordwände katalógus 2010 (PDF); bodega.it oldaltérkép</t>
        </is>
      </c>
      <c r="N298" s="7" t="inlineStr">
        <is>
          <t>Nem találtuk: Bodega Bordwände katalógus 2010 (PDF); bodega.it oldaltérkép</t>
        </is>
      </c>
      <c r="O298" s="6" t="inlineStr"/>
      <c r="P298" s="11" t="inlineStr">
        <is>
          <t>https://website-9ib.pages.dev/termek/226671-400-mm-gumis-oldalfal-elox/</t>
        </is>
      </c>
      <c r="Q298" s="12" t="inlineStr"/>
      <c r="R298" s="13" t="inlineStr"/>
      <c r="S298" s="6" t="inlineStr">
        <is>
          <t>226671-400-mm-gumis-oldalfal-elox</t>
        </is>
      </c>
    </row>
    <row r="299">
      <c r="A299" s="6" t="inlineStr">
        <is>
          <t>226795</t>
        </is>
      </c>
      <c r="B299" s="7" t="inlineStr">
        <is>
          <t>400 mm peremes gumis oldalfal elox</t>
        </is>
      </c>
      <c r="C299" s="6" t="inlineStr">
        <is>
          <t>Platós és ponyvás oldalfal profilok és szegők</t>
        </is>
      </c>
      <c r="D299" s="6" t="inlineStr">
        <is>
          <t>25 mm monó profilok</t>
        </is>
      </c>
      <c r="E299" s="6" t="inlineStr">
        <is>
          <t>BODEGA</t>
        </is>
      </c>
      <c r="F299" s="6" t="inlineStr">
        <is>
          <t>TB36795</t>
        </is>
      </c>
      <c r="G299" s="6" t="inlineStr">
        <is>
          <t>Quadris Excel</t>
        </is>
      </c>
      <c r="H299" s="6" t="n">
        <v>0</v>
      </c>
      <c r="I299" s="6" t="n">
        <v>0</v>
      </c>
      <c r="J299" s="6" t="inlineStr">
        <is>
          <t>nincs</t>
        </is>
      </c>
      <c r="K299" s="6">
        <f>IF(AND(H299&gt;0,I299&gt;0),"Rendben",IF(AND(H299=0,I299=0),"Nincs kép és adat",IF(H299=0,"Nincs kép","Nincs adat")))</f>
        <v/>
      </c>
      <c r="L299" s="6" t="inlineStr">
        <is>
          <t>Igen</t>
        </is>
      </c>
      <c r="M299" s="7" t="inlineStr">
        <is>
          <t>Bodega Bordwände katalógus 2010 (PDF); bodega.it oldaltérkép</t>
        </is>
      </c>
      <c r="N299" s="7" t="inlineStr">
        <is>
          <t>Nem találtuk: Bodega Bordwände katalógus 2010 (PDF); bodega.it oldaltérkép</t>
        </is>
      </c>
      <c r="O299" s="6" t="inlineStr"/>
      <c r="P299" s="11" t="inlineStr">
        <is>
          <t>https://website-9ib.pages.dev/termek/226795-400-mm-peremes-gumis-oldalfal-elox/</t>
        </is>
      </c>
      <c r="Q299" s="12" t="inlineStr"/>
      <c r="R299" s="13" t="inlineStr"/>
      <c r="S299" s="6" t="inlineStr">
        <is>
          <t>226795-400-mm-peremes-gumis-oldalfal-elox</t>
        </is>
      </c>
    </row>
    <row r="300">
      <c r="A300" s="6" t="inlineStr">
        <is>
          <t>225549</t>
        </is>
      </c>
      <c r="B300" s="7" t="inlineStr">
        <is>
          <t>400 mm peremes oldalfal elox</t>
        </is>
      </c>
      <c r="C300" s="6" t="inlineStr">
        <is>
          <t>Platós és ponyvás oldalfal profilok és szegők</t>
        </is>
      </c>
      <c r="D300" s="6" t="inlineStr">
        <is>
          <t>25 mm monó profilok</t>
        </is>
      </c>
      <c r="E300" s="6" t="inlineStr">
        <is>
          <t>BODEGA</t>
        </is>
      </c>
      <c r="F300" s="6" t="inlineStr">
        <is>
          <t>TB25549</t>
        </is>
      </c>
      <c r="G300" s="6" t="inlineStr">
        <is>
          <t>Quadris Excel</t>
        </is>
      </c>
      <c r="H300" s="6" t="n">
        <v>1</v>
      </c>
      <c r="I300" s="6" t="n">
        <v>5</v>
      </c>
      <c r="J300" s="6" t="inlineStr">
        <is>
          <t>nincs</t>
        </is>
      </c>
      <c r="K300" s="6">
        <f>IF(AND(H300&gt;0,I300&gt;0),"Rendben",IF(AND(H300=0,I300=0),"Nincs kép és adat",IF(H300=0,"Nincs kép","Nincs adat")))</f>
        <v/>
      </c>
      <c r="L300" s="6" t="inlineStr">
        <is>
          <t>Igen</t>
        </is>
      </c>
      <c r="M300" s="7" t="inlineStr">
        <is>
          <t>Bodega Bordwände katalógus 2010 (PDF); bodega.it oldaltérkép</t>
        </is>
      </c>
      <c r="N300" s="7" t="inlineStr">
        <is>
          <t>Megtalálva: Bodega TB25549 (kód: TB25549)</t>
        </is>
      </c>
      <c r="O300" s="11" t="inlineStr">
        <is>
          <t>https://www.bodega.it</t>
        </is>
      </c>
      <c r="P300" s="11" t="inlineStr">
        <is>
          <t>https://website-9ib.pages.dev/termek/225549-400-mm-peremes-oldalfal-elox/</t>
        </is>
      </c>
      <c r="Q300" s="12" t="inlineStr"/>
      <c r="R300" s="13" t="inlineStr"/>
      <c r="S300" s="6" t="inlineStr">
        <is>
          <t>225549-400-mm-peremes-oldalfal-elox</t>
        </is>
      </c>
    </row>
    <row r="301">
      <c r="A301" s="6" t="inlineStr">
        <is>
          <t>226113</t>
        </is>
      </c>
      <c r="B301" s="7" t="inlineStr">
        <is>
          <t>Felső 200 mm elox profil B</t>
        </is>
      </c>
      <c r="C301" s="6" t="inlineStr">
        <is>
          <t>Platós és ponyvás oldalfal profilok és szegők</t>
        </is>
      </c>
      <c r="D301" s="6" t="inlineStr">
        <is>
          <t>25 mm vastag oldalfal rendszerek</t>
        </is>
      </c>
      <c r="E301" s="6" t="inlineStr">
        <is>
          <t>BODEGA</t>
        </is>
      </c>
      <c r="F301" s="6" t="inlineStr">
        <is>
          <t>TB36113</t>
        </is>
      </c>
      <c r="G301" s="6" t="inlineStr">
        <is>
          <t>Quadris Excel</t>
        </is>
      </c>
      <c r="H301" s="6" t="n">
        <v>0</v>
      </c>
      <c r="I301" s="6" t="n">
        <v>0</v>
      </c>
      <c r="J301" s="6" t="inlineStr">
        <is>
          <t>nincs</t>
        </is>
      </c>
      <c r="K301" s="6">
        <f>IF(AND(H301&gt;0,I301&gt;0),"Rendben",IF(AND(H301=0,I301=0),"Nincs kép és adat",IF(H301=0,"Nincs kép","Nincs adat")))</f>
        <v/>
      </c>
      <c r="L301" s="6" t="inlineStr">
        <is>
          <t>Igen</t>
        </is>
      </c>
      <c r="M301" s="7" t="inlineStr">
        <is>
          <t>Bodega Bordwände katalógus 2010 (PDF); bodega.it oldaltérkép</t>
        </is>
      </c>
      <c r="N301" s="7" t="inlineStr">
        <is>
          <t>Nem találtuk: Bodega Bordwände katalógus 2010 (PDF); bodega.it oldaltérkép</t>
        </is>
      </c>
      <c r="O301" s="6" t="inlineStr"/>
      <c r="P301" s="11" t="inlineStr">
        <is>
          <t>https://website-9ib.pages.dev/termek/226113-felso-200-mm-elox-profil-b/</t>
        </is>
      </c>
      <c r="Q301" s="12" t="inlineStr"/>
      <c r="R301" s="13" t="inlineStr"/>
      <c r="S301" s="6" t="inlineStr">
        <is>
          <t>226113-felso-200-mm-elox-profil-b</t>
        </is>
      </c>
    </row>
    <row r="302">
      <c r="A302" s="6" t="inlineStr">
        <is>
          <t>226114</t>
        </is>
      </c>
      <c r="B302" s="7" t="inlineStr">
        <is>
          <t>Köztes 200 mm elox profil B</t>
        </is>
      </c>
      <c r="C302" s="6" t="inlineStr">
        <is>
          <t>Platós és ponyvás oldalfal profilok és szegők</t>
        </is>
      </c>
      <c r="D302" s="6" t="inlineStr">
        <is>
          <t>25 mm vastag oldalfal rendszerek</t>
        </is>
      </c>
      <c r="E302" s="6" t="inlineStr">
        <is>
          <t>BODEGA</t>
        </is>
      </c>
      <c r="F302" s="6" t="inlineStr">
        <is>
          <t>TB36114</t>
        </is>
      </c>
      <c r="G302" s="6" t="inlineStr">
        <is>
          <t>Quadris Excel</t>
        </is>
      </c>
      <c r="H302" s="6" t="n">
        <v>0</v>
      </c>
      <c r="I302" s="6" t="n">
        <v>0</v>
      </c>
      <c r="J302" s="6" t="inlineStr">
        <is>
          <t>nincs</t>
        </is>
      </c>
      <c r="K302" s="6">
        <f>IF(AND(H302&gt;0,I302&gt;0),"Rendben",IF(AND(H302=0,I302=0),"Nincs kép és adat",IF(H302=0,"Nincs kép","Nincs adat")))</f>
        <v/>
      </c>
      <c r="L302" s="6" t="inlineStr">
        <is>
          <t>Igen</t>
        </is>
      </c>
      <c r="M302" s="7" t="inlineStr">
        <is>
          <t>Bodega Bordwände katalógus 2010 (PDF); bodega.it oldaltérkép</t>
        </is>
      </c>
      <c r="N302" s="7" t="inlineStr">
        <is>
          <t>Nem találtuk: Bodega Bordwände katalógus 2010 (PDF); bodega.it oldaltérkép</t>
        </is>
      </c>
      <c r="O302" s="6" t="inlineStr"/>
      <c r="P302" s="11" t="inlineStr">
        <is>
          <t>https://website-9ib.pages.dev/termek/226114-koztes-200-mm-elox-profil-b/</t>
        </is>
      </c>
      <c r="Q302" s="12" t="inlineStr"/>
      <c r="R302" s="13" t="inlineStr"/>
      <c r="S302" s="6" t="inlineStr">
        <is>
          <t>226114-koztes-200-mm-elox-profil-b</t>
        </is>
      </c>
    </row>
    <row r="303">
      <c r="A303" s="6" t="inlineStr">
        <is>
          <t>225040</t>
        </is>
      </c>
      <c r="B303" s="7" t="inlineStr">
        <is>
          <t>Köztes 250 mm elox profil</t>
        </is>
      </c>
      <c r="C303" s="6" t="inlineStr">
        <is>
          <t>Platós és ponyvás oldalfal profilok és szegők</t>
        </is>
      </c>
      <c r="D303" s="6" t="inlineStr">
        <is>
          <t>25 mm vastag oldalfal rendszerek</t>
        </is>
      </c>
      <c r="E303" s="6" t="inlineStr">
        <is>
          <t>BODEGA</t>
        </is>
      </c>
      <c r="F303" s="6" t="inlineStr">
        <is>
          <t>TB50040</t>
        </is>
      </c>
      <c r="G303" s="6" t="inlineStr">
        <is>
          <t>Quadris Excel</t>
        </is>
      </c>
      <c r="H303" s="6" t="n">
        <v>0</v>
      </c>
      <c r="I303" s="6" t="n">
        <v>0</v>
      </c>
      <c r="J303" s="6" t="inlineStr">
        <is>
          <t>nincs</t>
        </is>
      </c>
      <c r="K303" s="6">
        <f>IF(AND(H303&gt;0,I303&gt;0),"Rendben",IF(AND(H303=0,I303=0),"Nincs kép és adat",IF(H303=0,"Nincs kép","Nincs adat")))</f>
        <v/>
      </c>
      <c r="L303" s="6" t="inlineStr">
        <is>
          <t>Igen</t>
        </is>
      </c>
      <c r="M303" s="7" t="inlineStr">
        <is>
          <t>Bodega Bordwände katalógus 2010 (PDF); bodega.it oldaltérkép</t>
        </is>
      </c>
      <c r="N303" s="7" t="inlineStr">
        <is>
          <t>Nem találtuk: Bodega Bordwände katalógus 2010 (PDF); bodega.it oldaltérkép</t>
        </is>
      </c>
      <c r="O303" s="6" t="inlineStr"/>
      <c r="P303" s="11" t="inlineStr">
        <is>
          <t>https://website-9ib.pages.dev/termek/225040-koztes-250-mm-elox-profil/</t>
        </is>
      </c>
      <c r="Q303" s="12" t="inlineStr"/>
      <c r="R303" s="13" t="inlineStr"/>
      <c r="S303" s="6" t="inlineStr">
        <is>
          <t>225040-koztes-250-mm-elox-profil</t>
        </is>
      </c>
    </row>
    <row r="304">
      <c r="A304" s="6" t="inlineStr">
        <is>
          <t>225040/n</t>
        </is>
      </c>
      <c r="B304" s="7" t="inlineStr">
        <is>
          <t>Köztes 250 mm profil</t>
        </is>
      </c>
      <c r="C304" s="6" t="inlineStr">
        <is>
          <t>Platós és ponyvás oldalfal profilok és szegők</t>
        </is>
      </c>
      <c r="D304" s="6" t="inlineStr">
        <is>
          <t>25 mm vastag oldalfal rendszerek</t>
        </is>
      </c>
      <c r="E304" s="6" t="inlineStr">
        <is>
          <t>BODEGA</t>
        </is>
      </c>
      <c r="F304" s="6" t="inlineStr">
        <is>
          <t>TB50040</t>
        </is>
      </c>
      <c r="G304" s="6" t="inlineStr">
        <is>
          <t>Quadris Excel</t>
        </is>
      </c>
      <c r="H304" s="6" t="n">
        <v>0</v>
      </c>
      <c r="I304" s="6" t="n">
        <v>0</v>
      </c>
      <c r="J304" s="6" t="inlineStr">
        <is>
          <t>nincs</t>
        </is>
      </c>
      <c r="K304" s="6">
        <f>IF(AND(H304&gt;0,I304&gt;0),"Rendben",IF(AND(H304=0,I304=0),"Nincs kép és adat",IF(H304=0,"Nincs kép","Nincs adat")))</f>
        <v/>
      </c>
      <c r="L304" s="6" t="inlineStr">
        <is>
          <t>Igen</t>
        </is>
      </c>
      <c r="M304" s="7" t="inlineStr">
        <is>
          <t>Bodega Bordwände katalógus 2010 (PDF); bodega.it oldaltérkép</t>
        </is>
      </c>
      <c r="N304" s="7" t="inlineStr">
        <is>
          <t>Nem találtuk: Bodega Bordwände katalógus 2010 (PDF); bodega.it oldaltérkép</t>
        </is>
      </c>
      <c r="O304" s="6" t="inlineStr"/>
      <c r="P304" s="11" t="inlineStr">
        <is>
          <t>https://website-9ib.pages.dev/termek/225040-n-koztes-250-mm-profil/</t>
        </is>
      </c>
      <c r="Q304" s="12" t="inlineStr"/>
      <c r="R304" s="13" t="inlineStr"/>
      <c r="S304" s="6" t="inlineStr">
        <is>
          <t>225040-n-koztes-250-mm-profil</t>
        </is>
      </c>
    </row>
    <row r="305">
      <c r="A305" s="6" t="inlineStr">
        <is>
          <t>226253</t>
        </is>
      </c>
      <c r="B305" s="7" t="inlineStr">
        <is>
          <t>Köztes ponyvás 200 mm elox profil B</t>
        </is>
      </c>
      <c r="C305" s="6" t="inlineStr">
        <is>
          <t>Platós és ponyvás oldalfal profilok és szegők</t>
        </is>
      </c>
      <c r="D305" s="6" t="inlineStr">
        <is>
          <t>25 mm vastag oldalfal rendszerek</t>
        </is>
      </c>
      <c r="E305" s="6" t="inlineStr">
        <is>
          <t>BODEGA</t>
        </is>
      </c>
      <c r="F305" s="6" t="inlineStr">
        <is>
          <t>TB36253</t>
        </is>
      </c>
      <c r="G305" s="6" t="inlineStr">
        <is>
          <t>Quadris Excel</t>
        </is>
      </c>
      <c r="H305" s="6" t="n">
        <v>0</v>
      </c>
      <c r="I305" s="6" t="n">
        <v>0</v>
      </c>
      <c r="J305" s="6" t="inlineStr">
        <is>
          <t>nincs</t>
        </is>
      </c>
      <c r="K305" s="6">
        <f>IF(AND(H305&gt;0,I305&gt;0),"Rendben",IF(AND(H305=0,I305=0),"Nincs kép és adat",IF(H305=0,"Nincs kép","Nincs adat")))</f>
        <v/>
      </c>
      <c r="L305" s="6" t="inlineStr">
        <is>
          <t>Igen</t>
        </is>
      </c>
      <c r="M305" s="7" t="inlineStr">
        <is>
          <t>Bodega Bordwände katalógus 2010 (PDF); bodega.it oldaltérkép</t>
        </is>
      </c>
      <c r="N305" s="7" t="inlineStr">
        <is>
          <t>Nem találtuk: Bodega Bordwände katalógus 2010 (PDF); bodega.it oldaltérkép</t>
        </is>
      </c>
      <c r="O305" s="6" t="inlineStr"/>
      <c r="P305" s="11" t="inlineStr">
        <is>
          <t>https://website-9ib.pages.dev/termek/226253-koztes-ponyvas-200-mm-elox-profil-b/</t>
        </is>
      </c>
      <c r="Q305" s="12" t="inlineStr"/>
      <c r="R305" s="13" t="inlineStr"/>
      <c r="S305" s="6" t="inlineStr">
        <is>
          <t>226253-koztes-ponyvas-200-mm-elox-profil-b</t>
        </is>
      </c>
    </row>
    <row r="306">
      <c r="A306" s="6" t="inlineStr">
        <is>
          <t>223032</t>
        </is>
      </c>
      <c r="B306" s="7" t="inlineStr">
        <is>
          <t>Spitz profil 100 mm</t>
        </is>
      </c>
      <c r="C306" s="6" t="inlineStr">
        <is>
          <t>Ponyvarendszer kiegészítők</t>
        </is>
      </c>
      <c r="D306" s="6" t="inlineStr">
        <is>
          <t>Spitzprofilok</t>
        </is>
      </c>
      <c r="E306" s="6" t="inlineStr">
        <is>
          <t>BODEGA</t>
        </is>
      </c>
      <c r="F306" s="6" t="inlineStr">
        <is>
          <t>TB53032</t>
        </is>
      </c>
      <c r="G306" s="6" t="inlineStr">
        <is>
          <t>Quadris Excel</t>
        </is>
      </c>
      <c r="H306" s="6" t="n">
        <v>0</v>
      </c>
      <c r="I306" s="6" t="n">
        <v>0</v>
      </c>
      <c r="J306" s="6" t="inlineStr">
        <is>
          <t>nincs</t>
        </is>
      </c>
      <c r="K306" s="6">
        <f>IF(AND(H306&gt;0,I306&gt;0),"Rendben",IF(AND(H306=0,I306=0),"Nincs kép és adat",IF(H306=0,"Nincs kép","Nincs adat")))</f>
        <v/>
      </c>
      <c r="L306" s="6" t="inlineStr">
        <is>
          <t>Igen</t>
        </is>
      </c>
      <c r="M306" s="7" t="inlineStr">
        <is>
          <t>Bodega Bordwände katalógus 2010 (PDF); bodega.it oldaltérkép</t>
        </is>
      </c>
      <c r="N306" s="7" t="inlineStr">
        <is>
          <t>Nem találtuk: Bodega Bordwände katalógus 2010 (PDF); bodega.it oldaltérkép</t>
        </is>
      </c>
      <c r="O306" s="6" t="inlineStr"/>
      <c r="P306" s="11" t="inlineStr">
        <is>
          <t>https://website-9ib.pages.dev/termek/223032-spitz-profil-100-mm/</t>
        </is>
      </c>
      <c r="Q306" s="12" t="inlineStr"/>
      <c r="R306" s="13" t="inlineStr"/>
      <c r="S306" s="6" t="inlineStr">
        <is>
          <t>223032-spitz-profil-100-mm</t>
        </is>
      </c>
    </row>
    <row r="307">
      <c r="A307" s="6" t="inlineStr">
        <is>
          <t>222005</t>
        </is>
      </c>
      <c r="B307" s="7" t="inlineStr">
        <is>
          <t>Spitz profil 150 mm magas T</t>
        </is>
      </c>
      <c r="C307" s="6" t="inlineStr">
        <is>
          <t>Ponyvarendszer kiegészítők</t>
        </is>
      </c>
      <c r="D307" s="6" t="inlineStr">
        <is>
          <t>Spitzprofilok</t>
        </is>
      </c>
      <c r="E307" s="6" t="inlineStr">
        <is>
          <t>BODEGA</t>
        </is>
      </c>
      <c r="F307" s="6" t="inlineStr">
        <is>
          <t>T1.2005.0</t>
        </is>
      </c>
      <c r="G307" s="6" t="inlineStr">
        <is>
          <t>Quadris Excel</t>
        </is>
      </c>
      <c r="H307" s="6" t="n">
        <v>0</v>
      </c>
      <c r="I307" s="6" t="n">
        <v>0</v>
      </c>
      <c r="J307" s="6" t="inlineStr">
        <is>
          <t>nincs</t>
        </is>
      </c>
      <c r="K307" s="6">
        <f>IF(AND(H307&gt;0,I307&gt;0),"Rendben",IF(AND(H307=0,I307=0),"Nincs kép és adat",IF(H307=0,"Nincs kép","Nincs adat")))</f>
        <v/>
      </c>
      <c r="L307" s="6" t="inlineStr">
        <is>
          <t>Igen</t>
        </is>
      </c>
      <c r="M307" s="7" t="inlineStr">
        <is>
          <t>Bodega Bordwände katalógus 2010 (PDF); bodega.it oldaltérkép</t>
        </is>
      </c>
      <c r="N307" s="7" t="inlineStr">
        <is>
          <t>Nem találtuk: Bodega Bordwände katalógus 2010 (PDF); bodega.it oldaltérkép</t>
        </is>
      </c>
      <c r="O307" s="6" t="inlineStr"/>
      <c r="P307" s="11" t="inlineStr">
        <is>
          <t>https://website-9ib.pages.dev/termek/222005-spitz-profil-150-mm-magas-t/</t>
        </is>
      </c>
      <c r="Q307" s="12" t="inlineStr"/>
      <c r="R307" s="13" t="inlineStr"/>
      <c r="S307" s="6" t="inlineStr">
        <is>
          <t>222005-spitz-profil-150-mm-magas-t</t>
        </is>
      </c>
    </row>
    <row r="308">
      <c r="A308" s="6" t="inlineStr">
        <is>
          <t>235427</t>
        </is>
      </c>
      <c r="B308" s="7" t="inlineStr">
        <is>
          <t>25x35 mm Speciális tető profil</t>
        </is>
      </c>
      <c r="C308" s="6" t="inlineStr">
        <is>
          <t>Zárt-dobozos és hűtős profilok</t>
        </is>
      </c>
      <c r="D308" s="6" t="inlineStr">
        <is>
          <t>Zárt-dobozos és hűtős profilok</t>
        </is>
      </c>
      <c r="E308" s="6" t="inlineStr">
        <is>
          <t>BODEGA</t>
        </is>
      </c>
      <c r="F308" s="6" t="inlineStr"/>
      <c r="G308" s="6" t="inlineStr">
        <is>
          <t>Quadris Excel</t>
        </is>
      </c>
      <c r="H308" s="6" t="n">
        <v>0</v>
      </c>
      <c r="I308" s="6" t="n">
        <v>0</v>
      </c>
      <c r="J308" s="6" t="inlineStr">
        <is>
          <t>nincs</t>
        </is>
      </c>
      <c r="K308" s="6">
        <f>IF(AND(H308&gt;0,I308&gt;0),"Rendben",IF(AND(H308=0,I308=0),"Nincs kép és adat",IF(H308=0,"Nincs kép","Nincs adat")))</f>
        <v/>
      </c>
      <c r="L308" s="6" t="inlineStr">
        <is>
          <t>Igen</t>
        </is>
      </c>
      <c r="M308" s="7" t="inlineStr">
        <is>
          <t>Bodega Bordwände katalógus 2010 (PDF); bodega.it oldaltérkép</t>
        </is>
      </c>
      <c r="N308" s="7" t="inlineStr">
        <is>
          <t>Nem találtuk: Bodega Bordwände katalógus 2010 (PDF); bodega.it oldaltérkép</t>
        </is>
      </c>
      <c r="O308" s="6" t="inlineStr"/>
      <c r="P308" s="11" t="inlineStr">
        <is>
          <t>https://website-9ib.pages.dev/termek/235427-25x35-mm-specialis-teto-profil/</t>
        </is>
      </c>
      <c r="Q308" s="12" t="inlineStr"/>
      <c r="R308" s="13" t="inlineStr"/>
      <c r="S308" s="6" t="inlineStr">
        <is>
          <t>235427-25x35-mm-specialis-teto-profil</t>
        </is>
      </c>
    </row>
    <row r="309">
      <c r="A309" s="6" t="inlineStr">
        <is>
          <t>235339</t>
        </is>
      </c>
      <c r="B309" s="7" t="inlineStr">
        <is>
          <t>25x35 mm Speciális tető profil elox IH</t>
        </is>
      </c>
      <c r="C309" s="6" t="inlineStr">
        <is>
          <t>Zárt-dobozos és hűtős profilok</t>
        </is>
      </c>
      <c r="D309" s="6" t="inlineStr">
        <is>
          <t>Zárt-dobozos és hűtős profilok</t>
        </is>
      </c>
      <c r="E309" s="6" t="inlineStr">
        <is>
          <t>BODEGA</t>
        </is>
      </c>
      <c r="F309" s="6" t="inlineStr">
        <is>
          <t>TB50339</t>
        </is>
      </c>
      <c r="G309" s="6" t="inlineStr">
        <is>
          <t>Quadris Excel</t>
        </is>
      </c>
      <c r="H309" s="6" t="n">
        <v>0</v>
      </c>
      <c r="I309" s="6" t="n">
        <v>0</v>
      </c>
      <c r="J309" s="6" t="inlineStr">
        <is>
          <t>nincs</t>
        </is>
      </c>
      <c r="K309" s="6">
        <f>IF(AND(H309&gt;0,I309&gt;0),"Rendben",IF(AND(H309=0,I309=0),"Nincs kép és adat",IF(H309=0,"Nincs kép","Nincs adat")))</f>
        <v/>
      </c>
      <c r="L309" s="6" t="inlineStr">
        <is>
          <t>Igen</t>
        </is>
      </c>
      <c r="M309" s="7" t="inlineStr">
        <is>
          <t>Bodega Bordwände katalógus 2010 (PDF); bodega.it oldaltérkép</t>
        </is>
      </c>
      <c r="N309" s="7" t="inlineStr">
        <is>
          <t>Nem találtuk: Bodega Bordwände katalógus 2010 (PDF); bodega.it oldaltérkép</t>
        </is>
      </c>
      <c r="O309" s="6" t="inlineStr"/>
      <c r="P309" s="11" t="inlineStr">
        <is>
          <t>https://website-9ib.pages.dev/termek/235339-25x35-mm-specialis-teto-profil-elox-ih/</t>
        </is>
      </c>
      <c r="Q309" s="12" t="inlineStr"/>
      <c r="R309" s="13" t="inlineStr"/>
      <c r="S309" s="6" t="inlineStr">
        <is>
          <t>235339-25x35-mm-specialis-teto-profil-elox-ih</t>
        </is>
      </c>
    </row>
    <row r="310">
      <c r="A310" s="6" t="inlineStr">
        <is>
          <t>2346457</t>
        </is>
      </c>
      <c r="B310" s="7" t="inlineStr">
        <is>
          <t>35x35 mm Speciális tető profil elox HT</t>
        </is>
      </c>
      <c r="C310" s="6" t="inlineStr">
        <is>
          <t>Zárt-dobozos és hűtős profilok</t>
        </is>
      </c>
      <c r="D310" s="6" t="inlineStr">
        <is>
          <t>Zárt-dobozos és hűtős profilok</t>
        </is>
      </c>
      <c r="E310" s="6" t="inlineStr">
        <is>
          <t>BODEGA</t>
        </is>
      </c>
      <c r="F310" s="6" t="inlineStr">
        <is>
          <t>TB46457</t>
        </is>
      </c>
      <c r="G310" s="6" t="inlineStr">
        <is>
          <t>Quadris Excel</t>
        </is>
      </c>
      <c r="H310" s="6" t="n">
        <v>0</v>
      </c>
      <c r="I310" s="6" t="n">
        <v>0</v>
      </c>
      <c r="J310" s="6" t="inlineStr">
        <is>
          <t>nincs</t>
        </is>
      </c>
      <c r="K310" s="6">
        <f>IF(AND(H310&gt;0,I310&gt;0),"Rendben",IF(AND(H310=0,I310=0),"Nincs kép és adat",IF(H310=0,"Nincs kép","Nincs adat")))</f>
        <v/>
      </c>
      <c r="L310" s="6" t="inlineStr">
        <is>
          <t>Igen</t>
        </is>
      </c>
      <c r="M310" s="7" t="inlineStr">
        <is>
          <t>Bodega Bordwände katalógus 2010 (PDF); bodega.it oldaltérkép</t>
        </is>
      </c>
      <c r="N310" s="7" t="inlineStr">
        <is>
          <t>Nem találtuk: Bodega Bordwände katalógus 2010 (PDF); bodega.it oldaltérkép</t>
        </is>
      </c>
      <c r="O310" s="6" t="inlineStr"/>
      <c r="P310" s="11" t="inlineStr">
        <is>
          <t>https://website-9ib.pages.dev/termek/2346457-35x35-mm-specialis-teto-profil-elox-ht/</t>
        </is>
      </c>
      <c r="Q310" s="12" t="inlineStr"/>
      <c r="R310" s="13" t="inlineStr"/>
      <c r="S310" s="6" t="inlineStr">
        <is>
          <t>2346457-35x35-mm-specialis-teto-profil-elox-ht</t>
        </is>
      </c>
    </row>
    <row r="311">
      <c r="A311" s="6" t="inlineStr">
        <is>
          <t>235426</t>
        </is>
      </c>
      <c r="B311" s="7" t="inlineStr">
        <is>
          <t>Speciális h szegő profil</t>
        </is>
      </c>
      <c r="C311" s="6" t="inlineStr">
        <is>
          <t>Zárt-dobozos és hűtős profilok</t>
        </is>
      </c>
      <c r="D311" s="6" t="inlineStr">
        <is>
          <t>Zárt-dobozos és hűtős profilok</t>
        </is>
      </c>
      <c r="E311" s="6" t="inlineStr">
        <is>
          <t>BODEGA</t>
        </is>
      </c>
      <c r="F311" s="6" t="inlineStr">
        <is>
          <t>TB54026</t>
        </is>
      </c>
      <c r="G311" s="6" t="inlineStr">
        <is>
          <t>Quadris Excel</t>
        </is>
      </c>
      <c r="H311" s="6" t="n">
        <v>0</v>
      </c>
      <c r="I311" s="6" t="n">
        <v>0</v>
      </c>
      <c r="J311" s="6" t="inlineStr">
        <is>
          <t>nincs</t>
        </is>
      </c>
      <c r="K311" s="6">
        <f>IF(AND(H311&gt;0,I311&gt;0),"Rendben",IF(AND(H311=0,I311=0),"Nincs kép és adat",IF(H311=0,"Nincs kép","Nincs adat")))</f>
        <v/>
      </c>
      <c r="L311" s="6" t="inlineStr">
        <is>
          <t>Igen</t>
        </is>
      </c>
      <c r="M311" s="7" t="inlineStr">
        <is>
          <t>Bodega Bordwände katalógus 2010 (PDF); bodega.it oldaltérkép</t>
        </is>
      </c>
      <c r="N311" s="7" t="inlineStr">
        <is>
          <t>Nem találtuk: Bodega Bordwände katalógus 2010 (PDF); bodega.it oldaltérkép</t>
        </is>
      </c>
      <c r="O311" s="6" t="inlineStr"/>
      <c r="P311" s="11" t="inlineStr">
        <is>
          <t>https://website-9ib.pages.dev/termek/235426-specialis-h-szego-profil/</t>
        </is>
      </c>
      <c r="Q311" s="12" t="inlineStr"/>
      <c r="R311" s="13" t="inlineStr"/>
      <c r="S311" s="6" t="inlineStr">
        <is>
          <t>235426-specialis-h-szego-profil</t>
        </is>
      </c>
    </row>
    <row r="312">
      <c r="A312" s="6" t="inlineStr">
        <is>
          <t>7250840</t>
        </is>
      </c>
      <c r="B312" s="7" t="inlineStr">
        <is>
          <t>Mágneses ajtórögzítő 200N</t>
        </is>
      </c>
      <c r="C312" s="6" t="inlineStr">
        <is>
          <t>Dobozos felépítmény alkatrészek</t>
        </is>
      </c>
      <c r="D312" s="6" t="inlineStr">
        <is>
          <t>Ajtórögzítők</t>
        </is>
      </c>
      <c r="E312" s="6" t="inlineStr">
        <is>
          <t>Car-Alu</t>
        </is>
      </c>
      <c r="F312" s="6" t="inlineStr">
        <is>
          <t>1000991</t>
        </is>
      </c>
      <c r="G312" s="6" t="inlineStr">
        <is>
          <t>Quadris Excel</t>
        </is>
      </c>
      <c r="H312" s="6" t="n">
        <v>1</v>
      </c>
      <c r="I312" s="6" t="n">
        <v>0</v>
      </c>
      <c r="J312" s="6" t="inlineStr">
        <is>
          <t>nincs</t>
        </is>
      </c>
      <c r="K312" s="6">
        <f>IF(AND(H312&gt;0,I312&gt;0),"Rendben",IF(AND(H312=0,I312=0),"Nincs kép és adat",IF(H312=0,"Nincs kép","Nincs adat")))</f>
        <v/>
      </c>
      <c r="L312" s="6" t="inlineStr">
        <is>
          <t>Igen</t>
        </is>
      </c>
      <c r="M312" s="7" t="inlineStr">
        <is>
          <t>caralushop.nl webshop</t>
        </is>
      </c>
      <c r="N312" s="7" t="inlineStr">
        <is>
          <t>Megtalálva: DEURVASTZETTER 200N WIT Packed by 1 piece White, synthetic (kód: 1000991)</t>
        </is>
      </c>
      <c r="O312" s="11" t="inlineStr">
        <is>
          <t>https://www.caralushop.nl/en/catalog/categories/660</t>
        </is>
      </c>
      <c r="P312" s="11" t="inlineStr">
        <is>
          <t>https://website-9ib.pages.dev/termek/7250840-magneses-ajtorogzito-200n/</t>
        </is>
      </c>
      <c r="Q312" s="12" t="inlineStr"/>
      <c r="R312" s="13" t="inlineStr"/>
      <c r="S312" s="6" t="inlineStr">
        <is>
          <t>7250840-magneses-ajtorogzito-200n</t>
        </is>
      </c>
    </row>
    <row r="313">
      <c r="A313" s="6" t="inlineStr">
        <is>
          <t>107045</t>
        </is>
      </c>
      <c r="B313" s="7" t="inlineStr">
        <is>
          <t>Sarok elem 25/25 R profilhoz</t>
        </is>
      </c>
      <c r="C313" s="6" t="inlineStr">
        <is>
          <t>Dobozos felépítmény alkatrészek</t>
        </is>
      </c>
      <c r="D313" s="6" t="inlineStr">
        <is>
          <t>Egyéb dobozos felépítmény tartozékok</t>
        </is>
      </c>
      <c r="E313" s="6" t="inlineStr">
        <is>
          <t>Car-Alu</t>
        </is>
      </c>
      <c r="F313" s="6" t="inlineStr">
        <is>
          <t>1012270-onb</t>
        </is>
      </c>
      <c r="G313" s="6" t="inlineStr">
        <is>
          <t>Quadris Excel</t>
        </is>
      </c>
      <c r="H313" s="6" t="n">
        <v>1</v>
      </c>
      <c r="I313" s="6" t="n">
        <v>2</v>
      </c>
      <c r="J313" s="6" t="inlineStr">
        <is>
          <t>nincs</t>
        </is>
      </c>
      <c r="K313" s="6">
        <f>IF(AND(H313&gt;0,I313&gt;0),"Rendben",IF(AND(H313=0,I313=0),"Nincs kép és adat",IF(H313=0,"Nincs kép","Nincs adat")))</f>
        <v/>
      </c>
      <c r="L313" s="6" t="inlineStr">
        <is>
          <t>Igen</t>
        </is>
      </c>
      <c r="M313" s="7" t="inlineStr">
        <is>
          <t>caralushop.nl webshop</t>
        </is>
      </c>
      <c r="N313" s="7" t="inlineStr">
        <is>
          <t>Megtalálva: KAPBOL V/HOEKVERBINDINGSPROFIEL raw Packed by 1 piece Mill finished aluminium (kód: 1012270-ONB)</t>
        </is>
      </c>
      <c r="O313" s="11" t="inlineStr">
        <is>
          <t>https://www.caralushop.nl/en/catalog/categories/710</t>
        </is>
      </c>
      <c r="P313" s="11" t="inlineStr">
        <is>
          <t>https://website-9ib.pages.dev/termek/107045-sarok-elem-25-25-r-profilhoz/</t>
        </is>
      </c>
      <c r="Q313" s="12" t="inlineStr"/>
      <c r="R313" s="13" t="inlineStr"/>
      <c r="S313" s="6" t="inlineStr">
        <is>
          <t>107045-sarok-elem-25-25-r-profilhoz</t>
        </is>
      </c>
    </row>
    <row r="314">
      <c r="A314" s="6" t="inlineStr">
        <is>
          <t>107046</t>
        </is>
      </c>
      <c r="B314" s="7" t="inlineStr">
        <is>
          <t>Sarokelem felső RAL9006</t>
        </is>
      </c>
      <c r="C314" s="6" t="inlineStr">
        <is>
          <t>Dobozos felépítmény alkatrészek</t>
        </is>
      </c>
      <c r="D314" s="6" t="inlineStr">
        <is>
          <t>Egyéb dobozos felépítmény tartozékok</t>
        </is>
      </c>
      <c r="E314" s="6" t="inlineStr">
        <is>
          <t>Car-Alu</t>
        </is>
      </c>
      <c r="F314" s="6" t="inlineStr">
        <is>
          <t>1013021-9006x</t>
        </is>
      </c>
      <c r="G314" s="6" t="inlineStr">
        <is>
          <t>Quadris Excel</t>
        </is>
      </c>
      <c r="H314" s="6" t="n">
        <v>1</v>
      </c>
      <c r="I314" s="6" t="n">
        <v>0</v>
      </c>
      <c r="J314" s="6" t="inlineStr">
        <is>
          <t>nincs</t>
        </is>
      </c>
      <c r="K314" s="6">
        <f>IF(AND(H314&gt;0,I314&gt;0),"Rendben",IF(AND(H314=0,I314=0),"Nincs kép és adat",IF(H314=0,"Nincs kép","Nincs adat")))</f>
        <v/>
      </c>
      <c r="L314" s="6" t="inlineStr">
        <is>
          <t>Igen</t>
        </is>
      </c>
      <c r="M314" s="7" t="inlineStr">
        <is>
          <t>caralushop.nl webshop</t>
        </is>
      </c>
      <c r="N314" s="7" t="inlineStr">
        <is>
          <t>Megtalálva: KAPBOL OVERZET V/HOEKPR. 25,3mm OF 60,5x60,5mm R9006/X grey Packed by 1 piece RAL9006 coated (kód: 1013021-9006X)</t>
        </is>
      </c>
      <c r="O314" s="11" t="inlineStr">
        <is>
          <t>https://www.caralushop.nl/en/catalog/categories/719</t>
        </is>
      </c>
      <c r="P314" s="11" t="inlineStr">
        <is>
          <t>https://website-9ib.pages.dev/termek/107046-sarokelem-felso-ral9006/</t>
        </is>
      </c>
      <c r="Q314" s="12" t="inlineStr"/>
      <c r="R314" s="13" t="inlineStr"/>
      <c r="S314" s="6" t="inlineStr">
        <is>
          <t>107046-sarokelem-felso-ral9006</t>
        </is>
      </c>
    </row>
    <row r="315">
      <c r="A315" s="6" t="inlineStr"/>
      <c r="B315" s="7" t="inlineStr">
        <is>
          <t>M1 001 "C"sín - alumínium</t>
        </is>
      </c>
      <c r="C315" s="6" t="inlineStr">
        <is>
          <t>Gumi- és kéderprofilok</t>
        </is>
      </c>
      <c r="D315" s="6" t="inlineStr">
        <is>
          <t>Egyéb kéder- és tömítőgumik</t>
        </is>
      </c>
      <c r="E315" s="6" t="inlineStr">
        <is>
          <t>Car-Alu</t>
        </is>
      </c>
      <c r="F315" s="6" t="inlineStr">
        <is>
          <t>1172 340-000</t>
        </is>
      </c>
      <c r="G315" s="6" t="inlineStr">
        <is>
          <t>Quadris Excel</t>
        </is>
      </c>
      <c r="H315" s="6" t="n">
        <v>0</v>
      </c>
      <c r="I315" s="6" t="n">
        <v>0</v>
      </c>
      <c r="J315" s="6" t="inlineStr">
        <is>
          <t>nincs</t>
        </is>
      </c>
      <c r="K315" s="6">
        <f>IF(AND(H315&gt;0,I315&gt;0),"Rendben",IF(AND(H315=0,I315=0),"Nincs kép és adat",IF(H315=0,"Nincs kép","Nincs adat")))</f>
        <v/>
      </c>
      <c r="L315" s="6" t="inlineStr">
        <is>
          <t>Igen</t>
        </is>
      </c>
      <c r="M315" s="7" t="inlineStr">
        <is>
          <t>caralushop.nl webshop</t>
        </is>
      </c>
      <c r="N315" s="7" t="inlineStr">
        <is>
          <t>Nem találtuk: caralushop.nl webshop</t>
        </is>
      </c>
      <c r="O315" s="6" t="inlineStr"/>
      <c r="P315" s="11" t="inlineStr">
        <is>
          <t>https://website-9ib.pages.dev/termek/m1-001-c-sin-aluminium/</t>
        </is>
      </c>
      <c r="Q315" s="12" t="inlineStr"/>
      <c r="R315" s="13" t="inlineStr"/>
      <c r="S315" s="6" t="inlineStr">
        <is>
          <t>m1-001-c-sin-aluminium</t>
        </is>
      </c>
    </row>
    <row r="316">
      <c r="A316" s="6" t="inlineStr">
        <is>
          <t>251316</t>
        </is>
      </c>
      <c r="B316" s="7" t="inlineStr">
        <is>
          <t>40x25x4 mm R zártszelvény</t>
        </is>
      </c>
      <c r="C316" s="6" t="inlineStr">
        <is>
          <t>Ipari félgyártmányok</t>
        </is>
      </c>
      <c r="D316" s="6" t="inlineStr">
        <is>
          <t>Zártszelvény</t>
        </is>
      </c>
      <c r="E316" s="6" t="inlineStr">
        <is>
          <t>Car-Alu</t>
        </is>
      </c>
      <c r="F316" s="6" t="inlineStr">
        <is>
          <t>1316 010-000</t>
        </is>
      </c>
      <c r="G316" s="6" t="inlineStr">
        <is>
          <t>Quadris Excel</t>
        </is>
      </c>
      <c r="H316" s="6" t="n">
        <v>3</v>
      </c>
      <c r="I316" s="6" t="n">
        <v>4</v>
      </c>
      <c r="J316" s="6" t="inlineStr">
        <is>
          <t>nincs</t>
        </is>
      </c>
      <c r="K316" s="6">
        <f>IF(AND(H316&gt;0,I316&gt;0),"Rendben",IF(AND(H316=0,I316=0),"Nincs kép és adat",IF(H316=0,"Nincs kép","Nincs adat")))</f>
        <v/>
      </c>
      <c r="L316" s="6" t="inlineStr">
        <is>
          <t>Igen</t>
        </is>
      </c>
      <c r="M316" s="7" t="inlineStr">
        <is>
          <t>caralushop.nl webshop</t>
        </is>
      </c>
      <c r="N316" s="7" t="inlineStr">
        <is>
          <t>Nem találtuk: caralushop.nl webshop; adatlap a Quadris-megnevezésből</t>
        </is>
      </c>
      <c r="O316" s="6" t="inlineStr"/>
      <c r="P316" s="11" t="inlineStr">
        <is>
          <t>https://website-9ib.pages.dev/termek/251316-40x25x4-mm-r-zartszelveny/</t>
        </is>
      </c>
      <c r="Q316" s="12" t="inlineStr"/>
      <c r="R316" s="13" t="inlineStr"/>
      <c r="S316" s="6" t="inlineStr">
        <is>
          <t>251316-40x25x4-mm-r-zartszelveny</t>
        </is>
      </c>
    </row>
    <row r="317">
      <c r="A317" s="6" t="inlineStr">
        <is>
          <t>221746</t>
        </is>
      </c>
      <c r="B317" s="7" t="inlineStr">
        <is>
          <t>H toldó - szegő profil elox</t>
        </is>
      </c>
      <c r="C317" s="6" t="inlineStr">
        <is>
          <t>Platós és ponyvás oldalfal profilok és szegők</t>
        </is>
      </c>
      <c r="D317" s="6" t="inlineStr">
        <is>
          <t>Szegő profilok</t>
        </is>
      </c>
      <c r="E317" s="6" t="inlineStr">
        <is>
          <t>Car-Alu</t>
        </is>
      </c>
      <c r="F317" s="6" t="inlineStr">
        <is>
          <t>1320 090-011</t>
        </is>
      </c>
      <c r="G317" s="6" t="inlineStr">
        <is>
          <t>Quadris Excel</t>
        </is>
      </c>
      <c r="H317" s="6" t="n">
        <v>0</v>
      </c>
      <c r="I317" s="6" t="n">
        <v>0</v>
      </c>
      <c r="J317" s="6" t="inlineStr">
        <is>
          <t>nincs</t>
        </is>
      </c>
      <c r="K317" s="6">
        <f>IF(AND(H317&gt;0,I317&gt;0),"Rendben",IF(AND(H317=0,I317=0),"Nincs kép és adat",IF(H317=0,"Nincs kép","Nincs adat")))</f>
        <v/>
      </c>
      <c r="L317" s="6" t="inlineStr">
        <is>
          <t>Igen</t>
        </is>
      </c>
      <c r="M317" s="7" t="inlineStr">
        <is>
          <t>caralushop.nl webshop</t>
        </is>
      </c>
      <c r="N317" s="7" t="inlineStr">
        <is>
          <t>Nem találtuk: caralushop.nl webshop</t>
        </is>
      </c>
      <c r="O317" s="6" t="inlineStr"/>
      <c r="P317" s="11" t="inlineStr">
        <is>
          <t>https://website-9ib.pages.dev/termek/221746-h-toldo-szego-profil-elox/</t>
        </is>
      </c>
      <c r="Q317" s="12" t="inlineStr"/>
      <c r="R317" s="13" t="inlineStr"/>
      <c r="S317" s="6" t="inlineStr">
        <is>
          <t>221746-h-toldo-szego-profil-elox</t>
        </is>
      </c>
    </row>
    <row r="318">
      <c r="A318" s="6" t="inlineStr">
        <is>
          <t>092901</t>
        </is>
      </c>
      <c r="B318" s="7" t="inlineStr">
        <is>
          <t>Műanyag lépcsőnyitó - kicsi</t>
        </is>
      </c>
      <c r="C318" s="6" t="inlineStr">
        <is>
          <t>Speciális felépítmény alkatrészek</t>
        </is>
      </c>
      <c r="D318" s="6" t="inlineStr">
        <is>
          <t>Egyéb</t>
        </is>
      </c>
      <c r="E318" s="6" t="inlineStr">
        <is>
          <t>Car-Alu</t>
        </is>
      </c>
      <c r="F318" s="6" t="inlineStr"/>
      <c r="G318" s="6" t="inlineStr">
        <is>
          <t>Quadris Excel</t>
        </is>
      </c>
      <c r="H318" s="6" t="n">
        <v>0</v>
      </c>
      <c r="I318" s="6" t="n">
        <v>0</v>
      </c>
      <c r="J318" s="6" t="inlineStr">
        <is>
          <t>nincs</t>
        </is>
      </c>
      <c r="K318" s="6">
        <f>IF(AND(H318&gt;0,I318&gt;0),"Rendben",IF(AND(H318=0,I318=0),"Nincs kép és adat",IF(H318=0,"Nincs kép","Nincs adat")))</f>
        <v/>
      </c>
      <c r="L318" s="6" t="inlineStr">
        <is>
          <t>Igen</t>
        </is>
      </c>
      <c r="M318" s="7" t="inlineStr">
        <is>
          <t>caralushop.nl webshop</t>
        </is>
      </c>
      <c r="N318" s="7" t="inlineStr">
        <is>
          <t>Nem találtuk: caralushop.nl webshop</t>
        </is>
      </c>
      <c r="O318" s="6" t="inlineStr"/>
      <c r="P318" s="11" t="inlineStr">
        <is>
          <t>https://website-9ib.pages.dev/termek/092901-muanyag-lepcsonyito-kicsi/</t>
        </is>
      </c>
      <c r="Q318" s="12" t="inlineStr"/>
      <c r="R318" s="13" t="inlineStr"/>
      <c r="S318" s="6" t="inlineStr">
        <is>
          <t>092901-muanyag-lepcsonyito-kicsi</t>
        </is>
      </c>
    </row>
    <row r="319">
      <c r="A319" s="6" t="inlineStr">
        <is>
          <t>055960</t>
        </is>
      </c>
      <c r="B319" s="7" t="inlineStr">
        <is>
          <t>Műanyag lépcsőnyitó - nagy</t>
        </is>
      </c>
      <c r="C319" s="6" t="inlineStr">
        <is>
          <t>Speciális felépítmény alkatrészek</t>
        </is>
      </c>
      <c r="D319" s="6" t="inlineStr">
        <is>
          <t>Egyéb</t>
        </is>
      </c>
      <c r="E319" s="6" t="inlineStr">
        <is>
          <t>Car-Alu</t>
        </is>
      </c>
      <c r="F319" s="6" t="inlineStr">
        <is>
          <t>1001025</t>
        </is>
      </c>
      <c r="G319" s="6" t="inlineStr">
        <is>
          <t>Quadris Excel</t>
        </is>
      </c>
      <c r="H319" s="6" t="n">
        <v>1</v>
      </c>
      <c r="I319" s="6" t="n">
        <v>0</v>
      </c>
      <c r="J319" s="6" t="inlineStr">
        <is>
          <t>nincs</t>
        </is>
      </c>
      <c r="K319" s="6">
        <f>IF(AND(H319&gt;0,I319&gt;0),"Rendben",IF(AND(H319=0,I319=0),"Nincs kép és adat",IF(H319=0,"Nincs kép","Nincs adat")))</f>
        <v/>
      </c>
      <c r="L319" s="6" t="inlineStr">
        <is>
          <t>Igen</t>
        </is>
      </c>
      <c r="M319" s="7" t="inlineStr">
        <is>
          <t>caralushop.nl webshop</t>
        </is>
      </c>
      <c r="N319" s="7" t="inlineStr">
        <is>
          <t>Megtalálva: INBOUWHANDGREEP 38MM KUNSTSTOF ZWART Packed by 1 piece Black, synthetic (kód: 1001025)</t>
        </is>
      </c>
      <c r="O319" s="11" t="inlineStr">
        <is>
          <t>https://www.caralushop.nl/en/catalog/categories/660</t>
        </is>
      </c>
      <c r="P319" s="11" t="inlineStr">
        <is>
          <t>https://website-9ib.pages.dev/termek/055960-muanyag-lepcsonyito-nagy/</t>
        </is>
      </c>
      <c r="Q319" s="12" t="inlineStr"/>
      <c r="R319" s="13" t="inlineStr"/>
      <c r="S319" s="6" t="inlineStr">
        <is>
          <t>055960-muanyag-lepcsonyito-nagy</t>
        </is>
      </c>
    </row>
    <row r="320">
      <c r="A320" s="6" t="inlineStr"/>
      <c r="B320" s="7" t="inlineStr">
        <is>
          <t>Q8033 elox Profil keféhez</t>
        </is>
      </c>
      <c r="C320" s="6" t="inlineStr">
        <is>
          <t>Speciális felépítmény alkatrészek</t>
        </is>
      </c>
      <c r="D320" s="6" t="inlineStr">
        <is>
          <t>Zárak</t>
        </is>
      </c>
      <c r="E320" s="6" t="inlineStr">
        <is>
          <t>Car-Alu</t>
        </is>
      </c>
      <c r="F320" s="6" t="inlineStr">
        <is>
          <t>1012514-TZ1-6000</t>
        </is>
      </c>
      <c r="G320" s="6" t="inlineStr">
        <is>
          <t>Quadris Excel</t>
        </is>
      </c>
      <c r="H320" s="6" t="n">
        <v>1</v>
      </c>
      <c r="I320" s="6" t="n">
        <v>3</v>
      </c>
      <c r="J320" s="6" t="inlineStr">
        <is>
          <t>nincs</t>
        </is>
      </c>
      <c r="K320" s="6">
        <f>IF(AND(H320&gt;0,I320&gt;0),"Rendben",IF(AND(H320=0,I320=0),"Nincs kép és adat",IF(H320=0,"Nincs kép","Nincs adat")))</f>
        <v/>
      </c>
      <c r="L320" s="6" t="inlineStr">
        <is>
          <t>Igen</t>
        </is>
      </c>
      <c r="M320" s="7" t="inlineStr">
        <is>
          <t>caralushop.nl webshop</t>
        </is>
      </c>
      <c r="N320" s="7" t="inlineStr">
        <is>
          <t>Megtalálva: ALU SEALING PROFILE F/BRISTLE-silver 1-L= 6,00 m Packed by 1 piece Anodised aluminium (silver) 6.000 mm (kód: 1012514-TZ1-6000)</t>
        </is>
      </c>
      <c r="O320" s="11" t="inlineStr">
        <is>
          <t>https://www.caralushop.nl/en/catalog/categories/1006</t>
        </is>
      </c>
      <c r="P320" s="11" t="inlineStr">
        <is>
          <t>https://website-9ib.pages.dev/termek/q8033-elox-profil-kefehez/</t>
        </is>
      </c>
      <c r="Q320" s="12" t="inlineStr"/>
      <c r="R320" s="13" t="inlineStr"/>
      <c r="S320" s="6" t="inlineStr">
        <is>
          <t>q8033-elox-profil-kefehez</t>
        </is>
      </c>
    </row>
    <row r="321">
      <c r="A321" s="6" t="inlineStr"/>
      <c r="B321" s="7" t="inlineStr">
        <is>
          <t>Q8035 25 mm Kefe</t>
        </is>
      </c>
      <c r="C321" s="6" t="inlineStr">
        <is>
          <t>Speciális felépítmény alkatrészek</t>
        </is>
      </c>
      <c r="D321" s="6" t="inlineStr">
        <is>
          <t>Zárak</t>
        </is>
      </c>
      <c r="E321" s="6" t="inlineStr">
        <is>
          <t>Car-Alu</t>
        </is>
      </c>
      <c r="F321" s="6" t="inlineStr">
        <is>
          <t>1012515-zwart-3000</t>
        </is>
      </c>
      <c r="G321" s="6" t="inlineStr">
        <is>
          <t>Quadris Excel</t>
        </is>
      </c>
      <c r="H321" s="6" t="n">
        <v>1</v>
      </c>
      <c r="I321" s="6" t="n">
        <v>1</v>
      </c>
      <c r="J321" s="6" t="inlineStr">
        <is>
          <t>nincs</t>
        </is>
      </c>
      <c r="K321" s="6">
        <f>IF(AND(H321&gt;0,I321&gt;0),"Rendben",IF(AND(H321=0,I321=0),"Nincs kép és adat",IF(H321=0,"Nincs kép","Nincs adat")))</f>
        <v/>
      </c>
      <c r="L321" s="6" t="inlineStr">
        <is>
          <t>Igen</t>
        </is>
      </c>
      <c r="M321" s="7" t="inlineStr">
        <is>
          <t>caralushop.nl webshop</t>
        </is>
      </c>
      <c r="N321" s="7" t="inlineStr">
        <is>
          <t>Megtalálva: STRIPBORSTEL 25mm IJZER-black-L= 3,00 m Packed by 1 piece Steel 3.000 mm (kód: 1012515-ZWART-3000)</t>
        </is>
      </c>
      <c r="O321" s="11" t="inlineStr">
        <is>
          <t>https://www.caralushop.nl/en/catalog/categories/1006</t>
        </is>
      </c>
      <c r="P321" s="11" t="inlineStr">
        <is>
          <t>https://website-9ib.pages.dev/termek/q8035-25-mm-kefe/</t>
        </is>
      </c>
      <c r="Q321" s="12" t="inlineStr"/>
      <c r="R321" s="13" t="inlineStr"/>
      <c r="S321" s="6" t="inlineStr">
        <is>
          <t>q8035-25-mm-kefe</t>
        </is>
      </c>
    </row>
    <row r="322">
      <c r="A322" s="6" t="inlineStr"/>
      <c r="B322" s="7" t="inlineStr">
        <is>
          <t>Q8037 Kefe 25 mm elox profillal</t>
        </is>
      </c>
      <c r="C322" s="6" t="inlineStr">
        <is>
          <t>Speciális felépítmény alkatrészek</t>
        </is>
      </c>
      <c r="D322" s="6" t="inlineStr">
        <is>
          <t>Zárak</t>
        </is>
      </c>
      <c r="E322" s="6" t="inlineStr">
        <is>
          <t>Car-Alu</t>
        </is>
      </c>
      <c r="F322" s="6" t="inlineStr"/>
      <c r="G322" s="6" t="inlineStr">
        <is>
          <t>Quadris Excel</t>
        </is>
      </c>
      <c r="H322" s="6" t="n">
        <v>1</v>
      </c>
      <c r="I322" s="6" t="n">
        <v>1</v>
      </c>
      <c r="J322" s="6" t="inlineStr">
        <is>
          <t>nincs</t>
        </is>
      </c>
      <c r="K322" s="6">
        <f>IF(AND(H322&gt;0,I322&gt;0),"Rendben",IF(AND(H322=0,I322=0),"Nincs kép és adat",IF(H322=0,"Nincs kép","Nincs adat")))</f>
        <v/>
      </c>
      <c r="L322" s="6" t="inlineStr">
        <is>
          <t>Igen</t>
        </is>
      </c>
      <c r="M322" s="7" t="inlineStr">
        <is>
          <t>caralushop.nl webshop</t>
        </is>
      </c>
      <c r="N322" s="7" t="inlineStr">
        <is>
          <t>Megtalálva: STRIPBORSTEL 25mm IJZER-black-L= 3,00 m Packed by 1 piece Steel 3.000 mm (kód: 1012515-ZWART-3000)</t>
        </is>
      </c>
      <c r="O322" s="11" t="inlineStr">
        <is>
          <t>https://www.caralushop.nl/en/catalog/categories/1006</t>
        </is>
      </c>
      <c r="P322" s="11" t="inlineStr">
        <is>
          <t>https://website-9ib.pages.dev/termek/q8037-kefe-25-mm-elox-profillal/</t>
        </is>
      </c>
      <c r="Q322" s="12" t="inlineStr"/>
      <c r="R322" s="13" t="inlineStr"/>
      <c r="S322" s="6" t="inlineStr">
        <is>
          <t>q8037-kefe-25-mm-elox-profillal</t>
        </is>
      </c>
    </row>
    <row r="323">
      <c r="A323" s="6" t="inlineStr"/>
      <c r="B323" s="7" t="inlineStr">
        <is>
          <t>Q8040 Kefe 40 mm elox profillal</t>
        </is>
      </c>
      <c r="C323" s="6" t="inlineStr">
        <is>
          <t>Speciális felépítmény alkatrészek</t>
        </is>
      </c>
      <c r="D323" s="6" t="inlineStr">
        <is>
          <t>Zárak</t>
        </is>
      </c>
      <c r="E323" s="6" t="inlineStr">
        <is>
          <t>Car-Alu</t>
        </is>
      </c>
      <c r="F323" s="6" t="inlineStr">
        <is>
          <t>1013163ZWART-3000</t>
        </is>
      </c>
      <c r="G323" s="6" t="inlineStr">
        <is>
          <t>Quadris Excel</t>
        </is>
      </c>
      <c r="H323" s="6" t="n">
        <v>1</v>
      </c>
      <c r="I323" s="6" t="n">
        <v>1</v>
      </c>
      <c r="J323" s="6" t="inlineStr">
        <is>
          <t>nincs</t>
        </is>
      </c>
      <c r="K323" s="6">
        <f>IF(AND(H323&gt;0,I323&gt;0),"Rendben",IF(AND(H323=0,I323=0),"Nincs kép és adat",IF(H323=0,"Nincs kép","Nincs adat")))</f>
        <v/>
      </c>
      <c r="L323" s="6" t="inlineStr">
        <is>
          <t>Igen</t>
        </is>
      </c>
      <c r="M323" s="7" t="inlineStr">
        <is>
          <t>caralushop.nl webshop</t>
        </is>
      </c>
      <c r="N323" s="7" t="inlineStr">
        <is>
          <t>Megtalálva: STRIPBORSTEL 40mm IJZER-black-L= 3,00 m Packed by 1 piece Steel 3.000 mm (kód: 1013163-ZWART-3000)</t>
        </is>
      </c>
      <c r="O323" s="11" t="inlineStr">
        <is>
          <t>https://www.caralushop.nl/en/catalog/categories/1006</t>
        </is>
      </c>
      <c r="P323" s="11" t="inlineStr">
        <is>
          <t>https://website-9ib.pages.dev/termek/q8040-kefe-40-mm-elox-profillal/</t>
        </is>
      </c>
      <c r="Q323" s="12" t="inlineStr"/>
      <c r="R323" s="13" t="inlineStr"/>
      <c r="S323" s="6" t="inlineStr">
        <is>
          <t>q8040-kefe-40-mm-elox-profillal</t>
        </is>
      </c>
    </row>
    <row r="324">
      <c r="A324" s="6" t="inlineStr">
        <is>
          <t>617280</t>
        </is>
      </c>
      <c r="B324" s="7" t="inlineStr">
        <is>
          <t>Zár ellendarab ívelt lemez</t>
        </is>
      </c>
      <c r="C324" s="6" t="inlineStr">
        <is>
          <t>Speciális felépítmény alkatrészek</t>
        </is>
      </c>
      <c r="D324" s="6" t="inlineStr">
        <is>
          <t>Zárak</t>
        </is>
      </c>
      <c r="E324" s="6" t="inlineStr">
        <is>
          <t>Car-Alu</t>
        </is>
      </c>
      <c r="F324" s="6" t="inlineStr">
        <is>
          <t>7280 112-000</t>
        </is>
      </c>
      <c r="G324" s="6" t="inlineStr">
        <is>
          <t>Quadris Excel</t>
        </is>
      </c>
      <c r="H324" s="6" t="n">
        <v>0</v>
      </c>
      <c r="I324" s="6" t="n">
        <v>0</v>
      </c>
      <c r="J324" s="6" t="inlineStr">
        <is>
          <t>nincs</t>
        </is>
      </c>
      <c r="K324" s="6">
        <f>IF(AND(H324&gt;0,I324&gt;0),"Rendben",IF(AND(H324=0,I324=0),"Nincs kép és adat",IF(H324=0,"Nincs kép","Nincs adat")))</f>
        <v/>
      </c>
      <c r="L324" s="6" t="inlineStr">
        <is>
          <t>Igen</t>
        </is>
      </c>
      <c r="M324" s="7" t="inlineStr">
        <is>
          <t>caralushop.nl webshop</t>
        </is>
      </c>
      <c r="N324" s="7" t="inlineStr">
        <is>
          <t>Nem találtuk: caralushop.nl webshop</t>
        </is>
      </c>
      <c r="O324" s="6" t="inlineStr"/>
      <c r="P324" s="11" t="inlineStr">
        <is>
          <t>https://website-9ib.pages.dev/termek/617280-zar-ellendarab-ivelt-lemez/</t>
        </is>
      </c>
      <c r="Q324" s="12" t="inlineStr"/>
      <c r="R324" s="13" t="inlineStr"/>
      <c r="S324" s="6" t="inlineStr">
        <is>
          <t>617280-zar-ellendarab-ivelt-lemez</t>
        </is>
      </c>
    </row>
    <row r="325">
      <c r="A325" s="6" t="inlineStr">
        <is>
          <t>231726</t>
        </is>
      </c>
      <c r="B325" s="7" t="inlineStr">
        <is>
          <t>B Tömítéses ajtószegő 25 mm elox</t>
        </is>
      </c>
      <c r="C325" s="6" t="inlineStr">
        <is>
          <t>Zárt-dobozos és hűtős profilok</t>
        </is>
      </c>
      <c r="D325" s="6" t="inlineStr">
        <is>
          <t>Zárt-dobozos és hűtős profilok</t>
        </is>
      </c>
      <c r="E325" s="6" t="inlineStr">
        <is>
          <t>Car-Alu</t>
        </is>
      </c>
      <c r="F325" s="6" t="inlineStr">
        <is>
          <t>1317 260-011</t>
        </is>
      </c>
      <c r="G325" s="6" t="inlineStr">
        <is>
          <t>Quadris Excel</t>
        </is>
      </c>
      <c r="H325" s="6" t="n">
        <v>1</v>
      </c>
      <c r="I325" s="6" t="n">
        <v>3</v>
      </c>
      <c r="J325" s="6" t="inlineStr">
        <is>
          <t>nincs</t>
        </is>
      </c>
      <c r="K325" s="6">
        <f>IF(AND(H325&gt;0,I325&gt;0),"Rendben",IF(AND(H325=0,I325=0),"Nincs kép és adat",IF(H325=0,"Nincs kép","Nincs adat")))</f>
        <v/>
      </c>
      <c r="L325" s="6" t="inlineStr">
        <is>
          <t>Igen</t>
        </is>
      </c>
      <c r="M325" s="7" t="inlineStr">
        <is>
          <t>caralushop.nl webshop</t>
        </is>
      </c>
      <c r="N325" s="7" t="inlineStr">
        <is>
          <t>Megtalálva: AANSLAGPROFIEL 25mm-silver 2-L= 7,00 m Anodised aluminium (silver) 7.000 mm (kód: 1011357-TZ2-7000)</t>
        </is>
      </c>
      <c r="O325" s="11" t="inlineStr">
        <is>
          <t>https://www.caralushop.nl/en/catalog/categories/711</t>
        </is>
      </c>
      <c r="P325" s="11" t="inlineStr">
        <is>
          <t>https://website-9ib.pages.dev/termek/231726-b-tomiteses-ajtoszego-25-mm-elox/</t>
        </is>
      </c>
      <c r="Q325" s="12" t="inlineStr"/>
      <c r="R325" s="13" t="inlineStr"/>
      <c r="S325" s="6" t="inlineStr">
        <is>
          <t>231726-b-tomiteses-ajtoszego-25-mm-elox</t>
        </is>
      </c>
    </row>
    <row r="326">
      <c r="A326" s="6" t="inlineStr">
        <is>
          <t>231729</t>
        </is>
      </c>
      <c r="B326" s="7" t="inlineStr">
        <is>
          <t>B front tömítéses "u" ajtószegő 25 mm elox</t>
        </is>
      </c>
      <c r="C326" s="6" t="inlineStr">
        <is>
          <t>Zárt-dobozos és hűtős profilok</t>
        </is>
      </c>
      <c r="D326" s="6" t="inlineStr">
        <is>
          <t>Zárt-dobozos és hűtős profilok</t>
        </is>
      </c>
      <c r="E326" s="6" t="inlineStr">
        <is>
          <t>Car-Alu</t>
        </is>
      </c>
      <c r="F326" s="6" t="inlineStr">
        <is>
          <t>1317 290-011</t>
        </is>
      </c>
      <c r="G326" s="6" t="inlineStr">
        <is>
          <t>Quadris Excel</t>
        </is>
      </c>
      <c r="H326" s="6" t="n">
        <v>0</v>
      </c>
      <c r="I326" s="6" t="n">
        <v>0</v>
      </c>
      <c r="J326" s="6" t="inlineStr">
        <is>
          <t>nincs</t>
        </is>
      </c>
      <c r="K326" s="6">
        <f>IF(AND(H326&gt;0,I326&gt;0),"Rendben",IF(AND(H326=0,I326=0),"Nincs kép és adat",IF(H326=0,"Nincs kép","Nincs adat")))</f>
        <v/>
      </c>
      <c r="L326" s="6" t="inlineStr">
        <is>
          <t>Igen</t>
        </is>
      </c>
      <c r="M326" s="7" t="inlineStr">
        <is>
          <t>caralushop.nl webshop</t>
        </is>
      </c>
      <c r="N326" s="7" t="inlineStr">
        <is>
          <t>Nem találtuk: caralushop.nl webshop</t>
        </is>
      </c>
      <c r="O326" s="6" t="inlineStr"/>
      <c r="P326" s="11" t="inlineStr">
        <is>
          <t>https://website-9ib.pages.dev/termek/231729-b-front-tomiteses-u-ajtoszego-25-mm-elox/</t>
        </is>
      </c>
      <c r="Q326" s="12" t="inlineStr"/>
      <c r="R326" s="13" t="inlineStr"/>
      <c r="S326" s="6" t="inlineStr">
        <is>
          <t>231729-b-front-tomiteses-u-ajtoszego-25-mm-elox</t>
        </is>
      </c>
    </row>
    <row r="327">
      <c r="A327" s="6" t="inlineStr">
        <is>
          <t>231725/n</t>
        </is>
      </c>
      <c r="B327" s="7" t="inlineStr">
        <is>
          <t>Belga "h" szegő 25 mm</t>
        </is>
      </c>
      <c r="C327" s="6" t="inlineStr">
        <is>
          <t>Zárt-dobozos és hűtős profilok</t>
        </is>
      </c>
      <c r="D327" s="6" t="inlineStr">
        <is>
          <t>Zárt-dobozos és hűtős profilok</t>
        </is>
      </c>
      <c r="E327" s="6" t="inlineStr">
        <is>
          <t>Car-Alu</t>
        </is>
      </c>
      <c r="F327" s="6" t="inlineStr">
        <is>
          <t>1317 250-000</t>
        </is>
      </c>
      <c r="G327" s="6" t="inlineStr">
        <is>
          <t>Quadris Excel</t>
        </is>
      </c>
      <c r="H327" s="6" t="n">
        <v>1</v>
      </c>
      <c r="I327" s="6" t="n">
        <v>3</v>
      </c>
      <c r="J327" s="6" t="inlineStr">
        <is>
          <t>nincs</t>
        </is>
      </c>
      <c r="K327" s="6">
        <f>IF(AND(H327&gt;0,I327&gt;0),"Rendben",IF(AND(H327=0,I327=0),"Nincs kép és adat",IF(H327=0,"Nincs kép","Nincs adat")))</f>
        <v/>
      </c>
      <c r="L327" s="6" t="inlineStr">
        <is>
          <t>Igen</t>
        </is>
      </c>
      <c r="M327" s="7" t="inlineStr">
        <is>
          <t>caralushop.nl webshop</t>
        </is>
      </c>
      <c r="N327" s="7" t="inlineStr">
        <is>
          <t>Megtalálva: DEURPROFIEL-raw-L= 7,00 m Mill finished aluminium 7.000 mm (kód: 1011356-ONB-7000)</t>
        </is>
      </c>
      <c r="O327" s="11" t="inlineStr">
        <is>
          <t>https://www.caralushop.nl/en/catalog/categories/711</t>
        </is>
      </c>
      <c r="P327" s="11" t="inlineStr">
        <is>
          <t>https://website-9ib.pages.dev/termek/231725-n-belga-h-szego-25-mm/</t>
        </is>
      </c>
      <c r="Q327" s="12" t="inlineStr"/>
      <c r="R327" s="13" t="inlineStr"/>
      <c r="S327" s="6" t="inlineStr">
        <is>
          <t>231725-n-belga-h-szego-25-mm</t>
        </is>
      </c>
    </row>
    <row r="328">
      <c r="A328" s="6" t="inlineStr">
        <is>
          <t>231725</t>
        </is>
      </c>
      <c r="B328" s="7" t="inlineStr">
        <is>
          <t>Belga "h" szegő 25 mm elox</t>
        </is>
      </c>
      <c r="C328" s="6" t="inlineStr">
        <is>
          <t>Zárt-dobozos és hűtős profilok</t>
        </is>
      </c>
      <c r="D328" s="6" t="inlineStr">
        <is>
          <t>Zárt-dobozos és hűtős profilok</t>
        </is>
      </c>
      <c r="E328" s="6" t="inlineStr">
        <is>
          <t>Car-Alu</t>
        </is>
      </c>
      <c r="F328" s="6" t="inlineStr">
        <is>
          <t>1011356-tz2-7000</t>
        </is>
      </c>
      <c r="G328" s="6" t="inlineStr">
        <is>
          <t>Quadris Excel</t>
        </is>
      </c>
      <c r="H328" s="6" t="n">
        <v>1</v>
      </c>
      <c r="I328" s="6" t="n">
        <v>3</v>
      </c>
      <c r="J328" s="6" t="inlineStr">
        <is>
          <t>nincs</t>
        </is>
      </c>
      <c r="K328" s="6">
        <f>IF(AND(H328&gt;0,I328&gt;0),"Rendben",IF(AND(H328=0,I328=0),"Nincs kép és adat",IF(H328=0,"Nincs kép","Nincs adat")))</f>
        <v/>
      </c>
      <c r="L328" s="6" t="inlineStr">
        <is>
          <t>Igen</t>
        </is>
      </c>
      <c r="M328" s="7" t="inlineStr">
        <is>
          <t>caralushop.nl webshop</t>
        </is>
      </c>
      <c r="N328" s="7" t="inlineStr">
        <is>
          <t>Megtalálva: DEURPROFIEL-silver 2-L= 7,00 m Anodised aluminium (silver) 7.000 mm (kód: 1011356-TZ2-7000)</t>
        </is>
      </c>
      <c r="O328" s="11" t="inlineStr">
        <is>
          <t>https://www.caralushop.nl/en/catalog/categories/711</t>
        </is>
      </c>
      <c r="P328" s="11" t="inlineStr">
        <is>
          <t>https://website-9ib.pages.dev/termek/231725-belga-h-szego-25-mm-elox/</t>
        </is>
      </c>
      <c r="Q328" s="12" t="inlineStr"/>
      <c r="R328" s="13" t="inlineStr"/>
      <c r="S328" s="6" t="inlineStr">
        <is>
          <t>231725-belga-h-szego-25-mm-elox</t>
        </is>
      </c>
    </row>
    <row r="329">
      <c r="A329" s="6" t="inlineStr">
        <is>
          <t>235215</t>
        </is>
      </c>
      <c r="B329" s="7" t="inlineStr">
        <is>
          <t>Dobozos keretprofil ívelt elox</t>
        </is>
      </c>
      <c r="C329" s="6" t="inlineStr">
        <is>
          <t>Zárt-dobozos és hűtős profilok</t>
        </is>
      </c>
      <c r="D329" s="6" t="inlineStr">
        <is>
          <t>Zárt-dobozos és hűtős profilok</t>
        </is>
      </c>
      <c r="E329" s="6" t="inlineStr">
        <is>
          <t>Car-Alu</t>
        </is>
      </c>
      <c r="F329" s="6" t="inlineStr">
        <is>
          <t>1305 215-011</t>
        </is>
      </c>
      <c r="G329" s="6" t="inlineStr">
        <is>
          <t>Quadris Excel</t>
        </is>
      </c>
      <c r="H329" s="6" t="n">
        <v>0</v>
      </c>
      <c r="I329" s="6" t="n">
        <v>0</v>
      </c>
      <c r="J329" s="6" t="inlineStr">
        <is>
          <t>nincs</t>
        </is>
      </c>
      <c r="K329" s="6">
        <f>IF(AND(H329&gt;0,I329&gt;0),"Rendben",IF(AND(H329=0,I329=0),"Nincs kép és adat",IF(H329=0,"Nincs kép","Nincs adat")))</f>
        <v/>
      </c>
      <c r="L329" s="6" t="inlineStr">
        <is>
          <t>Igen</t>
        </is>
      </c>
      <c r="M329" s="7" t="inlineStr">
        <is>
          <t>caralushop.nl webshop</t>
        </is>
      </c>
      <c r="N329" s="7" t="inlineStr">
        <is>
          <t>Nem találtuk: caralushop.nl webshop</t>
        </is>
      </c>
      <c r="O329" s="6" t="inlineStr"/>
      <c r="P329" s="11" t="inlineStr">
        <is>
          <t>https://website-9ib.pages.dev/termek/235215-dobozos-keretprofil-ivelt-elox/</t>
        </is>
      </c>
      <c r="Q329" s="12" t="inlineStr"/>
      <c r="R329" s="13" t="inlineStr"/>
      <c r="S329" s="6" t="inlineStr">
        <is>
          <t>235215-dobozos-keretprofil-ivelt-elox</t>
        </is>
      </c>
    </row>
    <row r="330">
      <c r="A330" s="6" t="inlineStr">
        <is>
          <t>233901</t>
        </is>
      </c>
      <c r="B330" s="7" t="inlineStr">
        <is>
          <t>Dobozos Íves alsó keretprofil elox 25 mm panelhez</t>
        </is>
      </c>
      <c r="C330" s="6" t="inlineStr">
        <is>
          <t>Zárt-dobozos és hűtős profilok</t>
        </is>
      </c>
      <c r="D330" s="6" t="inlineStr">
        <is>
          <t>Zárt-dobozos és hűtős profilok</t>
        </is>
      </c>
      <c r="E330" s="6" t="inlineStr">
        <is>
          <t>Car-Alu</t>
        </is>
      </c>
      <c r="F330" s="6" t="inlineStr">
        <is>
          <t>139001</t>
        </is>
      </c>
      <c r="G330" s="6" t="inlineStr">
        <is>
          <t>Quadris Excel</t>
        </is>
      </c>
      <c r="H330" s="6" t="n">
        <v>0</v>
      </c>
      <c r="I330" s="6" t="n">
        <v>0</v>
      </c>
      <c r="J330" s="6" t="inlineStr">
        <is>
          <t>nincs</t>
        </is>
      </c>
      <c r="K330" s="6">
        <f>IF(AND(H330&gt;0,I330&gt;0),"Rendben",IF(AND(H330=0,I330=0),"Nincs kép és adat",IF(H330=0,"Nincs kép","Nincs adat")))</f>
        <v/>
      </c>
      <c r="L330" s="6" t="inlineStr">
        <is>
          <t>Igen</t>
        </is>
      </c>
      <c r="M330" s="7" t="inlineStr">
        <is>
          <t>caralushop.nl webshop</t>
        </is>
      </c>
      <c r="N330" s="7" t="inlineStr">
        <is>
          <t>Nem találtuk: caralushop.nl webshop</t>
        </is>
      </c>
      <c r="O330" s="6" t="inlineStr"/>
      <c r="P330" s="11" t="inlineStr">
        <is>
          <t>https://website-9ib.pages.dev/termek/233901-dobozos-ives-also-keretprofil-elox-25-mm-panelhez/</t>
        </is>
      </c>
      <c r="Q330" s="12" t="inlineStr"/>
      <c r="R330" s="13" t="inlineStr"/>
      <c r="S330" s="6" t="inlineStr">
        <is>
          <t>233901-dobozos-ives-also-keretprofil-elox-25-mm-panelhez</t>
        </is>
      </c>
    </row>
    <row r="331">
      <c r="A331" s="6" t="inlineStr">
        <is>
          <t>231245/n</t>
        </is>
      </c>
      <c r="B331" s="7" t="inlineStr">
        <is>
          <t>Esőcsatorna kicsi 5000</t>
        </is>
      </c>
      <c r="C331" s="6" t="inlineStr">
        <is>
          <t>Zárt-dobozos és hűtős profilok</t>
        </is>
      </c>
      <c r="D331" s="6" t="inlineStr">
        <is>
          <t>Zárt-dobozos és hűtős profilok</t>
        </is>
      </c>
      <c r="E331" s="6" t="inlineStr">
        <is>
          <t>Car-Alu</t>
        </is>
      </c>
      <c r="F331" s="6" t="inlineStr">
        <is>
          <t>1245 000-000</t>
        </is>
      </c>
      <c r="G331" s="6" t="inlineStr">
        <is>
          <t>Quadris Excel</t>
        </is>
      </c>
      <c r="H331" s="6" t="n">
        <v>1</v>
      </c>
      <c r="I331" s="6" t="n">
        <v>1</v>
      </c>
      <c r="J331" s="6" t="inlineStr">
        <is>
          <t>nincs</t>
        </is>
      </c>
      <c r="K331" s="6">
        <f>IF(AND(H331&gt;0,I331&gt;0),"Rendben",IF(AND(H331=0,I331=0),"Nincs kép és adat",IF(H331=0,"Nincs kép","Nincs adat")))</f>
        <v/>
      </c>
      <c r="L331" s="6" t="inlineStr">
        <is>
          <t>Igen</t>
        </is>
      </c>
      <c r="M331" s="7" t="inlineStr">
        <is>
          <t>caralushop.nl webshop</t>
        </is>
      </c>
      <c r="N331" s="7" t="inlineStr">
        <is>
          <t>Megtalálva: Gutter profiles (kód: 1245 000-000)</t>
        </is>
      </c>
      <c r="O331" s="11" t="inlineStr">
        <is>
          <t>https://www.caralushop.nl/en/catalog/categories/721</t>
        </is>
      </c>
      <c r="P331" s="11" t="inlineStr">
        <is>
          <t>https://website-9ib.pages.dev/termek/231245-n-esocsatorna-kicsi-5000/</t>
        </is>
      </c>
      <c r="Q331" s="12" t="inlineStr"/>
      <c r="R331" s="13" t="inlineStr"/>
      <c r="S331" s="6" t="inlineStr">
        <is>
          <t>231245-n-esocsatorna-kicsi-5000</t>
        </is>
      </c>
    </row>
    <row r="332">
      <c r="A332" s="6" t="inlineStr">
        <is>
          <t>231245</t>
        </is>
      </c>
      <c r="B332" s="7" t="inlineStr">
        <is>
          <t>Esőcsatorna kicsi elox 5000</t>
        </is>
      </c>
      <c r="C332" s="6" t="inlineStr">
        <is>
          <t>Zárt-dobozos és hűtős profilok</t>
        </is>
      </c>
      <c r="D332" s="6" t="inlineStr">
        <is>
          <t>Zárt-dobozos és hűtős profilok</t>
        </is>
      </c>
      <c r="E332" s="6" t="inlineStr">
        <is>
          <t>Car-Alu</t>
        </is>
      </c>
      <c r="F332" s="6" t="inlineStr">
        <is>
          <t>1010650-TZ2-5000</t>
        </is>
      </c>
      <c r="G332" s="6" t="inlineStr">
        <is>
          <t>Quadris Excel</t>
        </is>
      </c>
      <c r="H332" s="6" t="n">
        <v>1</v>
      </c>
      <c r="I332" s="6" t="n">
        <v>3</v>
      </c>
      <c r="J332" s="6" t="inlineStr">
        <is>
          <t>nincs</t>
        </is>
      </c>
      <c r="K332" s="6">
        <f>IF(AND(H332&gt;0,I332&gt;0),"Rendben",IF(AND(H332=0,I332=0),"Nincs kép és adat",IF(H332=0,"Nincs kép","Nincs adat")))</f>
        <v/>
      </c>
      <c r="L332" s="6" t="inlineStr">
        <is>
          <t>Igen</t>
        </is>
      </c>
      <c r="M332" s="7" t="inlineStr">
        <is>
          <t>caralushop.nl webshop</t>
        </is>
      </c>
      <c r="N332" s="7" t="inlineStr">
        <is>
          <t>Megtalálva: GOOTLIJST 23,5x18x12,5x1,5mm 50SW-silver 2-L= 5,00 m Packed by 1 piece Anodised aluminium (silver) 5.000 mm (kód: 1010650-TZ2-5000)</t>
        </is>
      </c>
      <c r="O332" s="11" t="inlineStr">
        <is>
          <t>https://www.caralushop.nl/en/catalog/categories/721</t>
        </is>
      </c>
      <c r="P332" s="11" t="inlineStr">
        <is>
          <t>https://website-9ib.pages.dev/termek/231245-esocsatorna-kicsi-elox-5000/</t>
        </is>
      </c>
      <c r="Q332" s="12" t="inlineStr"/>
      <c r="R332" s="13" t="inlineStr"/>
      <c r="S332" s="6" t="inlineStr">
        <is>
          <t>231245-esocsatorna-kicsi-elox-5000</t>
        </is>
      </c>
    </row>
    <row r="333">
      <c r="A333" s="6" t="inlineStr">
        <is>
          <t>231305/n</t>
        </is>
      </c>
      <c r="B333" s="7" t="inlineStr">
        <is>
          <t>Esőcsatorna mini 5000</t>
        </is>
      </c>
      <c r="C333" s="6" t="inlineStr">
        <is>
          <t>Zárt-dobozos és hűtős profilok</t>
        </is>
      </c>
      <c r="D333" s="6" t="inlineStr">
        <is>
          <t>Zárt-dobozos és hűtős profilok</t>
        </is>
      </c>
      <c r="E333" s="6" t="inlineStr">
        <is>
          <t>Car-Alu</t>
        </is>
      </c>
      <c r="F333" s="6" t="inlineStr">
        <is>
          <t>1305 115-000</t>
        </is>
      </c>
      <c r="G333" s="6" t="inlineStr">
        <is>
          <t>Quadris Excel</t>
        </is>
      </c>
      <c r="H333" s="6" t="n">
        <v>1</v>
      </c>
      <c r="I333" s="6" t="n">
        <v>3</v>
      </c>
      <c r="J333" s="6" t="inlineStr">
        <is>
          <t>nincs</t>
        </is>
      </c>
      <c r="K333" s="6">
        <f>IF(AND(H333&gt;0,I333&gt;0),"Rendben",IF(AND(H333=0,I333=0),"Nincs kép és adat",IF(H333=0,"Nincs kép","Nincs adat")))</f>
        <v/>
      </c>
      <c r="L333" s="6" t="inlineStr">
        <is>
          <t>Igen</t>
        </is>
      </c>
      <c r="M333" s="7" t="inlineStr">
        <is>
          <t>caralushop.nl webshop</t>
        </is>
      </c>
      <c r="N333" s="7" t="inlineStr">
        <is>
          <t>Megtalálva: GOOTLIJST 23x5x18x12,5x1,5mm 50ST-raw-L= 5,00 m Packed by 1 piece Mill finished aluminium 5.000 mm (kód: 1011218-ONB-5000)</t>
        </is>
      </c>
      <c r="O333" s="11" t="inlineStr">
        <is>
          <t>https://www.caralushop.nl/en/catalog/categories/721</t>
        </is>
      </c>
      <c r="P333" s="11" t="inlineStr">
        <is>
          <t>https://website-9ib.pages.dev/termek/231305-n-esocsatorna-mini-5000/</t>
        </is>
      </c>
      <c r="Q333" s="12" t="inlineStr"/>
      <c r="R333" s="13" t="inlineStr"/>
      <c r="S333" s="6" t="inlineStr">
        <is>
          <t>231305-n-esocsatorna-mini-5000</t>
        </is>
      </c>
    </row>
    <row r="334">
      <c r="A334" s="6" t="inlineStr">
        <is>
          <t>231165</t>
        </is>
      </c>
      <c r="B334" s="7" t="inlineStr">
        <is>
          <t>Lépcső sarok profil 20x20 mm elox</t>
        </is>
      </c>
      <c r="C334" s="6" t="inlineStr">
        <is>
          <t>Zárt-dobozos és hűtős profilok</t>
        </is>
      </c>
      <c r="D334" s="6" t="inlineStr">
        <is>
          <t>Zárt-dobozos és hűtős profilok</t>
        </is>
      </c>
      <c r="E334" s="6" t="inlineStr">
        <is>
          <t>Car-Alu</t>
        </is>
      </c>
      <c r="F334" s="6" t="inlineStr">
        <is>
          <t>1165 000-001</t>
        </is>
      </c>
      <c r="G334" s="6" t="inlineStr">
        <is>
          <t>Quadris Excel</t>
        </is>
      </c>
      <c r="H334" s="6" t="n">
        <v>1</v>
      </c>
      <c r="I334" s="6" t="n">
        <v>3</v>
      </c>
      <c r="J334" s="6" t="inlineStr">
        <is>
          <t>nincs</t>
        </is>
      </c>
      <c r="K334" s="6">
        <f>IF(AND(H334&gt;0,I334&gt;0),"Rendben",IF(AND(H334=0,I334=0),"Nincs kép és adat",IF(H334=0,"Nincs kép","Nincs adat")))</f>
        <v/>
      </c>
      <c r="L334" s="6" t="inlineStr">
        <is>
          <t>Igen</t>
        </is>
      </c>
      <c r="M334" s="7" t="inlineStr">
        <is>
          <t>caralushop.nl webshop</t>
        </is>
      </c>
      <c r="N334" s="7" t="inlineStr">
        <is>
          <t>Megtalálva: TRAPKANT 20mm + NEUS-silver 1-L= 5,00 m Packed by 1 piece Anodised aluminium (silver) 5.000 mm (kód: 1010477-TZ1-5000)</t>
        </is>
      </c>
      <c r="O334" s="11" t="inlineStr">
        <is>
          <t>https://www.caralushop.nl/en/catalog/categories/1001</t>
        </is>
      </c>
      <c r="P334" s="11" t="inlineStr">
        <is>
          <t>https://website-9ib.pages.dev/termek/231165-lepcso-sarok-profil-20x20-mm-elox/</t>
        </is>
      </c>
      <c r="Q334" s="12" t="inlineStr"/>
      <c r="R334" s="13" t="inlineStr"/>
      <c r="S334" s="6" t="inlineStr">
        <is>
          <t>231165-lepcso-sarok-profil-20x20-mm-elox</t>
        </is>
      </c>
    </row>
    <row r="335">
      <c r="A335" s="6" t="inlineStr">
        <is>
          <t>232460</t>
        </is>
      </c>
      <c r="B335" s="7" t="inlineStr">
        <is>
          <t>Tömítés az "u" ajtószegő profilhoz</t>
        </is>
      </c>
      <c r="C335" s="6" t="inlineStr">
        <is>
          <t>Zárt-dobozos és hűtős profilok</t>
        </is>
      </c>
      <c r="D335" s="6" t="inlineStr">
        <is>
          <t>Zárt-dobozos és hűtős profilok</t>
        </is>
      </c>
      <c r="E335" s="6" t="inlineStr">
        <is>
          <t>Car-Alu</t>
        </is>
      </c>
      <c r="F335" s="6" t="inlineStr">
        <is>
          <t>2460 060-000</t>
        </is>
      </c>
      <c r="G335" s="6" t="inlineStr">
        <is>
          <t>Quadris Excel</t>
        </is>
      </c>
      <c r="H335" s="6" t="n">
        <v>1</v>
      </c>
      <c r="I335" s="6" t="n">
        <v>1</v>
      </c>
      <c r="J335" s="6" t="inlineStr">
        <is>
          <t>nincs</t>
        </is>
      </c>
      <c r="K335" s="6">
        <f>IF(AND(H335&gt;0,I335&gt;0),"Rendben",IF(AND(H335=0,I335=0),"Nincs kép és adat",IF(H335=0,"Nincs kép","Nincs adat")))</f>
        <v/>
      </c>
      <c r="L335" s="6" t="inlineStr">
        <is>
          <t>Igen</t>
        </is>
      </c>
      <c r="M335" s="7" t="inlineStr">
        <is>
          <t>caralushop.nl webshop</t>
        </is>
      </c>
      <c r="N335" s="7" t="inlineStr">
        <is>
          <t>Megtalálva: RUBBER TBV AANSLAGPROFIEL Rol 50 m Deliverd by 1 roll Black, rubber (kód: 1021543-R50)</t>
        </is>
      </c>
      <c r="O335" s="11" t="inlineStr">
        <is>
          <t>https://www.caralushop.nl/en/catalog/categories/678</t>
        </is>
      </c>
      <c r="P335" s="11" t="inlineStr">
        <is>
          <t>https://website-9ib.pages.dev/termek/232460-tomites-az-u-ajtoszego-profilhoz/</t>
        </is>
      </c>
      <c r="Q335" s="12" t="inlineStr"/>
      <c r="R335" s="13" t="inlineStr"/>
      <c r="S335" s="6" t="inlineStr">
        <is>
          <t>232460-tomites-az-u-ajtoszego-profilhoz</t>
        </is>
      </c>
    </row>
    <row r="336">
      <c r="A336" s="6" t="inlineStr"/>
      <c r="B336" s="7" t="inlineStr">
        <is>
          <t>141520/perf, PU00 Acél keret 110/15/2/5100</t>
        </is>
      </c>
      <c r="C336" s="6" t="inlineStr">
        <is>
          <t>Acél profilok</t>
        </is>
      </c>
      <c r="D336" s="6" t="inlineStr">
        <is>
          <t>Acél keret</t>
        </is>
      </c>
      <c r="E336" s="6" t="inlineStr">
        <is>
          <t>Cargoframes Czech</t>
        </is>
      </c>
      <c r="F336" s="6" t="inlineStr">
        <is>
          <t>PU00-1101520-H3-5100</t>
        </is>
      </c>
      <c r="G336" s="6" t="inlineStr">
        <is>
          <t>Quadris Excel</t>
        </is>
      </c>
      <c r="H336" s="6" t="n">
        <v>0</v>
      </c>
      <c r="I336" s="6" t="n">
        <v>0</v>
      </c>
      <c r="J336" s="6" t="inlineStr">
        <is>
          <t>nincs</t>
        </is>
      </c>
      <c r="K336" s="6">
        <f>IF(AND(H336&gt;0,I336&gt;0),"Rendben",IF(AND(H336=0,I336=0),"Nincs kép és adat",IF(H336=0,"Nincs kép","Nincs adat")))</f>
        <v/>
      </c>
      <c r="L336" s="6" t="inlineStr">
        <is>
          <t>Igen</t>
        </is>
      </c>
      <c r="M336" s="7" t="inlineStr">
        <is>
          <t>cargoframes.eu oldaltérkép bejárása</t>
        </is>
      </c>
      <c r="N336" s="7" t="inlineStr">
        <is>
          <t>Nem találtuk: cargoframes.eu oldaltérkép bejárása</t>
        </is>
      </c>
      <c r="O336" s="6" t="inlineStr"/>
      <c r="P336" s="11" t="inlineStr">
        <is>
          <t>https://website-9ib.pages.dev/termek/141520-perf-pu00-acel-keret-110-15-2-5100/</t>
        </is>
      </c>
      <c r="Q336" s="12" t="inlineStr"/>
      <c r="R336" s="13" t="inlineStr"/>
      <c r="S336" s="6" t="inlineStr">
        <is>
          <t>141520-perf-pu00-acel-keret-110-15-2-5100</t>
        </is>
      </c>
    </row>
    <row r="337">
      <c r="A337" s="6" t="inlineStr">
        <is>
          <t>141265</t>
        </is>
      </c>
      <c r="B337" s="7" t="inlineStr">
        <is>
          <t>ACÉL hossztartó 120/60/5 mm</t>
        </is>
      </c>
      <c r="C337" s="6" t="inlineStr">
        <is>
          <t>Acél profilok</t>
        </is>
      </c>
      <c r="D337" s="6" t="inlineStr">
        <is>
          <t>Hossztartók</t>
        </is>
      </c>
      <c r="E337" s="6" t="inlineStr">
        <is>
          <t>Cargoframes Czech</t>
        </is>
      </c>
      <c r="F337" s="6" t="inlineStr">
        <is>
          <t>U0FE-1206005-00</t>
        </is>
      </c>
      <c r="G337" s="6" t="inlineStr">
        <is>
          <t>Quadris Excel</t>
        </is>
      </c>
      <c r="H337" s="6" t="n">
        <v>3</v>
      </c>
      <c r="I337" s="6" t="n">
        <v>4</v>
      </c>
      <c r="J337" s="6" t="inlineStr">
        <is>
          <t>nincs</t>
        </is>
      </c>
      <c r="K337" s="6">
        <f>IF(AND(H337&gt;0,I337&gt;0),"Rendben",IF(AND(H337=0,I337=0),"Nincs kép és adat",IF(H337=0,"Nincs kép","Nincs adat")))</f>
        <v/>
      </c>
      <c r="L337" s="6" t="inlineStr">
        <is>
          <t>Igen</t>
        </is>
      </c>
      <c r="M337" s="7" t="inlineStr">
        <is>
          <t>cargoframes.eu oldaltérkép bejárása</t>
        </is>
      </c>
      <c r="N337" s="7" t="inlineStr">
        <is>
          <t>Nem találtuk: cargoframes.eu oldaltérkép bejárása; adatlap a Quadris-megnevezésből</t>
        </is>
      </c>
      <c r="O337" s="6" t="inlineStr"/>
      <c r="P337" s="11" t="inlineStr">
        <is>
          <t>https://website-9ib.pages.dev/termek/141265-acel-hossztarto-120-60-5-mm/</t>
        </is>
      </c>
      <c r="Q337" s="12" t="inlineStr"/>
      <c r="R337" s="13" t="inlineStr"/>
      <c r="S337" s="6" t="inlineStr">
        <is>
          <t>141265-acel-hossztarto-120-60-5-mm</t>
        </is>
      </c>
    </row>
    <row r="338">
      <c r="A338" s="6" t="inlineStr">
        <is>
          <t>141266</t>
        </is>
      </c>
      <c r="B338" s="7" t="inlineStr">
        <is>
          <t>ACÉL hossztartó 120/60/6 mm</t>
        </is>
      </c>
      <c r="C338" s="6" t="inlineStr">
        <is>
          <t>Acél profilok</t>
        </is>
      </c>
      <c r="D338" s="6" t="inlineStr">
        <is>
          <t>Hossztartók</t>
        </is>
      </c>
      <c r="E338" s="6" t="inlineStr">
        <is>
          <t>Cargoframes Czech</t>
        </is>
      </c>
      <c r="F338" s="6" t="inlineStr">
        <is>
          <t>U0FE-1206006-00</t>
        </is>
      </c>
      <c r="G338" s="6" t="inlineStr">
        <is>
          <t>Quadris Excel</t>
        </is>
      </c>
      <c r="H338" s="6" t="n">
        <v>3</v>
      </c>
      <c r="I338" s="6" t="n">
        <v>4</v>
      </c>
      <c r="J338" s="6" t="inlineStr">
        <is>
          <t>nincs</t>
        </is>
      </c>
      <c r="K338" s="6">
        <f>IF(AND(H338&gt;0,I338&gt;0),"Rendben",IF(AND(H338=0,I338=0),"Nincs kép és adat",IF(H338=0,"Nincs kép","Nincs adat")))</f>
        <v/>
      </c>
      <c r="L338" s="6" t="inlineStr">
        <is>
          <t>Igen</t>
        </is>
      </c>
      <c r="M338" s="7" t="inlineStr">
        <is>
          <t>cargoframes.eu oldaltérkép bejárása</t>
        </is>
      </c>
      <c r="N338" s="7" t="inlineStr">
        <is>
          <t>Nem találtuk: cargoframes.eu oldaltérkép bejárása; adatlap a Quadris-megnevezésből</t>
        </is>
      </c>
      <c r="O338" s="6" t="inlineStr"/>
      <c r="P338" s="11" t="inlineStr">
        <is>
          <t>https://website-9ib.pages.dev/termek/141266-acel-hossztarto-120-60-6-mm/</t>
        </is>
      </c>
      <c r="Q338" s="12" t="inlineStr"/>
      <c r="R338" s="13" t="inlineStr"/>
      <c r="S338" s="6" t="inlineStr">
        <is>
          <t>141266-acel-hossztarto-120-60-6-mm</t>
        </is>
      </c>
    </row>
    <row r="339">
      <c r="A339" s="6" t="inlineStr">
        <is>
          <t>142730</t>
        </is>
      </c>
      <c r="B339" s="7" t="inlineStr">
        <is>
          <t>PF50 Acél keret 140/27/3/2500 sima</t>
        </is>
      </c>
      <c r="C339" s="6" t="inlineStr">
        <is>
          <t>Acél profilok</t>
        </is>
      </c>
      <c r="D339" s="6" t="inlineStr">
        <is>
          <t>Acél keret</t>
        </is>
      </c>
      <c r="E339" s="6" t="inlineStr">
        <is>
          <t>Cargoframes Czech</t>
        </is>
      </c>
      <c r="F339" s="6" t="inlineStr">
        <is>
          <t>PF50-1402730-00-2500</t>
        </is>
      </c>
      <c r="G339" s="6" t="inlineStr">
        <is>
          <t>Quadris Excel</t>
        </is>
      </c>
      <c r="H339" s="6" t="n">
        <v>0</v>
      </c>
      <c r="I339" s="6" t="n">
        <v>0</v>
      </c>
      <c r="J339" s="6" t="inlineStr">
        <is>
          <t>nincs</t>
        </is>
      </c>
      <c r="K339" s="6">
        <f>IF(AND(H339&gt;0,I339&gt;0),"Rendben",IF(AND(H339=0,I339=0),"Nincs kép és adat",IF(H339=0,"Nincs kép","Nincs adat")))</f>
        <v/>
      </c>
      <c r="L339" s="6" t="inlineStr">
        <is>
          <t>Igen</t>
        </is>
      </c>
      <c r="M339" s="7" t="inlineStr">
        <is>
          <t>cargoframes.eu oldaltérkép bejárása</t>
        </is>
      </c>
      <c r="N339" s="7" t="inlineStr">
        <is>
          <t>Nem találtuk: cargoframes.eu oldaltérkép bejárása</t>
        </is>
      </c>
      <c r="O339" s="6" t="inlineStr"/>
      <c r="P339" s="11" t="inlineStr">
        <is>
          <t>https://website-9ib.pages.dev/termek/142730-pf50-acel-keret-140-27-3-2500-sima/</t>
        </is>
      </c>
      <c r="Q339" s="12" t="inlineStr"/>
      <c r="R339" s="13" t="inlineStr"/>
      <c r="S339" s="6" t="inlineStr">
        <is>
          <t>142730-pf50-acel-keret-140-27-3-2500-sima</t>
        </is>
      </c>
    </row>
    <row r="340">
      <c r="A340" s="6" t="inlineStr">
        <is>
          <t>141520</t>
        </is>
      </c>
      <c r="B340" s="7" t="inlineStr">
        <is>
          <t>PU00 Acél keret 110/15/2/5000</t>
        </is>
      </c>
      <c r="C340" s="6" t="inlineStr">
        <is>
          <t>Acél profilok</t>
        </is>
      </c>
      <c r="D340" s="6" t="inlineStr">
        <is>
          <t>Acél keret</t>
        </is>
      </c>
      <c r="E340" s="6" t="inlineStr">
        <is>
          <t>Cargoframes Czech</t>
        </is>
      </c>
      <c r="F340" s="6" t="inlineStr">
        <is>
          <t>PU00-1101520-00-5000</t>
        </is>
      </c>
      <c r="G340" s="6" t="inlineStr">
        <is>
          <t>Quadris Excel</t>
        </is>
      </c>
      <c r="H340" s="6" t="n">
        <v>0</v>
      </c>
      <c r="I340" s="6" t="n">
        <v>0</v>
      </c>
      <c r="J340" s="6" t="inlineStr">
        <is>
          <t>nincs</t>
        </is>
      </c>
      <c r="K340" s="6">
        <f>IF(AND(H340&gt;0,I340&gt;0),"Rendben",IF(AND(H340=0,I340=0),"Nincs kép és adat",IF(H340=0,"Nincs kép","Nincs adat")))</f>
        <v/>
      </c>
      <c r="L340" s="6" t="inlineStr">
        <is>
          <t>Igen</t>
        </is>
      </c>
      <c r="M340" s="7" t="inlineStr">
        <is>
          <t>cargoframes.eu oldaltérkép bejárása</t>
        </is>
      </c>
      <c r="N340" s="7" t="inlineStr">
        <is>
          <t>Nem találtuk: cargoframes.eu oldaltérkép bejárása</t>
        </is>
      </c>
      <c r="O340" s="6" t="inlineStr"/>
      <c r="P340" s="11" t="inlineStr">
        <is>
          <t>https://website-9ib.pages.dev/termek/141520-pu00-acel-keret-110-15-2-5000/</t>
        </is>
      </c>
      <c r="Q340" s="12" t="inlineStr"/>
      <c r="R340" s="13" t="inlineStr"/>
      <c r="S340" s="6" t="inlineStr">
        <is>
          <t>141520-pu00-acel-keret-110-15-2-5000</t>
        </is>
      </c>
    </row>
    <row r="341">
      <c r="A341" s="6" t="inlineStr">
        <is>
          <t>141521</t>
        </is>
      </c>
      <c r="B341" s="7" t="inlineStr">
        <is>
          <t>PU00 Acél keret 115/21/3 mm</t>
        </is>
      </c>
      <c r="C341" s="6" t="inlineStr">
        <is>
          <t>Acél profilok</t>
        </is>
      </c>
      <c r="D341" s="6" t="inlineStr">
        <is>
          <t>Acél keret</t>
        </is>
      </c>
      <c r="E341" s="6" t="inlineStr">
        <is>
          <t>Cargoframes Czech</t>
        </is>
      </c>
      <c r="F341" s="6" t="inlineStr">
        <is>
          <t>PU00-1152130-00-7500</t>
        </is>
      </c>
      <c r="G341" s="6" t="inlineStr">
        <is>
          <t>Quadris Excel</t>
        </is>
      </c>
      <c r="H341" s="6" t="n">
        <v>0</v>
      </c>
      <c r="I341" s="6" t="n">
        <v>0</v>
      </c>
      <c r="J341" s="6" t="inlineStr">
        <is>
          <t>nincs</t>
        </is>
      </c>
      <c r="K341" s="6">
        <f>IF(AND(H341&gt;0,I341&gt;0),"Rendben",IF(AND(H341=0,I341=0),"Nincs kép és adat",IF(H341=0,"Nincs kép","Nincs adat")))</f>
        <v/>
      </c>
      <c r="L341" s="6" t="inlineStr">
        <is>
          <t>Igen</t>
        </is>
      </c>
      <c r="M341" s="7" t="inlineStr">
        <is>
          <t>cargoframes.eu oldaltérkép bejárása</t>
        </is>
      </c>
      <c r="N341" s="7" t="inlineStr">
        <is>
          <t>Nem találtuk: cargoframes.eu oldaltérkép bejárása</t>
        </is>
      </c>
      <c r="O341" s="6" t="inlineStr"/>
      <c r="P341" s="11" t="inlineStr">
        <is>
          <t>https://website-9ib.pages.dev/termek/141521-pu00-acel-keret-115-21-3-mm/</t>
        </is>
      </c>
      <c r="Q341" s="12" t="inlineStr"/>
      <c r="R341" s="13" t="inlineStr"/>
      <c r="S341" s="6" t="inlineStr">
        <is>
          <t>141521-pu00-acel-keret-115-21-3-mm</t>
        </is>
      </c>
    </row>
    <row r="342">
      <c r="A342" s="6" t="inlineStr">
        <is>
          <t>141527</t>
        </is>
      </c>
      <c r="B342" s="7" t="inlineStr">
        <is>
          <t>PU00 Acél keret 115/27/3/7500</t>
        </is>
      </c>
      <c r="C342" s="6" t="inlineStr">
        <is>
          <t>Acél profilok</t>
        </is>
      </c>
      <c r="D342" s="6" t="inlineStr">
        <is>
          <t>Acél keret</t>
        </is>
      </c>
      <c r="E342" s="6" t="inlineStr">
        <is>
          <t>Cargoframes Czech</t>
        </is>
      </c>
      <c r="F342" s="6" t="inlineStr">
        <is>
          <t>PU00-1152730-00-7500</t>
        </is>
      </c>
      <c r="G342" s="6" t="inlineStr">
        <is>
          <t>Quadris Excel</t>
        </is>
      </c>
      <c r="H342" s="6" t="n">
        <v>0</v>
      </c>
      <c r="I342" s="6" t="n">
        <v>0</v>
      </c>
      <c r="J342" s="6" t="inlineStr">
        <is>
          <t>nincs</t>
        </is>
      </c>
      <c r="K342" s="6">
        <f>IF(AND(H342&gt;0,I342&gt;0),"Rendben",IF(AND(H342=0,I342=0),"Nincs kép és adat",IF(H342=0,"Nincs kép","Nincs adat")))</f>
        <v/>
      </c>
      <c r="L342" s="6" t="inlineStr">
        <is>
          <t>Igen</t>
        </is>
      </c>
      <c r="M342" s="7" t="inlineStr">
        <is>
          <t>cargoframes.eu oldaltérkép bejárása</t>
        </is>
      </c>
      <c r="N342" s="7" t="inlineStr">
        <is>
          <t>Nem találtuk: cargoframes.eu oldaltérkép bejárása</t>
        </is>
      </c>
      <c r="O342" s="6" t="inlineStr"/>
      <c r="P342" s="11" t="inlineStr">
        <is>
          <t>https://website-9ib.pages.dev/termek/141527-pu00-acel-keret-115-27-3-7500/</t>
        </is>
      </c>
      <c r="Q342" s="12" t="inlineStr"/>
      <c r="R342" s="13" t="inlineStr"/>
      <c r="S342" s="6" t="inlineStr">
        <is>
          <t>141527-pu00-acel-keret-115-27-3-7500</t>
        </is>
      </c>
    </row>
    <row r="343">
      <c r="A343" s="6" t="inlineStr">
        <is>
          <t>142130</t>
        </is>
      </c>
      <c r="B343" s="7" t="inlineStr">
        <is>
          <t>PU00 Acél keret 140/21/3/7500</t>
        </is>
      </c>
      <c r="C343" s="6" t="inlineStr">
        <is>
          <t>Acél profilok</t>
        </is>
      </c>
      <c r="D343" s="6" t="inlineStr">
        <is>
          <t>Acél keret</t>
        </is>
      </c>
      <c r="E343" s="6" t="inlineStr">
        <is>
          <t>Cargoframes Czech</t>
        </is>
      </c>
      <c r="F343" s="6" t="inlineStr">
        <is>
          <t>PU00-1402130-00-7500</t>
        </is>
      </c>
      <c r="G343" s="6" t="inlineStr">
        <is>
          <t>Quadris Excel</t>
        </is>
      </c>
      <c r="H343" s="6" t="n">
        <v>0</v>
      </c>
      <c r="I343" s="6" t="n">
        <v>0</v>
      </c>
      <c r="J343" s="6" t="inlineStr">
        <is>
          <t>nincs</t>
        </is>
      </c>
      <c r="K343" s="6">
        <f>IF(AND(H343&gt;0,I343&gt;0),"Rendben",IF(AND(H343=0,I343=0),"Nincs kép és adat",IF(H343=0,"Nincs kép","Nincs adat")))</f>
        <v/>
      </c>
      <c r="L343" s="6" t="inlineStr">
        <is>
          <t>Igen</t>
        </is>
      </c>
      <c r="M343" s="7" t="inlineStr">
        <is>
          <t>cargoframes.eu oldaltérkép bejárása</t>
        </is>
      </c>
      <c r="N343" s="7" t="inlineStr">
        <is>
          <t>Nem találtuk: cargoframes.eu oldaltérkép bejárása</t>
        </is>
      </c>
      <c r="O343" s="6" t="inlineStr"/>
      <c r="P343" s="11" t="inlineStr">
        <is>
          <t>https://website-9ib.pages.dev/termek/142130-pu00-acel-keret-140-21-3-7500/</t>
        </is>
      </c>
      <c r="Q343" s="12" t="inlineStr"/>
      <c r="R343" s="13" t="inlineStr"/>
      <c r="S343" s="6" t="inlineStr">
        <is>
          <t>142130-pu00-acel-keret-140-21-3-7500</t>
        </is>
      </c>
    </row>
    <row r="344">
      <c r="A344" s="6" t="inlineStr">
        <is>
          <t>142430</t>
        </is>
      </c>
      <c r="B344" s="7" t="inlineStr">
        <is>
          <t>PU00 Acél keret 140/24/3/7500</t>
        </is>
      </c>
      <c r="C344" s="6" t="inlineStr">
        <is>
          <t>Acél profilok</t>
        </is>
      </c>
      <c r="D344" s="6" t="inlineStr">
        <is>
          <t>Acél keret</t>
        </is>
      </c>
      <c r="E344" s="6" t="inlineStr">
        <is>
          <t>Cargoframes Czech</t>
        </is>
      </c>
      <c r="F344" s="6" t="inlineStr">
        <is>
          <t>PU00-1402430-00-7500</t>
        </is>
      </c>
      <c r="G344" s="6" t="inlineStr">
        <is>
          <t>Quadris Excel</t>
        </is>
      </c>
      <c r="H344" s="6" t="n">
        <v>0</v>
      </c>
      <c r="I344" s="6" t="n">
        <v>0</v>
      </c>
      <c r="J344" s="6" t="inlineStr">
        <is>
          <t>nincs</t>
        </is>
      </c>
      <c r="K344" s="6">
        <f>IF(AND(H344&gt;0,I344&gt;0),"Rendben",IF(AND(H344=0,I344=0),"Nincs kép és adat",IF(H344=0,"Nincs kép","Nincs adat")))</f>
        <v/>
      </c>
      <c r="L344" s="6" t="inlineStr">
        <is>
          <t>Igen</t>
        </is>
      </c>
      <c r="M344" s="7" t="inlineStr">
        <is>
          <t>cargoframes.eu oldaltérkép bejárása</t>
        </is>
      </c>
      <c r="N344" s="7" t="inlineStr">
        <is>
          <t>Nem találtuk: cargoframes.eu oldaltérkép bejárása</t>
        </is>
      </c>
      <c r="O344" s="6" t="inlineStr"/>
      <c r="P344" s="11" t="inlineStr">
        <is>
          <t>https://website-9ib.pages.dev/termek/142430-pu00-acel-keret-140-24-3-7500/</t>
        </is>
      </c>
      <c r="Q344" s="12" t="inlineStr"/>
      <c r="R344" s="13" t="inlineStr"/>
      <c r="S344" s="6" t="inlineStr">
        <is>
          <t>142430-pu00-acel-keret-140-24-3-7500</t>
        </is>
      </c>
    </row>
    <row r="345">
      <c r="A345" s="6" t="inlineStr">
        <is>
          <t>142730</t>
        </is>
      </c>
      <c r="B345" s="7" t="inlineStr">
        <is>
          <t>PU00 Acél keret 140/27/3/7500</t>
        </is>
      </c>
      <c r="C345" s="6" t="inlineStr">
        <is>
          <t>Acél profilok</t>
        </is>
      </c>
      <c r="D345" s="6" t="inlineStr">
        <is>
          <t>Acél keret</t>
        </is>
      </c>
      <c r="E345" s="6" t="inlineStr">
        <is>
          <t>Cargoframes Czech</t>
        </is>
      </c>
      <c r="F345" s="6" t="inlineStr">
        <is>
          <t>PU00-1402730-00-7500</t>
        </is>
      </c>
      <c r="G345" s="6" t="inlineStr">
        <is>
          <t>Quadris Excel</t>
        </is>
      </c>
      <c r="H345" s="6" t="n">
        <v>0</v>
      </c>
      <c r="I345" s="6" t="n">
        <v>0</v>
      </c>
      <c r="J345" s="6" t="inlineStr">
        <is>
          <t>nincs</t>
        </is>
      </c>
      <c r="K345" s="6">
        <f>IF(AND(H345&gt;0,I345&gt;0),"Rendben",IF(AND(H345=0,I345=0),"Nincs kép és adat",IF(H345=0,"Nincs kép","Nincs adat")))</f>
        <v/>
      </c>
      <c r="L345" s="6" t="inlineStr">
        <is>
          <t>Igen</t>
        </is>
      </c>
      <c r="M345" s="7" t="inlineStr">
        <is>
          <t>cargoframes.eu oldaltérkép bejárása</t>
        </is>
      </c>
      <c r="N345" s="7" t="inlineStr">
        <is>
          <t>Nem találtuk: cargoframes.eu oldaltérkép bejárása</t>
        </is>
      </c>
      <c r="O345" s="6" t="inlineStr"/>
      <c r="P345" s="11" t="inlineStr">
        <is>
          <t>https://website-9ib.pages.dev/termek/142730-pu00-acel-keret-140-27-3-7500/</t>
        </is>
      </c>
      <c r="Q345" s="12" t="inlineStr"/>
      <c r="R345" s="13" t="inlineStr"/>
      <c r="S345" s="6" t="inlineStr">
        <is>
          <t>142730-pu00-acel-keret-140-27-3-7500</t>
        </is>
      </c>
    </row>
    <row r="346">
      <c r="A346" s="6" t="inlineStr">
        <is>
          <t>142730</t>
        </is>
      </c>
      <c r="B346" s="7" t="inlineStr">
        <is>
          <t>PU00 Acél keret 140/27/3/8000</t>
        </is>
      </c>
      <c r="C346" s="6" t="inlineStr">
        <is>
          <t>Acél profilok</t>
        </is>
      </c>
      <c r="D346" s="6" t="inlineStr">
        <is>
          <t>Acél keret</t>
        </is>
      </c>
      <c r="E346" s="6" t="inlineStr">
        <is>
          <t>Cargoframes Czech</t>
        </is>
      </c>
      <c r="F346" s="6" t="inlineStr">
        <is>
          <t>PU00-1402730-00-8000</t>
        </is>
      </c>
      <c r="G346" s="6" t="inlineStr">
        <is>
          <t>Quadris Excel</t>
        </is>
      </c>
      <c r="H346" s="6" t="n">
        <v>0</v>
      </c>
      <c r="I346" s="6" t="n">
        <v>0</v>
      </c>
      <c r="J346" s="6" t="inlineStr">
        <is>
          <t>nincs</t>
        </is>
      </c>
      <c r="K346" s="6">
        <f>IF(AND(H346&gt;0,I346&gt;0),"Rendben",IF(AND(H346=0,I346=0),"Nincs kép és adat",IF(H346=0,"Nincs kép","Nincs adat")))</f>
        <v/>
      </c>
      <c r="L346" s="6" t="inlineStr">
        <is>
          <t>Igen</t>
        </is>
      </c>
      <c r="M346" s="7" t="inlineStr">
        <is>
          <t>cargoframes.eu oldaltérkép bejárása</t>
        </is>
      </c>
      <c r="N346" s="7" t="inlineStr">
        <is>
          <t>Nem találtuk: cargoframes.eu oldaltérkép bejárása</t>
        </is>
      </c>
      <c r="O346" s="6" t="inlineStr"/>
      <c r="P346" s="11" t="inlineStr">
        <is>
          <t>https://website-9ib.pages.dev/termek/142730-pu00-acel-keret-140-27-3-8000/</t>
        </is>
      </c>
      <c r="Q346" s="12" t="inlineStr"/>
      <c r="R346" s="13" t="inlineStr"/>
      <c r="S346" s="6" t="inlineStr">
        <is>
          <t>142730-pu00-acel-keret-140-27-3-8000</t>
        </is>
      </c>
    </row>
    <row r="347">
      <c r="A347" s="6" t="inlineStr">
        <is>
          <t>141224</t>
        </is>
      </c>
      <c r="B347" s="7" t="inlineStr">
        <is>
          <t>PUL0 Acél keret 112/24/3 mm</t>
        </is>
      </c>
      <c r="C347" s="6" t="inlineStr">
        <is>
          <t>Acél profilok</t>
        </is>
      </c>
      <c r="D347" s="6" t="inlineStr">
        <is>
          <t>Acél keret</t>
        </is>
      </c>
      <c r="E347" s="6" t="inlineStr">
        <is>
          <t>Cargoframes Czech</t>
        </is>
      </c>
      <c r="F347" s="6" t="inlineStr">
        <is>
          <t>PUL0-1122430-00-0000</t>
        </is>
      </c>
      <c r="G347" s="6" t="inlineStr">
        <is>
          <t>Quadris Excel</t>
        </is>
      </c>
      <c r="H347" s="6" t="n">
        <v>0</v>
      </c>
      <c r="I347" s="6" t="n">
        <v>0</v>
      </c>
      <c r="J347" s="6" t="inlineStr">
        <is>
          <t>nincs</t>
        </is>
      </c>
      <c r="K347" s="6">
        <f>IF(AND(H347&gt;0,I347&gt;0),"Rendben",IF(AND(H347=0,I347=0),"Nincs kép és adat",IF(H347=0,"Nincs kép","Nincs adat")))</f>
        <v/>
      </c>
      <c r="L347" s="6" t="inlineStr">
        <is>
          <t>Igen</t>
        </is>
      </c>
      <c r="M347" s="7" t="inlineStr">
        <is>
          <t>cargoframes.eu oldaltérkép bejárása</t>
        </is>
      </c>
      <c r="N347" s="7" t="inlineStr">
        <is>
          <t>Nem találtuk: cargoframes.eu oldaltérkép bejárása</t>
        </is>
      </c>
      <c r="O347" s="6" t="inlineStr"/>
      <c r="P347" s="11" t="inlineStr">
        <is>
          <t>https://website-9ib.pages.dev/termek/141224-pul0-acel-keret-112-24-3-mm/</t>
        </is>
      </c>
      <c r="Q347" s="12" t="inlineStr"/>
      <c r="R347" s="13" t="inlineStr"/>
      <c r="S347" s="6" t="inlineStr">
        <is>
          <t>141224-pul0-acel-keret-112-24-3-mm</t>
        </is>
      </c>
    </row>
    <row r="348">
      <c r="A348" s="6" t="inlineStr">
        <is>
          <t>100001</t>
        </is>
      </c>
      <c r="B348" s="7" t="inlineStr">
        <is>
          <t>Dugó perforált acél kerethez</t>
        </is>
      </c>
      <c r="C348" s="6" t="inlineStr">
        <is>
          <t>Ponyvarendszer kiegészítők</t>
        </is>
      </c>
      <c r="D348" s="6" t="inlineStr">
        <is>
          <t>Ponyvatartó alkatrészek</t>
        </is>
      </c>
      <c r="E348" s="6" t="inlineStr">
        <is>
          <t>Cargoframes Czech</t>
        </is>
      </c>
      <c r="F348" s="6" t="inlineStr">
        <is>
          <t>ZAS0000001</t>
        </is>
      </c>
      <c r="G348" s="6" t="inlineStr">
        <is>
          <t>Quadris Excel</t>
        </is>
      </c>
      <c r="H348" s="6" t="n">
        <v>0</v>
      </c>
      <c r="I348" s="6" t="n">
        <v>0</v>
      </c>
      <c r="J348" s="6" t="inlineStr">
        <is>
          <t>nincs</t>
        </is>
      </c>
      <c r="K348" s="6">
        <f>IF(AND(H348&gt;0,I348&gt;0),"Rendben",IF(AND(H348=0,I348=0),"Nincs kép és adat",IF(H348=0,"Nincs kép","Nincs adat")))</f>
        <v/>
      </c>
      <c r="L348" s="6" t="inlineStr">
        <is>
          <t>Igen</t>
        </is>
      </c>
      <c r="M348" s="7" t="inlineStr">
        <is>
          <t>cargoframes.eu oldaltérkép bejárása</t>
        </is>
      </c>
      <c r="N348" s="7" t="inlineStr">
        <is>
          <t>Nem találtuk: cargoframes.eu oldaltérkép bejárása</t>
        </is>
      </c>
      <c r="O348" s="6" t="inlineStr"/>
      <c r="P348" s="11" t="inlineStr">
        <is>
          <t>https://website-9ib.pages.dev/termek/100001-dugo-perforalt-acel-kerethez/</t>
        </is>
      </c>
      <c r="Q348" s="12" t="inlineStr"/>
      <c r="R348" s="13" t="inlineStr"/>
      <c r="S348" s="6" t="inlineStr">
        <is>
          <t>100001-dugo-perforalt-acel-kerethez</t>
        </is>
      </c>
    </row>
    <row r="349">
      <c r="A349" s="6" t="inlineStr"/>
      <c r="B349" s="7" t="inlineStr">
        <is>
          <t>0156MNH PVC saroktakaró szalag</t>
        </is>
      </c>
      <c r="C349" s="6" t="inlineStr">
        <is>
          <t>Dobozos felépítmény alkatrészek</t>
        </is>
      </c>
      <c r="D349" s="6" t="inlineStr">
        <is>
          <t>Tömítések</t>
        </is>
      </c>
      <c r="E349" s="6" t="inlineStr">
        <is>
          <t>Cimaplast</t>
        </is>
      </c>
      <c r="F349" s="6" t="inlineStr">
        <is>
          <t>156M</t>
        </is>
      </c>
      <c r="G349" s="6" t="inlineStr">
        <is>
          <t>Quadris Excel</t>
        </is>
      </c>
      <c r="H349" s="6" t="n">
        <v>1</v>
      </c>
      <c r="I349" s="6" t="n">
        <v>1</v>
      </c>
      <c r="J349" s="6" t="inlineStr">
        <is>
          <t>van</t>
        </is>
      </c>
      <c r="K349" s="6">
        <f>IF(AND(H349&gt;0,I349&gt;0),"Rendben",IF(AND(H349=0,I349=0),"Nincs kép és adat",IF(H349=0,"Nincs kép","Nincs adat")))</f>
        <v/>
      </c>
      <c r="L349" s="6" t="inlineStr">
        <is>
          <t>Igen</t>
        </is>
      </c>
      <c r="M349" s="7" t="inlineStr">
        <is>
          <t>cimaplast.it kategóriaoldalak</t>
        </is>
      </c>
      <c r="N349" s="7" t="inlineStr">
        <is>
          <t>Megtalálva: Art. 156M (kód: 156M)</t>
        </is>
      </c>
      <c r="O349" s="11" t="inlineStr">
        <is>
          <t>https://www.cimaplast.it/en/profiles/profiles-for-refrigerated-body</t>
        </is>
      </c>
      <c r="P349" s="11" t="inlineStr">
        <is>
          <t>https://website-9ib.pages.dev/termek/0156mnh-pvc-saroktakaro-szalag/</t>
        </is>
      </c>
      <c r="Q349" s="12" t="inlineStr"/>
      <c r="R349" s="13" t="inlineStr"/>
      <c r="S349" s="6" t="inlineStr">
        <is>
          <t>0156mnh-pvc-saroktakaro-szalag</t>
        </is>
      </c>
    </row>
    <row r="350">
      <c r="A350" s="6" t="inlineStr"/>
      <c r="B350" s="7" t="inlineStr">
        <is>
          <t>0156NE PVC Saroktakaró csík, fekete</t>
        </is>
      </c>
      <c r="C350" s="6" t="inlineStr">
        <is>
          <t>Dobozos felépítmény alkatrészek</t>
        </is>
      </c>
      <c r="D350" s="6" t="inlineStr">
        <is>
          <t>Tömítések</t>
        </is>
      </c>
      <c r="E350" s="6" t="inlineStr">
        <is>
          <t>Cimaplast</t>
        </is>
      </c>
      <c r="F350" s="6" t="inlineStr">
        <is>
          <t>54092100</t>
        </is>
      </c>
      <c r="G350" s="6" t="inlineStr">
        <is>
          <t>Quadris Excel</t>
        </is>
      </c>
      <c r="H350" s="6" t="n">
        <v>1</v>
      </c>
      <c r="I350" s="6" t="n">
        <v>2</v>
      </c>
      <c r="J350" s="6" t="inlineStr">
        <is>
          <t>van</t>
        </is>
      </c>
      <c r="K350" s="6">
        <f>IF(AND(H350&gt;0,I350&gt;0),"Rendben",IF(AND(H350=0,I350=0),"Nincs kép és adat",IF(H350=0,"Nincs kép","Nincs adat")))</f>
        <v/>
      </c>
      <c r="L350" s="6" t="inlineStr">
        <is>
          <t>Igen</t>
        </is>
      </c>
      <c r="M350" s="7" t="inlineStr">
        <is>
          <t>cimaplast.it kategóriaoldalak</t>
        </is>
      </c>
      <c r="N350" s="7" t="inlineStr">
        <is>
          <t>Megtalálva: Art. 156M (kód: 156M)</t>
        </is>
      </c>
      <c r="O350" s="11" t="inlineStr">
        <is>
          <t>https://www.cimaplast.it/en/profiles/profiles-for-refrigerated-body</t>
        </is>
      </c>
      <c r="P350" s="11" t="inlineStr">
        <is>
          <t>https://website-9ib.pages.dev/termek/0156ne-pvc-saroktakaro-csik-fekete/</t>
        </is>
      </c>
      <c r="Q350" s="12" t="inlineStr"/>
      <c r="R350" s="13" t="inlineStr"/>
      <c r="S350" s="6" t="inlineStr">
        <is>
          <t>0156ne-pvc-saroktakaro-csik-fekete</t>
        </is>
      </c>
    </row>
    <row r="351">
      <c r="A351" s="6" t="inlineStr"/>
      <c r="B351" s="7" t="inlineStr">
        <is>
          <t>0157GR PVC Saroktakaró csík, szürke</t>
        </is>
      </c>
      <c r="C351" s="6" t="inlineStr">
        <is>
          <t>Dobozos felépítmény alkatrészek</t>
        </is>
      </c>
      <c r="D351" s="6" t="inlineStr">
        <is>
          <t>Tömítések</t>
        </is>
      </c>
      <c r="E351" s="6" t="inlineStr">
        <is>
          <t>Cimaplast</t>
        </is>
      </c>
      <c r="F351" s="6" t="inlineStr"/>
      <c r="G351" s="6" t="inlineStr">
        <is>
          <t>Quadris Excel</t>
        </is>
      </c>
      <c r="H351" s="6" t="n">
        <v>0</v>
      </c>
      <c r="I351" s="6" t="n">
        <v>0</v>
      </c>
      <c r="J351" s="6" t="inlineStr">
        <is>
          <t>nincs</t>
        </is>
      </c>
      <c r="K351" s="6">
        <f>IF(AND(H351&gt;0,I351&gt;0),"Rendben",IF(AND(H351=0,I351=0),"Nincs kép és adat",IF(H351=0,"Nincs kép","Nincs adat")))</f>
        <v/>
      </c>
      <c r="L351" s="6" t="inlineStr">
        <is>
          <t>Igen</t>
        </is>
      </c>
      <c r="M351" s="7" t="inlineStr">
        <is>
          <t>cimaplast.it kategóriaoldalak</t>
        </is>
      </c>
      <c r="N351" s="7" t="inlineStr">
        <is>
          <t>Nem találtuk: cimaplast.it kategóriaoldalak</t>
        </is>
      </c>
      <c r="O351" s="6" t="inlineStr"/>
      <c r="P351" s="11" t="inlineStr">
        <is>
          <t>https://website-9ib.pages.dev/termek/0157gr-pvc-saroktakaro-csik-szurke/</t>
        </is>
      </c>
      <c r="Q351" s="12" t="inlineStr"/>
      <c r="R351" s="13" t="inlineStr"/>
      <c r="S351" s="6" t="inlineStr">
        <is>
          <t>0157gr-pvc-saroktakaro-csik-szurke</t>
        </is>
      </c>
    </row>
    <row r="352">
      <c r="A352" s="6" t="inlineStr">
        <is>
          <t>511127</t>
        </is>
      </c>
      <c r="B352" s="7" t="inlineStr">
        <is>
          <t>25 mm -es PVC tömítés G</t>
        </is>
      </c>
      <c r="C352" s="6" t="inlineStr">
        <is>
          <t>Dobozos felépítmény alkatrészek</t>
        </is>
      </c>
      <c r="D352" s="6" t="inlineStr">
        <is>
          <t>Tömítések</t>
        </is>
      </c>
      <c r="E352" s="6" t="inlineStr">
        <is>
          <t>Cimaplast</t>
        </is>
      </c>
      <c r="F352" s="6" t="inlineStr">
        <is>
          <t>111C</t>
        </is>
      </c>
      <c r="G352" s="6" t="inlineStr">
        <is>
          <t>Quadris Excel</t>
        </is>
      </c>
      <c r="H352" s="6" t="n">
        <v>1</v>
      </c>
      <c r="I352" s="6" t="n">
        <v>4</v>
      </c>
      <c r="J352" s="6" t="inlineStr">
        <is>
          <t>van</t>
        </is>
      </c>
      <c r="K352" s="6">
        <f>IF(AND(H352&gt;0,I352&gt;0),"Rendben",IF(AND(H352=0,I352=0),"Nincs kép és adat",IF(H352=0,"Nincs kép","Nincs adat")))</f>
        <v/>
      </c>
      <c r="L352" s="6" t="inlineStr">
        <is>
          <t>Igen</t>
        </is>
      </c>
      <c r="M352" s="7" t="inlineStr">
        <is>
          <t>cimaplast.it kategóriaoldalak</t>
        </is>
      </c>
      <c r="N352" s="7" t="inlineStr">
        <is>
          <t>Megtalálva: Art. 111C (kód: 111C)</t>
        </is>
      </c>
      <c r="O352" s="11" t="inlineStr">
        <is>
          <t>https://www.cimaplast.it/en/profiles/semi-trailer-and-refrigerated-semi-trailer</t>
        </is>
      </c>
      <c r="P352" s="11" t="inlineStr">
        <is>
          <t>https://website-9ib.pages.dev/termek/511127-25-mm-es-pvc-tomites-g/</t>
        </is>
      </c>
      <c r="Q352" s="12" t="inlineStr"/>
      <c r="R352" s="13" t="inlineStr"/>
      <c r="S352" s="6" t="inlineStr">
        <is>
          <t>511127-25-mm-es-pvc-tomites-g</t>
        </is>
      </c>
    </row>
    <row r="353">
      <c r="A353" s="6" t="inlineStr">
        <is>
          <t>511132</t>
        </is>
      </c>
      <c r="B353" s="7" t="inlineStr">
        <is>
          <t>25 mm -es PVC tömítés G</t>
        </is>
      </c>
      <c r="C353" s="6" t="inlineStr">
        <is>
          <t>Dobozos felépítmény alkatrészek</t>
        </is>
      </c>
      <c r="D353" s="6" t="inlineStr">
        <is>
          <t>Tömítések</t>
        </is>
      </c>
      <c r="E353" s="6" t="inlineStr">
        <is>
          <t>Cimaplast</t>
        </is>
      </c>
      <c r="F353" s="6" t="inlineStr">
        <is>
          <t>111C</t>
        </is>
      </c>
      <c r="G353" s="6" t="inlineStr">
        <is>
          <t>Quadris Excel</t>
        </is>
      </c>
      <c r="H353" s="6" t="n">
        <v>1</v>
      </c>
      <c r="I353" s="6" t="n">
        <v>4</v>
      </c>
      <c r="J353" s="6" t="inlineStr">
        <is>
          <t>van</t>
        </is>
      </c>
      <c r="K353" s="6">
        <f>IF(AND(H353&gt;0,I353&gt;0),"Rendben",IF(AND(H353=0,I353=0),"Nincs kép és adat",IF(H353=0,"Nincs kép","Nincs adat")))</f>
        <v/>
      </c>
      <c r="L353" s="6" t="inlineStr">
        <is>
          <t>Igen</t>
        </is>
      </c>
      <c r="M353" s="7" t="inlineStr">
        <is>
          <t>cimaplast.it kategóriaoldalak</t>
        </is>
      </c>
      <c r="N353" s="7" t="inlineStr">
        <is>
          <t>Megtalálva: Art. 111C (kód: 111C)</t>
        </is>
      </c>
      <c r="O353" s="11" t="inlineStr">
        <is>
          <t>https://www.cimaplast.it/en/profiles/semi-trailer-and-refrigerated-semi-trailer</t>
        </is>
      </c>
      <c r="P353" s="11" t="inlineStr">
        <is>
          <t>https://website-9ib.pages.dev/termek/511132-25-mm-es-pvc-tomites-g/</t>
        </is>
      </c>
      <c r="Q353" s="12" t="inlineStr"/>
      <c r="R353" s="13" t="inlineStr"/>
      <c r="S353" s="6" t="inlineStr">
        <is>
          <t>511132-25-mm-es-pvc-tomites-g</t>
        </is>
      </c>
    </row>
    <row r="354">
      <c r="A354" s="6" t="inlineStr">
        <is>
          <t>511127</t>
        </is>
      </c>
      <c r="B354" s="7" t="inlineStr">
        <is>
          <t>25 mm -es PVC tömítés W/B</t>
        </is>
      </c>
      <c r="C354" s="6" t="inlineStr">
        <is>
          <t>Dobozos felépítmény alkatrészek</t>
        </is>
      </c>
      <c r="D354" s="6" t="inlineStr">
        <is>
          <t>Tömítések</t>
        </is>
      </c>
      <c r="E354" s="6" t="inlineStr">
        <is>
          <t>Cimaplast</t>
        </is>
      </c>
      <c r="F354" s="6" t="inlineStr">
        <is>
          <t>111C</t>
        </is>
      </c>
      <c r="G354" s="6" t="inlineStr">
        <is>
          <t>Quadris Excel</t>
        </is>
      </c>
      <c r="H354" s="6" t="n">
        <v>1</v>
      </c>
      <c r="I354" s="6" t="n">
        <v>4</v>
      </c>
      <c r="J354" s="6" t="inlineStr">
        <is>
          <t>van</t>
        </is>
      </c>
      <c r="K354" s="6">
        <f>IF(AND(H354&gt;0,I354&gt;0),"Rendben",IF(AND(H354=0,I354=0),"Nincs kép és adat",IF(H354=0,"Nincs kép","Nincs adat")))</f>
        <v/>
      </c>
      <c r="L354" s="6" t="inlineStr">
        <is>
          <t>Igen</t>
        </is>
      </c>
      <c r="M354" s="7" t="inlineStr">
        <is>
          <t>cimaplast.it kategóriaoldalak</t>
        </is>
      </c>
      <c r="N354" s="7" t="inlineStr">
        <is>
          <t>Megtalálva: Art. 111C (kód: 111C)</t>
        </is>
      </c>
      <c r="O354" s="11" t="inlineStr">
        <is>
          <t>https://www.cimaplast.it/en/profiles/semi-trailer-and-refrigerated-semi-trailer</t>
        </is>
      </c>
      <c r="P354" s="11" t="inlineStr">
        <is>
          <t>https://website-9ib.pages.dev/termek/511127-25-mm-es-pvc-tomites-w-b/</t>
        </is>
      </c>
      <c r="Q354" s="12" t="inlineStr"/>
      <c r="R354" s="13" t="inlineStr"/>
      <c r="S354" s="6" t="inlineStr">
        <is>
          <t>511127-25-mm-es-pvc-tomites-w-b</t>
        </is>
      </c>
    </row>
    <row r="355">
      <c r="A355" s="6" t="inlineStr">
        <is>
          <t>517027</t>
        </is>
      </c>
      <c r="B355" s="7" t="inlineStr">
        <is>
          <t>30 mm -es PVC tömítés B/W</t>
        </is>
      </c>
      <c r="C355" s="6" t="inlineStr">
        <is>
          <t>Dobozos felépítmény alkatrészek</t>
        </is>
      </c>
      <c r="D355" s="6" t="inlineStr">
        <is>
          <t>Tömítések</t>
        </is>
      </c>
      <c r="E355" s="6" t="inlineStr">
        <is>
          <t>Cimaplast</t>
        </is>
      </c>
      <c r="F355" s="6" t="inlineStr">
        <is>
          <t>70C</t>
        </is>
      </c>
      <c r="G355" s="6" t="inlineStr">
        <is>
          <t>Quadris Excel</t>
        </is>
      </c>
      <c r="H355" s="6" t="n">
        <v>1</v>
      </c>
      <c r="I355" s="6" t="n">
        <v>4</v>
      </c>
      <c r="J355" s="6" t="inlineStr">
        <is>
          <t>van</t>
        </is>
      </c>
      <c r="K355" s="6">
        <f>IF(AND(H355&gt;0,I355&gt;0),"Rendben",IF(AND(H355=0,I355=0),"Nincs kép és adat",IF(H355=0,"Nincs kép","Nincs adat")))</f>
        <v/>
      </c>
      <c r="L355" s="6" t="inlineStr">
        <is>
          <t>Igen</t>
        </is>
      </c>
      <c r="M355" s="7" t="inlineStr">
        <is>
          <t>cimaplast.it kategóriaoldalak</t>
        </is>
      </c>
      <c r="N355" s="7" t="inlineStr">
        <is>
          <t>Megtalálva: Art. 70C (kód: 70C)</t>
        </is>
      </c>
      <c r="O355" s="11" t="inlineStr">
        <is>
          <t>https://www.cimaplast.it/en/profiles/semi-trailer-and-refrigerated-semi-trailer</t>
        </is>
      </c>
      <c r="P355" s="11" t="inlineStr">
        <is>
          <t>https://website-9ib.pages.dev/termek/517027-30-mm-es-pvc-tomites-b-w/</t>
        </is>
      </c>
      <c r="Q355" s="12" t="inlineStr"/>
      <c r="R355" s="13" t="inlineStr"/>
      <c r="S355" s="6" t="inlineStr">
        <is>
          <t>517027-30-mm-es-pvc-tomites-b-w</t>
        </is>
      </c>
    </row>
    <row r="356">
      <c r="A356" s="6" t="inlineStr">
        <is>
          <t>513627</t>
        </is>
      </c>
      <c r="B356" s="7" t="inlineStr">
        <is>
          <t>35 mm-es PVC tömítés G</t>
        </is>
      </c>
      <c r="C356" s="6" t="inlineStr">
        <is>
          <t>Dobozos felépítmény alkatrészek</t>
        </is>
      </c>
      <c r="D356" s="6" t="inlineStr">
        <is>
          <t>Tömítések</t>
        </is>
      </c>
      <c r="E356" s="6" t="inlineStr">
        <is>
          <t>Cimaplast</t>
        </is>
      </c>
      <c r="F356" s="6" t="inlineStr">
        <is>
          <t>36C</t>
        </is>
      </c>
      <c r="G356" s="6" t="inlineStr">
        <is>
          <t>Quadris Excel</t>
        </is>
      </c>
      <c r="H356" s="6" t="n">
        <v>1</v>
      </c>
      <c r="I356" s="6" t="n">
        <v>4</v>
      </c>
      <c r="J356" s="6" t="inlineStr">
        <is>
          <t>van</t>
        </is>
      </c>
      <c r="K356" s="6">
        <f>IF(AND(H356&gt;0,I356&gt;0),"Rendben",IF(AND(H356=0,I356=0),"Nincs kép és adat",IF(H356=0,"Nincs kép","Nincs adat")))</f>
        <v/>
      </c>
      <c r="L356" s="6" t="inlineStr">
        <is>
          <t>Igen</t>
        </is>
      </c>
      <c r="M356" s="7" t="inlineStr">
        <is>
          <t>cimaplast.it kategóriaoldalak</t>
        </is>
      </c>
      <c r="N356" s="7" t="inlineStr">
        <is>
          <t>Megtalálva: Art. 36C (kód: 36C)</t>
        </is>
      </c>
      <c r="O356" s="11" t="inlineStr">
        <is>
          <t>https://www.cimaplast.it/en/profiles/semi-trailer-and-refrigerated-semi-trailer</t>
        </is>
      </c>
      <c r="P356" s="11" t="inlineStr">
        <is>
          <t>https://website-9ib.pages.dev/termek/513627-35-mm-es-pvc-tomites-g/</t>
        </is>
      </c>
      <c r="Q356" s="12" t="inlineStr"/>
      <c r="R356" s="13" t="inlineStr"/>
      <c r="S356" s="6" t="inlineStr">
        <is>
          <t>513627-35-mm-es-pvc-tomites-g</t>
        </is>
      </c>
    </row>
    <row r="357">
      <c r="A357" s="6" t="inlineStr">
        <is>
          <t>512827</t>
        </is>
      </c>
      <c r="B357" s="7" t="inlineStr">
        <is>
          <t>40 mm PVC tömítés N/N</t>
        </is>
      </c>
      <c r="C357" s="6" t="inlineStr">
        <is>
          <t>Dobozos felépítmény alkatrészek</t>
        </is>
      </c>
      <c r="D357" s="6" t="inlineStr">
        <is>
          <t>Tömítések</t>
        </is>
      </c>
      <c r="E357" s="6" t="inlineStr">
        <is>
          <t>Cimaplast</t>
        </is>
      </c>
      <c r="F357" s="6" t="inlineStr">
        <is>
          <t>28C</t>
        </is>
      </c>
      <c r="G357" s="6" t="inlineStr">
        <is>
          <t>Quadris Excel</t>
        </is>
      </c>
      <c r="H357" s="6" t="n">
        <v>1</v>
      </c>
      <c r="I357" s="6" t="n">
        <v>4</v>
      </c>
      <c r="J357" s="6" t="inlineStr">
        <is>
          <t>van</t>
        </is>
      </c>
      <c r="K357" s="6">
        <f>IF(AND(H357&gt;0,I357&gt;0),"Rendben",IF(AND(H357=0,I357=0),"Nincs kép és adat",IF(H357=0,"Nincs kép","Nincs adat")))</f>
        <v/>
      </c>
      <c r="L357" s="6" t="inlineStr">
        <is>
          <t>Igen</t>
        </is>
      </c>
      <c r="M357" s="7" t="inlineStr">
        <is>
          <t>cimaplast.it kategóriaoldalak</t>
        </is>
      </c>
      <c r="N357" s="7" t="inlineStr">
        <is>
          <t>Megtalálva: Art. 28C (kód: 28C)</t>
        </is>
      </c>
      <c r="O357" s="11" t="inlineStr">
        <is>
          <t>https://www.cimaplast.it/en/profiles/semi-trailer-and-refrigerated-semi-trailer</t>
        </is>
      </c>
      <c r="P357" s="11" t="inlineStr">
        <is>
          <t>https://website-9ib.pages.dev/termek/512827-40-mm-pvc-tomites-n-n/</t>
        </is>
      </c>
      <c r="Q357" s="12" t="inlineStr"/>
      <c r="R357" s="13" t="inlineStr"/>
      <c r="S357" s="6" t="inlineStr">
        <is>
          <t>512827-40-mm-pvc-tomites-n-n</t>
        </is>
      </c>
    </row>
    <row r="358">
      <c r="A358" s="6" t="inlineStr">
        <is>
          <t>512827</t>
        </is>
      </c>
      <c r="B358" s="7" t="inlineStr">
        <is>
          <t>40 mm PVC tömítés W/B</t>
        </is>
      </c>
      <c r="C358" s="6" t="inlineStr">
        <is>
          <t>Dobozos felépítmény alkatrészek</t>
        </is>
      </c>
      <c r="D358" s="6" t="inlineStr">
        <is>
          <t>Tömítések</t>
        </is>
      </c>
      <c r="E358" s="6" t="inlineStr">
        <is>
          <t>Cimaplast</t>
        </is>
      </c>
      <c r="F358" s="6" t="inlineStr">
        <is>
          <t>28C</t>
        </is>
      </c>
      <c r="G358" s="6" t="inlineStr">
        <is>
          <t>Quadris Excel</t>
        </is>
      </c>
      <c r="H358" s="6" t="n">
        <v>1</v>
      </c>
      <c r="I358" s="6" t="n">
        <v>4</v>
      </c>
      <c r="J358" s="6" t="inlineStr">
        <is>
          <t>van</t>
        </is>
      </c>
      <c r="K358" s="6">
        <f>IF(AND(H358&gt;0,I358&gt;0),"Rendben",IF(AND(H358=0,I358=0),"Nincs kép és adat",IF(H358=0,"Nincs kép","Nincs adat")))</f>
        <v/>
      </c>
      <c r="L358" s="6" t="inlineStr">
        <is>
          <t>Igen</t>
        </is>
      </c>
      <c r="M358" s="7" t="inlineStr">
        <is>
          <t>cimaplast.it kategóriaoldalak</t>
        </is>
      </c>
      <c r="N358" s="7" t="inlineStr">
        <is>
          <t>Megtalálva: Art. 28C (kód: 28C)</t>
        </is>
      </c>
      <c r="O358" s="11" t="inlineStr">
        <is>
          <t>https://www.cimaplast.it/en/profiles/semi-trailer-and-refrigerated-semi-trailer</t>
        </is>
      </c>
      <c r="P358" s="11" t="inlineStr">
        <is>
          <t>https://website-9ib.pages.dev/termek/512827-40-mm-pvc-tomites-w-b/</t>
        </is>
      </c>
      <c r="Q358" s="12" t="inlineStr"/>
      <c r="R358" s="13" t="inlineStr"/>
      <c r="S358" s="6" t="inlineStr">
        <is>
          <t>512827-40-mm-pvc-tomites-w-b</t>
        </is>
      </c>
    </row>
    <row r="359">
      <c r="A359" s="6" t="inlineStr">
        <is>
          <t>514427</t>
        </is>
      </c>
      <c r="B359" s="7" t="inlineStr">
        <is>
          <t>44 mm-es PVC térelválasztó tömítés G</t>
        </is>
      </c>
      <c r="C359" s="6" t="inlineStr">
        <is>
          <t>Dobozos felépítmény alkatrészek</t>
        </is>
      </c>
      <c r="D359" s="6" t="inlineStr">
        <is>
          <t>Tömítések</t>
        </is>
      </c>
      <c r="E359" s="6" t="inlineStr">
        <is>
          <t>Cimaplast</t>
        </is>
      </c>
      <c r="F359" s="6" t="inlineStr">
        <is>
          <t>440C</t>
        </is>
      </c>
      <c r="G359" s="6" t="inlineStr">
        <is>
          <t>Quadris Excel</t>
        </is>
      </c>
      <c r="H359" s="6" t="n">
        <v>1</v>
      </c>
      <c r="I359" s="6" t="n">
        <v>3</v>
      </c>
      <c r="J359" s="6" t="inlineStr">
        <is>
          <t>van</t>
        </is>
      </c>
      <c r="K359" s="6">
        <f>IF(AND(H359&gt;0,I359&gt;0),"Rendben",IF(AND(H359=0,I359=0),"Nincs kép és adat",IF(H359=0,"Nincs kép","Nincs adat")))</f>
        <v/>
      </c>
      <c r="L359" s="6" t="inlineStr">
        <is>
          <t>Igen</t>
        </is>
      </c>
      <c r="M359" s="7" t="inlineStr">
        <is>
          <t>cimaplast.it kategóriaoldalak</t>
        </is>
      </c>
      <c r="N359" s="7" t="inlineStr">
        <is>
          <t>Megtalálva: Art. 440C (kód: 440C)</t>
        </is>
      </c>
      <c r="O359" s="11" t="inlineStr">
        <is>
          <t>https://www.cimaplast.it/en/profiles/profiles-for-refrigerated-body</t>
        </is>
      </c>
      <c r="P359" s="11" t="inlineStr">
        <is>
          <t>https://website-9ib.pages.dev/termek/514427-44-mm-es-pvc-terelvalaszto-tomites-g/</t>
        </is>
      </c>
      <c r="Q359" s="12" t="inlineStr"/>
      <c r="R359" s="13" t="inlineStr"/>
      <c r="S359" s="6" t="inlineStr">
        <is>
          <t>514427-44-mm-es-pvc-terelvalaszto-tomites-g</t>
        </is>
      </c>
    </row>
    <row r="360">
      <c r="A360" s="6" t="inlineStr"/>
      <c r="B360" s="7" t="inlineStr">
        <is>
          <t>513627C 35 mm-es PVC tömítés B/W</t>
        </is>
      </c>
      <c r="C360" s="6" t="inlineStr">
        <is>
          <t>Dobozos felépítmény alkatrészek</t>
        </is>
      </c>
      <c r="D360" s="6" t="inlineStr">
        <is>
          <t>Tömítések</t>
        </is>
      </c>
      <c r="E360" s="6" t="inlineStr">
        <is>
          <t>Cimaplast</t>
        </is>
      </c>
      <c r="F360" s="6" t="inlineStr">
        <is>
          <t>36C</t>
        </is>
      </c>
      <c r="G360" s="6" t="inlineStr">
        <is>
          <t>Quadris Excel</t>
        </is>
      </c>
      <c r="H360" s="6" t="n">
        <v>1</v>
      </c>
      <c r="I360" s="6" t="n">
        <v>4</v>
      </c>
      <c r="J360" s="6" t="inlineStr">
        <is>
          <t>van</t>
        </is>
      </c>
      <c r="K360" s="6">
        <f>IF(AND(H360&gt;0,I360&gt;0),"Rendben",IF(AND(H360=0,I360=0),"Nincs kép és adat",IF(H360=0,"Nincs kép","Nincs adat")))</f>
        <v/>
      </c>
      <c r="L360" s="6" t="inlineStr">
        <is>
          <t>Igen</t>
        </is>
      </c>
      <c r="M360" s="7" t="inlineStr">
        <is>
          <t>cimaplast.it kategóriaoldalak</t>
        </is>
      </c>
      <c r="N360" s="7" t="inlineStr">
        <is>
          <t>Megtalálva: Art. 36C (kód: 36C)</t>
        </is>
      </c>
      <c r="O360" s="11" t="inlineStr">
        <is>
          <t>https://www.cimaplast.it/en/profiles/semi-trailer-and-refrigerated-semi-trailer</t>
        </is>
      </c>
      <c r="P360" s="11" t="inlineStr">
        <is>
          <t>https://website-9ib.pages.dev/termek/513627c-35-mm-es-pvc-tomites-b-w/</t>
        </is>
      </c>
      <c r="Q360" s="12" t="inlineStr"/>
      <c r="R360" s="13" t="inlineStr"/>
      <c r="S360" s="6" t="inlineStr">
        <is>
          <t>513627c-35-mm-es-pvc-tomites-b-w</t>
        </is>
      </c>
    </row>
    <row r="361">
      <c r="A361" s="6" t="inlineStr">
        <is>
          <t>515727</t>
        </is>
      </c>
      <c r="B361" s="7" t="inlineStr">
        <is>
          <t>55 mm-es PVC tömítés N/N</t>
        </is>
      </c>
      <c r="C361" s="6" t="inlineStr">
        <is>
          <t>Dobozos felépítmény alkatrészek</t>
        </is>
      </c>
      <c r="D361" s="6" t="inlineStr">
        <is>
          <t>Tömítések</t>
        </is>
      </c>
      <c r="E361" s="6" t="inlineStr">
        <is>
          <t>Cimaplast</t>
        </is>
      </c>
      <c r="F361" s="6" t="inlineStr">
        <is>
          <t>570C</t>
        </is>
      </c>
      <c r="G361" s="6" t="inlineStr">
        <is>
          <t>Quadris Excel</t>
        </is>
      </c>
      <c r="H361" s="6" t="n">
        <v>0</v>
      </c>
      <c r="I361" s="6" t="n">
        <v>0</v>
      </c>
      <c r="J361" s="6" t="inlineStr">
        <is>
          <t>nincs</t>
        </is>
      </c>
      <c r="K361" s="6">
        <f>IF(AND(H361&gt;0,I361&gt;0),"Rendben",IF(AND(H361=0,I361=0),"Nincs kép és adat",IF(H361=0,"Nincs kép","Nincs adat")))</f>
        <v/>
      </c>
      <c r="L361" s="6" t="inlineStr">
        <is>
          <t>Igen</t>
        </is>
      </c>
      <c r="M361" s="7" t="inlineStr">
        <is>
          <t>cimaplast.it kategóriaoldalak</t>
        </is>
      </c>
      <c r="N361" s="7" t="inlineStr">
        <is>
          <t>Nem találtuk: cimaplast.it kategóriaoldalak</t>
        </is>
      </c>
      <c r="O361" s="6" t="inlineStr"/>
      <c r="P361" s="11" t="inlineStr">
        <is>
          <t>https://website-9ib.pages.dev/termek/515727-55-mm-es-pvc-tomites-n-n/</t>
        </is>
      </c>
      <c r="Q361" s="12" t="inlineStr"/>
      <c r="R361" s="13" t="inlineStr"/>
      <c r="S361" s="6" t="inlineStr">
        <is>
          <t>515727-55-mm-es-pvc-tomites-n-n</t>
        </is>
      </c>
    </row>
    <row r="362">
      <c r="A362" s="6" t="inlineStr"/>
      <c r="B362" s="7" t="inlineStr">
        <is>
          <t>553208/2,5 m PVC ütközésvédő léc CP</t>
        </is>
      </c>
      <c r="C362" s="6" t="inlineStr">
        <is>
          <t>Dobozos felépítmény alkatrészek</t>
        </is>
      </c>
      <c r="D362" s="6" t="inlineStr">
        <is>
          <t>Gumiütközők</t>
        </is>
      </c>
      <c r="E362" s="6" t="inlineStr">
        <is>
          <t>Cimaplast</t>
        </is>
      </c>
      <c r="F362" s="6" t="inlineStr">
        <is>
          <t>208P</t>
        </is>
      </c>
      <c r="G362" s="6" t="inlineStr">
        <is>
          <t>Quadris Excel</t>
        </is>
      </c>
      <c r="H362" s="6" t="n">
        <v>1</v>
      </c>
      <c r="I362" s="6" t="n">
        <v>1</v>
      </c>
      <c r="J362" s="6" t="inlineStr">
        <is>
          <t>van</t>
        </is>
      </c>
      <c r="K362" s="6">
        <f>IF(AND(H362&gt;0,I362&gt;0),"Rendben",IF(AND(H362=0,I362=0),"Nincs kép és adat",IF(H362=0,"Nincs kép","Nincs adat")))</f>
        <v/>
      </c>
      <c r="L362" s="6" t="inlineStr">
        <is>
          <t>Igen</t>
        </is>
      </c>
      <c r="M362" s="7" t="inlineStr">
        <is>
          <t>cimaplast.it kategóriaoldalak</t>
        </is>
      </c>
      <c r="N362" s="7" t="inlineStr">
        <is>
          <t>Megtalálva: Art. 208P (kód: 208P)</t>
        </is>
      </c>
      <c r="O362" s="11" t="inlineStr">
        <is>
          <t>https://www.cimaplast.it/en/profiles/lateral-bumpers</t>
        </is>
      </c>
      <c r="P362" s="11" t="inlineStr">
        <is>
          <t>https://website-9ib.pages.dev/termek/553208-2-5-m-pvc-utkozesvedo-lec-cp/</t>
        </is>
      </c>
      <c r="Q362" s="12" t="inlineStr"/>
      <c r="R362" s="13" t="inlineStr"/>
      <c r="S362" s="6" t="inlineStr">
        <is>
          <t>553208-2-5-m-pvc-utkozesvedo-lec-cp</t>
        </is>
      </c>
    </row>
    <row r="363">
      <c r="A363" s="6" t="inlineStr">
        <is>
          <t>516550</t>
        </is>
      </c>
      <c r="B363" s="7" t="inlineStr">
        <is>
          <t>65 mm-es PVC tömítés G</t>
        </is>
      </c>
      <c r="C363" s="6" t="inlineStr">
        <is>
          <t>Dobozos felépítmény alkatrészek</t>
        </is>
      </c>
      <c r="D363" s="6" t="inlineStr">
        <is>
          <t>Tömítések</t>
        </is>
      </c>
      <c r="E363" s="6" t="inlineStr">
        <is>
          <t>Cimaplast</t>
        </is>
      </c>
      <c r="F363" s="6" t="inlineStr">
        <is>
          <t>016527</t>
        </is>
      </c>
      <c r="G363" s="6" t="inlineStr">
        <is>
          <t>Quadris Excel</t>
        </is>
      </c>
      <c r="H363" s="6" t="n">
        <v>0</v>
      </c>
      <c r="I363" s="6" t="n">
        <v>0</v>
      </c>
      <c r="J363" s="6" t="inlineStr">
        <is>
          <t>nincs</t>
        </is>
      </c>
      <c r="K363" s="6">
        <f>IF(AND(H363&gt;0,I363&gt;0),"Rendben",IF(AND(H363=0,I363=0),"Nincs kép és adat",IF(H363=0,"Nincs kép","Nincs adat")))</f>
        <v/>
      </c>
      <c r="L363" s="6" t="inlineStr">
        <is>
          <t>Igen</t>
        </is>
      </c>
      <c r="M363" s="7" t="inlineStr">
        <is>
          <t>cimaplast.it kategóriaoldalak</t>
        </is>
      </c>
      <c r="N363" s="7" t="inlineStr">
        <is>
          <t>Nem találtuk: cimaplast.it kategóriaoldalak</t>
        </is>
      </c>
      <c r="O363" s="6" t="inlineStr"/>
      <c r="P363" s="11" t="inlineStr">
        <is>
          <t>https://website-9ib.pages.dev/termek/516550-65-mm-es-pvc-tomites-g/</t>
        </is>
      </c>
      <c r="Q363" s="12" t="inlineStr"/>
      <c r="R363" s="13" t="inlineStr"/>
      <c r="S363" s="6" t="inlineStr">
        <is>
          <t>516550-65-mm-es-pvc-tomites-g</t>
        </is>
      </c>
    </row>
    <row r="364">
      <c r="A364" s="6" t="inlineStr">
        <is>
          <t>516245</t>
        </is>
      </c>
      <c r="B364" s="7" t="inlineStr">
        <is>
          <t>65 mm-es PVC tömítés N/N</t>
        </is>
      </c>
      <c r="C364" s="6" t="inlineStr">
        <is>
          <t>Dobozos felépítmény alkatrészek</t>
        </is>
      </c>
      <c r="D364" s="6" t="inlineStr">
        <is>
          <t>Tömítések</t>
        </is>
      </c>
      <c r="E364" s="6" t="inlineStr">
        <is>
          <t>Cimaplast</t>
        </is>
      </c>
      <c r="F364" s="6" t="inlineStr">
        <is>
          <t>245C</t>
        </is>
      </c>
      <c r="G364" s="6" t="inlineStr">
        <is>
          <t>Quadris Excel</t>
        </is>
      </c>
      <c r="H364" s="6" t="n">
        <v>1</v>
      </c>
      <c r="I364" s="6" t="n">
        <v>4</v>
      </c>
      <c r="J364" s="6" t="inlineStr">
        <is>
          <t>van</t>
        </is>
      </c>
      <c r="K364" s="6">
        <f>IF(AND(H364&gt;0,I364&gt;0),"Rendben",IF(AND(H364=0,I364=0),"Nincs kép és adat",IF(H364=0,"Nincs kép","Nincs adat")))</f>
        <v/>
      </c>
      <c r="L364" s="6" t="inlineStr">
        <is>
          <t>Igen</t>
        </is>
      </c>
      <c r="M364" s="7" t="inlineStr">
        <is>
          <t>cimaplast.it kategóriaoldalak</t>
        </is>
      </c>
      <c r="N364" s="7" t="inlineStr">
        <is>
          <t>Megtalálva: Art. 245C (kód: 245C)</t>
        </is>
      </c>
      <c r="O364" s="11" t="inlineStr">
        <is>
          <t>https://www.cimaplast.it/en/profiles/profiles-for-refrigerated-body</t>
        </is>
      </c>
      <c r="P364" s="11" t="inlineStr">
        <is>
          <t>https://website-9ib.pages.dev/termek/516245-65-mm-es-pvc-tomites-n-n/</t>
        </is>
      </c>
      <c r="Q364" s="12" t="inlineStr"/>
      <c r="R364" s="13" t="inlineStr"/>
      <c r="S364" s="6" t="inlineStr">
        <is>
          <t>516245-65-mm-es-pvc-tomites-n-n</t>
        </is>
      </c>
    </row>
    <row r="365">
      <c r="A365" s="6" t="inlineStr">
        <is>
          <t>553208/3</t>
        </is>
      </c>
      <c r="B365" s="7" t="inlineStr">
        <is>
          <t>M PVC ütközésvédő léc CP</t>
        </is>
      </c>
      <c r="C365" s="6" t="inlineStr">
        <is>
          <t>Dobozos felépítmény alkatrészek</t>
        </is>
      </c>
      <c r="D365" s="6" t="inlineStr">
        <is>
          <t>Gumiütközők</t>
        </is>
      </c>
      <c r="E365" s="6" t="inlineStr">
        <is>
          <t>Cimaplast</t>
        </is>
      </c>
      <c r="F365" s="6" t="inlineStr">
        <is>
          <t>208P</t>
        </is>
      </c>
      <c r="G365" s="6" t="inlineStr">
        <is>
          <t>Quadris Excel</t>
        </is>
      </c>
      <c r="H365" s="6" t="n">
        <v>1</v>
      </c>
      <c r="I365" s="6" t="n">
        <v>1</v>
      </c>
      <c r="J365" s="6" t="inlineStr">
        <is>
          <t>van</t>
        </is>
      </c>
      <c r="K365" s="6">
        <f>IF(AND(H365&gt;0,I365&gt;0),"Rendben",IF(AND(H365=0,I365=0),"Nincs kép és adat",IF(H365=0,"Nincs kép","Nincs adat")))</f>
        <v/>
      </c>
      <c r="L365" s="6" t="inlineStr">
        <is>
          <t>Igen</t>
        </is>
      </c>
      <c r="M365" s="7" t="inlineStr">
        <is>
          <t>cimaplast.it kategóriaoldalak</t>
        </is>
      </c>
      <c r="N365" s="7" t="inlineStr">
        <is>
          <t>Megtalálva: Art. 208P (kód: 208P)</t>
        </is>
      </c>
      <c r="O365" s="11" t="inlineStr">
        <is>
          <t>https://www.cimaplast.it/en/profiles/lateral-bumpers</t>
        </is>
      </c>
      <c r="P365" s="11" t="inlineStr">
        <is>
          <t>https://website-9ib.pages.dev/termek/553208-3-m-pvc-utkozesvedo-lec-cp/</t>
        </is>
      </c>
      <c r="Q365" s="12" t="inlineStr"/>
      <c r="R365" s="13" t="inlineStr"/>
      <c r="S365" s="6" t="inlineStr">
        <is>
          <t>553208-3-m-pvc-utkozesvedo-lec-cp</t>
        </is>
      </c>
    </row>
    <row r="366">
      <c r="A366" s="6" t="inlineStr"/>
      <c r="B366" s="7" t="inlineStr">
        <is>
          <t>E87370 Edscha takaró gumi COMPACT 110</t>
        </is>
      </c>
      <c r="C366" s="6" t="inlineStr">
        <is>
          <t>Elhúzható rolóponyvás rendszer</t>
        </is>
      </c>
      <c r="D366" s="6" t="inlineStr">
        <is>
          <t>Edscha</t>
        </is>
      </c>
      <c r="E366" s="6" t="inlineStr">
        <is>
          <t>Cimaplast</t>
        </is>
      </c>
      <c r="F366" s="6" t="inlineStr">
        <is>
          <t>4038087370</t>
        </is>
      </c>
      <c r="G366" s="6" t="inlineStr">
        <is>
          <t>Quadris Excel</t>
        </is>
      </c>
      <c r="H366" s="6" t="n">
        <v>0</v>
      </c>
      <c r="I366" s="6" t="n">
        <v>0</v>
      </c>
      <c r="J366" s="6" t="inlineStr">
        <is>
          <t>nincs</t>
        </is>
      </c>
      <c r="K366" s="6">
        <f>IF(AND(H366&gt;0,I366&gt;0),"Rendben",IF(AND(H366=0,I366=0),"Nincs kép és adat",IF(H366=0,"Nincs kép","Nincs adat")))</f>
        <v/>
      </c>
      <c r="L366" s="6" t="inlineStr">
        <is>
          <t>Igen</t>
        </is>
      </c>
      <c r="M366" s="7" t="inlineStr">
        <is>
          <t>cimaplast.it kategóriaoldalak</t>
        </is>
      </c>
      <c r="N366" s="7" t="inlineStr">
        <is>
          <t>Nem találtuk: cimaplast.it kategóriaoldalak</t>
        </is>
      </c>
      <c r="O366" s="6" t="inlineStr"/>
      <c r="P366" s="11" t="inlineStr">
        <is>
          <t>https://website-9ib.pages.dev/termek/e87370-edscha-takaro-gumi-compact-110/</t>
        </is>
      </c>
      <c r="Q366" s="12" t="inlineStr"/>
      <c r="R366" s="13" t="inlineStr"/>
      <c r="S366" s="6" t="inlineStr">
        <is>
          <t>e87370-edscha-takaro-gumi-compact-110</t>
        </is>
      </c>
    </row>
    <row r="367">
      <c r="A367" s="6" t="inlineStr">
        <is>
          <t>214209</t>
        </is>
      </c>
      <c r="B367" s="7" t="inlineStr">
        <is>
          <t>Takaró gumi acél "C" sínhez CP</t>
        </is>
      </c>
      <c r="C367" s="6" t="inlineStr">
        <is>
          <t>Elhúzható rolóponyvás rendszer</t>
        </is>
      </c>
      <c r="D367" s="6" t="inlineStr">
        <is>
          <t>ADAICO "C" sín acél</t>
        </is>
      </c>
      <c r="E367" s="6" t="inlineStr">
        <is>
          <t>Cimaplast</t>
        </is>
      </c>
      <c r="F367" s="6" t="inlineStr">
        <is>
          <t>209M</t>
        </is>
      </c>
      <c r="G367" s="6" t="inlineStr">
        <is>
          <t>Quadris Excel</t>
        </is>
      </c>
      <c r="H367" s="6" t="n">
        <v>1</v>
      </c>
      <c r="I367" s="6" t="n">
        <v>2</v>
      </c>
      <c r="J367" s="6" t="inlineStr">
        <is>
          <t>van</t>
        </is>
      </c>
      <c r="K367" s="6">
        <f>IF(AND(H367&gt;0,I367&gt;0),"Rendben",IF(AND(H367=0,I367=0),"Nincs kép és adat",IF(H367=0,"Nincs kép","Nincs adat")))</f>
        <v/>
      </c>
      <c r="L367" s="6" t="inlineStr">
        <is>
          <t>Igen</t>
        </is>
      </c>
      <c r="M367" s="7" t="inlineStr">
        <is>
          <t>cimaplast.it kategóriaoldalak</t>
        </is>
      </c>
      <c r="N367" s="7" t="inlineStr">
        <is>
          <t>Megtalálva: Art. 209M (kód: 209M)</t>
        </is>
      </c>
      <c r="O367" s="11" t="inlineStr">
        <is>
          <t>https://www.cimaplast.it/en/profiles/profiles-for-semi-trailers</t>
        </is>
      </c>
      <c r="P367" s="11" t="inlineStr">
        <is>
          <t>https://website-9ib.pages.dev/termek/214209-takaro-gumi-acel-c-sinhez-cp/</t>
        </is>
      </c>
      <c r="Q367" s="12" t="inlineStr"/>
      <c r="R367" s="13" t="inlineStr"/>
      <c r="S367" s="6" t="inlineStr">
        <is>
          <t>214209-takaro-gumi-acel-c-sinhez-cp</t>
        </is>
      </c>
    </row>
    <row r="368">
      <c r="A368" s="6" t="inlineStr">
        <is>
          <t>532200</t>
        </is>
      </c>
      <c r="B368" s="7" t="inlineStr">
        <is>
          <t>55 mm CC TÖMÍTÉS L: 2850 mm</t>
        </is>
      </c>
      <c r="C368" s="6" t="inlineStr">
        <is>
          <t>Dobozos felépítmény alkatrészek</t>
        </is>
      </c>
      <c r="D368" s="6" t="inlineStr">
        <is>
          <t>Tömítések</t>
        </is>
      </c>
      <c r="E368" s="6" t="inlineStr">
        <is>
          <t>CNT conta</t>
        </is>
      </c>
      <c r="F368" s="6" t="inlineStr">
        <is>
          <t>9.D08.32200.010001</t>
        </is>
      </c>
      <c r="G368" s="6" t="inlineStr">
        <is>
          <t>Quadris Excel</t>
        </is>
      </c>
      <c r="H368" s="6" t="n">
        <v>0</v>
      </c>
      <c r="I368" s="6" t="n">
        <v>0</v>
      </c>
      <c r="J368" s="6" t="inlineStr">
        <is>
          <t>nincs</t>
        </is>
      </c>
      <c r="K368" s="6">
        <f>IF(AND(H368&gt;0,I368&gt;0),"Rendben",IF(AND(H368=0,I368=0),"Nincs kép és adat",IF(H368=0,"Nincs kép","Nincs adat")))</f>
        <v/>
      </c>
      <c r="L368" s="6" t="inlineStr">
        <is>
          <t>Nem</t>
        </is>
      </c>
      <c r="M368" s="7" t="inlineStr">
        <is>
          <t>–</t>
        </is>
      </c>
      <c r="N368" s="7" t="inlineStr">
        <is>
          <t>Nem kerestük – nincs ismert weboldal vagy katalógus</t>
        </is>
      </c>
      <c r="O368" s="6" t="inlineStr"/>
      <c r="P368" s="11" t="inlineStr">
        <is>
          <t>https://website-9ib.pages.dev/termek/532200-55-mm-cc-tomites-l-2850-mm/</t>
        </is>
      </c>
      <c r="Q368" s="12" t="inlineStr"/>
      <c r="R368" s="13" t="inlineStr"/>
      <c r="S368" s="6" t="inlineStr">
        <is>
          <t>532200-55-mm-cc-tomites-l-2850-mm</t>
        </is>
      </c>
    </row>
    <row r="369">
      <c r="A369" s="6" t="inlineStr">
        <is>
          <t>532231</t>
        </is>
      </c>
      <c r="B369" s="7" t="inlineStr">
        <is>
          <t>55 mm CENTER profil L: 2850 mm</t>
        </is>
      </c>
      <c r="C369" s="6" t="inlineStr">
        <is>
          <t>Dobozos felépítmény alkatrészek</t>
        </is>
      </c>
      <c r="D369" s="6" t="inlineStr">
        <is>
          <t>Tömítések</t>
        </is>
      </c>
      <c r="E369" s="6" t="inlineStr">
        <is>
          <t>CNT conta</t>
        </is>
      </c>
      <c r="F369" s="6" t="inlineStr">
        <is>
          <t>9.D08.32231.010001</t>
        </is>
      </c>
      <c r="G369" s="6" t="inlineStr">
        <is>
          <t>Quadris Excel</t>
        </is>
      </c>
      <c r="H369" s="6" t="n">
        <v>0</v>
      </c>
      <c r="I369" s="6" t="n">
        <v>0</v>
      </c>
      <c r="J369" s="6" t="inlineStr">
        <is>
          <t>nincs</t>
        </is>
      </c>
      <c r="K369" s="6">
        <f>IF(AND(H369&gt;0,I369&gt;0),"Rendben",IF(AND(H369=0,I369=0),"Nincs kép és adat",IF(H369=0,"Nincs kép","Nincs adat")))</f>
        <v/>
      </c>
      <c r="L369" s="6" t="inlineStr">
        <is>
          <t>Nem</t>
        </is>
      </c>
      <c r="M369" s="7" t="inlineStr">
        <is>
          <t>–</t>
        </is>
      </c>
      <c r="N369" s="7" t="inlineStr">
        <is>
          <t>Nem kerestük – nincs ismert weboldal vagy katalógus</t>
        </is>
      </c>
      <c r="O369" s="6" t="inlineStr"/>
      <c r="P369" s="11" t="inlineStr">
        <is>
          <t>https://website-9ib.pages.dev/termek/532231-55-mm-center-profil-l-2850-mm/</t>
        </is>
      </c>
      <c r="Q369" s="12" t="inlineStr"/>
      <c r="R369" s="13" t="inlineStr"/>
      <c r="S369" s="6" t="inlineStr">
        <is>
          <t>532231-55-mm-center-profil-l-2850-mm</t>
        </is>
      </c>
    </row>
    <row r="370">
      <c r="A370" s="6" t="inlineStr">
        <is>
          <t>532941</t>
        </is>
      </c>
      <c r="B370" s="7" t="inlineStr">
        <is>
          <t>85 mm CC TÖMÍTÉS L: 2850 mm</t>
        </is>
      </c>
      <c r="C370" s="6" t="inlineStr">
        <is>
          <t>Dobozos felépítmény alkatrészek</t>
        </is>
      </c>
      <c r="D370" s="6" t="inlineStr">
        <is>
          <t>Tömítések</t>
        </is>
      </c>
      <c r="E370" s="6" t="inlineStr">
        <is>
          <t>CNT conta</t>
        </is>
      </c>
      <c r="F370" s="6" t="inlineStr">
        <is>
          <t>9.D08.32941.010001</t>
        </is>
      </c>
      <c r="G370" s="6" t="inlineStr">
        <is>
          <t>Quadris Excel</t>
        </is>
      </c>
      <c r="H370" s="6" t="n">
        <v>0</v>
      </c>
      <c r="I370" s="6" t="n">
        <v>0</v>
      </c>
      <c r="J370" s="6" t="inlineStr">
        <is>
          <t>nincs</t>
        </is>
      </c>
      <c r="K370" s="6">
        <f>IF(AND(H370&gt;0,I370&gt;0),"Rendben",IF(AND(H370=0,I370=0),"Nincs kép és adat",IF(H370=0,"Nincs kép","Nincs adat")))</f>
        <v/>
      </c>
      <c r="L370" s="6" t="inlineStr">
        <is>
          <t>Nem</t>
        </is>
      </c>
      <c r="M370" s="7" t="inlineStr">
        <is>
          <t>–</t>
        </is>
      </c>
      <c r="N370" s="7" t="inlineStr">
        <is>
          <t>Nem kerestük – nincs ismert weboldal vagy katalógus</t>
        </is>
      </c>
      <c r="O370" s="6" t="inlineStr"/>
      <c r="P370" s="11" t="inlineStr">
        <is>
          <t>https://website-9ib.pages.dev/termek/532941-85-mm-cc-tomites-l-2850-mm/</t>
        </is>
      </c>
      <c r="Q370" s="12" t="inlineStr"/>
      <c r="R370" s="13" t="inlineStr"/>
      <c r="S370" s="6" t="inlineStr">
        <is>
          <t>532941-85-mm-cc-tomites-l-2850-mm</t>
        </is>
      </c>
    </row>
    <row r="371">
      <c r="A371" s="6" t="inlineStr">
        <is>
          <t>532925</t>
        </is>
      </c>
      <c r="B371" s="7" t="inlineStr">
        <is>
          <t>85 mm CENTER profil L: 2850 mm</t>
        </is>
      </c>
      <c r="C371" s="6" t="inlineStr">
        <is>
          <t>Dobozos felépítmény alkatrészek</t>
        </is>
      </c>
      <c r="D371" s="6" t="inlineStr">
        <is>
          <t>Tömítések</t>
        </is>
      </c>
      <c r="E371" s="6" t="inlineStr">
        <is>
          <t>CNT conta</t>
        </is>
      </c>
      <c r="F371" s="6" t="inlineStr">
        <is>
          <t>9.D08.32925.010001</t>
        </is>
      </c>
      <c r="G371" s="6" t="inlineStr">
        <is>
          <t>Quadris Excel</t>
        </is>
      </c>
      <c r="H371" s="6" t="n">
        <v>0</v>
      </c>
      <c r="I371" s="6" t="n">
        <v>0</v>
      </c>
      <c r="J371" s="6" t="inlineStr">
        <is>
          <t>nincs</t>
        </is>
      </c>
      <c r="K371" s="6">
        <f>IF(AND(H371&gt;0,I371&gt;0),"Rendben",IF(AND(H371=0,I371=0),"Nincs kép és adat",IF(H371=0,"Nincs kép","Nincs adat")))</f>
        <v/>
      </c>
      <c r="L371" s="6" t="inlineStr">
        <is>
          <t>Nem</t>
        </is>
      </c>
      <c r="M371" s="7" t="inlineStr">
        <is>
          <t>–</t>
        </is>
      </c>
      <c r="N371" s="7" t="inlineStr">
        <is>
          <t>Nem kerestük – nincs ismert weboldal vagy katalógus</t>
        </is>
      </c>
      <c r="O371" s="6" t="inlineStr"/>
      <c r="P371" s="11" t="inlineStr">
        <is>
          <t>https://website-9ib.pages.dev/termek/532925-85-mm-center-profil-l-2850-mm/</t>
        </is>
      </c>
      <c r="Q371" s="12" t="inlineStr"/>
      <c r="R371" s="13" t="inlineStr"/>
      <c r="S371" s="6" t="inlineStr">
        <is>
          <t>532925-85-mm-center-profil-l-2850-mm</t>
        </is>
      </c>
    </row>
    <row r="372">
      <c r="A372" s="6" t="inlineStr">
        <is>
          <t>227686</t>
        </is>
      </c>
      <c r="B372" s="7" t="inlineStr">
        <is>
          <t>50x35x3,5 mm R4 oszlop profil elox</t>
        </is>
      </c>
      <c r="C372" s="6" t="inlineStr">
        <is>
          <t>Acél és alu rakoncák és szegők</t>
        </is>
      </c>
      <c r="D372" s="6" t="inlineStr">
        <is>
          <t>Alumínium rakoncák</t>
        </is>
      </c>
      <c r="E372" s="6" t="inlineStr">
        <is>
          <t>Constellium Decin</t>
        </is>
      </c>
      <c r="F372" s="6" t="inlineStr">
        <is>
          <t>7686</t>
        </is>
      </c>
      <c r="G372" s="6" t="inlineStr">
        <is>
          <t>Quadris Excel</t>
        </is>
      </c>
      <c r="H372" s="6" t="n">
        <v>3</v>
      </c>
      <c r="I372" s="6" t="n">
        <v>3</v>
      </c>
      <c r="J372" s="6" t="inlineStr">
        <is>
          <t>nincs</t>
        </is>
      </c>
      <c r="K372" s="6">
        <f>IF(AND(H372&gt;0,I372&gt;0),"Rendben",IF(AND(H372=0,I372=0),"Nincs kép és adat",IF(H372=0,"Nincs kép","Nincs adat")))</f>
        <v/>
      </c>
      <c r="L372" s="6" t="inlineStr">
        <is>
          <t>Igen</t>
        </is>
      </c>
      <c r="M372" s="7" t="inlineStr">
        <is>
          <t>alu-sv.com (a kód utolsó számjegyei); Ital Accessori katalógus; Drive: CONSTELLIUM DECIN Excel – nem letölthető (&gt;10 MB)</t>
        </is>
      </c>
      <c r="N372" s="7" t="inlineStr">
        <is>
          <t>Nem találtuk: alu-sv.com (a kód utolsó számjegyei); Ital Accessori katalógus; Drive: CONSTELLIUM DECIN Excel – nem letölthető (&gt;10 MB); adatlap a Quadris-megnevezésből</t>
        </is>
      </c>
      <c r="O372" s="6" t="inlineStr"/>
      <c r="P372" s="11" t="inlineStr">
        <is>
          <t>https://website-9ib.pages.dev/termek/227686-50x35x3-5-mm-r4-oszlop-profil-elox/</t>
        </is>
      </c>
      <c r="Q372" s="12" t="inlineStr"/>
      <c r="R372" s="13" t="inlineStr"/>
      <c r="S372" s="6" t="inlineStr">
        <is>
          <t>227686-50x35x3-5-mm-r4-oszlop-profil-elox</t>
        </is>
      </c>
    </row>
    <row r="373">
      <c r="A373" s="6" t="inlineStr">
        <is>
          <t>202387</t>
        </is>
      </c>
      <c r="B373" s="7" t="inlineStr">
        <is>
          <t>"I" 70 Kereszttartó</t>
        </is>
      </c>
      <c r="C373" s="6" t="inlineStr">
        <is>
          <t>Alumínium alváz profilok</t>
        </is>
      </c>
      <c r="D373" s="6" t="inlineStr">
        <is>
          <t>Kereszttartók</t>
        </is>
      </c>
      <c r="E373" s="6" t="inlineStr">
        <is>
          <t>Constellium Decin</t>
        </is>
      </c>
      <c r="F373" s="6" t="inlineStr">
        <is>
          <t>12387</t>
        </is>
      </c>
      <c r="G373" s="6" t="inlineStr">
        <is>
          <t>Quadris Excel</t>
        </is>
      </c>
      <c r="H373" s="6" t="n">
        <v>0</v>
      </c>
      <c r="I373" s="6" t="n">
        <v>0</v>
      </c>
      <c r="J373" s="6" t="inlineStr">
        <is>
          <t>nincs</t>
        </is>
      </c>
      <c r="K373" s="6">
        <f>IF(AND(H373&gt;0,I373&gt;0),"Rendben",IF(AND(H373=0,I373=0),"Nincs kép és adat",IF(H373=0,"Nincs kép","Nincs adat")))</f>
        <v/>
      </c>
      <c r="L373" s="6" t="inlineStr">
        <is>
          <t>Igen</t>
        </is>
      </c>
      <c r="M373" s="7" t="inlineStr">
        <is>
          <t>alu-sv.com (a kód utolsó számjegyei); Ital Accessori katalógus; Drive: CONSTELLIUM DECIN Excel – nem letölthető (&gt;10 MB)</t>
        </is>
      </c>
      <c r="N373" s="7" t="inlineStr">
        <is>
          <t>Nem találtuk: alu-sv.com (a kód utolsó számjegyei); Ital Accessori katalógus; Drive: CONSTELLIUM DECIN Excel – nem letölthető (&gt;10 MB)</t>
        </is>
      </c>
      <c r="O373" s="6" t="inlineStr"/>
      <c r="P373" s="11" t="inlineStr">
        <is>
          <t>https://website-9ib.pages.dev/termek/202387-i-70-kereszttarto/</t>
        </is>
      </c>
      <c r="Q373" s="12" t="inlineStr"/>
      <c r="R373" s="13" t="inlineStr"/>
      <c r="S373" s="6" t="inlineStr">
        <is>
          <t>202387-i-70-kereszttarto</t>
        </is>
      </c>
    </row>
    <row r="374">
      <c r="A374" s="6" t="inlineStr">
        <is>
          <t>207319</t>
        </is>
      </c>
      <c r="B374" s="7" t="inlineStr">
        <is>
          <t>"I" 90 Kereszttartó</t>
        </is>
      </c>
      <c r="C374" s="6" t="inlineStr">
        <is>
          <t>Alumínium alváz profilok</t>
        </is>
      </c>
      <c r="D374" s="6" t="inlineStr">
        <is>
          <t>Kereszttartók</t>
        </is>
      </c>
      <c r="E374" s="6" t="inlineStr">
        <is>
          <t>Constellium Decin</t>
        </is>
      </c>
      <c r="F374" s="6" t="inlineStr">
        <is>
          <t>7319</t>
        </is>
      </c>
      <c r="G374" s="6" t="inlineStr">
        <is>
          <t>Quadris Excel</t>
        </is>
      </c>
      <c r="H374" s="6" t="n">
        <v>1</v>
      </c>
      <c r="I374" s="6" t="n">
        <v>5</v>
      </c>
      <c r="J374" s="6" t="inlineStr">
        <is>
          <t>nincs</t>
        </is>
      </c>
      <c r="K374" s="6">
        <f>IF(AND(H374&gt;0,I374&gt;0),"Rendben",IF(AND(H374=0,I374=0),"Nincs kép és adat",IF(H374=0,"Nincs kép","Nincs adat")))</f>
        <v/>
      </c>
      <c r="L374" s="6" t="inlineStr">
        <is>
          <t>Igen</t>
        </is>
      </c>
      <c r="M374" s="7" t="inlineStr">
        <is>
          <t>alu-sv.com (a kód utolsó számjegyei); Ital Accessori katalógus; Drive: CONSTELLIUM DECIN Excel – nem letölthető (&gt;10 MB)</t>
        </is>
      </c>
      <c r="N374" s="7" t="inlineStr">
        <is>
          <t>Megtalálva: Crossbar 90mm al (kód: 6600007319)</t>
        </is>
      </c>
      <c r="O374" s="11" t="inlineStr">
        <is>
          <t>https://www.alu-sv.com/en/goods.ep/4000002_parts-for-aluminium-platforms/1461_crossbar-90mm-al</t>
        </is>
      </c>
      <c r="P374" s="11" t="inlineStr">
        <is>
          <t>https://website-9ib.pages.dev/termek/207319-i-90-kereszttarto/</t>
        </is>
      </c>
      <c r="Q374" s="12" t="inlineStr"/>
      <c r="R374" s="13" t="inlineStr"/>
      <c r="S374" s="6" t="inlineStr">
        <is>
          <t>207319-i-90-kereszttarto</t>
        </is>
      </c>
    </row>
    <row r="375">
      <c r="A375" s="6" t="inlineStr">
        <is>
          <t>2073902</t>
        </is>
      </c>
      <c r="B375" s="7" t="inlineStr">
        <is>
          <t>"I" 90 csavarozható kereszttartó</t>
        </is>
      </c>
      <c r="C375" s="6" t="inlineStr">
        <is>
          <t>Alumínium alváz profilok</t>
        </is>
      </c>
      <c r="D375" s="6" t="inlineStr">
        <is>
          <t>Kereszttartók</t>
        </is>
      </c>
      <c r="E375" s="6" t="inlineStr">
        <is>
          <t>Constellium Decin</t>
        </is>
      </c>
      <c r="F375" s="6" t="inlineStr">
        <is>
          <t>10902</t>
        </is>
      </c>
      <c r="G375" s="6" t="inlineStr">
        <is>
          <t>Quadris Excel</t>
        </is>
      </c>
      <c r="H375" s="6" t="n">
        <v>0</v>
      </c>
      <c r="I375" s="6" t="n">
        <v>0</v>
      </c>
      <c r="J375" s="6" t="inlineStr">
        <is>
          <t>nincs</t>
        </is>
      </c>
      <c r="K375" s="6">
        <f>IF(AND(H375&gt;0,I375&gt;0),"Rendben",IF(AND(H375=0,I375=0),"Nincs kép és adat",IF(H375=0,"Nincs kép","Nincs adat")))</f>
        <v/>
      </c>
      <c r="L375" s="6" t="inlineStr">
        <is>
          <t>Igen</t>
        </is>
      </c>
      <c r="M375" s="7" t="inlineStr">
        <is>
          <t>alu-sv.com (a kód utolsó számjegyei); Ital Accessori katalógus; Drive: CONSTELLIUM DECIN Excel – nem letölthető (&gt;10 MB)</t>
        </is>
      </c>
      <c r="N375" s="7" t="inlineStr">
        <is>
          <t>Nem találtuk: alu-sv.com (a kód utolsó számjegyei); Ital Accessori katalógus; Drive: CONSTELLIUM DECIN Excel – nem letölthető (&gt;10 MB)</t>
        </is>
      </c>
      <c r="O375" s="6" t="inlineStr"/>
      <c r="P375" s="11" t="inlineStr">
        <is>
          <t>https://website-9ib.pages.dev/termek/2073902-i-90-csavarozhato-kereszttarto/</t>
        </is>
      </c>
      <c r="Q375" s="12" t="inlineStr"/>
      <c r="R375" s="13" t="inlineStr"/>
      <c r="S375" s="6" t="inlineStr">
        <is>
          <t>2073902-i-90-csavarozhato-kereszttarto</t>
        </is>
      </c>
    </row>
    <row r="376">
      <c r="A376" s="6" t="inlineStr">
        <is>
          <t>207315</t>
        </is>
      </c>
      <c r="B376" s="7" t="inlineStr">
        <is>
          <t>"I"108 kereszttartó</t>
        </is>
      </c>
      <c r="C376" s="6" t="inlineStr">
        <is>
          <t>Alumínium alváz profilok</t>
        </is>
      </c>
      <c r="D376" s="6" t="inlineStr">
        <is>
          <t>Kereszttartók</t>
        </is>
      </c>
      <c r="E376" s="6" t="inlineStr">
        <is>
          <t>Constellium Decin</t>
        </is>
      </c>
      <c r="F376" s="6" t="inlineStr">
        <is>
          <t>6005A /T6</t>
        </is>
      </c>
      <c r="G376" s="6" t="inlineStr">
        <is>
          <t>Quadris Excel</t>
        </is>
      </c>
      <c r="H376" s="6" t="n">
        <v>1</v>
      </c>
      <c r="I376" s="6" t="n">
        <v>7</v>
      </c>
      <c r="J376" s="6" t="inlineStr">
        <is>
          <t>nincs</t>
        </is>
      </c>
      <c r="K376" s="6">
        <f>IF(AND(H376&gt;0,I376&gt;0),"Rendben",IF(AND(H376=0,I376=0),"Nincs kép és adat",IF(H376=0,"Nincs kép","Nincs adat")))</f>
        <v/>
      </c>
      <c r="L376" s="6" t="inlineStr">
        <is>
          <t>Igen</t>
        </is>
      </c>
      <c r="M376" s="7" t="inlineStr">
        <is>
          <t>alu-sv.com (a kód utolsó számjegyei); Ital Accessori katalógus; Drive: CONSTELLIUM DECIN Excel – nem letölthető (&gt;10 MB)</t>
        </is>
      </c>
      <c r="N376" s="7" t="inlineStr">
        <is>
          <t>Megtalálva: Crossbar 108mm al (kód: 6600007315)</t>
        </is>
      </c>
      <c r="O376" s="11" t="inlineStr">
        <is>
          <t>https://www.alu-sv.com/en/goods.ep/4000002_parts-for-aluminium-platforms/1457_crossbar-108mm-al</t>
        </is>
      </c>
      <c r="P376" s="11" t="inlineStr">
        <is>
          <t>https://website-9ib.pages.dev/termek/207315-i-108-kereszttarto/</t>
        </is>
      </c>
      <c r="Q376" s="12" t="inlineStr"/>
      <c r="R376" s="13" t="inlineStr"/>
      <c r="S376" s="6" t="inlineStr">
        <is>
          <t>207315-i-108-kereszttarto</t>
        </is>
      </c>
    </row>
    <row r="377">
      <c r="A377" s="6" t="inlineStr">
        <is>
          <t>207317</t>
        </is>
      </c>
      <c r="B377" s="7" t="inlineStr">
        <is>
          <t>"U" 108 Hossztartó</t>
        </is>
      </c>
      <c r="C377" s="6" t="inlineStr">
        <is>
          <t>Alumínium alváz profilok</t>
        </is>
      </c>
      <c r="D377" s="6" t="inlineStr">
        <is>
          <t>Hossztartók</t>
        </is>
      </c>
      <c r="E377" s="6" t="inlineStr">
        <is>
          <t>Constellium Decin</t>
        </is>
      </c>
      <c r="F377" s="6" t="inlineStr">
        <is>
          <t>7317</t>
        </is>
      </c>
      <c r="G377" s="6" t="inlineStr">
        <is>
          <t>Quadris Excel</t>
        </is>
      </c>
      <c r="H377" s="6" t="n">
        <v>1</v>
      </c>
      <c r="I377" s="6" t="n">
        <v>6</v>
      </c>
      <c r="J377" s="6" t="inlineStr">
        <is>
          <t>nincs</t>
        </is>
      </c>
      <c r="K377" s="6">
        <f>IF(AND(H377&gt;0,I377&gt;0),"Rendben",IF(AND(H377=0,I377=0),"Nincs kép és adat",IF(H377=0,"Nincs kép","Nincs adat")))</f>
        <v/>
      </c>
      <c r="L377" s="6" t="inlineStr">
        <is>
          <t>Igen</t>
        </is>
      </c>
      <c r="M377" s="7" t="inlineStr">
        <is>
          <t>alu-sv.com (a kód utolsó számjegyei); Ital Accessori katalógus; Drive: CONSTELLIUM DECIN Excel – nem letölthető (&gt;10 MB)</t>
        </is>
      </c>
      <c r="N377" s="7" t="inlineStr">
        <is>
          <t>Megtalálva: Pozdĺžny hliníkový profil 108 mm Runner aluminium profile 108 mm (kód: 117317)</t>
        </is>
      </c>
      <c r="O377" s="11" t="inlineStr">
        <is>
          <t>https://www.ital-accessori.sk/katalog/book/KOMP/3/</t>
        </is>
      </c>
      <c r="P377" s="11" t="inlineStr">
        <is>
          <t>https://website-9ib.pages.dev/termek/207317-u-108-hossztarto/</t>
        </is>
      </c>
      <c r="Q377" s="12" t="inlineStr"/>
      <c r="R377" s="13" t="inlineStr"/>
      <c r="S377" s="6" t="inlineStr">
        <is>
          <t>207317-u-108-hossztarto</t>
        </is>
      </c>
    </row>
    <row r="378">
      <c r="A378" s="6" t="inlineStr">
        <is>
          <t>202386</t>
        </is>
      </c>
      <c r="B378" s="7" t="inlineStr">
        <is>
          <t>"U" 130 Hossztartó</t>
        </is>
      </c>
      <c r="C378" s="6" t="inlineStr">
        <is>
          <t>Alumínium alváz profilok</t>
        </is>
      </c>
      <c r="D378" s="6" t="inlineStr">
        <is>
          <t>Hossztartók</t>
        </is>
      </c>
      <c r="E378" s="6" t="inlineStr">
        <is>
          <t>Constellium Decin</t>
        </is>
      </c>
      <c r="F378" s="6" t="inlineStr">
        <is>
          <t>12386</t>
        </is>
      </c>
      <c r="G378" s="6" t="inlineStr">
        <is>
          <t>Quadris Excel</t>
        </is>
      </c>
      <c r="H378" s="6" t="n">
        <v>0</v>
      </c>
      <c r="I378" s="6" t="n">
        <v>0</v>
      </c>
      <c r="J378" s="6" t="inlineStr">
        <is>
          <t>nincs</t>
        </is>
      </c>
      <c r="K378" s="6">
        <f>IF(AND(H378&gt;0,I378&gt;0),"Rendben",IF(AND(H378=0,I378=0),"Nincs kép és adat",IF(H378=0,"Nincs kép","Nincs adat")))</f>
        <v/>
      </c>
      <c r="L378" s="6" t="inlineStr">
        <is>
          <t>Igen</t>
        </is>
      </c>
      <c r="M378" s="7" t="inlineStr">
        <is>
          <t>alu-sv.com (a kód utolsó számjegyei); Ital Accessori katalógus; Drive: CONSTELLIUM DECIN Excel – nem letölthető (&gt;10 MB)</t>
        </is>
      </c>
      <c r="N378" s="7" t="inlineStr">
        <is>
          <t>Nem találtuk: alu-sv.com (a kód utolsó számjegyei); Ital Accessori katalógus; Drive: CONSTELLIUM DECIN Excel – nem letölthető (&gt;10 MB) – A Quadris kérésére most kihagyva (csak a Decin Excelben van rajz).</t>
        </is>
      </c>
      <c r="O378" s="6" t="inlineStr"/>
      <c r="P378" s="11" t="inlineStr">
        <is>
          <t>https://website-9ib.pages.dev/termek/202386-u-130-hossztarto/</t>
        </is>
      </c>
      <c r="Q378" s="12" t="inlineStr"/>
      <c r="R378" s="13" t="inlineStr"/>
      <c r="S378" s="6" t="inlineStr">
        <is>
          <t>202386-u-130-hossztarto</t>
        </is>
      </c>
    </row>
    <row r="379">
      <c r="A379" s="6" t="inlineStr">
        <is>
          <t>207316</t>
        </is>
      </c>
      <c r="B379" s="7" t="inlineStr">
        <is>
          <t>"U" 90 Hossztartó</t>
        </is>
      </c>
      <c r="C379" s="6" t="inlineStr">
        <is>
          <t>Alumínium alváz profilok</t>
        </is>
      </c>
      <c r="D379" s="6" t="inlineStr">
        <is>
          <t>Hossztartók</t>
        </is>
      </c>
      <c r="E379" s="6" t="inlineStr">
        <is>
          <t>Constellium Decin</t>
        </is>
      </c>
      <c r="F379" s="6" t="inlineStr">
        <is>
          <t>7316</t>
        </is>
      </c>
      <c r="G379" s="6" t="inlineStr">
        <is>
          <t>Quadris Excel</t>
        </is>
      </c>
      <c r="H379" s="6" t="n">
        <v>1</v>
      </c>
      <c r="I379" s="6" t="n">
        <v>6</v>
      </c>
      <c r="J379" s="6" t="inlineStr">
        <is>
          <t>nincs</t>
        </is>
      </c>
      <c r="K379" s="6">
        <f>IF(AND(H379&gt;0,I379&gt;0),"Rendben",IF(AND(H379=0,I379=0),"Nincs kép és adat",IF(H379=0,"Nincs kép","Nincs adat")))</f>
        <v/>
      </c>
      <c r="L379" s="6" t="inlineStr">
        <is>
          <t>Igen</t>
        </is>
      </c>
      <c r="M379" s="7" t="inlineStr">
        <is>
          <t>alu-sv.com (a kód utolsó számjegyei); Ital Accessori katalógus; Drive: CONSTELLIUM DECIN Excel – nem letölthető (&gt;10 MB)</t>
        </is>
      </c>
      <c r="N379" s="7" t="inlineStr">
        <is>
          <t>Megtalálva: Pozdĺžny hliníkový profil 90 mm Runner aluminium profile 90 mm (kód: 117316)</t>
        </is>
      </c>
      <c r="O379" s="11" t="inlineStr">
        <is>
          <t>https://www.ital-accessori.sk/katalog/book/KOMP/3/</t>
        </is>
      </c>
      <c r="P379" s="11" t="inlineStr">
        <is>
          <t>https://website-9ib.pages.dev/termek/207316-u-90-hossztarto/</t>
        </is>
      </c>
      <c r="Q379" s="12" t="inlineStr"/>
      <c r="R379" s="13" t="inlineStr"/>
      <c r="S379" s="6" t="inlineStr">
        <is>
          <t>207316-u-90-hossztarto</t>
        </is>
      </c>
    </row>
    <row r="380">
      <c r="A380" s="6" t="inlineStr">
        <is>
          <t>202388</t>
        </is>
      </c>
      <c r="B380" s="7" t="inlineStr">
        <is>
          <t>15/70 mm Keretprofil elox CD</t>
        </is>
      </c>
      <c r="C380" s="6" t="inlineStr">
        <is>
          <t>Alumínium alváz profilok</t>
        </is>
      </c>
      <c r="D380" s="6" t="inlineStr">
        <is>
          <t>Keret profilok</t>
        </is>
      </c>
      <c r="E380" s="6" t="inlineStr">
        <is>
          <t>Constellium Decin</t>
        </is>
      </c>
      <c r="F380" s="6" t="inlineStr">
        <is>
          <t>12388</t>
        </is>
      </c>
      <c r="G380" s="6" t="inlineStr">
        <is>
          <t>Quadris Excel</t>
        </is>
      </c>
      <c r="H380" s="6" t="n">
        <v>0</v>
      </c>
      <c r="I380" s="6" t="n">
        <v>0</v>
      </c>
      <c r="J380" s="6" t="inlineStr">
        <is>
          <t>nincs</t>
        </is>
      </c>
      <c r="K380" s="6">
        <f>IF(AND(H380&gt;0,I380&gt;0),"Rendben",IF(AND(H380=0,I380=0),"Nincs kép és adat",IF(H380=0,"Nincs kép","Nincs adat")))</f>
        <v/>
      </c>
      <c r="L380" s="6" t="inlineStr">
        <is>
          <t>Igen</t>
        </is>
      </c>
      <c r="M380" s="7" t="inlineStr">
        <is>
          <t>alu-sv.com (a kód utolsó számjegyei); Ital Accessori katalógus; Drive: CONSTELLIUM DECIN Excel – nem letölthető (&gt;10 MB)</t>
        </is>
      </c>
      <c r="N380" s="7" t="inlineStr">
        <is>
          <t>Nem találtuk: alu-sv.com (a kód utolsó számjegyei); Ital Accessori katalógus; Drive: CONSTELLIUM DECIN Excel – nem letölthető (&gt;10 MB)</t>
        </is>
      </c>
      <c r="O380" s="6" t="inlineStr"/>
      <c r="P380" s="11" t="inlineStr">
        <is>
          <t>https://website-9ib.pages.dev/termek/202388-15-70-mm-keretprofil-elox-cd/</t>
        </is>
      </c>
      <c r="Q380" s="12" t="inlineStr"/>
      <c r="R380" s="13" t="inlineStr"/>
      <c r="S380" s="6" t="inlineStr">
        <is>
          <t>202388-15-70-mm-keretprofil-elox-cd</t>
        </is>
      </c>
    </row>
    <row r="381">
      <c r="A381" s="6" t="inlineStr">
        <is>
          <t>2018652</t>
        </is>
      </c>
      <c r="B381" s="7" t="inlineStr">
        <is>
          <t>18 mm Keretprofil erősített elox</t>
        </is>
      </c>
      <c r="C381" s="6" t="inlineStr">
        <is>
          <t>Alumínium alváz profilok</t>
        </is>
      </c>
      <c r="D381" s="6" t="inlineStr">
        <is>
          <t>Keret profilok</t>
        </is>
      </c>
      <c r="E381" s="6" t="inlineStr">
        <is>
          <t>Constellium Decin</t>
        </is>
      </c>
      <c r="F381" s="6" t="inlineStr">
        <is>
          <t>8652</t>
        </is>
      </c>
      <c r="G381" s="6" t="inlineStr">
        <is>
          <t>Quadris Excel</t>
        </is>
      </c>
      <c r="H381" s="6" t="n">
        <v>0</v>
      </c>
      <c r="I381" s="6" t="n">
        <v>0</v>
      </c>
      <c r="J381" s="6" t="inlineStr">
        <is>
          <t>nincs</t>
        </is>
      </c>
      <c r="K381" s="6">
        <f>IF(AND(H381&gt;0,I381&gt;0),"Rendben",IF(AND(H381=0,I381=0),"Nincs kép és adat",IF(H381=0,"Nincs kép","Nincs adat")))</f>
        <v/>
      </c>
      <c r="L381" s="6" t="inlineStr">
        <is>
          <t>Igen</t>
        </is>
      </c>
      <c r="M381" s="7" t="inlineStr">
        <is>
          <t>alu-sv.com (a kód utolsó számjegyei); Ital Accessori katalógus; Drive: CONSTELLIUM DECIN Excel – nem letölthető (&gt;10 MB)</t>
        </is>
      </c>
      <c r="N381" s="7" t="inlineStr">
        <is>
          <t>Nem találtuk: alu-sv.com (a kód utolsó számjegyei); Ital Accessori katalógus; Drive: CONSTELLIUM DECIN Excel – nem letölthető (&gt;10 MB)</t>
        </is>
      </c>
      <c r="O381" s="6" t="inlineStr"/>
      <c r="P381" s="11" t="inlineStr">
        <is>
          <t>https://website-9ib.pages.dev/termek/2018652-18-mm-keretprofil-erositett-elox/</t>
        </is>
      </c>
      <c r="Q381" s="12" t="inlineStr"/>
      <c r="R381" s="13" t="inlineStr"/>
      <c r="S381" s="6" t="inlineStr">
        <is>
          <t>2018652-18-mm-keretprofil-erositett-elox</t>
        </is>
      </c>
    </row>
    <row r="382">
      <c r="A382" s="6" t="inlineStr">
        <is>
          <t>206941</t>
        </is>
      </c>
      <c r="B382" s="7" t="inlineStr">
        <is>
          <t>CD 100x30 mm Aláfutásgátló elox profil</t>
        </is>
      </c>
      <c r="C382" s="6" t="inlineStr">
        <is>
          <t>Alumínium alváz profilok</t>
        </is>
      </c>
      <c r="D382" s="6" t="inlineStr">
        <is>
          <t>Aláfutásgátló profilok</t>
        </is>
      </c>
      <c r="E382" s="6" t="inlineStr">
        <is>
          <t>Constellium Decin</t>
        </is>
      </c>
      <c r="F382" s="6" t="inlineStr">
        <is>
          <t>6941</t>
        </is>
      </c>
      <c r="G382" s="6" t="inlineStr">
        <is>
          <t>Quadris Excel</t>
        </is>
      </c>
      <c r="H382" s="6" t="n">
        <v>0</v>
      </c>
      <c r="I382" s="6" t="n">
        <v>0</v>
      </c>
      <c r="J382" s="6" t="inlineStr">
        <is>
          <t>nincs</t>
        </is>
      </c>
      <c r="K382" s="6">
        <f>IF(AND(H382&gt;0,I382&gt;0),"Rendben",IF(AND(H382=0,I382=0),"Nincs kép és adat",IF(H382=0,"Nincs kép","Nincs adat")))</f>
        <v/>
      </c>
      <c r="L382" s="6" t="inlineStr">
        <is>
          <t>Igen</t>
        </is>
      </c>
      <c r="M382" s="7" t="inlineStr">
        <is>
          <t>alu-sv.com (a kód utolsó számjegyei); Ital Accessori katalógus; Drive: CONSTELLIUM DECIN Excel – nem letölthető (&gt;10 MB)</t>
        </is>
      </c>
      <c r="N382" s="7" t="inlineStr">
        <is>
          <t>Nem találtuk: alu-sv.com (a kód utolsó számjegyei); Ital Accessori katalógus; Drive: CONSTELLIUM DECIN Excel – nem letölthető (&gt;10 MB)</t>
        </is>
      </c>
      <c r="O382" s="6" t="inlineStr"/>
      <c r="P382" s="11" t="inlineStr">
        <is>
          <t>https://website-9ib.pages.dev/termek/206941-cd-100x30-mm-alafutasgatlo-elox-profil/</t>
        </is>
      </c>
      <c r="Q382" s="12" t="inlineStr"/>
      <c r="R382" s="13" t="inlineStr"/>
      <c r="S382" s="6" t="inlineStr">
        <is>
          <t>206941-cd-100x30-mm-alafutasgatlo-elox-profil</t>
        </is>
      </c>
    </row>
    <row r="383">
      <c r="A383" s="6" t="inlineStr">
        <is>
          <t>208477</t>
        </is>
      </c>
      <c r="B383" s="7" t="inlineStr">
        <is>
          <t>CD2 100x30 mm Aláfutásgátló elox profil</t>
        </is>
      </c>
      <c r="C383" s="6" t="inlineStr">
        <is>
          <t>Alumínium alváz profilok</t>
        </is>
      </c>
      <c r="D383" s="6" t="inlineStr">
        <is>
          <t>Aláfutásgátló profilok</t>
        </is>
      </c>
      <c r="E383" s="6" t="inlineStr">
        <is>
          <t>Constellium Decin</t>
        </is>
      </c>
      <c r="F383" s="6" t="inlineStr">
        <is>
          <t>8477</t>
        </is>
      </c>
      <c r="G383" s="6" t="inlineStr">
        <is>
          <t>Quadris Excel</t>
        </is>
      </c>
      <c r="H383" s="6" t="n">
        <v>0</v>
      </c>
      <c r="I383" s="6" t="n">
        <v>0</v>
      </c>
      <c r="J383" s="6" t="inlineStr">
        <is>
          <t>nincs</t>
        </is>
      </c>
      <c r="K383" s="6">
        <f>IF(AND(H383&gt;0,I383&gt;0),"Rendben",IF(AND(H383=0,I383=0),"Nincs kép és adat",IF(H383=0,"Nincs kép","Nincs adat")))</f>
        <v/>
      </c>
      <c r="L383" s="6" t="inlineStr">
        <is>
          <t>Igen</t>
        </is>
      </c>
      <c r="M383" s="7" t="inlineStr">
        <is>
          <t>alu-sv.com (a kód utolsó számjegyei); Ital Accessori katalógus; Drive: CONSTELLIUM DECIN Excel – nem letölthető (&gt;10 MB)</t>
        </is>
      </c>
      <c r="N383" s="7" t="inlineStr">
        <is>
          <t>Nem találtuk: alu-sv.com (a kód utolsó számjegyei); Ital Accessori katalógus; Drive: CONSTELLIUM DECIN Excel – nem letölthető (&gt;10 MB)</t>
        </is>
      </c>
      <c r="O383" s="6" t="inlineStr"/>
      <c r="P383" s="11" t="inlineStr">
        <is>
          <t>https://website-9ib.pages.dev/termek/208477-cd2-100x30-mm-alafutasgatlo-elox-profil/</t>
        </is>
      </c>
      <c r="Q383" s="12" t="inlineStr"/>
      <c r="R383" s="13" t="inlineStr"/>
      <c r="S383" s="6" t="inlineStr">
        <is>
          <t>208477-cd2-100x30-mm-alafutasgatlo-elox-profil</t>
        </is>
      </c>
    </row>
    <row r="384">
      <c r="A384" s="6" t="inlineStr">
        <is>
          <t>208755</t>
        </is>
      </c>
      <c r="B384" s="7" t="inlineStr">
        <is>
          <t>Hossztartó, talpas 140/6 magas,120/10; 60/8 mm</t>
        </is>
      </c>
      <c r="C384" s="6" t="inlineStr">
        <is>
          <t>Alumínium alváz profilok</t>
        </is>
      </c>
      <c r="D384" s="6" t="inlineStr">
        <is>
          <t>Hossztartók</t>
        </is>
      </c>
      <c r="E384" s="6" t="inlineStr">
        <is>
          <t>Constellium Decin</t>
        </is>
      </c>
      <c r="F384" s="6" t="inlineStr">
        <is>
          <t>8755</t>
        </is>
      </c>
      <c r="G384" s="6" t="inlineStr">
        <is>
          <t>Quadris Excel</t>
        </is>
      </c>
      <c r="H384" s="6" t="n">
        <v>0</v>
      </c>
      <c r="I384" s="6" t="n">
        <v>0</v>
      </c>
      <c r="J384" s="6" t="inlineStr">
        <is>
          <t>nincs</t>
        </is>
      </c>
      <c r="K384" s="6">
        <f>IF(AND(H384&gt;0,I384&gt;0),"Rendben",IF(AND(H384=0,I384=0),"Nincs kép és adat",IF(H384=0,"Nincs kép","Nincs adat")))</f>
        <v/>
      </c>
      <c r="L384" s="6" t="inlineStr">
        <is>
          <t>Igen</t>
        </is>
      </c>
      <c r="M384" s="7" t="inlineStr">
        <is>
          <t>alu-sv.com (a kód utolsó számjegyei); Ital Accessori katalógus; Drive: CONSTELLIUM DECIN Excel – nem letölthető (&gt;10 MB)</t>
        </is>
      </c>
      <c r="N384" s="7" t="inlineStr">
        <is>
          <t>Nem találtuk: alu-sv.com (a kód utolsó számjegyei); Ital Accessori katalógus; Drive: CONSTELLIUM DECIN Excel – nem letölthető (&gt;10 MB)</t>
        </is>
      </c>
      <c r="O384" s="6" t="inlineStr"/>
      <c r="P384" s="11" t="inlineStr">
        <is>
          <t>https://website-9ib.pages.dev/termek/208755-hossztarto-talpas-140-6-magas-120-10-60-8-mm/</t>
        </is>
      </c>
      <c r="Q384" s="12" t="inlineStr"/>
      <c r="R384" s="13" t="inlineStr"/>
      <c r="S384" s="6" t="inlineStr">
        <is>
          <t>208755-hossztarto-talpas-140-6-magas-120-10-60-8-mm</t>
        </is>
      </c>
    </row>
    <row r="385">
      <c r="A385" s="6" t="inlineStr">
        <is>
          <t>207318</t>
        </is>
      </c>
      <c r="B385" s="7" t="inlineStr">
        <is>
          <t>Keret profil 90/18mm elox</t>
        </is>
      </c>
      <c r="C385" s="6" t="inlineStr">
        <is>
          <t>Alumínium alváz profilok</t>
        </is>
      </c>
      <c r="D385" s="6" t="inlineStr">
        <is>
          <t>Keret profilok</t>
        </is>
      </c>
      <c r="E385" s="6" t="inlineStr">
        <is>
          <t>Constellium Decin</t>
        </is>
      </c>
      <c r="F385" s="6" t="inlineStr">
        <is>
          <t>7318</t>
        </is>
      </c>
      <c r="G385" s="6" t="inlineStr">
        <is>
          <t>Quadris Excel</t>
        </is>
      </c>
      <c r="H385" s="6" t="n">
        <v>1</v>
      </c>
      <c r="I385" s="6" t="n">
        <v>5</v>
      </c>
      <c r="J385" s="6" t="inlineStr">
        <is>
          <t>nincs</t>
        </is>
      </c>
      <c r="K385" s="6">
        <f>IF(AND(H385&gt;0,I385&gt;0),"Rendben",IF(AND(H385=0,I385=0),"Nincs kép és adat",IF(H385=0,"Nincs kép","Nincs adat")))</f>
        <v/>
      </c>
      <c r="L385" s="6" t="inlineStr">
        <is>
          <t>Igen</t>
        </is>
      </c>
      <c r="M385" s="7" t="inlineStr">
        <is>
          <t>alu-sv.com (a kód utolsó számjegyei); Ital Accessori katalógus; Drive: CONSTELLIUM DECIN Excel – nem letölthető (&gt;10 MB)</t>
        </is>
      </c>
      <c r="N385" s="7" t="inlineStr">
        <is>
          <t>Megtalálva: Frame profile 90mm anodized (kód: 6612007318)</t>
        </is>
      </c>
      <c r="O385" s="11" t="inlineStr">
        <is>
          <t>https://www.alu-sv.com/en/goods.ep/4000002_parts-for-aluminium-platforms/1524_frame-profile-90mm-anodized</t>
        </is>
      </c>
      <c r="P385" s="11" t="inlineStr">
        <is>
          <t>https://website-9ib.pages.dev/termek/207318-keret-profil-90-18mm-elox/</t>
        </is>
      </c>
      <c r="Q385" s="12" t="inlineStr"/>
      <c r="R385" s="13" t="inlineStr"/>
      <c r="S385" s="6" t="inlineStr">
        <is>
          <t>207318-keret-profil-90-18mm-elox</t>
        </is>
      </c>
    </row>
    <row r="386">
      <c r="A386" s="6" t="inlineStr">
        <is>
          <t>227543/30</t>
        </is>
      </c>
      <c r="B386" s="7" t="inlineStr">
        <is>
          <t>Padló profil 200 mm</t>
        </is>
      </c>
      <c r="C386" s="6" t="inlineStr">
        <is>
          <t>Alumínium padló profilok</t>
        </is>
      </c>
      <c r="D386" s="6" t="inlineStr">
        <is>
          <t>Padló profilok</t>
        </is>
      </c>
      <c r="E386" s="6" t="inlineStr">
        <is>
          <t>Constellium Decin</t>
        </is>
      </c>
      <c r="F386" s="6" t="inlineStr">
        <is>
          <t>7543</t>
        </is>
      </c>
      <c r="G386" s="6" t="inlineStr">
        <is>
          <t>Quadris Excel</t>
        </is>
      </c>
      <c r="H386" s="6" t="n">
        <v>0</v>
      </c>
      <c r="I386" s="6" t="n">
        <v>0</v>
      </c>
      <c r="J386" s="6" t="inlineStr">
        <is>
          <t>nincs</t>
        </is>
      </c>
      <c r="K386" s="6">
        <f>IF(AND(H386&gt;0,I386&gt;0),"Rendben",IF(AND(H386=0,I386=0),"Nincs kép és adat",IF(H386=0,"Nincs kép","Nincs adat")))</f>
        <v/>
      </c>
      <c r="L386" s="6" t="inlineStr">
        <is>
          <t>Igen</t>
        </is>
      </c>
      <c r="M386" s="7" t="inlineStr">
        <is>
          <t>alu-sv.com (a kód utolsó számjegyei); Ital Accessori katalógus; Drive: CONSTELLIUM DECIN Excel – nem letölthető (&gt;10 MB)</t>
        </is>
      </c>
      <c r="N386" s="7" t="inlineStr">
        <is>
          <t>Nem találtuk: alu-sv.com (a kód utolsó számjegyei); Ital Accessori katalógus; Drive: CONSTELLIUM DECIN Excel – nem letölthető (&gt;10 MB)</t>
        </is>
      </c>
      <c r="O386" s="6" t="inlineStr"/>
      <c r="P386" s="11" t="inlineStr">
        <is>
          <t>https://website-9ib.pages.dev/termek/227543-30-padlo-profil-200-mm/</t>
        </is>
      </c>
      <c r="Q386" s="12" t="inlineStr"/>
      <c r="R386" s="13" t="inlineStr"/>
      <c r="S386" s="6" t="inlineStr">
        <is>
          <t>227543-30-padlo-profil-200-mm</t>
        </is>
      </c>
    </row>
    <row r="387">
      <c r="A387" s="6" t="inlineStr">
        <is>
          <t>227543/30</t>
        </is>
      </c>
      <c r="B387" s="7" t="inlineStr">
        <is>
          <t>Padló profil 200 mm ELOX</t>
        </is>
      </c>
      <c r="C387" s="6" t="inlineStr">
        <is>
          <t>Alumínium padló profilok</t>
        </is>
      </c>
      <c r="D387" s="6" t="inlineStr">
        <is>
          <t>Padló profilok</t>
        </is>
      </c>
      <c r="E387" s="6" t="inlineStr">
        <is>
          <t>Constellium Decin</t>
        </is>
      </c>
      <c r="F387" s="6" t="inlineStr">
        <is>
          <t>7543</t>
        </is>
      </c>
      <c r="G387" s="6" t="inlineStr">
        <is>
          <t>Quadris Excel</t>
        </is>
      </c>
      <c r="H387" s="6" t="n">
        <v>0</v>
      </c>
      <c r="I387" s="6" t="n">
        <v>0</v>
      </c>
      <c r="J387" s="6" t="inlineStr">
        <is>
          <t>nincs</t>
        </is>
      </c>
      <c r="K387" s="6">
        <f>IF(AND(H387&gt;0,I387&gt;0),"Rendben",IF(AND(H387=0,I387=0),"Nincs kép és adat",IF(H387=0,"Nincs kép","Nincs adat")))</f>
        <v/>
      </c>
      <c r="L387" s="6" t="inlineStr">
        <is>
          <t>Igen</t>
        </is>
      </c>
      <c r="M387" s="7" t="inlineStr">
        <is>
          <t>alu-sv.com (a kód utolsó számjegyei); Ital Accessori katalógus; Drive: CONSTELLIUM DECIN Excel – nem letölthető (&gt;10 MB)</t>
        </is>
      </c>
      <c r="N387" s="7" t="inlineStr">
        <is>
          <t>Nem találtuk: alu-sv.com (a kód utolsó számjegyei); Ital Accessori katalógus; Drive: CONSTELLIUM DECIN Excel – nem letölthető (&gt;10 MB)</t>
        </is>
      </c>
      <c r="O387" s="6" t="inlineStr"/>
      <c r="P387" s="11" t="inlineStr">
        <is>
          <t>https://website-9ib.pages.dev/termek/227543-30-padlo-profil-200-mm-elox/</t>
        </is>
      </c>
      <c r="Q387" s="12" t="inlineStr"/>
      <c r="R387" s="13" t="inlineStr"/>
      <c r="S387" s="6" t="inlineStr">
        <is>
          <t>227543-30-padlo-profil-200-mm-elox</t>
        </is>
      </c>
    </row>
    <row r="388">
      <c r="A388" s="6" t="inlineStr">
        <is>
          <t>6612225</t>
        </is>
      </c>
      <c r="B388" s="7" t="inlineStr">
        <is>
          <t>Első oszlop 90/70 alu elox D</t>
        </is>
      </c>
      <c r="C388" s="6" t="inlineStr">
        <is>
          <t>Elhúzható rolóponyvás rendszer</t>
        </is>
      </c>
      <c r="D388" s="6" t="inlineStr">
        <is>
          <t>Alumínium sarok oszlopok</t>
        </is>
      </c>
      <c r="E388" s="6" t="inlineStr">
        <is>
          <t>Constellium Decin</t>
        </is>
      </c>
      <c r="F388" s="6" t="inlineStr">
        <is>
          <t>12225</t>
        </is>
      </c>
      <c r="G388" s="6" t="inlineStr">
        <is>
          <t>Quadris Excel</t>
        </is>
      </c>
      <c r="H388" s="6" t="n">
        <v>0</v>
      </c>
      <c r="I388" s="6" t="n">
        <v>0</v>
      </c>
      <c r="J388" s="6" t="inlineStr">
        <is>
          <t>nincs</t>
        </is>
      </c>
      <c r="K388" s="6">
        <f>IF(AND(H388&gt;0,I388&gt;0),"Rendben",IF(AND(H388=0,I388=0),"Nincs kép és adat",IF(H388=0,"Nincs kép","Nincs adat")))</f>
        <v/>
      </c>
      <c r="L388" s="6" t="inlineStr">
        <is>
          <t>Igen</t>
        </is>
      </c>
      <c r="M388" s="7" t="inlineStr">
        <is>
          <t>alu-sv.com (a kód utolsó számjegyei); Ital Accessori katalógus; Drive: CONSTELLIUM DECIN Excel – nem letölthető (&gt;10 MB)</t>
        </is>
      </c>
      <c r="N388" s="7" t="inlineStr">
        <is>
          <t>Nem találtuk: alu-sv.com (a kód utolsó számjegyei); Ital Accessori katalógus; Drive: CONSTELLIUM DECIN Excel – nem letölthető (&gt;10 MB)</t>
        </is>
      </c>
      <c r="O388" s="6" t="inlineStr"/>
      <c r="P388" s="11" t="inlineStr">
        <is>
          <t>https://website-9ib.pages.dev/termek/6612225-elso-oszlop-90-70-alu-elox-d/</t>
        </is>
      </c>
      <c r="Q388" s="12" t="inlineStr"/>
      <c r="R388" s="13" t="inlineStr"/>
      <c r="S388" s="6" t="inlineStr">
        <is>
          <t>6612225-elso-oszlop-90-70-alu-elox-d</t>
        </is>
      </c>
    </row>
    <row r="389">
      <c r="A389" s="6" t="inlineStr">
        <is>
          <t>6612226</t>
        </is>
      </c>
      <c r="B389" s="7" t="inlineStr">
        <is>
          <t>Hátsó oszlop 128/35 alu elox D</t>
        </is>
      </c>
      <c r="C389" s="6" t="inlineStr">
        <is>
          <t>Elhúzható rolóponyvás rendszer</t>
        </is>
      </c>
      <c r="D389" s="6" t="inlineStr">
        <is>
          <t>Alumínium sarok oszlopok</t>
        </is>
      </c>
      <c r="E389" s="6" t="inlineStr">
        <is>
          <t>Constellium Decin</t>
        </is>
      </c>
      <c r="F389" s="6" t="inlineStr">
        <is>
          <t>12226</t>
        </is>
      </c>
      <c r="G389" s="6" t="inlineStr">
        <is>
          <t>Quadris Excel</t>
        </is>
      </c>
      <c r="H389" s="6" t="n">
        <v>0</v>
      </c>
      <c r="I389" s="6" t="n">
        <v>0</v>
      </c>
      <c r="J389" s="6" t="inlineStr">
        <is>
          <t>nincs</t>
        </is>
      </c>
      <c r="K389" s="6">
        <f>IF(AND(H389&gt;0,I389&gt;0),"Rendben",IF(AND(H389=0,I389=0),"Nincs kép és adat",IF(H389=0,"Nincs kép","Nincs adat")))</f>
        <v/>
      </c>
      <c r="L389" s="6" t="inlineStr">
        <is>
          <t>Igen</t>
        </is>
      </c>
      <c r="M389" s="7" t="inlineStr">
        <is>
          <t>alu-sv.com (a kód utolsó számjegyei); Ital Accessori katalógus; Drive: CONSTELLIUM DECIN Excel – nem letölthető (&gt;10 MB)</t>
        </is>
      </c>
      <c r="N389" s="7" t="inlineStr">
        <is>
          <t>Nem találtuk: alu-sv.com (a kód utolsó számjegyei); Ital Accessori katalógus; Drive: CONSTELLIUM DECIN Excel – nem letölthető (&gt;10 MB)</t>
        </is>
      </c>
      <c r="O389" s="6" t="inlineStr"/>
      <c r="P389" s="11" t="inlineStr">
        <is>
          <t>https://website-9ib.pages.dev/termek/6612226-hatso-oszlop-128-35-alu-elox-d/</t>
        </is>
      </c>
      <c r="Q389" s="12" t="inlineStr"/>
      <c r="R389" s="13" t="inlineStr"/>
      <c r="S389" s="6" t="inlineStr">
        <is>
          <t>6612226-hatso-oszlop-128-35-alu-elox-d</t>
        </is>
      </c>
    </row>
    <row r="390">
      <c r="A390" s="6" t="inlineStr">
        <is>
          <t>222891</t>
        </is>
      </c>
      <c r="B390" s="7" t="inlineStr">
        <is>
          <t>Zártszelvény 60x30x2,5 R2,5 elox</t>
        </is>
      </c>
      <c r="C390" s="6" t="inlineStr">
        <is>
          <t>Ipari félgyártmányok</t>
        </is>
      </c>
      <c r="D390" s="6" t="inlineStr">
        <is>
          <t>Zártszelvény</t>
        </is>
      </c>
      <c r="E390" s="6" t="inlineStr">
        <is>
          <t>Constellium Decin</t>
        </is>
      </c>
      <c r="F390" s="6" t="inlineStr">
        <is>
          <t>12891</t>
        </is>
      </c>
      <c r="G390" s="6" t="inlineStr">
        <is>
          <t>Quadris Excel</t>
        </is>
      </c>
      <c r="H390" s="6" t="n">
        <v>3</v>
      </c>
      <c r="I390" s="6" t="n">
        <v>4</v>
      </c>
      <c r="J390" s="6" t="inlineStr">
        <is>
          <t>nincs</t>
        </is>
      </c>
      <c r="K390" s="6">
        <f>IF(AND(H390&gt;0,I390&gt;0),"Rendben",IF(AND(H390=0,I390=0),"Nincs kép és adat",IF(H390=0,"Nincs kép","Nincs adat")))</f>
        <v/>
      </c>
      <c r="L390" s="6" t="inlineStr">
        <is>
          <t>Igen</t>
        </is>
      </c>
      <c r="M390" s="7" t="inlineStr">
        <is>
          <t>alu-sv.com (a kód utolsó számjegyei); Ital Accessori katalógus; Drive: CONSTELLIUM DECIN Excel – nem letölthető (&gt;10 MB)</t>
        </is>
      </c>
      <c r="N390" s="7" t="inlineStr">
        <is>
          <t>Nem találtuk: alu-sv.com (a kód utolsó számjegyei); Ital Accessori katalógus; Drive: CONSTELLIUM DECIN Excel – nem letölthető (&gt;10 MB); adatlap a Quadris-megnevezésből</t>
        </is>
      </c>
      <c r="O390" s="6" t="inlineStr"/>
      <c r="P390" s="11" t="inlineStr">
        <is>
          <t>https://website-9ib.pages.dev/termek/222891-zartszelveny-60x30x2-5-r2-5-elox/</t>
        </is>
      </c>
      <c r="Q390" s="12" t="inlineStr"/>
      <c r="R390" s="13" t="inlineStr"/>
      <c r="S390" s="6" t="inlineStr">
        <is>
          <t>222891-zartszelveny-60x30x2-5-r2-5-elox</t>
        </is>
      </c>
    </row>
    <row r="391">
      <c r="A391" s="6" t="inlineStr">
        <is>
          <t>228197</t>
        </is>
      </c>
      <c r="B391" s="7" t="inlineStr">
        <is>
          <t>Alsó szakállas 100 mm elox profil</t>
        </is>
      </c>
      <c r="C391" s="6" t="inlineStr">
        <is>
          <t>Platós és ponyvás oldalfal profilok és szegők</t>
        </is>
      </c>
      <c r="D391" s="6" t="inlineStr">
        <is>
          <t>25 mm vastag oldalfal rendszerek</t>
        </is>
      </c>
      <c r="E391" s="6" t="inlineStr">
        <is>
          <t>Constellium Decin</t>
        </is>
      </c>
      <c r="F391" s="6" t="inlineStr">
        <is>
          <t>8197</t>
        </is>
      </c>
      <c r="G391" s="6" t="inlineStr">
        <is>
          <t>Quadris Excel</t>
        </is>
      </c>
      <c r="H391" s="6" t="n">
        <v>1</v>
      </c>
      <c r="I391" s="6" t="n">
        <v>7</v>
      </c>
      <c r="J391" s="6" t="inlineStr">
        <is>
          <t>nincs</t>
        </is>
      </c>
      <c r="K391" s="6">
        <f>IF(AND(H391&gt;0,I391&gt;0),"Rendben",IF(AND(H391=0,I391=0),"Nincs kép és adat",IF(H391=0,"Nincs kép","Nincs adat")))</f>
        <v/>
      </c>
      <c r="L391" s="6" t="inlineStr">
        <is>
          <t>Igen</t>
        </is>
      </c>
      <c r="M391" s="7" t="inlineStr">
        <is>
          <t>alu-sv.com (a kód utolsó számjegyei); Ital Accessori katalógus; Drive: CONSTELLIUM DECIN Excel – nem letölthető (&gt;10 MB)</t>
        </is>
      </c>
      <c r="N391" s="7" t="inlineStr">
        <is>
          <t>Megtalálva: Bottom profile Eurolock 100mm, anodized (kód: 6611128197)</t>
        </is>
      </c>
      <c r="O391" s="11" t="inlineStr">
        <is>
          <t>https://www.alu-sv.com/en/goods.ep/19000002_dropsides--dropside-profiles/1515_bottom-profile-eurolock-100mm--anodized</t>
        </is>
      </c>
      <c r="P391" s="11" t="inlineStr">
        <is>
          <t>https://website-9ib.pages.dev/termek/228197-also-szakallas-100-mm-elox-profil/</t>
        </is>
      </c>
      <c r="Q391" s="12" t="inlineStr"/>
      <c r="R391" s="13" t="inlineStr"/>
      <c r="S391" s="6" t="inlineStr">
        <is>
          <t>228197-also-szakallas-100-mm-elox-profil</t>
        </is>
      </c>
    </row>
    <row r="392">
      <c r="A392" s="6" t="inlineStr">
        <is>
          <t>227783</t>
        </is>
      </c>
      <c r="B392" s="7" t="inlineStr">
        <is>
          <t>Alsó szakállas 200 mm elox profil</t>
        </is>
      </c>
      <c r="C392" s="6" t="inlineStr">
        <is>
          <t>Platós és ponyvás oldalfal profilok és szegők</t>
        </is>
      </c>
      <c r="D392" s="6" t="inlineStr">
        <is>
          <t>25 mm vastag oldalfal rendszerek</t>
        </is>
      </c>
      <c r="E392" s="6" t="inlineStr">
        <is>
          <t>Constellium Decin</t>
        </is>
      </c>
      <c r="F392" s="6" t="inlineStr">
        <is>
          <t>7783</t>
        </is>
      </c>
      <c r="G392" s="6" t="inlineStr">
        <is>
          <t>Quadris Excel</t>
        </is>
      </c>
      <c r="H392" s="6" t="n">
        <v>1</v>
      </c>
      <c r="I392" s="6" t="n">
        <v>7</v>
      </c>
      <c r="J392" s="6" t="inlineStr">
        <is>
          <t>nincs</t>
        </is>
      </c>
      <c r="K392" s="6">
        <f>IF(AND(H392&gt;0,I392&gt;0),"Rendben",IF(AND(H392=0,I392=0),"Nincs kép és adat",IF(H392=0,"Nincs kép","Nincs adat")))</f>
        <v/>
      </c>
      <c r="L392" s="6" t="inlineStr">
        <is>
          <t>Igen</t>
        </is>
      </c>
      <c r="M392" s="7" t="inlineStr">
        <is>
          <t>alu-sv.com (a kód utolsó számjegyei); Ital Accessori katalógus; Drive: CONSTELLIUM DECIN Excel – nem letölthető (&gt;10 MB)</t>
        </is>
      </c>
      <c r="N392" s="7" t="inlineStr">
        <is>
          <t>Megtalálva: Bottom profile Eurolock 200 mm, anodized (kód: 6611127783)</t>
        </is>
      </c>
      <c r="O392" s="11" t="inlineStr">
        <is>
          <t>https://www.alu-sv.com/en/goods.ep/19000002_dropsides--dropside-profiles/1511_bottom-profile-eurolock-200-mm--anodized</t>
        </is>
      </c>
      <c r="P392" s="11" t="inlineStr">
        <is>
          <t>https://website-9ib.pages.dev/termek/227783-also-szakallas-200-mm-elox-profil/</t>
        </is>
      </c>
      <c r="Q392" s="12" t="inlineStr"/>
      <c r="R392" s="13" t="inlineStr"/>
      <c r="S392" s="6" t="inlineStr">
        <is>
          <t>227783-also-szakallas-200-mm-elox-profil</t>
        </is>
      </c>
    </row>
    <row r="393">
      <c r="A393" s="6" t="inlineStr">
        <is>
          <t>227948</t>
        </is>
      </c>
      <c r="B393" s="7" t="inlineStr">
        <is>
          <t>Alsó tömítéses 100 mm elox profil</t>
        </is>
      </c>
      <c r="C393" s="6" t="inlineStr">
        <is>
          <t>Platós és ponyvás oldalfal profilok és szegők</t>
        </is>
      </c>
      <c r="D393" s="6" t="inlineStr">
        <is>
          <t>25 mm vastag oldalfal rendszerek</t>
        </is>
      </c>
      <c r="E393" s="6" t="inlineStr">
        <is>
          <t>Constellium Decin</t>
        </is>
      </c>
      <c r="F393" s="6" t="inlineStr">
        <is>
          <t>7948</t>
        </is>
      </c>
      <c r="G393" s="6" t="inlineStr">
        <is>
          <t>Quadris Excel</t>
        </is>
      </c>
      <c r="H393" s="6" t="n">
        <v>1</v>
      </c>
      <c r="I393" s="6" t="n">
        <v>7</v>
      </c>
      <c r="J393" s="6" t="inlineStr">
        <is>
          <t>nincs</t>
        </is>
      </c>
      <c r="K393" s="6">
        <f>IF(AND(H393&gt;0,I393&gt;0),"Rendben",IF(AND(H393=0,I393=0),"Nincs kép és adat",IF(H393=0,"Nincs kép","Nincs adat")))</f>
        <v/>
      </c>
      <c r="L393" s="6" t="inlineStr">
        <is>
          <t>Igen</t>
        </is>
      </c>
      <c r="M393" s="7" t="inlineStr">
        <is>
          <t>alu-sv.com (a kód utolsó számjegyei); Ital Accessori katalógus; Drive: CONSTELLIUM DECIN Excel – nem letölthető (&gt;10 MB)</t>
        </is>
      </c>
      <c r="N393" s="7" t="inlineStr">
        <is>
          <t>Megtalálva: Lower profile EUROLOCK 100mm, an., sealing (kód: 6611127948)</t>
        </is>
      </c>
      <c r="O393" s="11" t="inlineStr">
        <is>
          <t>https://www.alu-sv.com/en/goods.ep/19000002_dropsides--dropside-profiles/1514_lower-profile-eurolock-100mm--an.--sealing</t>
        </is>
      </c>
      <c r="P393" s="11" t="inlineStr">
        <is>
          <t>https://website-9ib.pages.dev/termek/227948-also-tomiteses-100-mm-elox-profil/</t>
        </is>
      </c>
      <c r="Q393" s="12" t="inlineStr"/>
      <c r="R393" s="13" t="inlineStr"/>
      <c r="S393" s="6" t="inlineStr">
        <is>
          <t>227948-also-tomiteses-100-mm-elox-profil</t>
        </is>
      </c>
    </row>
    <row r="394">
      <c r="A394" s="6" t="inlineStr">
        <is>
          <t>227784</t>
        </is>
      </c>
      <c r="B394" s="7" t="inlineStr">
        <is>
          <t>Alsó tömítéses 200 mm elox profil</t>
        </is>
      </c>
      <c r="C394" s="6" t="inlineStr">
        <is>
          <t>Platós és ponyvás oldalfal profilok és szegők</t>
        </is>
      </c>
      <c r="D394" s="6" t="inlineStr">
        <is>
          <t>25 mm vastag oldalfal rendszerek</t>
        </is>
      </c>
      <c r="E394" s="6" t="inlineStr">
        <is>
          <t>Constellium Decin</t>
        </is>
      </c>
      <c r="F394" s="6" t="inlineStr">
        <is>
          <t>7784</t>
        </is>
      </c>
      <c r="G394" s="6" t="inlineStr">
        <is>
          <t>Quadris Excel</t>
        </is>
      </c>
      <c r="H394" s="6" t="n">
        <v>1</v>
      </c>
      <c r="I394" s="6" t="n">
        <v>7</v>
      </c>
      <c r="J394" s="6" t="inlineStr">
        <is>
          <t>nincs</t>
        </is>
      </c>
      <c r="K394" s="6">
        <f>IF(AND(H394&gt;0,I394&gt;0),"Rendben",IF(AND(H394=0,I394=0),"Nincs kép és adat",IF(H394=0,"Nincs kép","Nincs adat")))</f>
        <v/>
      </c>
      <c r="L394" s="6" t="inlineStr">
        <is>
          <t>Igen</t>
        </is>
      </c>
      <c r="M394" s="7" t="inlineStr">
        <is>
          <t>alu-sv.com (a kód utolsó számjegyei); Ital Accessori katalógus; Drive: CONSTELLIUM DECIN Excel – nem letölthető (&gt;10 MB)</t>
        </is>
      </c>
      <c r="N394" s="7" t="inlineStr">
        <is>
          <t>Megtalálva: Bottom profile EUROLOCK 200mm, an., sealin (kód: 6611127784)</t>
        </is>
      </c>
      <c r="O394" s="11" t="inlineStr">
        <is>
          <t>https://www.alu-sv.com/en/goods.ep/19000002_dropsides--dropside-profiles/1512_bottom-profile-eurolock-200mm--an.--sealin</t>
        </is>
      </c>
      <c r="P394" s="11" t="inlineStr">
        <is>
          <t>https://website-9ib.pages.dev/termek/227784-also-tomiteses-200-mm-elox-profil/</t>
        </is>
      </c>
      <c r="Q394" s="12" t="inlineStr"/>
      <c r="R394" s="13" t="inlineStr"/>
      <c r="S394" s="6" t="inlineStr">
        <is>
          <t>227784-also-tomiteses-200-mm-elox-profil</t>
        </is>
      </c>
    </row>
    <row r="395">
      <c r="A395" s="6" t="inlineStr">
        <is>
          <t>227047</t>
        </is>
      </c>
      <c r="B395" s="7" t="inlineStr">
        <is>
          <t>Felső 200 mm elox profil</t>
        </is>
      </c>
      <c r="C395" s="6" t="inlineStr">
        <is>
          <t>Platós és ponyvás oldalfal profilok és szegők</t>
        </is>
      </c>
      <c r="D395" s="6" t="inlineStr">
        <is>
          <t>25 mm vastag oldalfal rendszerek</t>
        </is>
      </c>
      <c r="E395" s="6" t="inlineStr">
        <is>
          <t>Constellium Decin</t>
        </is>
      </c>
      <c r="F395" s="6" t="inlineStr">
        <is>
          <t>7047</t>
        </is>
      </c>
      <c r="G395" s="6" t="inlineStr">
        <is>
          <t>Quadris Excel</t>
        </is>
      </c>
      <c r="H395" s="6" t="n">
        <v>1</v>
      </c>
      <c r="I395" s="6" t="n">
        <v>7</v>
      </c>
      <c r="J395" s="6" t="inlineStr">
        <is>
          <t>nincs</t>
        </is>
      </c>
      <c r="K395" s="6">
        <f>IF(AND(H395&gt;0,I395&gt;0),"Rendben",IF(AND(H395=0,I395=0),"Nincs kép és adat",IF(H395=0,"Nincs kép","Nincs adat")))</f>
        <v/>
      </c>
      <c r="L395" s="6" t="inlineStr">
        <is>
          <t>Igen</t>
        </is>
      </c>
      <c r="M395" s="7" t="inlineStr">
        <is>
          <t>alu-sv.com (a kód utolsó számjegyei); Ital Accessori katalógus; Drive: CONSTELLIUM DECIN Excel – nem letölthető (&gt;10 MB)</t>
        </is>
      </c>
      <c r="N395" s="7" t="inlineStr">
        <is>
          <t>Megtalálva: Top profile Eurolock 200 mm, anodized (kód: 6611128196)</t>
        </is>
      </c>
      <c r="O395" s="11" t="inlineStr">
        <is>
          <t>https://www.alu-sv.com/en/goods.ep/19000002_dropsides--dropside-profiles/8000106_top-profile-eurolock-200-mm--anodized</t>
        </is>
      </c>
      <c r="P395" s="11" t="inlineStr">
        <is>
          <t>https://website-9ib.pages.dev/termek/227047-felso-200-mm-elox-profil/</t>
        </is>
      </c>
      <c r="Q395" s="12" t="inlineStr"/>
      <c r="R395" s="13" t="inlineStr"/>
      <c r="S395" s="6" t="inlineStr">
        <is>
          <t>227047-felso-200-mm-elox-profil</t>
        </is>
      </c>
    </row>
    <row r="396">
      <c r="A396" s="6" t="inlineStr">
        <is>
          <t>227047/n</t>
        </is>
      </c>
      <c r="B396" s="7" t="inlineStr">
        <is>
          <t>Felső 200 mm profil</t>
        </is>
      </c>
      <c r="C396" s="6" t="inlineStr">
        <is>
          <t>Platós és ponyvás oldalfal profilok és szegők</t>
        </is>
      </c>
      <c r="D396" s="6" t="inlineStr">
        <is>
          <t>25 mm vastag oldalfal rendszerek</t>
        </is>
      </c>
      <c r="E396" s="6" t="inlineStr">
        <is>
          <t>Constellium Decin</t>
        </is>
      </c>
      <c r="F396" s="6" t="inlineStr">
        <is>
          <t>7047</t>
        </is>
      </c>
      <c r="G396" s="6" t="inlineStr">
        <is>
          <t>Quadris Excel</t>
        </is>
      </c>
      <c r="H396" s="6" t="n">
        <v>1</v>
      </c>
      <c r="I396" s="6" t="n">
        <v>7</v>
      </c>
      <c r="J396" s="6" t="inlineStr">
        <is>
          <t>nincs</t>
        </is>
      </c>
      <c r="K396" s="6">
        <f>IF(AND(H396&gt;0,I396&gt;0),"Rendben",IF(AND(H396=0,I396=0),"Nincs kép és adat",IF(H396=0,"Nincs kép","Nincs adat")))</f>
        <v/>
      </c>
      <c r="L396" s="6" t="inlineStr">
        <is>
          <t>Igen</t>
        </is>
      </c>
      <c r="M396" s="7" t="inlineStr">
        <is>
          <t>alu-sv.com (a kód utolsó számjegyei); Ital Accessori katalógus; Drive: CONSTELLIUM DECIN Excel – nem letölthető (&gt;10 MB)</t>
        </is>
      </c>
      <c r="N396" s="7" t="inlineStr">
        <is>
          <t>Megtalálva: Top profile Eurolock 200 mm, al (kód: 6611008196)</t>
        </is>
      </c>
      <c r="O396" s="11" t="inlineStr">
        <is>
          <t>https://www.alu-sv.com/en/goods.ep/19000002_dropsides--dropside-profiles/8000248_top-profile-eurolock-200-mm--al</t>
        </is>
      </c>
      <c r="P396" s="11" t="inlineStr">
        <is>
          <t>https://website-9ib.pages.dev/termek/227047-n-felso-200-mm-profil/</t>
        </is>
      </c>
      <c r="Q396" s="12" t="inlineStr"/>
      <c r="R396" s="13" t="inlineStr"/>
      <c r="S396" s="6" t="inlineStr">
        <is>
          <t>227047-n-felso-200-mm-profil</t>
        </is>
      </c>
    </row>
    <row r="397">
      <c r="A397" s="6" t="inlineStr">
        <is>
          <t>227046</t>
        </is>
      </c>
      <c r="B397" s="7" t="inlineStr">
        <is>
          <t>Köztes 200 mm elox profil</t>
        </is>
      </c>
      <c r="C397" s="6" t="inlineStr">
        <is>
          <t>Platós és ponyvás oldalfal profilok és szegők</t>
        </is>
      </c>
      <c r="D397" s="6" t="inlineStr">
        <is>
          <t>25 mm vastag oldalfal rendszerek</t>
        </is>
      </c>
      <c r="E397" s="6" t="inlineStr">
        <is>
          <t>Constellium Decin</t>
        </is>
      </c>
      <c r="F397" s="6" t="inlineStr">
        <is>
          <t>7046</t>
        </is>
      </c>
      <c r="G397" s="6" t="inlineStr">
        <is>
          <t>Quadris Excel</t>
        </is>
      </c>
      <c r="H397" s="6" t="n">
        <v>1</v>
      </c>
      <c r="I397" s="6" t="n">
        <v>7</v>
      </c>
      <c r="J397" s="6" t="inlineStr">
        <is>
          <t>nincs</t>
        </is>
      </c>
      <c r="K397" s="6">
        <f>IF(AND(H397&gt;0,I397&gt;0),"Rendben",IF(AND(H397=0,I397=0),"Nincs kép és adat",IF(H397=0,"Nincs kép","Nincs adat")))</f>
        <v/>
      </c>
      <c r="L397" s="6" t="inlineStr">
        <is>
          <t>Igen</t>
        </is>
      </c>
      <c r="M397" s="7" t="inlineStr">
        <is>
          <t>alu-sv.com (a kód utolsó számjegyei); Ital Accessori katalógus; Drive: CONSTELLIUM DECIN Excel – nem letölthető (&gt;10 MB)</t>
        </is>
      </c>
      <c r="N397" s="7" t="inlineStr">
        <is>
          <t>Megtalálva: Middle profile Eurolock 200 mm, anodized (kód: 6611121777)</t>
        </is>
      </c>
      <c r="O397" s="11" t="inlineStr">
        <is>
          <t>https://www.alu-sv.com/en/goods.ep/19000002_dropsides--dropside-profiles/28000241_middle-profile-eurolock-200-mm--anodized</t>
        </is>
      </c>
      <c r="P397" s="11" t="inlineStr">
        <is>
          <t>https://website-9ib.pages.dev/termek/227046-koztes-200-mm-elox-profil/</t>
        </is>
      </c>
      <c r="Q397" s="12" t="inlineStr"/>
      <c r="R397" s="13" t="inlineStr"/>
      <c r="S397" s="6" t="inlineStr">
        <is>
          <t>227046-koztes-200-mm-elox-profil</t>
        </is>
      </c>
    </row>
    <row r="398">
      <c r="A398" s="6" t="inlineStr">
        <is>
          <t>227046/CK10</t>
        </is>
      </c>
      <c r="B398" s="7" t="inlineStr">
        <is>
          <t>Köztes 200 mm elox profil</t>
        </is>
      </c>
      <c r="C398" s="6" t="inlineStr">
        <is>
          <t>Platós és ponyvás oldalfal profilok és szegők</t>
        </is>
      </c>
      <c r="D398" s="6" t="inlineStr">
        <is>
          <t>25 mm vastag oldalfal rendszerek</t>
        </is>
      </c>
      <c r="E398" s="6" t="inlineStr">
        <is>
          <t>Constellium Decin</t>
        </is>
      </c>
      <c r="F398" s="6" t="inlineStr">
        <is>
          <t>12579</t>
        </is>
      </c>
      <c r="G398" s="6" t="inlineStr">
        <is>
          <t>Quadris Excel</t>
        </is>
      </c>
      <c r="H398" s="6" t="n">
        <v>0</v>
      </c>
      <c r="I398" s="6" t="n">
        <v>0</v>
      </c>
      <c r="J398" s="6" t="inlineStr">
        <is>
          <t>nincs</t>
        </is>
      </c>
      <c r="K398" s="6">
        <f>IF(AND(H398&gt;0,I398&gt;0),"Rendben",IF(AND(H398=0,I398=0),"Nincs kép és adat",IF(H398=0,"Nincs kép","Nincs adat")))</f>
        <v/>
      </c>
      <c r="L398" s="6" t="inlineStr">
        <is>
          <t>Igen</t>
        </is>
      </c>
      <c r="M398" s="7" t="inlineStr">
        <is>
          <t>alu-sv.com (a kód utolsó számjegyei); Ital Accessori katalógus; Drive: CONSTELLIUM DECIN Excel – nem letölthető (&gt;10 MB)</t>
        </is>
      </c>
      <c r="N398" s="7" t="inlineStr">
        <is>
          <t>Nem találtuk: alu-sv.com (a kód utolsó számjegyei); Ital Accessori katalógus; Drive: CONSTELLIUM DECIN Excel – nem letölthető (&gt;10 MB)</t>
        </is>
      </c>
      <c r="O398" s="6" t="inlineStr"/>
      <c r="P398" s="11" t="inlineStr">
        <is>
          <t>https://website-9ib.pages.dev/termek/227046-ck10-koztes-200-mm-elox-profil/</t>
        </is>
      </c>
      <c r="Q398" s="12" t="inlineStr"/>
      <c r="R398" s="13" t="inlineStr"/>
      <c r="S398" s="6" t="inlineStr">
        <is>
          <t>227046-ck10-koztes-200-mm-elox-profil</t>
        </is>
      </c>
    </row>
    <row r="399">
      <c r="A399" s="6" t="inlineStr">
        <is>
          <t>227046/n</t>
        </is>
      </c>
      <c r="B399" s="7" t="inlineStr">
        <is>
          <t>Köztes 200 mm profil</t>
        </is>
      </c>
      <c r="C399" s="6" t="inlineStr">
        <is>
          <t>Platós és ponyvás oldalfal profilok és szegők</t>
        </is>
      </c>
      <c r="D399" s="6" t="inlineStr">
        <is>
          <t>25 mm vastag oldalfal rendszerek</t>
        </is>
      </c>
      <c r="E399" s="6" t="inlineStr">
        <is>
          <t>Constellium Decin</t>
        </is>
      </c>
      <c r="F399" s="6" t="inlineStr">
        <is>
          <t>7046</t>
        </is>
      </c>
      <c r="G399" s="6" t="inlineStr">
        <is>
          <t>Quadris Excel</t>
        </is>
      </c>
      <c r="H399" s="6" t="n">
        <v>1</v>
      </c>
      <c r="I399" s="6" t="n">
        <v>7</v>
      </c>
      <c r="J399" s="6" t="inlineStr">
        <is>
          <t>nincs</t>
        </is>
      </c>
      <c r="K399" s="6">
        <f>IF(AND(H399&gt;0,I399&gt;0),"Rendben",IF(AND(H399=0,I399=0),"Nincs kép és adat",IF(H399=0,"Nincs kép","Nincs adat")))</f>
        <v/>
      </c>
      <c r="L399" s="6" t="inlineStr">
        <is>
          <t>Igen</t>
        </is>
      </c>
      <c r="M399" s="7" t="inlineStr">
        <is>
          <t>alu-sv.com (a kód utolsó számjegyei); Ital Accessori katalógus; Drive: CONSTELLIUM DECIN Excel – nem letölthető (&gt;10 MB)</t>
        </is>
      </c>
      <c r="N399" s="7" t="inlineStr">
        <is>
          <t>Megtalálva: Middle profile Eurolock 200mm, al (kód: 6611007046)</t>
        </is>
      </c>
      <c r="O399" s="11" t="inlineStr">
        <is>
          <t>https://www.alu-sv.com/en/goods.ep/19000002_dropsides--dropside-profiles/1498_middle-profile-eurolock-200mm--al</t>
        </is>
      </c>
      <c r="P399" s="11" t="inlineStr">
        <is>
          <t>https://website-9ib.pages.dev/termek/227046-n-koztes-200-mm-profil/</t>
        </is>
      </c>
      <c r="Q399" s="12" t="inlineStr"/>
      <c r="R399" s="13" t="inlineStr"/>
      <c r="S399" s="6" t="inlineStr">
        <is>
          <t>227046-n-koztes-200-mm-profil</t>
        </is>
      </c>
    </row>
    <row r="400">
      <c r="A400" s="6" t="inlineStr">
        <is>
          <t>224230</t>
        </is>
      </c>
      <c r="B400" s="7" t="inlineStr">
        <is>
          <t>Köztes 250 mm elox profil CD</t>
        </is>
      </c>
      <c r="C400" s="6" t="inlineStr">
        <is>
          <t>Platós és ponyvás oldalfal profilok és szegők</t>
        </is>
      </c>
      <c r="D400" s="6" t="inlineStr">
        <is>
          <t>25 mm vastag oldalfal rendszerek</t>
        </is>
      </c>
      <c r="E400" s="6" t="inlineStr">
        <is>
          <t>Constellium Decin</t>
        </is>
      </c>
      <c r="F400" s="6" t="inlineStr">
        <is>
          <t>14230</t>
        </is>
      </c>
      <c r="G400" s="6" t="inlineStr">
        <is>
          <t>Quadris Excel</t>
        </is>
      </c>
      <c r="H400" s="6" t="n">
        <v>0</v>
      </c>
      <c r="I400" s="6" t="n">
        <v>0</v>
      </c>
      <c r="J400" s="6" t="inlineStr">
        <is>
          <t>nincs</t>
        </is>
      </c>
      <c r="K400" s="6">
        <f>IF(AND(H400&gt;0,I400&gt;0),"Rendben",IF(AND(H400=0,I400=0),"Nincs kép és adat",IF(H400=0,"Nincs kép","Nincs adat")))</f>
        <v/>
      </c>
      <c r="L400" s="6" t="inlineStr">
        <is>
          <t>Igen</t>
        </is>
      </c>
      <c r="M400" s="7" t="inlineStr">
        <is>
          <t>alu-sv.com (a kód utolsó számjegyei); Ital Accessori katalógus; Drive: CONSTELLIUM DECIN Excel – nem letölthető (&gt;10 MB)</t>
        </is>
      </c>
      <c r="N400" s="7" t="inlineStr">
        <is>
          <t>Nem találtuk: alu-sv.com (a kód utolsó számjegyei); Ital Accessori katalógus; Drive: CONSTELLIUM DECIN Excel – nem letölthető (&gt;10 MB)</t>
        </is>
      </c>
      <c r="O400" s="6" t="inlineStr"/>
      <c r="P400" s="11" t="inlineStr">
        <is>
          <t>https://website-9ib.pages.dev/termek/224230-koztes-250-mm-elox-profil-cd/</t>
        </is>
      </c>
      <c r="Q400" s="12" t="inlineStr"/>
      <c r="R400" s="13" t="inlineStr"/>
      <c r="S400" s="6" t="inlineStr">
        <is>
          <t>224230-koztes-250-mm-elox-profil-cd</t>
        </is>
      </c>
    </row>
    <row r="401">
      <c r="A401" s="6" t="inlineStr">
        <is>
          <t>224230/n</t>
        </is>
      </c>
      <c r="B401" s="7" t="inlineStr">
        <is>
          <t>Köztes 250 mm profil CD</t>
        </is>
      </c>
      <c r="C401" s="6" t="inlineStr">
        <is>
          <t>Platós és ponyvás oldalfal profilok és szegők</t>
        </is>
      </c>
      <c r="D401" s="6" t="inlineStr">
        <is>
          <t>25 mm vastag oldalfal rendszerek</t>
        </is>
      </c>
      <c r="E401" s="6" t="inlineStr">
        <is>
          <t>Constellium Decin</t>
        </is>
      </c>
      <c r="F401" s="6" t="inlineStr">
        <is>
          <t>14230</t>
        </is>
      </c>
      <c r="G401" s="6" t="inlineStr">
        <is>
          <t>Quadris Excel</t>
        </is>
      </c>
      <c r="H401" s="6" t="n">
        <v>0</v>
      </c>
      <c r="I401" s="6" t="n">
        <v>0</v>
      </c>
      <c r="J401" s="6" t="inlineStr">
        <is>
          <t>nincs</t>
        </is>
      </c>
      <c r="K401" s="6">
        <f>IF(AND(H401&gt;0,I401&gt;0),"Rendben",IF(AND(H401=0,I401=0),"Nincs kép és adat",IF(H401=0,"Nincs kép","Nincs adat")))</f>
        <v/>
      </c>
      <c r="L401" s="6" t="inlineStr">
        <is>
          <t>Igen</t>
        </is>
      </c>
      <c r="M401" s="7" t="inlineStr">
        <is>
          <t>alu-sv.com (a kód utolsó számjegyei); Ital Accessori katalógus; Drive: CONSTELLIUM DECIN Excel – nem letölthető (&gt;10 MB)</t>
        </is>
      </c>
      <c r="N401" s="7" t="inlineStr">
        <is>
          <t>Nem találtuk: alu-sv.com (a kód utolsó számjegyei); Ital Accessori katalógus; Drive: CONSTELLIUM DECIN Excel – nem letölthető (&gt;10 MB)</t>
        </is>
      </c>
      <c r="O401" s="6" t="inlineStr"/>
      <c r="P401" s="11" t="inlineStr">
        <is>
          <t>https://website-9ib.pages.dev/termek/224230-n-koztes-250-mm-profil-cd/</t>
        </is>
      </c>
      <c r="Q401" s="12" t="inlineStr"/>
      <c r="R401" s="13" t="inlineStr"/>
      <c r="S401" s="6" t="inlineStr">
        <is>
          <t>224230-n-koztes-250-mm-profil-cd</t>
        </is>
      </c>
    </row>
    <row r="402">
      <c r="A402" s="6" t="inlineStr">
        <is>
          <t>227045</t>
        </is>
      </c>
      <c r="B402" s="7" t="inlineStr">
        <is>
          <t>Köztes ponyvás 200 mm elox profil</t>
        </is>
      </c>
      <c r="C402" s="6" t="inlineStr">
        <is>
          <t>Platós és ponyvás oldalfal profilok és szegők</t>
        </is>
      </c>
      <c r="D402" s="6" t="inlineStr">
        <is>
          <t>25 mm vastag oldalfal rendszerek</t>
        </is>
      </c>
      <c r="E402" s="6" t="inlineStr">
        <is>
          <t>Constellium Decin</t>
        </is>
      </c>
      <c r="F402" s="6" t="inlineStr">
        <is>
          <t>7045</t>
        </is>
      </c>
      <c r="G402" s="6" t="inlineStr">
        <is>
          <t>Quadris Excel</t>
        </is>
      </c>
      <c r="H402" s="6" t="n">
        <v>1</v>
      </c>
      <c r="I402" s="6" t="n">
        <v>7</v>
      </c>
      <c r="J402" s="6" t="inlineStr">
        <is>
          <t>nincs</t>
        </is>
      </c>
      <c r="K402" s="6">
        <f>IF(AND(H402&gt;0,I402&gt;0),"Rendben",IF(AND(H402=0,I402=0),"Nincs kép és adat",IF(H402=0,"Nincs kép","Nincs adat")))</f>
        <v/>
      </c>
      <c r="L402" s="6" t="inlineStr">
        <is>
          <t>Igen</t>
        </is>
      </c>
      <c r="M402" s="7" t="inlineStr">
        <is>
          <t>alu-sv.com (a kód utolsó számjegyei); Ital Accessori katalógus; Drive: CONSTELLIUM DECIN Excel – nem letölthető (&gt;10 MB)</t>
        </is>
      </c>
      <c r="N402" s="7" t="inlineStr">
        <is>
          <t>Megtalálva: Tarpaulin profile Eurolock200mm, anodized (kód: 6611127045)</t>
        </is>
      </c>
      <c r="O402" s="11" t="inlineStr">
        <is>
          <t>https://www.alu-sv.com/en/goods.ep/19000002_dropsides--dropside-profiles/1507_tarpaulin-profile-eurolock200mm--anodized</t>
        </is>
      </c>
      <c r="P402" s="11" t="inlineStr">
        <is>
          <t>https://website-9ib.pages.dev/termek/227045-koztes-ponyvas-200-mm-elox-profil/</t>
        </is>
      </c>
      <c r="Q402" s="12" t="inlineStr"/>
      <c r="R402" s="13" t="inlineStr"/>
      <c r="S402" s="6" t="inlineStr">
        <is>
          <t>227045-koztes-ponyvas-200-mm-elox-profil</t>
        </is>
      </c>
    </row>
    <row r="403">
      <c r="A403" s="6" t="inlineStr">
        <is>
          <t>227045/n</t>
        </is>
      </c>
      <c r="B403" s="7" t="inlineStr">
        <is>
          <t>Köztes ponyvás 200 mm profil</t>
        </is>
      </c>
      <c r="C403" s="6" t="inlineStr">
        <is>
          <t>Platós és ponyvás oldalfal profilok és szegők</t>
        </is>
      </c>
      <c r="D403" s="6" t="inlineStr">
        <is>
          <t>25 mm vastag oldalfal rendszerek</t>
        </is>
      </c>
      <c r="E403" s="6" t="inlineStr">
        <is>
          <t>Constellium Decin</t>
        </is>
      </c>
      <c r="F403" s="6" t="inlineStr">
        <is>
          <t>7045</t>
        </is>
      </c>
      <c r="G403" s="6" t="inlineStr">
        <is>
          <t>Quadris Excel</t>
        </is>
      </c>
      <c r="H403" s="6" t="n">
        <v>1</v>
      </c>
      <c r="I403" s="6" t="n">
        <v>7</v>
      </c>
      <c r="J403" s="6" t="inlineStr">
        <is>
          <t>nincs</t>
        </is>
      </c>
      <c r="K403" s="6">
        <f>IF(AND(H403&gt;0,I403&gt;0),"Rendben",IF(AND(H403=0,I403=0),"Nincs kép és adat",IF(H403=0,"Nincs kép","Nincs adat")))</f>
        <v/>
      </c>
      <c r="L403" s="6" t="inlineStr">
        <is>
          <t>Igen</t>
        </is>
      </c>
      <c r="M403" s="7" t="inlineStr">
        <is>
          <t>alu-sv.com (a kód utolsó számjegyei); Ital Accessori katalógus; Drive: CONSTELLIUM DECIN Excel – nem letölthető (&gt;10 MB)</t>
        </is>
      </c>
      <c r="N403" s="7" t="inlineStr">
        <is>
          <t>Megtalálva: Tarpaulin profile Eurolock 200 mm, Al (kód: 6611007045)</t>
        </is>
      </c>
      <c r="O403" s="11" t="inlineStr">
        <is>
          <t>https://www.alu-sv.com/en/goods.ep/19000002_dropsides--dropside-profiles/1497_tarpaulin-profile-eurolock-200-mm--al</t>
        </is>
      </c>
      <c r="P403" s="11" t="inlineStr">
        <is>
          <t>https://website-9ib.pages.dev/termek/227045-n-koztes-ponyvas-200-mm-profil/</t>
        </is>
      </c>
      <c r="Q403" s="12" t="inlineStr"/>
      <c r="R403" s="13" t="inlineStr"/>
      <c r="S403" s="6" t="inlineStr">
        <is>
          <t>227045-n-koztes-ponyvas-200-mm-profil</t>
        </is>
      </c>
    </row>
    <row r="404">
      <c r="A404" s="6" t="inlineStr">
        <is>
          <t>226900</t>
        </is>
      </c>
      <c r="B404" s="7" t="inlineStr">
        <is>
          <t>100x25 mm Ponyvatartó zártszelvény D</t>
        </is>
      </c>
      <c r="C404" s="6" t="inlineStr">
        <is>
          <t>Ponyvarendszer kiegészítők</t>
        </is>
      </c>
      <c r="D404" s="6" t="inlineStr">
        <is>
          <t>Ponyvatartó zártszelvények</t>
        </is>
      </c>
      <c r="E404" s="6" t="inlineStr">
        <is>
          <t>Constellium Decin</t>
        </is>
      </c>
      <c r="F404" s="6" t="inlineStr">
        <is>
          <t>6900</t>
        </is>
      </c>
      <c r="G404" s="6" t="inlineStr">
        <is>
          <t>Quadris Excel</t>
        </is>
      </c>
      <c r="H404" s="6" t="n">
        <v>3</v>
      </c>
      <c r="I404" s="6" t="n">
        <v>2</v>
      </c>
      <c r="J404" s="6" t="inlineStr">
        <is>
          <t>nincs</t>
        </is>
      </c>
      <c r="K404" s="6">
        <f>IF(AND(H404&gt;0,I404&gt;0),"Rendben",IF(AND(H404=0,I404=0),"Nincs kép és adat",IF(H404=0,"Nincs kép","Nincs adat")))</f>
        <v/>
      </c>
      <c r="L404" s="6" t="inlineStr">
        <is>
          <t>Igen</t>
        </is>
      </c>
      <c r="M404" s="7" t="inlineStr">
        <is>
          <t>alu-sv.com (a kód utolsó számjegyei); Ital Accessori katalógus; Drive: CONSTELLIUM DECIN Excel – nem letölthető (&gt;10 MB)</t>
        </is>
      </c>
      <c r="N404" s="7" t="inlineStr">
        <is>
          <t>Nem találtuk: alu-sv.com (a kód utolsó számjegyei); Ital Accessori katalógus; Drive: CONSTELLIUM DECIN Excel – nem letölthető (&gt;10 MB); adatlap a Quadris-megnevezésből</t>
        </is>
      </c>
      <c r="O404" s="6" t="inlineStr"/>
      <c r="P404" s="11" t="inlineStr">
        <is>
          <t>https://website-9ib.pages.dev/termek/226900-100x25-mm-ponyvatarto-zartszelveny-d/</t>
        </is>
      </c>
      <c r="Q404" s="12" t="inlineStr"/>
      <c r="R404" s="13" t="inlineStr"/>
      <c r="S404" s="6" t="inlineStr">
        <is>
          <t>226900-100x25-mm-ponyvatarto-zartszelveny-d</t>
        </is>
      </c>
    </row>
    <row r="405">
      <c r="A405" s="6" t="inlineStr">
        <is>
          <t>237847/n</t>
        </is>
      </c>
      <c r="B405" s="7" t="inlineStr">
        <is>
          <t>"h" Ajtószegő 30 mm D</t>
        </is>
      </c>
      <c r="C405" s="6" t="inlineStr">
        <is>
          <t>Zárt-dobozos és hűtős profilok</t>
        </is>
      </c>
      <c r="D405" s="6" t="inlineStr">
        <is>
          <t>Zárt-dobozos és hűtős profilok</t>
        </is>
      </c>
      <c r="E405" s="6" t="inlineStr">
        <is>
          <t>Constellium Decin</t>
        </is>
      </c>
      <c r="F405" s="6" t="inlineStr">
        <is>
          <t>7847</t>
        </is>
      </c>
      <c r="G405" s="6" t="inlineStr">
        <is>
          <t>Quadris Excel</t>
        </is>
      </c>
      <c r="H405" s="6" t="n">
        <v>0</v>
      </c>
      <c r="I405" s="6" t="n">
        <v>0</v>
      </c>
      <c r="J405" s="6" t="inlineStr">
        <is>
          <t>nincs</t>
        </is>
      </c>
      <c r="K405" s="6">
        <f>IF(AND(H405&gt;0,I405&gt;0),"Rendben",IF(AND(H405=0,I405=0),"Nincs kép és adat",IF(H405=0,"Nincs kép","Nincs adat")))</f>
        <v/>
      </c>
      <c r="L405" s="6" t="inlineStr">
        <is>
          <t>Igen</t>
        </is>
      </c>
      <c r="M405" s="7" t="inlineStr">
        <is>
          <t>alu-sv.com (a kód utolsó számjegyei); Ital Accessori katalógus; Drive: CONSTELLIUM DECIN Excel – nem letölthető (&gt;10 MB)</t>
        </is>
      </c>
      <c r="N405" s="7" t="inlineStr">
        <is>
          <t>Nem találtuk: alu-sv.com (a kód utolsó számjegyei); Ital Accessori katalógus; Drive: CONSTELLIUM DECIN Excel – nem letölthető (&gt;10 MB)</t>
        </is>
      </c>
      <c r="O405" s="6" t="inlineStr"/>
      <c r="P405" s="11" t="inlineStr">
        <is>
          <t>https://website-9ib.pages.dev/termek/237847-n-h-ajtoszego-30-mm-d/</t>
        </is>
      </c>
      <c r="Q405" s="12" t="inlineStr"/>
      <c r="R405" s="13" t="inlineStr"/>
      <c r="S405" s="6" t="inlineStr">
        <is>
          <t>237847-n-h-ajtoszego-30-mm-d</t>
        </is>
      </c>
    </row>
    <row r="406">
      <c r="A406" s="6" t="inlineStr">
        <is>
          <t>237870</t>
        </is>
      </c>
      <c r="B406" s="7" t="inlineStr">
        <is>
          <t>25x25 mm utánfutó sarokprofil elox</t>
        </is>
      </c>
      <c r="C406" s="6" t="inlineStr">
        <is>
          <t>Zárt-dobozos és hűtős profilok</t>
        </is>
      </c>
      <c r="D406" s="6" t="inlineStr">
        <is>
          <t>Zárt-dobozos és hűtős profilok</t>
        </is>
      </c>
      <c r="E406" s="6" t="inlineStr">
        <is>
          <t>Constellium Decin</t>
        </is>
      </c>
      <c r="F406" s="6" t="inlineStr">
        <is>
          <t>7870</t>
        </is>
      </c>
      <c r="G406" s="6" t="inlineStr">
        <is>
          <t>Quadris Excel</t>
        </is>
      </c>
      <c r="H406" s="6" t="n">
        <v>3</v>
      </c>
      <c r="I406" s="6" t="n">
        <v>2</v>
      </c>
      <c r="J406" s="6" t="inlineStr">
        <is>
          <t>nincs</t>
        </is>
      </c>
      <c r="K406" s="6">
        <f>IF(AND(H406&gt;0,I406&gt;0),"Rendben",IF(AND(H406=0,I406=0),"Nincs kép és adat",IF(H406=0,"Nincs kép","Nincs adat")))</f>
        <v/>
      </c>
      <c r="L406" s="6" t="inlineStr">
        <is>
          <t>Igen</t>
        </is>
      </c>
      <c r="M406" s="7" t="inlineStr">
        <is>
          <t>alu-sv.com (a kód utolsó számjegyei); Ital Accessori katalógus; Drive: CONSTELLIUM DECIN Excel – nem letölthető (&gt;10 MB)</t>
        </is>
      </c>
      <c r="N406" s="7" t="inlineStr">
        <is>
          <t>Nem találtuk: alu-sv.com (a kód utolsó számjegyei); Ital Accessori katalógus; Drive: CONSTELLIUM DECIN Excel – nem letölthető (&gt;10 MB); adatlap a Quadris-megnevezésből</t>
        </is>
      </c>
      <c r="O406" s="6" t="inlineStr"/>
      <c r="P406" s="11" t="inlineStr">
        <is>
          <t>https://website-9ib.pages.dev/termek/237870-25x25-mm-utanfuto-sarokprofil-elox/</t>
        </is>
      </c>
      <c r="Q406" s="12" t="inlineStr"/>
      <c r="R406" s="13" t="inlineStr"/>
      <c r="S406" s="6" t="inlineStr">
        <is>
          <t>237870-25x25-mm-utanfuto-sarokprofil-elox</t>
        </is>
      </c>
    </row>
    <row r="407">
      <c r="A407" s="6" t="inlineStr">
        <is>
          <t>237905/n</t>
        </is>
      </c>
      <c r="B407" s="7" t="inlineStr">
        <is>
          <t>25x35 mm íves sarokprofil R50</t>
        </is>
      </c>
      <c r="C407" s="6" t="inlineStr">
        <is>
          <t>Zárt-dobozos és hűtős profilok</t>
        </is>
      </c>
      <c r="D407" s="6" t="inlineStr">
        <is>
          <t>Zárt-dobozos és hűtős profilok</t>
        </is>
      </c>
      <c r="E407" s="6" t="inlineStr">
        <is>
          <t>Constellium Decin</t>
        </is>
      </c>
      <c r="F407" s="6" t="inlineStr">
        <is>
          <t>7905</t>
        </is>
      </c>
      <c r="G407" s="6" t="inlineStr">
        <is>
          <t>Quadris Excel</t>
        </is>
      </c>
      <c r="H407" s="6" t="n">
        <v>3</v>
      </c>
      <c r="I407" s="6" t="n">
        <v>2</v>
      </c>
      <c r="J407" s="6" t="inlineStr">
        <is>
          <t>nincs</t>
        </is>
      </c>
      <c r="K407" s="6">
        <f>IF(AND(H407&gt;0,I407&gt;0),"Rendben",IF(AND(H407=0,I407=0),"Nincs kép és adat",IF(H407=0,"Nincs kép","Nincs adat")))</f>
        <v/>
      </c>
      <c r="L407" s="6" t="inlineStr">
        <is>
          <t>Igen</t>
        </is>
      </c>
      <c r="M407" s="7" t="inlineStr">
        <is>
          <t>alu-sv.com (a kód utolsó számjegyei); Ital Accessori katalógus; Drive: CONSTELLIUM DECIN Excel – nem letölthető (&gt;10 MB)</t>
        </is>
      </c>
      <c r="N407" s="7" t="inlineStr">
        <is>
          <t>Nem találtuk: alu-sv.com (a kód utolsó számjegyei); Ital Accessori katalógus; Drive: CONSTELLIUM DECIN Excel – nem letölthető (&gt;10 MB); adatlap a Quadris-megnevezésből</t>
        </is>
      </c>
      <c r="O407" s="6" t="inlineStr"/>
      <c r="P407" s="11" t="inlineStr">
        <is>
          <t>https://website-9ib.pages.dev/termek/237905-n-25x35-mm-ives-sarokprofil-r50/</t>
        </is>
      </c>
      <c r="Q407" s="12" t="inlineStr"/>
      <c r="R407" s="13" t="inlineStr"/>
      <c r="S407" s="6" t="inlineStr">
        <is>
          <t>237905-n-25x35-mm-ives-sarokprofil-r50</t>
        </is>
      </c>
    </row>
    <row r="408">
      <c r="A408" s="6" t="inlineStr">
        <is>
          <t>237460/n</t>
        </is>
      </c>
      <c r="B408" s="7" t="inlineStr">
        <is>
          <t>260 mm I Koptató profil</t>
        </is>
      </c>
      <c r="C408" s="6" t="inlineStr">
        <is>
          <t>Zárt-dobozos és hűtős profilok</t>
        </is>
      </c>
      <c r="D408" s="6" t="inlineStr">
        <is>
          <t>Zárt-dobozos és hűtős profilok</t>
        </is>
      </c>
      <c r="E408" s="6" t="inlineStr">
        <is>
          <t>Constellium Decin</t>
        </is>
      </c>
      <c r="F408" s="6" t="inlineStr"/>
      <c r="G408" s="6" t="inlineStr">
        <is>
          <t>Quadris Excel</t>
        </is>
      </c>
      <c r="H408" s="6" t="n">
        <v>1</v>
      </c>
      <c r="I408" s="6" t="n">
        <v>5</v>
      </c>
      <c r="J408" s="6" t="inlineStr">
        <is>
          <t>nincs</t>
        </is>
      </c>
      <c r="K408" s="6">
        <f>IF(AND(H408&gt;0,I408&gt;0),"Rendben",IF(AND(H408=0,I408=0),"Nincs kép és adat",IF(H408=0,"Nincs kép","Nincs adat")))</f>
        <v/>
      </c>
      <c r="L408" s="6" t="inlineStr">
        <is>
          <t>Igen</t>
        </is>
      </c>
      <c r="M408" s="7" t="inlineStr">
        <is>
          <t>alu-sv.com (a kód utolsó számjegyei); Ital Accessori katalógus; Drive: CONSTELLIUM DECIN Excel – nem letölthető (&gt;10 MB)</t>
        </is>
      </c>
      <c r="N408" s="7" t="inlineStr">
        <is>
          <t>Megtalálva: Protection profile I 260mm, al (kód: 6600007460)</t>
        </is>
      </c>
      <c r="O408" s="11" t="inlineStr">
        <is>
          <t>https://www.alu-sv.com/en/goods.ep/19000001_closed-body-aluminum-profiles/19000006_protection-profile-i-260mm--al</t>
        </is>
      </c>
      <c r="P408" s="11" t="inlineStr">
        <is>
          <t>https://website-9ib.pages.dev/termek/237460-n-260-mm-i-koptato-profil/</t>
        </is>
      </c>
      <c r="Q408" s="12" t="inlineStr"/>
      <c r="R408" s="13" t="inlineStr"/>
      <c r="S408" s="6" t="inlineStr">
        <is>
          <t>237460-n-260-mm-i-koptato-profil</t>
        </is>
      </c>
    </row>
    <row r="409">
      <c r="A409" s="6" t="inlineStr">
        <is>
          <t>237460</t>
        </is>
      </c>
      <c r="B409" s="7" t="inlineStr">
        <is>
          <t>260 mm I Koptató profil elox</t>
        </is>
      </c>
      <c r="C409" s="6" t="inlineStr">
        <is>
          <t>Zárt-dobozos és hűtős profilok</t>
        </is>
      </c>
      <c r="D409" s="6" t="inlineStr">
        <is>
          <t>Zárt-dobozos és hűtős profilok</t>
        </is>
      </c>
      <c r="E409" s="6" t="inlineStr">
        <is>
          <t>Constellium Decin</t>
        </is>
      </c>
      <c r="F409" s="6" t="inlineStr">
        <is>
          <t>7460</t>
        </is>
      </c>
      <c r="G409" s="6" t="inlineStr">
        <is>
          <t>Quadris Excel</t>
        </is>
      </c>
      <c r="H409" s="6" t="n">
        <v>1</v>
      </c>
      <c r="I409" s="6" t="n">
        <v>5</v>
      </c>
      <c r="J409" s="6" t="inlineStr">
        <is>
          <t>nincs</t>
        </is>
      </c>
      <c r="K409" s="6">
        <f>IF(AND(H409&gt;0,I409&gt;0),"Rendben",IF(AND(H409=0,I409=0),"Nincs kép és adat",IF(H409=0,"Nincs kép","Nincs adat")))</f>
        <v/>
      </c>
      <c r="L409" s="6" t="inlineStr">
        <is>
          <t>Igen</t>
        </is>
      </c>
      <c r="M409" s="7" t="inlineStr">
        <is>
          <t>alu-sv.com (a kód utolsó számjegyei); Ital Accessori katalógus; Drive: CONSTELLIUM DECIN Excel – nem letölthető (&gt;10 MB)</t>
        </is>
      </c>
      <c r="N409" s="7" t="inlineStr">
        <is>
          <t>Megtalálva: Protection profile I 260mm, al (kód: 6600007460)</t>
        </is>
      </c>
      <c r="O409" s="11" t="inlineStr">
        <is>
          <t>https://www.alu-sv.com/en/goods.ep/19000001_closed-body-aluminum-profiles/19000006_protection-profile-i-260mm--al</t>
        </is>
      </c>
      <c r="P409" s="11" t="inlineStr">
        <is>
          <t>https://website-9ib.pages.dev/termek/237460-260-mm-i-koptato-profil-elox/</t>
        </is>
      </c>
      <c r="Q409" s="12" t="inlineStr"/>
      <c r="R409" s="13" t="inlineStr"/>
      <c r="S409" s="6" t="inlineStr">
        <is>
          <t>237460-260-mm-i-koptato-profil-elox</t>
        </is>
      </c>
    </row>
    <row r="410">
      <c r="A410" s="6" t="inlineStr">
        <is>
          <t>234235</t>
        </is>
      </c>
      <c r="B410" s="7" t="inlineStr">
        <is>
          <t>35x35 mm íves sarokprofil elox D</t>
        </is>
      </c>
      <c r="C410" s="6" t="inlineStr">
        <is>
          <t>Zárt-dobozos és hűtős profilok</t>
        </is>
      </c>
      <c r="D410" s="6" t="inlineStr">
        <is>
          <t>Zárt-dobozos és hűtős profilok</t>
        </is>
      </c>
      <c r="E410" s="6" t="inlineStr">
        <is>
          <t>Constellium Decin</t>
        </is>
      </c>
      <c r="F410" s="6" t="inlineStr">
        <is>
          <t>14235</t>
        </is>
      </c>
      <c r="G410" s="6" t="inlineStr">
        <is>
          <t>Quadris Excel</t>
        </is>
      </c>
      <c r="H410" s="6" t="n">
        <v>3</v>
      </c>
      <c r="I410" s="6" t="n">
        <v>2</v>
      </c>
      <c r="J410" s="6" t="inlineStr">
        <is>
          <t>nincs</t>
        </is>
      </c>
      <c r="K410" s="6">
        <f>IF(AND(H410&gt;0,I410&gt;0),"Rendben",IF(AND(H410=0,I410=0),"Nincs kép és adat",IF(H410=0,"Nincs kép","Nincs adat")))</f>
        <v/>
      </c>
      <c r="L410" s="6" t="inlineStr">
        <is>
          <t>Igen</t>
        </is>
      </c>
      <c r="M410" s="7" t="inlineStr">
        <is>
          <t>alu-sv.com (a kód utolsó számjegyei); Ital Accessori katalógus; Drive: CONSTELLIUM DECIN Excel – nem letölthető (&gt;10 MB)</t>
        </is>
      </c>
      <c r="N410" s="7" t="inlineStr">
        <is>
          <t>Nem találtuk: alu-sv.com (a kód utolsó számjegyei); Ital Accessori katalógus; Drive: CONSTELLIUM DECIN Excel – nem letölthető (&gt;10 MB); adatlap a Quadris-megnevezésből</t>
        </is>
      </c>
      <c r="O410" s="6" t="inlineStr"/>
      <c r="P410" s="11" t="inlineStr">
        <is>
          <t>https://website-9ib.pages.dev/termek/234235-35x35-mm-ives-sarokprofil-elox-d/</t>
        </is>
      </c>
      <c r="Q410" s="12" t="inlineStr"/>
      <c r="R410" s="13" t="inlineStr"/>
      <c r="S410" s="6" t="inlineStr">
        <is>
          <t>234235-35x35-mm-ives-sarokprofil-elox-d</t>
        </is>
      </c>
    </row>
    <row r="411">
      <c r="A411" s="6" t="inlineStr">
        <is>
          <t>232189</t>
        </is>
      </c>
      <c r="B411" s="7" t="inlineStr">
        <is>
          <t>50x170 mm L Belső védőprofil elox</t>
        </is>
      </c>
      <c r="C411" s="6" t="inlineStr">
        <is>
          <t>Zárt-dobozos és hűtős profilok</t>
        </is>
      </c>
      <c r="D411" s="6" t="inlineStr">
        <is>
          <t>Zárt-dobozos és hűtős profilok</t>
        </is>
      </c>
      <c r="E411" s="6" t="inlineStr">
        <is>
          <t>Constellium Decin</t>
        </is>
      </c>
      <c r="F411" s="6" t="inlineStr"/>
      <c r="G411" s="6" t="inlineStr">
        <is>
          <t>Quadris Excel</t>
        </is>
      </c>
      <c r="H411" s="6" t="n">
        <v>3</v>
      </c>
      <c r="I411" s="6" t="n">
        <v>2</v>
      </c>
      <c r="J411" s="6" t="inlineStr">
        <is>
          <t>nincs</t>
        </is>
      </c>
      <c r="K411" s="6">
        <f>IF(AND(H411&gt;0,I411&gt;0),"Rendben",IF(AND(H411=0,I411=0),"Nincs kép és adat",IF(H411=0,"Nincs kép","Nincs adat")))</f>
        <v/>
      </c>
      <c r="L411" s="6" t="inlineStr">
        <is>
          <t>Igen</t>
        </is>
      </c>
      <c r="M411" s="7" t="inlineStr">
        <is>
          <t>alu-sv.com (a kód utolsó számjegyei); Ital Accessori katalógus; Drive: CONSTELLIUM DECIN Excel – nem letölthető (&gt;10 MB)</t>
        </is>
      </c>
      <c r="N411" s="7" t="inlineStr">
        <is>
          <t>Nem találtuk: alu-sv.com (a kód utolsó számjegyei); Ital Accessori katalógus; Drive: CONSTELLIUM DECIN Excel – nem letölthető (&gt;10 MB); adatlap a Quadris-megnevezésből</t>
        </is>
      </c>
      <c r="O411" s="6" t="inlineStr"/>
      <c r="P411" s="11" t="inlineStr">
        <is>
          <t>https://website-9ib.pages.dev/termek/232189-50x170-mm-l-belso-vedoprofil-elox/</t>
        </is>
      </c>
      <c r="Q411" s="12" t="inlineStr"/>
      <c r="R411" s="13" t="inlineStr"/>
      <c r="S411" s="6" t="inlineStr">
        <is>
          <t>232189-50x170-mm-l-belso-vedoprofil-elox</t>
        </is>
      </c>
    </row>
    <row r="412">
      <c r="A412" s="6" t="inlineStr">
        <is>
          <t>237461/n</t>
        </is>
      </c>
      <c r="B412" s="7" t="inlineStr">
        <is>
          <t>50x260 mm L Belső védőprofil</t>
        </is>
      </c>
      <c r="C412" s="6" t="inlineStr">
        <is>
          <t>Zárt-dobozos és hűtős profilok</t>
        </is>
      </c>
      <c r="D412" s="6" t="inlineStr">
        <is>
          <t>Zárt-dobozos és hűtős profilok</t>
        </is>
      </c>
      <c r="E412" s="6" t="inlineStr">
        <is>
          <t>Constellium Decin</t>
        </is>
      </c>
      <c r="F412" s="6" t="inlineStr">
        <is>
          <t>7461</t>
        </is>
      </c>
      <c r="G412" s="6" t="inlineStr">
        <is>
          <t>Quadris Excel</t>
        </is>
      </c>
      <c r="H412" s="6" t="n">
        <v>3</v>
      </c>
      <c r="I412" s="6" t="n">
        <v>2</v>
      </c>
      <c r="J412" s="6" t="inlineStr">
        <is>
          <t>nincs</t>
        </is>
      </c>
      <c r="K412" s="6">
        <f>IF(AND(H412&gt;0,I412&gt;0),"Rendben",IF(AND(H412=0,I412=0),"Nincs kép és adat",IF(H412=0,"Nincs kép","Nincs adat")))</f>
        <v/>
      </c>
      <c r="L412" s="6" t="inlineStr">
        <is>
          <t>Igen</t>
        </is>
      </c>
      <c r="M412" s="7" t="inlineStr">
        <is>
          <t>alu-sv.com (a kód utolsó számjegyei); Ital Accessori katalógus; Drive: CONSTELLIUM DECIN Excel – nem letölthető (&gt;10 MB)</t>
        </is>
      </c>
      <c r="N412" s="7" t="inlineStr">
        <is>
          <t>Nem találtuk: alu-sv.com (a kód utolsó számjegyei); Ital Accessori katalógus; Drive: CONSTELLIUM DECIN Excel – nem letölthető (&gt;10 MB); adatlap a Quadris-megnevezésből</t>
        </is>
      </c>
      <c r="O412" s="6" t="inlineStr"/>
      <c r="P412" s="11" t="inlineStr">
        <is>
          <t>https://website-9ib.pages.dev/termek/237461-n-50x260-mm-l-belso-vedoprofil/</t>
        </is>
      </c>
      <c r="Q412" s="12" t="inlineStr"/>
      <c r="R412" s="13" t="inlineStr"/>
      <c r="S412" s="6" t="inlineStr">
        <is>
          <t>237461-n-50x260-mm-l-belso-vedoprofil</t>
        </is>
      </c>
    </row>
    <row r="413">
      <c r="A413" s="6" t="inlineStr">
        <is>
          <t>237461</t>
        </is>
      </c>
      <c r="B413" s="7" t="inlineStr">
        <is>
          <t>50x260 mm L Belső védőprofil elox</t>
        </is>
      </c>
      <c r="C413" s="6" t="inlineStr">
        <is>
          <t>Zárt-dobozos és hűtős profilok</t>
        </is>
      </c>
      <c r="D413" s="6" t="inlineStr">
        <is>
          <t>Zárt-dobozos és hűtős profilok</t>
        </is>
      </c>
      <c r="E413" s="6" t="inlineStr">
        <is>
          <t>Constellium Decin</t>
        </is>
      </c>
      <c r="F413" s="6" t="inlineStr">
        <is>
          <t>7461</t>
        </is>
      </c>
      <c r="G413" s="6" t="inlineStr">
        <is>
          <t>Quadris Excel</t>
        </is>
      </c>
      <c r="H413" s="6" t="n">
        <v>3</v>
      </c>
      <c r="I413" s="6" t="n">
        <v>2</v>
      </c>
      <c r="J413" s="6" t="inlineStr">
        <is>
          <t>nincs</t>
        </is>
      </c>
      <c r="K413" s="6">
        <f>IF(AND(H413&gt;0,I413&gt;0),"Rendben",IF(AND(H413=0,I413=0),"Nincs kép és adat",IF(H413=0,"Nincs kép","Nincs adat")))</f>
        <v/>
      </c>
      <c r="L413" s="6" t="inlineStr">
        <is>
          <t>Igen</t>
        </is>
      </c>
      <c r="M413" s="7" t="inlineStr">
        <is>
          <t>alu-sv.com (a kód utolsó számjegyei); Ital Accessori katalógus; Drive: CONSTELLIUM DECIN Excel – nem letölthető (&gt;10 MB)</t>
        </is>
      </c>
      <c r="N413" s="7" t="inlineStr">
        <is>
          <t>Nem találtuk: alu-sv.com (a kód utolsó számjegyei); Ital Accessori katalógus; Drive: CONSTELLIUM DECIN Excel – nem letölthető (&gt;10 MB); adatlap a Quadris-megnevezésből</t>
        </is>
      </c>
      <c r="O413" s="6" t="inlineStr"/>
      <c r="P413" s="11" t="inlineStr">
        <is>
          <t>https://website-9ib.pages.dev/termek/237461-50x260-mm-l-belso-vedoprofil-elox/</t>
        </is>
      </c>
      <c r="Q413" s="12" t="inlineStr"/>
      <c r="R413" s="13" t="inlineStr"/>
      <c r="S413" s="6" t="inlineStr">
        <is>
          <t>237461-50x260-mm-l-belso-vedoprofil-elox</t>
        </is>
      </c>
    </row>
    <row r="414">
      <c r="A414" s="6" t="inlineStr">
        <is>
          <t>237767</t>
        </is>
      </c>
      <c r="B414" s="7" t="inlineStr">
        <is>
          <t>60x60 "L" profil elox</t>
        </is>
      </c>
      <c r="C414" s="6" t="inlineStr">
        <is>
          <t>Zárt-dobozos és hűtős profilok</t>
        </is>
      </c>
      <c r="D414" s="6" t="inlineStr">
        <is>
          <t>Zárt-dobozos és hűtős profilok</t>
        </is>
      </c>
      <c r="E414" s="6" t="inlineStr">
        <is>
          <t>Constellium Decin</t>
        </is>
      </c>
      <c r="F414" s="6" t="inlineStr">
        <is>
          <t>7767</t>
        </is>
      </c>
      <c r="G414" s="6" t="inlineStr">
        <is>
          <t>Quadris Excel</t>
        </is>
      </c>
      <c r="H414" s="6" t="n">
        <v>3</v>
      </c>
      <c r="I414" s="6" t="n">
        <v>2</v>
      </c>
      <c r="J414" s="6" t="inlineStr">
        <is>
          <t>nincs</t>
        </is>
      </c>
      <c r="K414" s="6">
        <f>IF(AND(H414&gt;0,I414&gt;0),"Rendben",IF(AND(H414=0,I414=0),"Nincs kép és adat",IF(H414=0,"Nincs kép","Nincs adat")))</f>
        <v/>
      </c>
      <c r="L414" s="6" t="inlineStr">
        <is>
          <t>Igen</t>
        </is>
      </c>
      <c r="M414" s="7" t="inlineStr">
        <is>
          <t>alu-sv.com (a kód utolsó számjegyei); Ital Accessori katalógus; Drive: CONSTELLIUM DECIN Excel – nem letölthető (&gt;10 MB)</t>
        </is>
      </c>
      <c r="N414" s="7" t="inlineStr">
        <is>
          <t>Nem találtuk: alu-sv.com (a kód utolsó számjegyei); Ital Accessori katalógus; Drive: CONSTELLIUM DECIN Excel – nem letölthető (&gt;10 MB); adatlap a Quadris-megnevezésből</t>
        </is>
      </c>
      <c r="O414" s="6" t="inlineStr"/>
      <c r="P414" s="11" t="inlineStr">
        <is>
          <t>https://website-9ib.pages.dev/termek/237767-60x60-l-profil-elox/</t>
        </is>
      </c>
      <c r="Q414" s="12" t="inlineStr"/>
      <c r="R414" s="13" t="inlineStr"/>
      <c r="S414" s="6" t="inlineStr">
        <is>
          <t>237767-60x60-l-profil-elox</t>
        </is>
      </c>
    </row>
    <row r="415">
      <c r="A415" s="6" t="inlineStr">
        <is>
          <t>238087</t>
        </is>
      </c>
      <c r="B415" s="7" t="inlineStr">
        <is>
          <t>70x110 mm L külső elox</t>
        </is>
      </c>
      <c r="C415" s="6" t="inlineStr">
        <is>
          <t>Zárt-dobozos és hűtős profilok</t>
        </is>
      </c>
      <c r="D415" s="6" t="inlineStr">
        <is>
          <t>Zárt-dobozos és hűtős profilok</t>
        </is>
      </c>
      <c r="E415" s="6" t="inlineStr">
        <is>
          <t>Constellium Decin</t>
        </is>
      </c>
      <c r="F415" s="6" t="inlineStr">
        <is>
          <t>8087</t>
        </is>
      </c>
      <c r="G415" s="6" t="inlineStr">
        <is>
          <t>Quadris Excel</t>
        </is>
      </c>
      <c r="H415" s="6" t="n">
        <v>3</v>
      </c>
      <c r="I415" s="6" t="n">
        <v>2</v>
      </c>
      <c r="J415" s="6" t="inlineStr">
        <is>
          <t>nincs</t>
        </is>
      </c>
      <c r="K415" s="6">
        <f>IF(AND(H415&gt;0,I415&gt;0),"Rendben",IF(AND(H415=0,I415=0),"Nincs kép és adat",IF(H415=0,"Nincs kép","Nincs adat")))</f>
        <v/>
      </c>
      <c r="L415" s="6" t="inlineStr">
        <is>
          <t>Igen</t>
        </is>
      </c>
      <c r="M415" s="7" t="inlineStr">
        <is>
          <t>alu-sv.com (a kód utolsó számjegyei); Ital Accessori katalógus; Drive: CONSTELLIUM DECIN Excel – nem letölthető (&gt;10 MB)</t>
        </is>
      </c>
      <c r="N415" s="7" t="inlineStr">
        <is>
          <t>Nem találtuk: alu-sv.com (a kód utolsó számjegyei); Ital Accessori katalógus; Drive: CONSTELLIUM DECIN Excel – nem letölthető (&gt;10 MB); adatlap a Quadris-megnevezésből</t>
        </is>
      </c>
      <c r="O415" s="6" t="inlineStr"/>
      <c r="P415" s="11" t="inlineStr">
        <is>
          <t>https://website-9ib.pages.dev/termek/238087-70x110-mm-l-kulso-elox/</t>
        </is>
      </c>
      <c r="Q415" s="12" t="inlineStr"/>
      <c r="R415" s="13" t="inlineStr"/>
      <c r="S415" s="6" t="inlineStr">
        <is>
          <t>238087-70x110-mm-l-kulso-elox</t>
        </is>
      </c>
    </row>
    <row r="416">
      <c r="A416" s="6" t="inlineStr">
        <is>
          <t>236825</t>
        </is>
      </c>
      <c r="B416" s="7" t="inlineStr">
        <is>
          <t>80x80 mm L profil elox</t>
        </is>
      </c>
      <c r="C416" s="6" t="inlineStr">
        <is>
          <t>Zárt-dobozos és hűtős profilok</t>
        </is>
      </c>
      <c r="D416" s="6" t="inlineStr">
        <is>
          <t>Zárt-dobozos és hűtős profilok</t>
        </is>
      </c>
      <c r="E416" s="6" t="inlineStr">
        <is>
          <t>Constellium Decin</t>
        </is>
      </c>
      <c r="F416" s="6" t="inlineStr">
        <is>
          <t>7753</t>
        </is>
      </c>
      <c r="G416" s="6" t="inlineStr">
        <is>
          <t>Quadris Excel</t>
        </is>
      </c>
      <c r="H416" s="6" t="n">
        <v>3</v>
      </c>
      <c r="I416" s="6" t="n">
        <v>2</v>
      </c>
      <c r="J416" s="6" t="inlineStr">
        <is>
          <t>nincs</t>
        </is>
      </c>
      <c r="K416" s="6">
        <f>IF(AND(H416&gt;0,I416&gt;0),"Rendben",IF(AND(H416=0,I416=0),"Nincs kép és adat",IF(H416=0,"Nincs kép","Nincs adat")))</f>
        <v/>
      </c>
      <c r="L416" s="6" t="inlineStr">
        <is>
          <t>Igen</t>
        </is>
      </c>
      <c r="M416" s="7" t="inlineStr">
        <is>
          <t>alu-sv.com (a kód utolsó számjegyei); Ital Accessori katalógus; Drive: CONSTELLIUM DECIN Excel – nem letölthető (&gt;10 MB)</t>
        </is>
      </c>
      <c r="N416" s="7" t="inlineStr">
        <is>
          <t>Nem találtuk: alu-sv.com (a kód utolsó számjegyei); Ital Accessori katalógus; Drive: CONSTELLIUM DECIN Excel – nem letölthető (&gt;10 MB); adatlap a Quadris-megnevezésből</t>
        </is>
      </c>
      <c r="O416" s="6" t="inlineStr"/>
      <c r="P416" s="11" t="inlineStr">
        <is>
          <t>https://website-9ib.pages.dev/termek/236825-80x80-mm-l-profil-elox/</t>
        </is>
      </c>
      <c r="Q416" s="12" t="inlineStr"/>
      <c r="R416" s="13" t="inlineStr"/>
      <c r="S416" s="6" t="inlineStr">
        <is>
          <t>236825-80x80-mm-l-profil-elox</t>
        </is>
      </c>
    </row>
    <row r="417">
      <c r="A417" s="6" t="inlineStr">
        <is>
          <t>231543</t>
        </is>
      </c>
      <c r="B417" s="7" t="inlineStr">
        <is>
          <t>Dobozos keret elox 134/80</t>
        </is>
      </c>
      <c r="C417" s="6" t="inlineStr">
        <is>
          <t>Zárt-dobozos és hűtős profilok</t>
        </is>
      </c>
      <c r="D417" s="6" t="inlineStr">
        <is>
          <t>Zárt-dobozos és hűtős profilok</t>
        </is>
      </c>
      <c r="E417" s="6" t="inlineStr">
        <is>
          <t>Constellium Decin</t>
        </is>
      </c>
      <c r="F417" s="6" t="inlineStr"/>
      <c r="G417" s="6" t="inlineStr">
        <is>
          <t>Quadris Excel</t>
        </is>
      </c>
      <c r="H417" s="6" t="n">
        <v>0</v>
      </c>
      <c r="I417" s="6" t="n">
        <v>0</v>
      </c>
      <c r="J417" s="6" t="inlineStr">
        <is>
          <t>nincs</t>
        </is>
      </c>
      <c r="K417" s="6">
        <f>IF(AND(H417&gt;0,I417&gt;0),"Rendben",IF(AND(H417=0,I417=0),"Nincs kép és adat",IF(H417=0,"Nincs kép","Nincs adat")))</f>
        <v/>
      </c>
      <c r="L417" s="6" t="inlineStr">
        <is>
          <t>Igen</t>
        </is>
      </c>
      <c r="M417" s="7" t="inlineStr">
        <is>
          <t>alu-sv.com (a kód utolsó számjegyei); Ital Accessori katalógus; Drive: CONSTELLIUM DECIN Excel – nem letölthető (&gt;10 MB)</t>
        </is>
      </c>
      <c r="N417" s="7" t="inlineStr">
        <is>
          <t>Nem találtuk: alu-sv.com (a kód utolsó számjegyei); Ital Accessori katalógus; Drive: CONSTELLIUM DECIN Excel – nem letölthető (&gt;10 MB)</t>
        </is>
      </c>
      <c r="O417" s="6" t="inlineStr"/>
      <c r="P417" s="11" t="inlineStr">
        <is>
          <t>https://website-9ib.pages.dev/termek/231543-dobozos-keret-elox-134-80/</t>
        </is>
      </c>
      <c r="Q417" s="12" t="inlineStr"/>
      <c r="R417" s="13" t="inlineStr"/>
      <c r="S417" s="6" t="inlineStr">
        <is>
          <t>231543-dobozos-keret-elox-134-80</t>
        </is>
      </c>
    </row>
    <row r="418">
      <c r="A418" s="6" t="inlineStr">
        <is>
          <t>237971</t>
        </is>
      </c>
      <c r="B418" s="7" t="inlineStr">
        <is>
          <t>Hűtős keretprofil nyitott elox</t>
        </is>
      </c>
      <c r="C418" s="6" t="inlineStr">
        <is>
          <t>Zárt-dobozos és hűtős profilok</t>
        </is>
      </c>
      <c r="D418" s="6" t="inlineStr">
        <is>
          <t>Zárt-dobozos és hűtős profilok</t>
        </is>
      </c>
      <c r="E418" s="6" t="inlineStr">
        <is>
          <t>Constellium Decin</t>
        </is>
      </c>
      <c r="F418" s="6" t="inlineStr"/>
      <c r="G418" s="6" t="inlineStr">
        <is>
          <t>Quadris Excel</t>
        </is>
      </c>
      <c r="H418" s="6" t="n">
        <v>0</v>
      </c>
      <c r="I418" s="6" t="n">
        <v>0</v>
      </c>
      <c r="J418" s="6" t="inlineStr">
        <is>
          <t>nincs</t>
        </is>
      </c>
      <c r="K418" s="6">
        <f>IF(AND(H418&gt;0,I418&gt;0),"Rendben",IF(AND(H418=0,I418=0),"Nincs kép és adat",IF(H418=0,"Nincs kép","Nincs adat")))</f>
        <v/>
      </c>
      <c r="L418" s="6" t="inlineStr">
        <is>
          <t>Igen</t>
        </is>
      </c>
      <c r="M418" s="7" t="inlineStr">
        <is>
          <t>alu-sv.com (a kód utolsó számjegyei); Ital Accessori katalógus; Drive: CONSTELLIUM DECIN Excel – nem letölthető (&gt;10 MB)</t>
        </is>
      </c>
      <c r="N418" s="7" t="inlineStr">
        <is>
          <t>Nem találtuk: alu-sv.com (a kód utolsó számjegyei); Ital Accessori katalógus; Drive: CONSTELLIUM DECIN Excel – nem letölthető (&gt;10 MB)</t>
        </is>
      </c>
      <c r="O418" s="6" t="inlineStr"/>
      <c r="P418" s="11" t="inlineStr">
        <is>
          <t>https://website-9ib.pages.dev/termek/237971-hutos-keretprofil-nyitott-elox/</t>
        </is>
      </c>
      <c r="Q418" s="12" t="inlineStr"/>
      <c r="R418" s="13" t="inlineStr"/>
      <c r="S418" s="6" t="inlineStr">
        <is>
          <t>237971-hutos-keretprofil-nyitott-elox</t>
        </is>
      </c>
    </row>
    <row r="419">
      <c r="A419" s="6" t="inlineStr">
        <is>
          <t>238645</t>
        </is>
      </c>
      <c r="B419" s="7" t="inlineStr">
        <is>
          <t>Külső "L" profil 140x80mm elox</t>
        </is>
      </c>
      <c r="C419" s="6" t="inlineStr">
        <is>
          <t>Zárt-dobozos és hűtős profilok</t>
        </is>
      </c>
      <c r="D419" s="6" t="inlineStr">
        <is>
          <t>Zárt-dobozos és hűtős profilok</t>
        </is>
      </c>
      <c r="E419" s="6" t="inlineStr">
        <is>
          <t>Constellium Decin</t>
        </is>
      </c>
      <c r="F419" s="6" t="inlineStr">
        <is>
          <t>8645</t>
        </is>
      </c>
      <c r="G419" s="6" t="inlineStr">
        <is>
          <t>Quadris Excel</t>
        </is>
      </c>
      <c r="H419" s="6" t="n">
        <v>3</v>
      </c>
      <c r="I419" s="6" t="n">
        <v>2</v>
      </c>
      <c r="J419" s="6" t="inlineStr">
        <is>
          <t>nincs</t>
        </is>
      </c>
      <c r="K419" s="6">
        <f>IF(AND(H419&gt;0,I419&gt;0),"Rendben",IF(AND(H419=0,I419=0),"Nincs kép és adat",IF(H419=0,"Nincs kép","Nincs adat")))</f>
        <v/>
      </c>
      <c r="L419" s="6" t="inlineStr">
        <is>
          <t>Igen</t>
        </is>
      </c>
      <c r="M419" s="7" t="inlineStr">
        <is>
          <t>alu-sv.com (a kód utolsó számjegyei); Ital Accessori katalógus; Drive: CONSTELLIUM DECIN Excel – nem letölthető (&gt;10 MB)</t>
        </is>
      </c>
      <c r="N419" s="7" t="inlineStr">
        <is>
          <t>Nem találtuk: alu-sv.com (a kód utolsó számjegyei); Ital Accessori katalógus; Drive: CONSTELLIUM DECIN Excel – nem letölthető (&gt;10 MB); adatlap a Quadris-megnevezésből</t>
        </is>
      </c>
      <c r="O419" s="6" t="inlineStr"/>
      <c r="P419" s="11" t="inlineStr">
        <is>
          <t>https://website-9ib.pages.dev/termek/238645-kulso-l-profil-140x80mm-elox/</t>
        </is>
      </c>
      <c r="Q419" s="12" t="inlineStr"/>
      <c r="R419" s="13" t="inlineStr"/>
      <c r="S419" s="6" t="inlineStr">
        <is>
          <t>238645-kulso-l-profil-140x80mm-elox</t>
        </is>
      </c>
    </row>
    <row r="420">
      <c r="A420" s="6" t="inlineStr">
        <is>
          <t>237846/n</t>
        </is>
      </c>
      <c r="B420" s="7" t="inlineStr">
        <is>
          <t>Tömítéses ajtószegő 30 mm D</t>
        </is>
      </c>
      <c r="C420" s="6" t="inlineStr">
        <is>
          <t>Zárt-dobozos és hűtős profilok</t>
        </is>
      </c>
      <c r="D420" s="6" t="inlineStr">
        <is>
          <t>Zárt-dobozos és hűtős profilok</t>
        </is>
      </c>
      <c r="E420" s="6" t="inlineStr">
        <is>
          <t>Constellium Decin</t>
        </is>
      </c>
      <c r="F420" s="6" t="inlineStr">
        <is>
          <t>7846</t>
        </is>
      </c>
      <c r="G420" s="6" t="inlineStr">
        <is>
          <t>Quadris Excel</t>
        </is>
      </c>
      <c r="H420" s="6" t="n">
        <v>0</v>
      </c>
      <c r="I420" s="6" t="n">
        <v>0</v>
      </c>
      <c r="J420" s="6" t="inlineStr">
        <is>
          <t>nincs</t>
        </is>
      </c>
      <c r="K420" s="6">
        <f>IF(AND(H420&gt;0,I420&gt;0),"Rendben",IF(AND(H420=0,I420=0),"Nincs kép és adat",IF(H420=0,"Nincs kép","Nincs adat")))</f>
        <v/>
      </c>
      <c r="L420" s="6" t="inlineStr">
        <is>
          <t>Igen</t>
        </is>
      </c>
      <c r="M420" s="7" t="inlineStr">
        <is>
          <t>alu-sv.com (a kód utolsó számjegyei); Ital Accessori katalógus; Drive: CONSTELLIUM DECIN Excel – nem letölthető (&gt;10 MB)</t>
        </is>
      </c>
      <c r="N420" s="7" t="inlineStr">
        <is>
          <t>Nem találtuk: alu-sv.com (a kód utolsó számjegyei); Ital Accessori katalógus; Drive: CONSTELLIUM DECIN Excel – nem letölthető (&gt;10 MB)</t>
        </is>
      </c>
      <c r="O420" s="6" t="inlineStr"/>
      <c r="P420" s="11" t="inlineStr">
        <is>
          <t>https://website-9ib.pages.dev/termek/237846-n-tomiteses-ajtoszego-30-mm-d/</t>
        </is>
      </c>
      <c r="Q420" s="12" t="inlineStr"/>
      <c r="R420" s="13" t="inlineStr"/>
      <c r="S420" s="6" t="inlineStr">
        <is>
          <t>237846-n-tomiteses-ajtoszego-30-mm-d</t>
        </is>
      </c>
    </row>
    <row r="421">
      <c r="A421" s="6" t="inlineStr"/>
      <c r="B421" s="7" t="inlineStr">
        <is>
          <t>JVR35 MINI BOX 350X350X350 mm</t>
        </is>
      </c>
      <c r="C421" s="6" t="inlineStr">
        <is>
          <t>Sárvédők, szerszámosládák</t>
        </is>
      </c>
      <c r="D421" s="6" t="inlineStr">
        <is>
          <t>Dobozok + tartó konzolok</t>
        </is>
      </c>
      <c r="E421" s="6" t="inlineStr">
        <is>
          <t>COPAR</t>
        </is>
      </c>
      <c r="F421" s="6" t="inlineStr">
        <is>
          <t>ICAEA12000N0</t>
        </is>
      </c>
      <c r="G421" s="6" t="inlineStr">
        <is>
          <t>Quadris Excel</t>
        </is>
      </c>
      <c r="H421" s="6" t="n">
        <v>2</v>
      </c>
      <c r="I421" s="6" t="n">
        <v>8</v>
      </c>
      <c r="J421" s="6" t="inlineStr">
        <is>
          <t>nincs</t>
        </is>
      </c>
      <c r="K421" s="6">
        <f>IF(AND(H421&gt;0,I421&gt;0),"Rendben",IF(AND(H421=0,I421=0),"Nincs kép és adat",IF(H421=0,"Nincs kép","Nincs adat")))</f>
        <v/>
      </c>
      <c r="L421" s="6" t="inlineStr">
        <is>
          <t>Igen</t>
        </is>
      </c>
      <c r="M421" s="7" t="inlineStr">
        <is>
          <t>copar.it oldaltérkép; Co.Par. Mini Box / Nova Box típuslapok (Drive)</t>
        </is>
      </c>
      <c r="N421" s="7" t="inlineStr">
        <is>
          <t>Megtalálva: Co.Par. MINI BOX 35 (kód: ICAEA12000N0)</t>
        </is>
      </c>
      <c r="O421" s="11" t="inlineStr">
        <is>
          <t>https://www.copar.it</t>
        </is>
      </c>
      <c r="P421" s="11" t="inlineStr">
        <is>
          <t>https://website-9ib.pages.dev/termek/jvr35-mini-box-350x350x350-mm/</t>
        </is>
      </c>
      <c r="Q421" s="12" t="inlineStr"/>
      <c r="R421" s="13" t="inlineStr"/>
      <c r="S421" s="6" t="inlineStr">
        <is>
          <t>jvr35-mini-box-350x350x350-mm</t>
        </is>
      </c>
    </row>
    <row r="422">
      <c r="A422" s="6" t="inlineStr"/>
      <c r="B422" s="7" t="inlineStr">
        <is>
          <t>JVR50 NOVA BOX 500X400X350 mm</t>
        </is>
      </c>
      <c r="C422" s="6" t="inlineStr">
        <is>
          <t>Sárvédők, szerszámosládák</t>
        </is>
      </c>
      <c r="D422" s="6" t="inlineStr">
        <is>
          <t>Dobozok + tartó konzolok</t>
        </is>
      </c>
      <c r="E422" s="6" t="inlineStr">
        <is>
          <t>COPAR</t>
        </is>
      </c>
      <c r="F422" s="6" t="inlineStr">
        <is>
          <t>ICBEB20000N0</t>
        </is>
      </c>
      <c r="G422" s="6" t="inlineStr">
        <is>
          <t>Quadris Excel</t>
        </is>
      </c>
      <c r="H422" s="6" t="n">
        <v>2</v>
      </c>
      <c r="I422" s="6" t="n">
        <v>8</v>
      </c>
      <c r="J422" s="6" t="inlineStr">
        <is>
          <t>nincs</t>
        </is>
      </c>
      <c r="K422" s="6">
        <f>IF(AND(H422&gt;0,I422&gt;0),"Rendben",IF(AND(H422=0,I422=0),"Nincs kép és adat",IF(H422=0,"Nincs kép","Nincs adat")))</f>
        <v/>
      </c>
      <c r="L422" s="6" t="inlineStr">
        <is>
          <t>Igen</t>
        </is>
      </c>
      <c r="M422" s="7" t="inlineStr">
        <is>
          <t>copar.it oldaltérkép; Co.Par. Mini Box / Nova Box típuslapok (Drive)</t>
        </is>
      </c>
      <c r="N422" s="7" t="inlineStr">
        <is>
          <t>Megtalálva: Co.Par. NOVA BOX 50 (kód: ICBEB20000N0)</t>
        </is>
      </c>
      <c r="O422" s="11" t="inlineStr">
        <is>
          <t>https://www.copar.it</t>
        </is>
      </c>
      <c r="P422" s="11" t="inlineStr">
        <is>
          <t>https://website-9ib.pages.dev/termek/jvr50-nova-box-500x400x350-mm/</t>
        </is>
      </c>
      <c r="Q422" s="12" t="inlineStr"/>
      <c r="R422" s="13" t="inlineStr"/>
      <c r="S422" s="6" t="inlineStr">
        <is>
          <t>jvr50-nova-box-500x400x350-mm</t>
        </is>
      </c>
    </row>
    <row r="423">
      <c r="A423" s="6" t="inlineStr">
        <is>
          <t>614603</t>
        </is>
      </c>
      <c r="B423" s="7" t="inlineStr">
        <is>
          <t>"B" Oldalajtó zárszerkezet FEKETE</t>
        </is>
      </c>
      <c r="C423" s="6" t="inlineStr">
        <is>
          <t>Speciális felépítmény alkatrészek</t>
        </is>
      </c>
      <c r="D423" s="6" t="inlineStr">
        <is>
          <t>Zárak</t>
        </is>
      </c>
      <c r="E423" s="6" t="inlineStr">
        <is>
          <t>D.LaPorte</t>
        </is>
      </c>
      <c r="F423" s="6" t="inlineStr">
        <is>
          <t>2141199DR</t>
        </is>
      </c>
      <c r="G423" s="6" t="inlineStr">
        <is>
          <t>Quadris Excel</t>
        </is>
      </c>
      <c r="H423" s="6" t="n">
        <v>0</v>
      </c>
      <c r="I423" s="6" t="n">
        <v>0</v>
      </c>
      <c r="J423" s="6" t="inlineStr">
        <is>
          <t>nincs</t>
        </is>
      </c>
      <c r="K423" s="6">
        <f>IF(AND(H423&gt;0,I423&gt;0),"Rendben",IF(AND(H423=0,I423=0),"Nincs kép és adat",IF(H423=0,"Nincs kép","Nincs adat")))</f>
        <v/>
      </c>
      <c r="L423" s="6" t="inlineStr">
        <is>
          <t>Nem</t>
        </is>
      </c>
      <c r="M423" s="7" t="inlineStr">
        <is>
          <t>–</t>
        </is>
      </c>
      <c r="N423" s="7" t="inlineStr">
        <is>
          <t>Nem kerestük – nincs ismert weboldal vagy katalógus</t>
        </is>
      </c>
      <c r="O423" s="6" t="inlineStr"/>
      <c r="P423" s="11" t="inlineStr">
        <is>
          <t>https://website-9ib.pages.dev/termek/614603-b-oldalajto-zarszerkezet-fekete/</t>
        </is>
      </c>
      <c r="Q423" s="12" t="inlineStr"/>
      <c r="R423" s="13" t="inlineStr"/>
      <c r="S423" s="6" t="inlineStr">
        <is>
          <t>614603-b-oldalajto-zarszerkezet-fekete</t>
        </is>
      </c>
    </row>
    <row r="424">
      <c r="A424" s="6" t="inlineStr">
        <is>
          <t>614602</t>
        </is>
      </c>
      <c r="B424" s="7" t="inlineStr">
        <is>
          <t>"J" Oldalajtó zárszerkezet</t>
        </is>
      </c>
      <c r="C424" s="6" t="inlineStr">
        <is>
          <t>Speciális felépítmény alkatrészek</t>
        </is>
      </c>
      <c r="D424" s="6" t="inlineStr">
        <is>
          <t>Zárak</t>
        </is>
      </c>
      <c r="E424" s="6" t="inlineStr">
        <is>
          <t>D.LaPorte</t>
        </is>
      </c>
      <c r="F424" s="6" t="inlineStr">
        <is>
          <t>61.4600.0002</t>
        </is>
      </c>
      <c r="G424" s="6" t="inlineStr">
        <is>
          <t>Quadris Excel</t>
        </is>
      </c>
      <c r="H424" s="6" t="n">
        <v>0</v>
      </c>
      <c r="I424" s="6" t="n">
        <v>0</v>
      </c>
      <c r="J424" s="6" t="inlineStr">
        <is>
          <t>nincs</t>
        </is>
      </c>
      <c r="K424" s="6">
        <f>IF(AND(H424&gt;0,I424&gt;0),"Rendben",IF(AND(H424=0,I424=0),"Nincs kép és adat",IF(H424=0,"Nincs kép","Nincs adat")))</f>
        <v/>
      </c>
      <c r="L424" s="6" t="inlineStr">
        <is>
          <t>Nem</t>
        </is>
      </c>
      <c r="M424" s="7" t="inlineStr">
        <is>
          <t>–</t>
        </is>
      </c>
      <c r="N424" s="7" t="inlineStr">
        <is>
          <t>Nem kerestük – nincs ismert weboldal vagy katalógus</t>
        </is>
      </c>
      <c r="O424" s="6" t="inlineStr"/>
      <c r="P424" s="11" t="inlineStr">
        <is>
          <t>https://website-9ib.pages.dev/termek/614602-j-oldalajto-zarszerkezet/</t>
        </is>
      </c>
      <c r="Q424" s="12" t="inlineStr"/>
      <c r="R424" s="13" t="inlineStr"/>
      <c r="S424" s="6" t="inlineStr">
        <is>
          <t>614602-j-oldalajto-zarszerkezet</t>
        </is>
      </c>
    </row>
    <row r="425">
      <c r="A425" s="6" t="inlineStr">
        <is>
          <t>615003</t>
        </is>
      </c>
      <c r="B425" s="7" t="inlineStr">
        <is>
          <t>Belsőzárszerk. oldalajtóhoz 500 mm kar "B"</t>
        </is>
      </c>
      <c r="C425" s="6" t="inlineStr">
        <is>
          <t>Speciális felépítmény alkatrészek</t>
        </is>
      </c>
      <c r="D425" s="6" t="inlineStr">
        <is>
          <t>Zárak</t>
        </is>
      </c>
      <c r="E425" s="6" t="inlineStr">
        <is>
          <t>D.LaPorte</t>
        </is>
      </c>
      <c r="F425" s="6" t="inlineStr">
        <is>
          <t>61.5101.0003</t>
        </is>
      </c>
      <c r="G425" s="6" t="inlineStr">
        <is>
          <t>Quadris Excel</t>
        </is>
      </c>
      <c r="H425" s="6" t="n">
        <v>0</v>
      </c>
      <c r="I425" s="6" t="n">
        <v>0</v>
      </c>
      <c r="J425" s="6" t="inlineStr">
        <is>
          <t>nincs</t>
        </is>
      </c>
      <c r="K425" s="6">
        <f>IF(AND(H425&gt;0,I425&gt;0),"Rendben",IF(AND(H425=0,I425=0),"Nincs kép és adat",IF(H425=0,"Nincs kép","Nincs adat")))</f>
        <v/>
      </c>
      <c r="L425" s="6" t="inlineStr">
        <is>
          <t>Nem</t>
        </is>
      </c>
      <c r="M425" s="7" t="inlineStr">
        <is>
          <t>–</t>
        </is>
      </c>
      <c r="N425" s="7" t="inlineStr">
        <is>
          <t>Nem kerestük – nincs ismert weboldal vagy katalógus</t>
        </is>
      </c>
      <c r="O425" s="6" t="inlineStr"/>
      <c r="P425" s="11" t="inlineStr">
        <is>
          <t>https://website-9ib.pages.dev/termek/615003-belsozarszerk-oldalajtohoz-500-mm-kar-b/</t>
        </is>
      </c>
      <c r="Q425" s="12" t="inlineStr"/>
      <c r="R425" s="13" t="inlineStr"/>
      <c r="S425" s="6" t="inlineStr">
        <is>
          <t>615003-belsozarszerk-oldalajtohoz-500-mm-kar-b</t>
        </is>
      </c>
    </row>
    <row r="426">
      <c r="A426" s="6" t="inlineStr">
        <is>
          <t>700020</t>
        </is>
      </c>
      <c r="B426" s="7" t="inlineStr">
        <is>
          <t>Kulcs+zárbetét</t>
        </is>
      </c>
      <c r="C426" s="6" t="inlineStr">
        <is>
          <t>Speciális felépítmény alkatrészek</t>
        </is>
      </c>
      <c r="D426" s="6" t="inlineStr">
        <is>
          <t>Zárak</t>
        </is>
      </c>
      <c r="E426" s="6" t="inlineStr">
        <is>
          <t>D.LaPorte</t>
        </is>
      </c>
      <c r="F426" s="6" t="inlineStr">
        <is>
          <t>44.0113.8704</t>
        </is>
      </c>
      <c r="G426" s="6" t="inlineStr">
        <is>
          <t>Quadris Excel</t>
        </is>
      </c>
      <c r="H426" s="6" t="n">
        <v>0</v>
      </c>
      <c r="I426" s="6" t="n">
        <v>0</v>
      </c>
      <c r="J426" s="6" t="inlineStr">
        <is>
          <t>nincs</t>
        </is>
      </c>
      <c r="K426" s="6">
        <f>IF(AND(H426&gt;0,I426&gt;0),"Rendben",IF(AND(H426=0,I426=0),"Nincs kép és adat",IF(H426=0,"Nincs kép","Nincs adat")))</f>
        <v/>
      </c>
      <c r="L426" s="6" t="inlineStr">
        <is>
          <t>Nem</t>
        </is>
      </c>
      <c r="M426" s="7" t="inlineStr">
        <is>
          <t>–</t>
        </is>
      </c>
      <c r="N426" s="7" t="inlineStr">
        <is>
          <t>Nem kerestük – nincs ismert weboldal vagy katalógus</t>
        </is>
      </c>
      <c r="O426" s="6" t="inlineStr"/>
      <c r="P426" s="11" t="inlineStr">
        <is>
          <t>https://website-9ib.pages.dev/termek/700020-kulcs-zarbetet/</t>
        </is>
      </c>
      <c r="Q426" s="12" t="inlineStr"/>
      <c r="R426" s="13" t="inlineStr"/>
      <c r="S426" s="6" t="inlineStr">
        <is>
          <t>700020-kulcs-zarbetet</t>
        </is>
      </c>
    </row>
    <row r="427">
      <c r="A427" s="6" t="inlineStr">
        <is>
          <t>615102</t>
        </is>
      </c>
      <c r="B427" s="7" t="inlineStr">
        <is>
          <t>Külső oldalajtó kilincs</t>
        </is>
      </c>
      <c r="C427" s="6" t="inlineStr">
        <is>
          <t>Speciális felépítmény alkatrészek</t>
        </is>
      </c>
      <c r="D427" s="6" t="inlineStr">
        <is>
          <t>Zárak</t>
        </is>
      </c>
      <c r="E427" s="6" t="inlineStr">
        <is>
          <t>D.LaPorte</t>
        </is>
      </c>
      <c r="F427" s="6" t="inlineStr">
        <is>
          <t>53.4560.0004</t>
        </is>
      </c>
      <c r="G427" s="6" t="inlineStr">
        <is>
          <t>Quadris Excel</t>
        </is>
      </c>
      <c r="H427" s="6" t="n">
        <v>0</v>
      </c>
      <c r="I427" s="6" t="n">
        <v>0</v>
      </c>
      <c r="J427" s="6" t="inlineStr">
        <is>
          <t>nincs</t>
        </is>
      </c>
      <c r="K427" s="6">
        <f>IF(AND(H427&gt;0,I427&gt;0),"Rendben",IF(AND(H427=0,I427=0),"Nincs kép és adat",IF(H427=0,"Nincs kép","Nincs adat")))</f>
        <v/>
      </c>
      <c r="L427" s="6" t="inlineStr">
        <is>
          <t>Nem</t>
        </is>
      </c>
      <c r="M427" s="7" t="inlineStr">
        <is>
          <t>–</t>
        </is>
      </c>
      <c r="N427" s="7" t="inlineStr">
        <is>
          <t>Nem kerestük – nincs ismert weboldal vagy katalógus</t>
        </is>
      </c>
      <c r="O427" s="6" t="inlineStr"/>
      <c r="P427" s="11" t="inlineStr">
        <is>
          <t>https://website-9ib.pages.dev/termek/615102-kulso-oldalajto-kilincs/</t>
        </is>
      </c>
      <c r="Q427" s="12" t="inlineStr"/>
      <c r="R427" s="13" t="inlineStr"/>
      <c r="S427" s="6" t="inlineStr">
        <is>
          <t>615102-kulso-oldalajto-kilincs</t>
        </is>
      </c>
    </row>
    <row r="428">
      <c r="A428" s="6" t="inlineStr">
        <is>
          <t>700021</t>
        </is>
      </c>
      <c r="B428" s="7" t="inlineStr">
        <is>
          <t>Ládaajtózár zárt</t>
        </is>
      </c>
      <c r="C428" s="6" t="inlineStr">
        <is>
          <t>Speciális felépítmény alkatrészek</t>
        </is>
      </c>
      <c r="D428" s="6" t="inlineStr">
        <is>
          <t>Zárak</t>
        </is>
      </c>
      <c r="E428" s="6" t="inlineStr">
        <is>
          <t>D.LaPorte</t>
        </is>
      </c>
      <c r="F428" s="6" t="inlineStr">
        <is>
          <t>58.4713.0201</t>
        </is>
      </c>
      <c r="G428" s="6" t="inlineStr">
        <is>
          <t>Quadris Excel</t>
        </is>
      </c>
      <c r="H428" s="6" t="n">
        <v>0</v>
      </c>
      <c r="I428" s="6" t="n">
        <v>0</v>
      </c>
      <c r="J428" s="6" t="inlineStr">
        <is>
          <t>nincs</t>
        </is>
      </c>
      <c r="K428" s="6">
        <f>IF(AND(H428&gt;0,I428&gt;0),"Rendben",IF(AND(H428=0,I428=0),"Nincs kép és adat",IF(H428=0,"Nincs kép","Nincs adat")))</f>
        <v/>
      </c>
      <c r="L428" s="6" t="inlineStr">
        <is>
          <t>Nem</t>
        </is>
      </c>
      <c r="M428" s="7" t="inlineStr">
        <is>
          <t>–</t>
        </is>
      </c>
      <c r="N428" s="7" t="inlineStr">
        <is>
          <t>Nem kerestük – nincs ismert weboldal vagy katalógus</t>
        </is>
      </c>
      <c r="O428" s="6" t="inlineStr"/>
      <c r="P428" s="11" t="inlineStr">
        <is>
          <t>https://website-9ib.pages.dev/termek/700021-ladaajtozar-zart/</t>
        </is>
      </c>
      <c r="Q428" s="12" t="inlineStr"/>
      <c r="R428" s="13" t="inlineStr"/>
      <c r="S428" s="6" t="inlineStr">
        <is>
          <t>700021-ladaajtozar-zart</t>
        </is>
      </c>
    </row>
    <row r="429">
      <c r="A429" s="6" t="inlineStr">
        <is>
          <t>700011</t>
        </is>
      </c>
      <c r="B429" s="7" t="inlineStr">
        <is>
          <t>Ládaajtózár zárt nyitott</t>
        </is>
      </c>
      <c r="C429" s="6" t="inlineStr">
        <is>
          <t>Speciális felépítmény alkatrészek</t>
        </is>
      </c>
      <c r="D429" s="6" t="inlineStr">
        <is>
          <t>Zárak</t>
        </is>
      </c>
      <c r="E429" s="6" t="inlineStr">
        <is>
          <t>D.LaPorte</t>
        </is>
      </c>
      <c r="F429" s="6" t="inlineStr">
        <is>
          <t>58.4713.0101</t>
        </is>
      </c>
      <c r="G429" s="6" t="inlineStr">
        <is>
          <t>Quadris Excel</t>
        </is>
      </c>
      <c r="H429" s="6" t="n">
        <v>0</v>
      </c>
      <c r="I429" s="6" t="n">
        <v>0</v>
      </c>
      <c r="J429" s="6" t="inlineStr">
        <is>
          <t>nincs</t>
        </is>
      </c>
      <c r="K429" s="6">
        <f>IF(AND(H429&gt;0,I429&gt;0),"Rendben",IF(AND(H429=0,I429=0),"Nincs kép és adat",IF(H429=0,"Nincs kép","Nincs adat")))</f>
        <v/>
      </c>
      <c r="L429" s="6" t="inlineStr">
        <is>
          <t>Nem</t>
        </is>
      </c>
      <c r="M429" s="7" t="inlineStr">
        <is>
          <t>–</t>
        </is>
      </c>
      <c r="N429" s="7" t="inlineStr">
        <is>
          <t>Nem kerestük – nincs ismert weboldal vagy katalógus</t>
        </is>
      </c>
      <c r="O429" s="6" t="inlineStr"/>
      <c r="P429" s="11" t="inlineStr">
        <is>
          <t>https://website-9ib.pages.dev/termek/700011-ladaajtozar-zart-nyitott/</t>
        </is>
      </c>
      <c r="Q429" s="12" t="inlineStr"/>
      <c r="R429" s="13" t="inlineStr"/>
      <c r="S429" s="6" t="inlineStr">
        <is>
          <t>700011-ladaajtozar-zart-nyitott</t>
        </is>
      </c>
    </row>
    <row r="430">
      <c r="A430" s="6" t="inlineStr">
        <is>
          <t>615104</t>
        </is>
      </c>
      <c r="B430" s="7" t="inlineStr">
        <is>
          <t>Oldalajtózár belső 500 mm kar (jobb)</t>
        </is>
      </c>
      <c r="C430" s="6" t="inlineStr">
        <is>
          <t>Speciális felépítmény alkatrészek</t>
        </is>
      </c>
      <c r="D430" s="6" t="inlineStr">
        <is>
          <t>Zárak</t>
        </is>
      </c>
      <c r="E430" s="6" t="inlineStr">
        <is>
          <t>D.LaPorte</t>
        </is>
      </c>
      <c r="F430" s="6" t="inlineStr"/>
      <c r="G430" s="6" t="inlineStr">
        <is>
          <t>Quadris Excel</t>
        </is>
      </c>
      <c r="H430" s="6" t="n">
        <v>0</v>
      </c>
      <c r="I430" s="6" t="n">
        <v>0</v>
      </c>
      <c r="J430" s="6" t="inlineStr">
        <is>
          <t>nincs</t>
        </is>
      </c>
      <c r="K430" s="6">
        <f>IF(AND(H430&gt;0,I430&gt;0),"Rendben",IF(AND(H430=0,I430=0),"Nincs kép és adat",IF(H430=0,"Nincs kép","Nincs adat")))</f>
        <v/>
      </c>
      <c r="L430" s="6" t="inlineStr">
        <is>
          <t>Nem</t>
        </is>
      </c>
      <c r="M430" s="7" t="inlineStr">
        <is>
          <t>–</t>
        </is>
      </c>
      <c r="N430" s="7" t="inlineStr">
        <is>
          <t>Nem kerestük – nincs ismert weboldal vagy katalógus</t>
        </is>
      </c>
      <c r="O430" s="6" t="inlineStr"/>
      <c r="P430" s="11" t="inlineStr">
        <is>
          <t>https://website-9ib.pages.dev/termek/615104-oldalajtozar-belso-500-mm-kar-jobb/</t>
        </is>
      </c>
      <c r="Q430" s="12" t="inlineStr"/>
      <c r="R430" s="13" t="inlineStr"/>
      <c r="S430" s="6" t="inlineStr">
        <is>
          <t>615104-oldalajtozar-belso-500-mm-kar-jobb</t>
        </is>
      </c>
    </row>
    <row r="431">
      <c r="A431" s="6" t="inlineStr">
        <is>
          <t>615103</t>
        </is>
      </c>
      <c r="B431" s="7" t="inlineStr">
        <is>
          <t>Oldalajtózár kompetten (bal)</t>
        </is>
      </c>
      <c r="C431" s="6" t="inlineStr">
        <is>
          <t>Speciális felépítmény alkatrészek</t>
        </is>
      </c>
      <c r="D431" s="6" t="inlineStr">
        <is>
          <t>Zárak</t>
        </is>
      </c>
      <c r="E431" s="6" t="inlineStr">
        <is>
          <t>D.LaPorte</t>
        </is>
      </c>
      <c r="F431" s="6" t="inlineStr"/>
      <c r="G431" s="6" t="inlineStr">
        <is>
          <t>Quadris Excel</t>
        </is>
      </c>
      <c r="H431" s="6" t="n">
        <v>0</v>
      </c>
      <c r="I431" s="6" t="n">
        <v>0</v>
      </c>
      <c r="J431" s="6" t="inlineStr">
        <is>
          <t>nincs</t>
        </is>
      </c>
      <c r="K431" s="6">
        <f>IF(AND(H431&gt;0,I431&gt;0),"Rendben",IF(AND(H431=0,I431=0),"Nincs kép és adat",IF(H431=0,"Nincs kép","Nincs adat")))</f>
        <v/>
      </c>
      <c r="L431" s="6" t="inlineStr">
        <is>
          <t>Nem</t>
        </is>
      </c>
      <c r="M431" s="7" t="inlineStr">
        <is>
          <t>–</t>
        </is>
      </c>
      <c r="N431" s="7" t="inlineStr">
        <is>
          <t>Nem kerestük – nincs ismert weboldal vagy katalógus</t>
        </is>
      </c>
      <c r="O431" s="6" t="inlineStr"/>
      <c r="P431" s="11" t="inlineStr">
        <is>
          <t>https://website-9ib.pages.dev/termek/615103-oldalajtozar-kompetten-bal/</t>
        </is>
      </c>
      <c r="Q431" s="12" t="inlineStr"/>
      <c r="R431" s="13" t="inlineStr"/>
      <c r="S431" s="6" t="inlineStr">
        <is>
          <t>615103-oldalajtozar-kompetten-bal</t>
        </is>
      </c>
    </row>
    <row r="432">
      <c r="A432" s="6" t="inlineStr">
        <is>
          <t>615501</t>
        </is>
      </c>
      <c r="B432" s="7" t="inlineStr">
        <is>
          <t>Oldalsó zárszerkezet ládazárhoz (bal) zárcsappal</t>
        </is>
      </c>
      <c r="C432" s="6" t="inlineStr">
        <is>
          <t>Speciális felépítmény alkatrészek</t>
        </is>
      </c>
      <c r="D432" s="6" t="inlineStr">
        <is>
          <t>Zárak</t>
        </is>
      </c>
      <c r="E432" s="6" t="inlineStr">
        <is>
          <t>D.LaPorte</t>
        </is>
      </c>
      <c r="F432" s="6" t="inlineStr">
        <is>
          <t>61.5005.0001</t>
        </is>
      </c>
      <c r="G432" s="6" t="inlineStr">
        <is>
          <t>Quadris Excel</t>
        </is>
      </c>
      <c r="H432" s="6" t="n">
        <v>0</v>
      </c>
      <c r="I432" s="6" t="n">
        <v>0</v>
      </c>
      <c r="J432" s="6" t="inlineStr">
        <is>
          <t>nincs</t>
        </is>
      </c>
      <c r="K432" s="6">
        <f>IF(AND(H432&gt;0,I432&gt;0),"Rendben",IF(AND(H432=0,I432=0),"Nincs kép és adat",IF(H432=0,"Nincs kép","Nincs adat")))</f>
        <v/>
      </c>
      <c r="L432" s="6" t="inlineStr">
        <is>
          <t>Nem</t>
        </is>
      </c>
      <c r="M432" s="7" t="inlineStr">
        <is>
          <t>–</t>
        </is>
      </c>
      <c r="N432" s="7" t="inlineStr">
        <is>
          <t>Nem kerestük – nincs ismert weboldal vagy katalógus</t>
        </is>
      </c>
      <c r="O432" s="6" t="inlineStr"/>
      <c r="P432" s="11" t="inlineStr">
        <is>
          <t>https://website-9ib.pages.dev/termek/615501-oldalso-zarszerkezet-ladazarhoz-bal-zarcsappal/</t>
        </is>
      </c>
      <c r="Q432" s="12" t="inlineStr"/>
      <c r="R432" s="13" t="inlineStr"/>
      <c r="S432" s="6" t="inlineStr">
        <is>
          <t>615501-oldalso-zarszerkezet-ladazarhoz-bal-zarcsappal</t>
        </is>
      </c>
    </row>
    <row r="433">
      <c r="A433" s="6" t="inlineStr">
        <is>
          <t>615502</t>
        </is>
      </c>
      <c r="B433" s="7" t="inlineStr">
        <is>
          <t>Oldalsó zárszerkezet ládazárhoz (jobb) zárcsappal</t>
        </is>
      </c>
      <c r="C433" s="6" t="inlineStr">
        <is>
          <t>Speciális felépítmény alkatrészek</t>
        </is>
      </c>
      <c r="D433" s="6" t="inlineStr">
        <is>
          <t>Zárak</t>
        </is>
      </c>
      <c r="E433" s="6" t="inlineStr">
        <is>
          <t>D.LaPorte</t>
        </is>
      </c>
      <c r="F433" s="6" t="inlineStr">
        <is>
          <t>61.5005.0002</t>
        </is>
      </c>
      <c r="G433" s="6" t="inlineStr">
        <is>
          <t>Quadris Excel</t>
        </is>
      </c>
      <c r="H433" s="6" t="n">
        <v>0</v>
      </c>
      <c r="I433" s="6" t="n">
        <v>0</v>
      </c>
      <c r="J433" s="6" t="inlineStr">
        <is>
          <t>nincs</t>
        </is>
      </c>
      <c r="K433" s="6">
        <f>IF(AND(H433&gt;0,I433&gt;0),"Rendben",IF(AND(H433=0,I433=0),"Nincs kép és adat",IF(H433=0,"Nincs kép","Nincs adat")))</f>
        <v/>
      </c>
      <c r="L433" s="6" t="inlineStr">
        <is>
          <t>Nem</t>
        </is>
      </c>
      <c r="M433" s="7" t="inlineStr">
        <is>
          <t>–</t>
        </is>
      </c>
      <c r="N433" s="7" t="inlineStr">
        <is>
          <t>Nem kerestük – nincs ismert weboldal vagy katalógus</t>
        </is>
      </c>
      <c r="O433" s="6" t="inlineStr"/>
      <c r="P433" s="11" t="inlineStr">
        <is>
          <t>https://website-9ib.pages.dev/termek/615502-oldalso-zarszerkezet-ladazarhoz-jobb-zarcsappal/</t>
        </is>
      </c>
      <c r="Q433" s="12" t="inlineStr"/>
      <c r="R433" s="13" t="inlineStr"/>
      <c r="S433" s="6" t="inlineStr">
        <is>
          <t>615502-oldalso-zarszerkezet-ladazarhoz-jobb-zarcsappal</t>
        </is>
      </c>
    </row>
    <row r="434">
      <c r="A434" s="6" t="inlineStr">
        <is>
          <t>615000</t>
        </is>
      </c>
      <c r="B434" s="7" t="inlineStr">
        <is>
          <t>Zárcsap</t>
        </is>
      </c>
      <c r="C434" s="6" t="inlineStr">
        <is>
          <t>Speciális felépítmény alkatrészek</t>
        </is>
      </c>
      <c r="D434" s="6" t="inlineStr">
        <is>
          <t>Zárak</t>
        </is>
      </c>
      <c r="E434" s="6" t="inlineStr">
        <is>
          <t>D.LaPorte</t>
        </is>
      </c>
      <c r="F434" s="6" t="inlineStr">
        <is>
          <t>07.2122, 01.4022</t>
        </is>
      </c>
      <c r="G434" s="6" t="inlineStr">
        <is>
          <t>Quadris Excel</t>
        </is>
      </c>
      <c r="H434" s="6" t="n">
        <v>0</v>
      </c>
      <c r="I434" s="6" t="n">
        <v>0</v>
      </c>
      <c r="J434" s="6" t="inlineStr">
        <is>
          <t>nincs</t>
        </is>
      </c>
      <c r="K434" s="6">
        <f>IF(AND(H434&gt;0,I434&gt;0),"Rendben",IF(AND(H434=0,I434=0),"Nincs kép és adat",IF(H434=0,"Nincs kép","Nincs adat")))</f>
        <v/>
      </c>
      <c r="L434" s="6" t="inlineStr">
        <is>
          <t>Nem</t>
        </is>
      </c>
      <c r="M434" s="7" t="inlineStr">
        <is>
          <t>–</t>
        </is>
      </c>
      <c r="N434" s="7" t="inlineStr">
        <is>
          <t>Nem kerestük – nincs ismert weboldal vagy katalógus</t>
        </is>
      </c>
      <c r="O434" s="6" t="inlineStr"/>
      <c r="P434" s="11" t="inlineStr">
        <is>
          <t>https://website-9ib.pages.dev/termek/615000-zarcsap/</t>
        </is>
      </c>
      <c r="Q434" s="12" t="inlineStr"/>
      <c r="R434" s="13" t="inlineStr"/>
      <c r="S434" s="6" t="inlineStr">
        <is>
          <t>615000-zarcsap</t>
        </is>
      </c>
    </row>
    <row r="435">
      <c r="A435" s="6" t="inlineStr">
        <is>
          <t>811400</t>
        </is>
      </c>
      <c r="B435" s="7" t="inlineStr">
        <is>
          <t>RM hátsóajtó zsanérlap 280/4 mm DM</t>
        </is>
      </c>
      <c r="C435" s="6" t="inlineStr">
        <is>
          <t>Dobozos felépítmény alkatrészek</t>
        </is>
      </c>
      <c r="D435" s="6" t="inlineStr">
        <is>
          <t>Zsanérok</t>
        </is>
      </c>
      <c r="E435" s="6" t="inlineStr">
        <is>
          <t>Demolli</t>
        </is>
      </c>
      <c r="F435" s="6" t="inlineStr"/>
      <c r="G435" s="6" t="inlineStr">
        <is>
          <t>Quadris Excel</t>
        </is>
      </c>
      <c r="H435" s="6" t="n">
        <v>0</v>
      </c>
      <c r="I435" s="6" t="n">
        <v>0</v>
      </c>
      <c r="J435" s="6" t="inlineStr">
        <is>
          <t>nincs</t>
        </is>
      </c>
      <c r="K435" s="6">
        <f>IF(AND(H435&gt;0,I435&gt;0),"Rendben",IF(AND(H435=0,I435=0),"Nincs kép és adat",IF(H435=0,"Nincs kép","Nincs adat")))</f>
        <v/>
      </c>
      <c r="L435" s="6" t="inlineStr">
        <is>
          <t>Nem</t>
        </is>
      </c>
      <c r="M435" s="7" t="inlineStr">
        <is>
          <t>–</t>
        </is>
      </c>
      <c r="N435" s="7" t="inlineStr">
        <is>
          <t>Nem kerestük – nincs ismert weboldal vagy katalógus</t>
        </is>
      </c>
      <c r="O435" s="6" t="inlineStr"/>
      <c r="P435" s="11" t="inlineStr">
        <is>
          <t>https://website-9ib.pages.dev/termek/811400-rm-hatsoajto-zsanerlap-280-4-mm-dm/</t>
        </is>
      </c>
      <c r="Q435" s="12" t="inlineStr"/>
      <c r="R435" s="13" t="inlineStr"/>
      <c r="S435" s="6" t="inlineStr">
        <is>
          <t>811400-rm-hatsoajto-zsanerlap-280-4-mm-dm</t>
        </is>
      </c>
    </row>
    <row r="436">
      <c r="A436" s="6" t="inlineStr">
        <is>
          <t>351208</t>
        </is>
      </c>
      <c r="B436" s="7" t="inlineStr">
        <is>
          <t>DG -TOP</t>
        </is>
      </c>
      <c r="C436" s="6" t="inlineStr">
        <is>
          <t>Acél és alu rakoncák és szegők</t>
        </is>
      </c>
      <c r="D436" s="6" t="inlineStr">
        <is>
          <t>DG</t>
        </is>
      </c>
      <c r="E436" s="6" t="inlineStr">
        <is>
          <t>DG</t>
        </is>
      </c>
      <c r="F436" s="6" t="inlineStr">
        <is>
          <t>12-0008</t>
        </is>
      </c>
      <c r="G436" s="6" t="inlineStr">
        <is>
          <t>Quadris Excel</t>
        </is>
      </c>
      <c r="H436" s="6" t="n">
        <v>0</v>
      </c>
      <c r="I436" s="6" t="n">
        <v>0</v>
      </c>
      <c r="J436" s="6" t="inlineStr">
        <is>
          <t>nincs</t>
        </is>
      </c>
      <c r="K436" s="6">
        <f>IF(AND(H436&gt;0,I436&gt;0),"Rendben",IF(AND(H436=0,I436=0),"Nincs kép és adat",IF(H436=0,"Nincs kép","Nincs adat")))</f>
        <v/>
      </c>
      <c r="L436" s="6" t="inlineStr">
        <is>
          <t>Nem</t>
        </is>
      </c>
      <c r="M436" s="7" t="inlineStr">
        <is>
          <t>–</t>
        </is>
      </c>
      <c r="N436" s="7" t="inlineStr">
        <is>
          <t>Nem kerestük – nincs ismert weboldal vagy katalógus</t>
        </is>
      </c>
      <c r="O436" s="6" t="inlineStr"/>
      <c r="P436" s="11" t="inlineStr">
        <is>
          <t>https://website-9ib.pages.dev/termek/351208-dg-top/</t>
        </is>
      </c>
      <c r="Q436" s="12" t="inlineStr"/>
      <c r="R436" s="13" t="inlineStr"/>
      <c r="S436" s="6" t="inlineStr">
        <is>
          <t>351208-dg-top</t>
        </is>
      </c>
    </row>
    <row r="437">
      <c r="A437" s="6" t="inlineStr">
        <is>
          <t>352530/31</t>
        </is>
      </c>
      <c r="B437" s="7" t="inlineStr">
        <is>
          <t>DG 400 Rakonca középső szegő J-B</t>
        </is>
      </c>
      <c r="C437" s="6" t="inlineStr">
        <is>
          <t>Acél és alu rakoncák és szegők</t>
        </is>
      </c>
      <c r="D437" s="6" t="inlineStr">
        <is>
          <t>DG</t>
        </is>
      </c>
      <c r="E437" s="6" t="inlineStr">
        <is>
          <t>DG</t>
        </is>
      </c>
      <c r="F437" s="6" t="inlineStr">
        <is>
          <t>06-2530 06-2531</t>
        </is>
      </c>
      <c r="G437" s="6" t="inlineStr">
        <is>
          <t>Quadris Excel</t>
        </is>
      </c>
      <c r="H437" s="6" t="n">
        <v>0</v>
      </c>
      <c r="I437" s="6" t="n">
        <v>0</v>
      </c>
      <c r="J437" s="6" t="inlineStr">
        <is>
          <t>nincs</t>
        </is>
      </c>
      <c r="K437" s="6">
        <f>IF(AND(H437&gt;0,I437&gt;0),"Rendben",IF(AND(H437=0,I437=0),"Nincs kép és adat",IF(H437=0,"Nincs kép","Nincs adat")))</f>
        <v/>
      </c>
      <c r="L437" s="6" t="inlineStr">
        <is>
          <t>Nem</t>
        </is>
      </c>
      <c r="M437" s="7" t="inlineStr">
        <is>
          <t>–</t>
        </is>
      </c>
      <c r="N437" s="7" t="inlineStr">
        <is>
          <t>Nem kerestük – nincs ismert weboldal vagy katalógus</t>
        </is>
      </c>
      <c r="O437" s="6" t="inlineStr"/>
      <c r="P437" s="11" t="inlineStr">
        <is>
          <t>https://website-9ib.pages.dev/termek/352530-31-dg-400-rakonca-kozepso-szego-j-b/</t>
        </is>
      </c>
      <c r="Q437" s="12" t="inlineStr"/>
      <c r="R437" s="13" t="inlineStr"/>
      <c r="S437" s="6" t="inlineStr">
        <is>
          <t>352530-31-dg-400-rakonca-kozepso-szego-j-b</t>
        </is>
      </c>
    </row>
    <row r="438">
      <c r="A438" s="6" t="inlineStr">
        <is>
          <t>35003/4</t>
        </is>
      </c>
      <c r="B438" s="7" t="inlineStr">
        <is>
          <t>DG 500 Első rakonca J-B</t>
        </is>
      </c>
      <c r="C438" s="6" t="inlineStr">
        <is>
          <t>Acél és alu rakoncák és szegők</t>
        </is>
      </c>
      <c r="D438" s="6" t="inlineStr">
        <is>
          <t>DG</t>
        </is>
      </c>
      <c r="E438" s="6" t="inlineStr">
        <is>
          <t>DG</t>
        </is>
      </c>
      <c r="F438" s="6" t="inlineStr">
        <is>
          <t>12-5003</t>
        </is>
      </c>
      <c r="G438" s="6" t="inlineStr">
        <is>
          <t>Quadris Excel</t>
        </is>
      </c>
      <c r="H438" s="6" t="n">
        <v>0</v>
      </c>
      <c r="I438" s="6" t="n">
        <v>0</v>
      </c>
      <c r="J438" s="6" t="inlineStr">
        <is>
          <t>nincs</t>
        </is>
      </c>
      <c r="K438" s="6">
        <f>IF(AND(H438&gt;0,I438&gt;0),"Rendben",IF(AND(H438=0,I438=0),"Nincs kép és adat",IF(H438=0,"Nincs kép","Nincs adat")))</f>
        <v/>
      </c>
      <c r="L438" s="6" t="inlineStr">
        <is>
          <t>Nem</t>
        </is>
      </c>
      <c r="M438" s="7" t="inlineStr">
        <is>
          <t>–</t>
        </is>
      </c>
      <c r="N438" s="7" t="inlineStr">
        <is>
          <t>Nem kerestük – nincs ismert weboldal vagy katalógus</t>
        </is>
      </c>
      <c r="O438" s="6" t="inlineStr"/>
      <c r="P438" s="11" t="inlineStr">
        <is>
          <t>https://website-9ib.pages.dev/termek/35003-4-dg-500-elso-rakonca-j-b/</t>
        </is>
      </c>
      <c r="Q438" s="12" t="inlineStr"/>
      <c r="R438" s="13" t="inlineStr"/>
      <c r="S438" s="6" t="inlineStr">
        <is>
          <t>35003-4-dg-500-elso-rakonca-j-b</t>
        </is>
      </c>
    </row>
    <row r="439">
      <c r="A439" s="6" t="inlineStr">
        <is>
          <t>35001/2</t>
        </is>
      </c>
      <c r="B439" s="7" t="inlineStr">
        <is>
          <t>DG 500 Hátsó rakonca J-B</t>
        </is>
      </c>
      <c r="C439" s="6" t="inlineStr">
        <is>
          <t>Acél és alu rakoncák és szegők</t>
        </is>
      </c>
      <c r="D439" s="6" t="inlineStr">
        <is>
          <t>DG</t>
        </is>
      </c>
      <c r="E439" s="6" t="inlineStr">
        <is>
          <t>DG</t>
        </is>
      </c>
      <c r="F439" s="6" t="inlineStr">
        <is>
          <t>12-5001</t>
        </is>
      </c>
      <c r="G439" s="6" t="inlineStr">
        <is>
          <t>Quadris Excel</t>
        </is>
      </c>
      <c r="H439" s="6" t="n">
        <v>0</v>
      </c>
      <c r="I439" s="6" t="n">
        <v>0</v>
      </c>
      <c r="J439" s="6" t="inlineStr">
        <is>
          <t>nincs</t>
        </is>
      </c>
      <c r="K439" s="6">
        <f>IF(AND(H439&gt;0,I439&gt;0),"Rendben",IF(AND(H439=0,I439=0),"Nincs kép és adat",IF(H439=0,"Nincs kép","Nincs adat")))</f>
        <v/>
      </c>
      <c r="L439" s="6" t="inlineStr">
        <is>
          <t>Nem</t>
        </is>
      </c>
      <c r="M439" s="7" t="inlineStr">
        <is>
          <t>–</t>
        </is>
      </c>
      <c r="N439" s="7" t="inlineStr">
        <is>
          <t>Nem kerestük – nincs ismert weboldal vagy katalógus</t>
        </is>
      </c>
      <c r="O439" s="6" t="inlineStr"/>
      <c r="P439" s="11" t="inlineStr">
        <is>
          <t>https://website-9ib.pages.dev/termek/35001-2-dg-500-hatso-rakonca-j-b/</t>
        </is>
      </c>
      <c r="Q439" s="12" t="inlineStr"/>
      <c r="R439" s="13" t="inlineStr"/>
      <c r="S439" s="6" t="inlineStr">
        <is>
          <t>35001-2-dg-500-hatso-rakonca-j-b</t>
        </is>
      </c>
    </row>
    <row r="440">
      <c r="A440" s="6" t="inlineStr">
        <is>
          <t>35000</t>
        </is>
      </c>
      <c r="B440" s="7" t="inlineStr">
        <is>
          <t>DG 500 Köztes rakonca</t>
        </is>
      </c>
      <c r="C440" s="6" t="inlineStr">
        <is>
          <t>Acél és alu rakoncák és szegők</t>
        </is>
      </c>
      <c r="D440" s="6" t="inlineStr">
        <is>
          <t>DG</t>
        </is>
      </c>
      <c r="E440" s="6" t="inlineStr">
        <is>
          <t>DG</t>
        </is>
      </c>
      <c r="F440" s="6" t="inlineStr">
        <is>
          <t>12-5000</t>
        </is>
      </c>
      <c r="G440" s="6" t="inlineStr">
        <is>
          <t>Quadris Excel</t>
        </is>
      </c>
      <c r="H440" s="6" t="n">
        <v>0</v>
      </c>
      <c r="I440" s="6" t="n">
        <v>0</v>
      </c>
      <c r="J440" s="6" t="inlineStr">
        <is>
          <t>nincs</t>
        </is>
      </c>
      <c r="K440" s="6">
        <f>IF(AND(H440&gt;0,I440&gt;0),"Rendben",IF(AND(H440=0,I440=0),"Nincs kép és adat",IF(H440=0,"Nincs kép","Nincs adat")))</f>
        <v/>
      </c>
      <c r="L440" s="6" t="inlineStr">
        <is>
          <t>Nem</t>
        </is>
      </c>
      <c r="M440" s="7" t="inlineStr">
        <is>
          <t>–</t>
        </is>
      </c>
      <c r="N440" s="7" t="inlineStr">
        <is>
          <t>Nem kerestük – nincs ismert weboldal vagy katalógus</t>
        </is>
      </c>
      <c r="O440" s="6" t="inlineStr"/>
      <c r="P440" s="11" t="inlineStr">
        <is>
          <t>https://website-9ib.pages.dev/termek/35000-dg-500-koztes-rakonca/</t>
        </is>
      </c>
      <c r="Q440" s="12" t="inlineStr"/>
      <c r="R440" s="13" t="inlineStr"/>
      <c r="S440" s="6" t="inlineStr">
        <is>
          <t>35000-dg-500-koztes-rakonca</t>
        </is>
      </c>
    </row>
    <row r="441">
      <c r="A441" s="6" t="inlineStr">
        <is>
          <t>352500/10</t>
        </is>
      </c>
      <c r="B441" s="7" t="inlineStr">
        <is>
          <t>DG Első 400 mm-es rakonca J-B</t>
        </is>
      </c>
      <c r="C441" s="6" t="inlineStr">
        <is>
          <t>Acél és alu rakoncák és szegők</t>
        </is>
      </c>
      <c r="D441" s="6" t="inlineStr">
        <is>
          <t>DG</t>
        </is>
      </c>
      <c r="E441" s="6" t="inlineStr">
        <is>
          <t>DG</t>
        </is>
      </c>
      <c r="F441" s="6" t="inlineStr">
        <is>
          <t>06-25000.01/25010.01</t>
        </is>
      </c>
      <c r="G441" s="6" t="inlineStr">
        <is>
          <t>Quadris Excel</t>
        </is>
      </c>
      <c r="H441" s="6" t="n">
        <v>0</v>
      </c>
      <c r="I441" s="6" t="n">
        <v>0</v>
      </c>
      <c r="J441" s="6" t="inlineStr">
        <is>
          <t>nincs</t>
        </is>
      </c>
      <c r="K441" s="6">
        <f>IF(AND(H441&gt;0,I441&gt;0),"Rendben",IF(AND(H441=0,I441=0),"Nincs kép és adat",IF(H441=0,"Nincs kép","Nincs adat")))</f>
        <v/>
      </c>
      <c r="L441" s="6" t="inlineStr">
        <is>
          <t>Nem</t>
        </is>
      </c>
      <c r="M441" s="7" t="inlineStr">
        <is>
          <t>–</t>
        </is>
      </c>
      <c r="N441" s="7" t="inlineStr">
        <is>
          <t>Nem kerestük – nincs ismert weboldal vagy katalógus</t>
        </is>
      </c>
      <c r="O441" s="6" t="inlineStr"/>
      <c r="P441" s="11" t="inlineStr">
        <is>
          <t>https://website-9ib.pages.dev/termek/352500-10-dg-elso-400-mm-es-rakonca-j-b/</t>
        </is>
      </c>
      <c r="Q441" s="12" t="inlineStr"/>
      <c r="R441" s="13" t="inlineStr"/>
      <c r="S441" s="6" t="inlineStr">
        <is>
          <t>352500-10-dg-elso-400-mm-es-rakonca-j-b</t>
        </is>
      </c>
    </row>
    <row r="442">
      <c r="A442" s="6" t="inlineStr">
        <is>
          <t>351263/4</t>
        </is>
      </c>
      <c r="B442" s="7" t="inlineStr">
        <is>
          <t>DG Első 600 mm-es rakonca J-B</t>
        </is>
      </c>
      <c r="C442" s="6" t="inlineStr">
        <is>
          <t>Acél és alu rakoncák és szegők</t>
        </is>
      </c>
      <c r="D442" s="6" t="inlineStr">
        <is>
          <t>DG</t>
        </is>
      </c>
      <c r="E442" s="6" t="inlineStr">
        <is>
          <t>DG</t>
        </is>
      </c>
      <c r="F442" s="6" t="inlineStr">
        <is>
          <t>12-6003, 12-6004</t>
        </is>
      </c>
      <c r="G442" s="6" t="inlineStr">
        <is>
          <t>Quadris Excel</t>
        </is>
      </c>
      <c r="H442" s="6" t="n">
        <v>0</v>
      </c>
      <c r="I442" s="6" t="n">
        <v>0</v>
      </c>
      <c r="J442" s="6" t="inlineStr">
        <is>
          <t>nincs</t>
        </is>
      </c>
      <c r="K442" s="6">
        <f>IF(AND(H442&gt;0,I442&gt;0),"Rendben",IF(AND(H442=0,I442=0),"Nincs kép és adat",IF(H442=0,"Nincs kép","Nincs adat")))</f>
        <v/>
      </c>
      <c r="L442" s="6" t="inlineStr">
        <is>
          <t>Nem</t>
        </is>
      </c>
      <c r="M442" s="7" t="inlineStr">
        <is>
          <t>–</t>
        </is>
      </c>
      <c r="N442" s="7" t="inlineStr">
        <is>
          <t>Nem kerestük – nincs ismert weboldal vagy katalógus</t>
        </is>
      </c>
      <c r="O442" s="6" t="inlineStr"/>
      <c r="P442" s="11" t="inlineStr">
        <is>
          <t>https://website-9ib.pages.dev/termek/351263-4-dg-elso-600-mm-es-rakonca-j-b/</t>
        </is>
      </c>
      <c r="Q442" s="12" t="inlineStr"/>
      <c r="R442" s="13" t="inlineStr"/>
      <c r="S442" s="6" t="inlineStr">
        <is>
          <t>351263-4-dg-elso-600-mm-es-rakonca-j-b</t>
        </is>
      </c>
    </row>
    <row r="443">
      <c r="A443" s="6" t="inlineStr">
        <is>
          <t>352532/33</t>
        </is>
      </c>
      <c r="B443" s="7" t="inlineStr">
        <is>
          <t>DG Hátsó 400 mm rakonca szegő J-B</t>
        </is>
      </c>
      <c r="C443" s="6" t="inlineStr">
        <is>
          <t>Acél és alu rakoncák és szegők</t>
        </is>
      </c>
      <c r="D443" s="6" t="inlineStr">
        <is>
          <t>DG</t>
        </is>
      </c>
      <c r="E443" s="6" t="inlineStr">
        <is>
          <t>DG</t>
        </is>
      </c>
      <c r="F443" s="6" t="inlineStr">
        <is>
          <t>06-2532 06-2533</t>
        </is>
      </c>
      <c r="G443" s="6" t="inlineStr">
        <is>
          <t>Quadris Excel</t>
        </is>
      </c>
      <c r="H443" s="6" t="n">
        <v>0</v>
      </c>
      <c r="I443" s="6" t="n">
        <v>0</v>
      </c>
      <c r="J443" s="6" t="inlineStr">
        <is>
          <t>nincs</t>
        </is>
      </c>
      <c r="K443" s="6">
        <f>IF(AND(H443&gt;0,I443&gt;0),"Rendben",IF(AND(H443=0,I443=0),"Nincs kép és adat",IF(H443=0,"Nincs kép","Nincs adat")))</f>
        <v/>
      </c>
      <c r="L443" s="6" t="inlineStr">
        <is>
          <t>Nem</t>
        </is>
      </c>
      <c r="M443" s="7" t="inlineStr">
        <is>
          <t>–</t>
        </is>
      </c>
      <c r="N443" s="7" t="inlineStr">
        <is>
          <t>Nem kerestük – nincs ismert weboldal vagy katalógus</t>
        </is>
      </c>
      <c r="O443" s="6" t="inlineStr"/>
      <c r="P443" s="11" t="inlineStr">
        <is>
          <t>https://website-9ib.pages.dev/termek/352532-33-dg-hatso-400-mm-rakonca-szego-j-b/</t>
        </is>
      </c>
      <c r="Q443" s="12" t="inlineStr"/>
      <c r="R443" s="13" t="inlineStr"/>
      <c r="S443" s="6" t="inlineStr">
        <is>
          <t>352532-33-dg-hatso-400-mm-rakonca-szego-j-b</t>
        </is>
      </c>
    </row>
    <row r="444">
      <c r="A444" s="6" t="inlineStr">
        <is>
          <t>352550/60</t>
        </is>
      </c>
      <c r="B444" s="7" t="inlineStr">
        <is>
          <t>DG Hátsó 400 mm-es rakonca J-B</t>
        </is>
      </c>
      <c r="C444" s="6" t="inlineStr">
        <is>
          <t>Acél és alu rakoncák és szegők</t>
        </is>
      </c>
      <c r="D444" s="6" t="inlineStr">
        <is>
          <t>DG</t>
        </is>
      </c>
      <c r="E444" s="6" t="inlineStr">
        <is>
          <t>DG</t>
        </is>
      </c>
      <c r="F444" s="6" t="inlineStr">
        <is>
          <t>06-25050.01,25060.01</t>
        </is>
      </c>
      <c r="G444" s="6" t="inlineStr">
        <is>
          <t>Quadris Excel</t>
        </is>
      </c>
      <c r="H444" s="6" t="n">
        <v>0</v>
      </c>
      <c r="I444" s="6" t="n">
        <v>0</v>
      </c>
      <c r="J444" s="6" t="inlineStr">
        <is>
          <t>nincs</t>
        </is>
      </c>
      <c r="K444" s="6">
        <f>IF(AND(H444&gt;0,I444&gt;0),"Rendben",IF(AND(H444=0,I444=0),"Nincs kép és adat",IF(H444=0,"Nincs kép","Nincs adat")))</f>
        <v/>
      </c>
      <c r="L444" s="6" t="inlineStr">
        <is>
          <t>Nem</t>
        </is>
      </c>
      <c r="M444" s="7" t="inlineStr">
        <is>
          <t>–</t>
        </is>
      </c>
      <c r="N444" s="7" t="inlineStr">
        <is>
          <t>Nem kerestük – nincs ismert weboldal vagy katalógus</t>
        </is>
      </c>
      <c r="O444" s="6" t="inlineStr"/>
      <c r="P444" s="11" t="inlineStr">
        <is>
          <t>https://website-9ib.pages.dev/termek/352550-60-dg-hatso-400-mm-es-rakonca-j-b/</t>
        </is>
      </c>
      <c r="Q444" s="12" t="inlineStr"/>
      <c r="R444" s="13" t="inlineStr"/>
      <c r="S444" s="6" t="inlineStr">
        <is>
          <t>352550-60-dg-hatso-400-mm-es-rakonca-j-b</t>
        </is>
      </c>
    </row>
    <row r="445">
      <c r="A445" s="6" t="inlineStr">
        <is>
          <t>351261/2</t>
        </is>
      </c>
      <c r="B445" s="7" t="inlineStr">
        <is>
          <t>DG Hátsó 600 mm-es rakonca J-B</t>
        </is>
      </c>
      <c r="C445" s="6" t="inlineStr">
        <is>
          <t>Acél és alu rakoncák és szegők</t>
        </is>
      </c>
      <c r="D445" s="6" t="inlineStr">
        <is>
          <t>DG</t>
        </is>
      </c>
      <c r="E445" s="6" t="inlineStr">
        <is>
          <t>DG</t>
        </is>
      </c>
      <c r="F445" s="6" t="inlineStr">
        <is>
          <t>12-6001</t>
        </is>
      </c>
      <c r="G445" s="6" t="inlineStr">
        <is>
          <t>Quadris Excel</t>
        </is>
      </c>
      <c r="H445" s="6" t="n">
        <v>0</v>
      </c>
      <c r="I445" s="6" t="n">
        <v>0</v>
      </c>
      <c r="J445" s="6" t="inlineStr">
        <is>
          <t>nincs</t>
        </is>
      </c>
      <c r="K445" s="6">
        <f>IF(AND(H445&gt;0,I445&gt;0),"Rendben",IF(AND(H445=0,I445=0),"Nincs kép és adat",IF(H445=0,"Nincs kép","Nincs adat")))</f>
        <v/>
      </c>
      <c r="L445" s="6" t="inlineStr">
        <is>
          <t>Nem</t>
        </is>
      </c>
      <c r="M445" s="7" t="inlineStr">
        <is>
          <t>–</t>
        </is>
      </c>
      <c r="N445" s="7" t="inlineStr">
        <is>
          <t>Nem kerestük – nincs ismert weboldal vagy katalógus</t>
        </is>
      </c>
      <c r="O445" s="6" t="inlineStr"/>
      <c r="P445" s="11" t="inlineStr">
        <is>
          <t>https://website-9ib.pages.dev/termek/351261-2-dg-hatso-600-mm-es-rakonca-j-b/</t>
        </is>
      </c>
      <c r="Q445" s="12" t="inlineStr"/>
      <c r="R445" s="13" t="inlineStr"/>
      <c r="S445" s="6" t="inlineStr">
        <is>
          <t>351261-2-dg-hatso-600-mm-es-rakonca-j-b</t>
        </is>
      </c>
    </row>
    <row r="446">
      <c r="A446" s="6" t="inlineStr">
        <is>
          <t>352570</t>
        </is>
      </c>
      <c r="B446" s="7" t="inlineStr">
        <is>
          <t>DG TOP köztes 400 mm-es rakonca</t>
        </is>
      </c>
      <c r="C446" s="6" t="inlineStr">
        <is>
          <t>Acél és alu rakoncák és szegők</t>
        </is>
      </c>
      <c r="D446" s="6" t="inlineStr">
        <is>
          <t>DG</t>
        </is>
      </c>
      <c r="E446" s="6" t="inlineStr">
        <is>
          <t>DG</t>
        </is>
      </c>
      <c r="F446" s="6" t="inlineStr">
        <is>
          <t>06-25070.01</t>
        </is>
      </c>
      <c r="G446" s="6" t="inlineStr">
        <is>
          <t>Quadris Excel</t>
        </is>
      </c>
      <c r="H446" s="6" t="n">
        <v>0</v>
      </c>
      <c r="I446" s="6" t="n">
        <v>0</v>
      </c>
      <c r="J446" s="6" t="inlineStr">
        <is>
          <t>nincs</t>
        </is>
      </c>
      <c r="K446" s="6">
        <f>IF(AND(H446&gt;0,I446&gt;0),"Rendben",IF(AND(H446=0,I446=0),"Nincs kép és adat",IF(H446=0,"Nincs kép","Nincs adat")))</f>
        <v/>
      </c>
      <c r="L446" s="6" t="inlineStr">
        <is>
          <t>Nem</t>
        </is>
      </c>
      <c r="M446" s="7" t="inlineStr">
        <is>
          <t>–</t>
        </is>
      </c>
      <c r="N446" s="7" t="inlineStr">
        <is>
          <t>Nem kerestük – nincs ismert weboldal vagy katalógus</t>
        </is>
      </c>
      <c r="O446" s="6" t="inlineStr"/>
      <c r="P446" s="11" t="inlineStr">
        <is>
          <t>https://website-9ib.pages.dev/termek/352570-dg-top-koztes-400-mm-es-rakonca/</t>
        </is>
      </c>
      <c r="Q446" s="12" t="inlineStr"/>
      <c r="R446" s="13" t="inlineStr"/>
      <c r="S446" s="6" t="inlineStr">
        <is>
          <t>352570-dg-top-koztes-400-mm-es-rakonca</t>
        </is>
      </c>
    </row>
    <row r="447">
      <c r="A447" s="6" t="inlineStr">
        <is>
          <t>351213/4</t>
        </is>
      </c>
      <c r="B447" s="7" t="inlineStr">
        <is>
          <t>DG első 1000 mm-es rakonca J-B</t>
        </is>
      </c>
      <c r="C447" s="6" t="inlineStr">
        <is>
          <t>Acél és alu rakoncák és szegők</t>
        </is>
      </c>
      <c r="D447" s="6" t="inlineStr">
        <is>
          <t>DG</t>
        </is>
      </c>
      <c r="E447" s="6" t="inlineStr">
        <is>
          <t>DG</t>
        </is>
      </c>
      <c r="F447" s="6" t="inlineStr"/>
      <c r="G447" s="6" t="inlineStr">
        <is>
          <t>Quadris Excel</t>
        </is>
      </c>
      <c r="H447" s="6" t="n">
        <v>0</v>
      </c>
      <c r="I447" s="6" t="n">
        <v>0</v>
      </c>
      <c r="J447" s="6" t="inlineStr">
        <is>
          <t>nincs</t>
        </is>
      </c>
      <c r="K447" s="6">
        <f>IF(AND(H447&gt;0,I447&gt;0),"Rendben",IF(AND(H447=0,I447=0),"Nincs kép és adat",IF(H447=0,"Nincs kép","Nincs adat")))</f>
        <v/>
      </c>
      <c r="L447" s="6" t="inlineStr">
        <is>
          <t>Nem</t>
        </is>
      </c>
      <c r="M447" s="7" t="inlineStr">
        <is>
          <t>–</t>
        </is>
      </c>
      <c r="N447" s="7" t="inlineStr">
        <is>
          <t>Nem kerestük – nincs ismert weboldal vagy katalógus</t>
        </is>
      </c>
      <c r="O447" s="6" t="inlineStr"/>
      <c r="P447" s="11" t="inlineStr">
        <is>
          <t>https://website-9ib.pages.dev/termek/351213-4-dg-elso-1000-mm-es-rakonca-j-b/</t>
        </is>
      </c>
      <c r="Q447" s="12" t="inlineStr"/>
      <c r="R447" s="13" t="inlineStr"/>
      <c r="S447" s="6" t="inlineStr">
        <is>
          <t>351213-4-dg-elso-1000-mm-es-rakonca-j-b</t>
        </is>
      </c>
    </row>
    <row r="448">
      <c r="A448" s="6" t="inlineStr">
        <is>
          <t>351283/4</t>
        </is>
      </c>
      <c r="B448" s="7" t="inlineStr">
        <is>
          <t>DG első 800 mm-es rakonca J-B</t>
        </is>
      </c>
      <c r="C448" s="6" t="inlineStr">
        <is>
          <t>Acél és alu rakoncák és szegők</t>
        </is>
      </c>
      <c r="D448" s="6" t="inlineStr">
        <is>
          <t>DG</t>
        </is>
      </c>
      <c r="E448" s="6" t="inlineStr">
        <is>
          <t>DG</t>
        </is>
      </c>
      <c r="F448" s="6" t="inlineStr">
        <is>
          <t>12-8003</t>
        </is>
      </c>
      <c r="G448" s="6" t="inlineStr">
        <is>
          <t>Quadris Excel</t>
        </is>
      </c>
      <c r="H448" s="6" t="n">
        <v>0</v>
      </c>
      <c r="I448" s="6" t="n">
        <v>0</v>
      </c>
      <c r="J448" s="6" t="inlineStr">
        <is>
          <t>nincs</t>
        </is>
      </c>
      <c r="K448" s="6">
        <f>IF(AND(H448&gt;0,I448&gt;0),"Rendben",IF(AND(H448=0,I448=0),"Nincs kép és adat",IF(H448=0,"Nincs kép","Nincs adat")))</f>
        <v/>
      </c>
      <c r="L448" s="6" t="inlineStr">
        <is>
          <t>Nem</t>
        </is>
      </c>
      <c r="M448" s="7" t="inlineStr">
        <is>
          <t>–</t>
        </is>
      </c>
      <c r="N448" s="7" t="inlineStr">
        <is>
          <t>Nem kerestük – nincs ismert weboldal vagy katalógus</t>
        </is>
      </c>
      <c r="O448" s="6" t="inlineStr"/>
      <c r="P448" s="11" t="inlineStr">
        <is>
          <t>https://website-9ib.pages.dev/termek/351283-4-dg-elso-800-mm-es-rakonca-j-b/</t>
        </is>
      </c>
      <c r="Q448" s="12" t="inlineStr"/>
      <c r="R448" s="13" t="inlineStr"/>
      <c r="S448" s="6" t="inlineStr">
        <is>
          <t>351283-4-dg-elso-800-mm-es-rakonca-j-b</t>
        </is>
      </c>
    </row>
    <row r="449">
      <c r="A449" s="6" t="inlineStr">
        <is>
          <t>351281/2</t>
        </is>
      </c>
      <c r="B449" s="7" t="inlineStr">
        <is>
          <t>DG hátsó 800 mm-es rakonca J-B</t>
        </is>
      </c>
      <c r="C449" s="6" t="inlineStr">
        <is>
          <t>Acél és alu rakoncák és szegők</t>
        </is>
      </c>
      <c r="D449" s="6" t="inlineStr">
        <is>
          <t>DG</t>
        </is>
      </c>
      <c r="E449" s="6" t="inlineStr">
        <is>
          <t>DG</t>
        </is>
      </c>
      <c r="F449" s="6" t="inlineStr">
        <is>
          <t>12-8001, 12-8002</t>
        </is>
      </c>
      <c r="G449" s="6" t="inlineStr">
        <is>
          <t>Quadris Excel</t>
        </is>
      </c>
      <c r="H449" s="6" t="n">
        <v>0</v>
      </c>
      <c r="I449" s="6" t="n">
        <v>0</v>
      </c>
      <c r="J449" s="6" t="inlineStr">
        <is>
          <t>nincs</t>
        </is>
      </c>
      <c r="K449" s="6">
        <f>IF(AND(H449&gt;0,I449&gt;0),"Rendben",IF(AND(H449=0,I449=0),"Nincs kép és adat",IF(H449=0,"Nincs kép","Nincs adat")))</f>
        <v/>
      </c>
      <c r="L449" s="6" t="inlineStr">
        <is>
          <t>Nem</t>
        </is>
      </c>
      <c r="M449" s="7" t="inlineStr">
        <is>
          <t>–</t>
        </is>
      </c>
      <c r="N449" s="7" t="inlineStr">
        <is>
          <t>Nem kerestük – nincs ismert weboldal vagy katalógus</t>
        </is>
      </c>
      <c r="O449" s="6" t="inlineStr"/>
      <c r="P449" s="11" t="inlineStr">
        <is>
          <t>https://website-9ib.pages.dev/termek/351281-2-dg-hatso-800-mm-es-rakonca-j-b/</t>
        </is>
      </c>
      <c r="Q449" s="12" t="inlineStr"/>
      <c r="R449" s="13" t="inlineStr"/>
      <c r="S449" s="6" t="inlineStr">
        <is>
          <t>351281-2-dg-hatso-800-mm-es-rakonca-j-b</t>
        </is>
      </c>
    </row>
    <row r="450">
      <c r="A450" s="6" t="inlineStr">
        <is>
          <t>351210</t>
        </is>
      </c>
      <c r="B450" s="7" t="inlineStr">
        <is>
          <t>DG köztes 1000 mm-es rakonca</t>
        </is>
      </c>
      <c r="C450" s="6" t="inlineStr">
        <is>
          <t>Acél és alu rakoncák és szegők</t>
        </is>
      </c>
      <c r="D450" s="6" t="inlineStr">
        <is>
          <t>DG</t>
        </is>
      </c>
      <c r="E450" s="6" t="inlineStr">
        <is>
          <t>DG</t>
        </is>
      </c>
      <c r="F450" s="6" t="inlineStr"/>
      <c r="G450" s="6" t="inlineStr">
        <is>
          <t>Quadris Excel</t>
        </is>
      </c>
      <c r="H450" s="6" t="n">
        <v>0</v>
      </c>
      <c r="I450" s="6" t="n">
        <v>0</v>
      </c>
      <c r="J450" s="6" t="inlineStr">
        <is>
          <t>nincs</t>
        </is>
      </c>
      <c r="K450" s="6">
        <f>IF(AND(H450&gt;0,I450&gt;0),"Rendben",IF(AND(H450=0,I450=0),"Nincs kép és adat",IF(H450=0,"Nincs kép","Nincs adat")))</f>
        <v/>
      </c>
      <c r="L450" s="6" t="inlineStr">
        <is>
          <t>Nem</t>
        </is>
      </c>
      <c r="M450" s="7" t="inlineStr">
        <is>
          <t>–</t>
        </is>
      </c>
      <c r="N450" s="7" t="inlineStr">
        <is>
          <t>Nem kerestük – nincs ismert weboldal vagy katalógus</t>
        </is>
      </c>
      <c r="O450" s="6" t="inlineStr"/>
      <c r="P450" s="11" t="inlineStr">
        <is>
          <t>https://website-9ib.pages.dev/termek/351210-dg-koztes-1000-mm-es-rakonca/</t>
        </is>
      </c>
      <c r="Q450" s="12" t="inlineStr"/>
      <c r="R450" s="13" t="inlineStr"/>
      <c r="S450" s="6" t="inlineStr">
        <is>
          <t>351210-dg-koztes-1000-mm-es-rakonca</t>
        </is>
      </c>
    </row>
    <row r="451">
      <c r="A451" s="6" t="inlineStr">
        <is>
          <t>352540/NT</t>
        </is>
      </c>
      <c r="B451" s="7" t="inlineStr">
        <is>
          <t>DG köztes 400 mm-es rakonca</t>
        </is>
      </c>
      <c r="C451" s="6" t="inlineStr">
        <is>
          <t>Acél és alu rakoncák és szegők</t>
        </is>
      </c>
      <c r="D451" s="6" t="inlineStr">
        <is>
          <t>DG</t>
        </is>
      </c>
      <c r="E451" s="6" t="inlineStr">
        <is>
          <t>DG</t>
        </is>
      </c>
      <c r="F451" s="6" t="inlineStr">
        <is>
          <t>06-25040.01</t>
        </is>
      </c>
      <c r="G451" s="6" t="inlineStr">
        <is>
          <t>Quadris Excel</t>
        </is>
      </c>
      <c r="H451" s="6" t="n">
        <v>0</v>
      </c>
      <c r="I451" s="6" t="n">
        <v>0</v>
      </c>
      <c r="J451" s="6" t="inlineStr">
        <is>
          <t>nincs</t>
        </is>
      </c>
      <c r="K451" s="6">
        <f>IF(AND(H451&gt;0,I451&gt;0),"Rendben",IF(AND(H451=0,I451=0),"Nincs kép és adat",IF(H451=0,"Nincs kép","Nincs adat")))</f>
        <v/>
      </c>
      <c r="L451" s="6" t="inlineStr">
        <is>
          <t>Nem</t>
        </is>
      </c>
      <c r="M451" s="7" t="inlineStr">
        <is>
          <t>–</t>
        </is>
      </c>
      <c r="N451" s="7" t="inlineStr">
        <is>
          <t>Nem kerestük – nincs ismert weboldal vagy katalógus</t>
        </is>
      </c>
      <c r="O451" s="6" t="inlineStr"/>
      <c r="P451" s="11" t="inlineStr">
        <is>
          <t>https://website-9ib.pages.dev/termek/352540-nt-dg-koztes-400-mm-es-rakonca/</t>
        </is>
      </c>
      <c r="Q451" s="12" t="inlineStr"/>
      <c r="R451" s="13" t="inlineStr"/>
      <c r="S451" s="6" t="inlineStr">
        <is>
          <t>352540-nt-dg-koztes-400-mm-es-rakonca</t>
        </is>
      </c>
    </row>
    <row r="452">
      <c r="A452" s="6" t="inlineStr">
        <is>
          <t>351260</t>
        </is>
      </c>
      <c r="B452" s="7" t="inlineStr">
        <is>
          <t>DG köztes 600 mm-es rakonca</t>
        </is>
      </c>
      <c r="C452" s="6" t="inlineStr">
        <is>
          <t>Acél és alu rakoncák és szegők</t>
        </is>
      </c>
      <c r="D452" s="6" t="inlineStr">
        <is>
          <t>DG</t>
        </is>
      </c>
      <c r="E452" s="6" t="inlineStr">
        <is>
          <t>DG</t>
        </is>
      </c>
      <c r="F452" s="6" t="inlineStr">
        <is>
          <t>12-6000</t>
        </is>
      </c>
      <c r="G452" s="6" t="inlineStr">
        <is>
          <t>Quadris Excel</t>
        </is>
      </c>
      <c r="H452" s="6" t="n">
        <v>0</v>
      </c>
      <c r="I452" s="6" t="n">
        <v>0</v>
      </c>
      <c r="J452" s="6" t="inlineStr">
        <is>
          <t>nincs</t>
        </is>
      </c>
      <c r="K452" s="6">
        <f>IF(AND(H452&gt;0,I452&gt;0),"Rendben",IF(AND(H452=0,I452=0),"Nincs kép és adat",IF(H452=0,"Nincs kép","Nincs adat")))</f>
        <v/>
      </c>
      <c r="L452" s="6" t="inlineStr">
        <is>
          <t>Nem</t>
        </is>
      </c>
      <c r="M452" s="7" t="inlineStr">
        <is>
          <t>–</t>
        </is>
      </c>
      <c r="N452" s="7" t="inlineStr">
        <is>
          <t>Nem kerestük – nincs ismert weboldal vagy katalógus</t>
        </is>
      </c>
      <c r="O452" s="6" t="inlineStr"/>
      <c r="P452" s="11" t="inlineStr">
        <is>
          <t>https://website-9ib.pages.dev/termek/351260-dg-koztes-600-mm-es-rakonca/</t>
        </is>
      </c>
      <c r="Q452" s="12" t="inlineStr"/>
      <c r="R452" s="13" t="inlineStr"/>
      <c r="S452" s="6" t="inlineStr">
        <is>
          <t>351260-dg-koztes-600-mm-es-rakonca</t>
        </is>
      </c>
    </row>
    <row r="453">
      <c r="A453" s="6" t="inlineStr">
        <is>
          <t>351280</t>
        </is>
      </c>
      <c r="B453" s="7" t="inlineStr">
        <is>
          <t>DG köztes 800 mm-es rakonca</t>
        </is>
      </c>
      <c r="C453" s="6" t="inlineStr">
        <is>
          <t>Acél és alu rakoncák és szegők</t>
        </is>
      </c>
      <c r="D453" s="6" t="inlineStr">
        <is>
          <t>DG</t>
        </is>
      </c>
      <c r="E453" s="6" t="inlineStr">
        <is>
          <t>DG</t>
        </is>
      </c>
      <c r="F453" s="6" t="inlineStr">
        <is>
          <t>12-8000</t>
        </is>
      </c>
      <c r="G453" s="6" t="inlineStr">
        <is>
          <t>Quadris Excel</t>
        </is>
      </c>
      <c r="H453" s="6" t="n">
        <v>0</v>
      </c>
      <c r="I453" s="6" t="n">
        <v>0</v>
      </c>
      <c r="J453" s="6" t="inlineStr">
        <is>
          <t>nincs</t>
        </is>
      </c>
      <c r="K453" s="6">
        <f>IF(AND(H453&gt;0,I453&gt;0),"Rendben",IF(AND(H453=0,I453=0),"Nincs kép és adat",IF(H453=0,"Nincs kép","Nincs adat")))</f>
        <v/>
      </c>
      <c r="L453" s="6" t="inlineStr">
        <is>
          <t>Nem</t>
        </is>
      </c>
      <c r="M453" s="7" t="inlineStr">
        <is>
          <t>–</t>
        </is>
      </c>
      <c r="N453" s="7" t="inlineStr">
        <is>
          <t>Nem kerestük – nincs ismert weboldal vagy katalógus</t>
        </is>
      </c>
      <c r="O453" s="6" t="inlineStr"/>
      <c r="P453" s="11" t="inlineStr">
        <is>
          <t>https://website-9ib.pages.dev/termek/351280-dg-koztes-800-mm-es-rakonca/</t>
        </is>
      </c>
      <c r="Q453" s="12" t="inlineStr"/>
      <c r="R453" s="13" t="inlineStr"/>
      <c r="S453" s="6" t="inlineStr">
        <is>
          <t>351280-dg-koztes-800-mm-es-rakonca</t>
        </is>
      </c>
    </row>
    <row r="454">
      <c r="A454" s="6" t="inlineStr">
        <is>
          <t>351243/4</t>
        </is>
      </c>
      <c r="B454" s="7" t="inlineStr">
        <is>
          <t>KDG első 400 mm-es rakonca J-B</t>
        </is>
      </c>
      <c r="C454" s="6" t="inlineStr">
        <is>
          <t>Acél és alu rakoncák és szegők</t>
        </is>
      </c>
      <c r="D454" s="6" t="inlineStr">
        <is>
          <t>DG</t>
        </is>
      </c>
      <c r="E454" s="6" t="inlineStr">
        <is>
          <t>DG</t>
        </is>
      </c>
      <c r="F454" s="6" t="inlineStr">
        <is>
          <t>12-4003, 12-4004</t>
        </is>
      </c>
      <c r="G454" s="6" t="inlineStr">
        <is>
          <t>Quadris Excel</t>
        </is>
      </c>
      <c r="H454" s="6" t="n">
        <v>0</v>
      </c>
      <c r="I454" s="6" t="n">
        <v>0</v>
      </c>
      <c r="J454" s="6" t="inlineStr">
        <is>
          <t>nincs</t>
        </is>
      </c>
      <c r="K454" s="6">
        <f>IF(AND(H454&gt;0,I454&gt;0),"Rendben",IF(AND(H454=0,I454=0),"Nincs kép és adat",IF(H454=0,"Nincs kép","Nincs adat")))</f>
        <v/>
      </c>
      <c r="L454" s="6" t="inlineStr">
        <is>
          <t>Nem</t>
        </is>
      </c>
      <c r="M454" s="7" t="inlineStr">
        <is>
          <t>–</t>
        </is>
      </c>
      <c r="N454" s="7" t="inlineStr">
        <is>
          <t>Nem kerestük – nincs ismert weboldal vagy katalógus</t>
        </is>
      </c>
      <c r="O454" s="6" t="inlineStr"/>
      <c r="P454" s="11" t="inlineStr">
        <is>
          <t>https://website-9ib.pages.dev/termek/351243-4-kdg-elso-400-mm-es-rakonca-j-b/</t>
        </is>
      </c>
      <c r="Q454" s="12" t="inlineStr"/>
      <c r="R454" s="13" t="inlineStr"/>
      <c r="S454" s="6" t="inlineStr">
        <is>
          <t>351243-4-kdg-elso-400-mm-es-rakonca-j-b</t>
        </is>
      </c>
    </row>
    <row r="455">
      <c r="A455" s="6" t="inlineStr">
        <is>
          <t>351241/2</t>
        </is>
      </c>
      <c r="B455" s="7" t="inlineStr">
        <is>
          <t>KDG hátsó 400 mm-es rakonca J-B</t>
        </is>
      </c>
      <c r="C455" s="6" t="inlineStr">
        <is>
          <t>Acél és alu rakoncák és szegők</t>
        </is>
      </c>
      <c r="D455" s="6" t="inlineStr">
        <is>
          <t>DG</t>
        </is>
      </c>
      <c r="E455" s="6" t="inlineStr">
        <is>
          <t>DG</t>
        </is>
      </c>
      <c r="F455" s="6" t="inlineStr">
        <is>
          <t>12-4001, 12-4002</t>
        </is>
      </c>
      <c r="G455" s="6" t="inlineStr">
        <is>
          <t>Quadris Excel</t>
        </is>
      </c>
      <c r="H455" s="6" t="n">
        <v>0</v>
      </c>
      <c r="I455" s="6" t="n">
        <v>0</v>
      </c>
      <c r="J455" s="6" t="inlineStr">
        <is>
          <t>nincs</t>
        </is>
      </c>
      <c r="K455" s="6">
        <f>IF(AND(H455&gt;0,I455&gt;0),"Rendben",IF(AND(H455=0,I455=0),"Nincs kép és adat",IF(H455=0,"Nincs kép","Nincs adat")))</f>
        <v/>
      </c>
      <c r="L455" s="6" t="inlineStr">
        <is>
          <t>Nem</t>
        </is>
      </c>
      <c r="M455" s="7" t="inlineStr">
        <is>
          <t>–</t>
        </is>
      </c>
      <c r="N455" s="7" t="inlineStr">
        <is>
          <t>Nem kerestük – nincs ismert weboldal vagy katalógus</t>
        </is>
      </c>
      <c r="O455" s="6" t="inlineStr"/>
      <c r="P455" s="11" t="inlineStr">
        <is>
          <t>https://website-9ib.pages.dev/termek/351241-2-kdg-hatso-400-mm-es-rakonca-j-b/</t>
        </is>
      </c>
      <c r="Q455" s="12" t="inlineStr"/>
      <c r="R455" s="13" t="inlineStr"/>
      <c r="S455" s="6" t="inlineStr">
        <is>
          <t>351241-2-kdg-hatso-400-mm-es-rakonca-j-b</t>
        </is>
      </c>
    </row>
    <row r="456">
      <c r="A456" s="6" t="inlineStr">
        <is>
          <t>351240</t>
        </is>
      </c>
      <c r="B456" s="7" t="inlineStr">
        <is>
          <t>KDG köztes 400 mm-es rakonca NT</t>
        </is>
      </c>
      <c r="C456" s="6" t="inlineStr">
        <is>
          <t>Acél és alu rakoncák és szegők</t>
        </is>
      </c>
      <c r="D456" s="6" t="inlineStr">
        <is>
          <t>DG</t>
        </is>
      </c>
      <c r="E456" s="6" t="inlineStr">
        <is>
          <t>DG</t>
        </is>
      </c>
      <c r="F456" s="6" t="inlineStr">
        <is>
          <t>12-4000</t>
        </is>
      </c>
      <c r="G456" s="6" t="inlineStr">
        <is>
          <t>Quadris Excel</t>
        </is>
      </c>
      <c r="H456" s="6" t="n">
        <v>0</v>
      </c>
      <c r="I456" s="6" t="n">
        <v>0</v>
      </c>
      <c r="J456" s="6" t="inlineStr">
        <is>
          <t>nincs</t>
        </is>
      </c>
      <c r="K456" s="6">
        <f>IF(AND(H456&gt;0,I456&gt;0),"Rendben",IF(AND(H456=0,I456=0),"Nincs kép és adat",IF(H456=0,"Nincs kép","Nincs adat")))</f>
        <v/>
      </c>
      <c r="L456" s="6" t="inlineStr">
        <is>
          <t>Nem</t>
        </is>
      </c>
      <c r="M456" s="7" t="inlineStr">
        <is>
          <t>–</t>
        </is>
      </c>
      <c r="N456" s="7" t="inlineStr">
        <is>
          <t>Nem kerestük – nincs ismert weboldal vagy katalógus</t>
        </is>
      </c>
      <c r="O456" s="6" t="inlineStr"/>
      <c r="P456" s="11" t="inlineStr">
        <is>
          <t>https://website-9ib.pages.dev/termek/351240-kdg-koztes-400-mm-es-rakonca-nt/</t>
        </is>
      </c>
      <c r="Q456" s="12" t="inlineStr"/>
      <c r="R456" s="13" t="inlineStr"/>
      <c r="S456" s="6" t="inlineStr">
        <is>
          <t>351240-kdg-koztes-400-mm-es-rakonca-nt</t>
        </is>
      </c>
    </row>
    <row r="457">
      <c r="A457" s="6" t="inlineStr">
        <is>
          <t>356511</t>
        </is>
      </c>
      <c r="B457" s="7" t="inlineStr">
        <is>
          <t>Rakonca ellendarab hátsó</t>
        </is>
      </c>
      <c r="C457" s="6" t="inlineStr">
        <is>
          <t>Acél és alu rakoncák és szegők</t>
        </is>
      </c>
      <c r="D457" s="6" t="inlineStr">
        <is>
          <t>DG</t>
        </is>
      </c>
      <c r="E457" s="6" t="inlineStr">
        <is>
          <t>DG</t>
        </is>
      </c>
      <c r="F457" s="6" t="inlineStr">
        <is>
          <t>30-0511ZF</t>
        </is>
      </c>
      <c r="G457" s="6" t="inlineStr">
        <is>
          <t>Quadris Excel</t>
        </is>
      </c>
      <c r="H457" s="6" t="n">
        <v>0</v>
      </c>
      <c r="I457" s="6" t="n">
        <v>0</v>
      </c>
      <c r="J457" s="6" t="inlineStr">
        <is>
          <t>nincs</t>
        </is>
      </c>
      <c r="K457" s="6">
        <f>IF(AND(H457&gt;0,I457&gt;0),"Rendben",IF(AND(H457=0,I457=0),"Nincs kép és adat",IF(H457=0,"Nincs kép","Nincs adat")))</f>
        <v/>
      </c>
      <c r="L457" s="6" t="inlineStr">
        <is>
          <t>Nem</t>
        </is>
      </c>
      <c r="M457" s="7" t="inlineStr">
        <is>
          <t>–</t>
        </is>
      </c>
      <c r="N457" s="7" t="inlineStr">
        <is>
          <t>Nem kerestük – nincs ismert weboldal vagy katalógus</t>
        </is>
      </c>
      <c r="O457" s="6" t="inlineStr"/>
      <c r="P457" s="11" t="inlineStr">
        <is>
          <t>https://website-9ib.pages.dev/termek/356511-rakonca-ellendarab-hatso/</t>
        </is>
      </c>
      <c r="Q457" s="12" t="inlineStr"/>
      <c r="R457" s="13" t="inlineStr"/>
      <c r="S457" s="6" t="inlineStr">
        <is>
          <t>356511-rakonca-ellendarab-hatso</t>
        </is>
      </c>
    </row>
    <row r="458">
      <c r="A458" s="6" t="inlineStr">
        <is>
          <t>356510</t>
        </is>
      </c>
      <c r="B458" s="7" t="inlineStr">
        <is>
          <t>Rakonca ellendarab oldalsó</t>
        </is>
      </c>
      <c r="C458" s="6" t="inlineStr">
        <is>
          <t>Acél és alu rakoncák és szegők</t>
        </is>
      </c>
      <c r="D458" s="6" t="inlineStr">
        <is>
          <t>DG</t>
        </is>
      </c>
      <c r="E458" s="6" t="inlineStr">
        <is>
          <t>DG</t>
        </is>
      </c>
      <c r="F458" s="6" t="inlineStr">
        <is>
          <t>30-0510ZF</t>
        </is>
      </c>
      <c r="G458" s="6" t="inlineStr">
        <is>
          <t>Quadris Excel</t>
        </is>
      </c>
      <c r="H458" s="6" t="n">
        <v>0</v>
      </c>
      <c r="I458" s="6" t="n">
        <v>0</v>
      </c>
      <c r="J458" s="6" t="inlineStr">
        <is>
          <t>nincs</t>
        </is>
      </c>
      <c r="K458" s="6">
        <f>IF(AND(H458&gt;0,I458&gt;0),"Rendben",IF(AND(H458=0,I458=0),"Nincs kép és adat",IF(H458=0,"Nincs kép","Nincs adat")))</f>
        <v/>
      </c>
      <c r="L458" s="6" t="inlineStr">
        <is>
          <t>Nem</t>
        </is>
      </c>
      <c r="M458" s="7" t="inlineStr">
        <is>
          <t>–</t>
        </is>
      </c>
      <c r="N458" s="7" t="inlineStr">
        <is>
          <t>Nem kerestük – nincs ismert weboldal vagy katalógus</t>
        </is>
      </c>
      <c r="O458" s="6" t="inlineStr"/>
      <c r="P458" s="11" t="inlineStr">
        <is>
          <t>https://website-9ib.pages.dev/termek/356510-rakonca-ellendarab-oldalso/</t>
        </is>
      </c>
      <c r="Q458" s="12" t="inlineStr"/>
      <c r="R458" s="13" t="inlineStr"/>
      <c r="S458" s="6" t="inlineStr">
        <is>
          <t>356510-rakonca-ellendarab-oldalso</t>
        </is>
      </c>
    </row>
    <row r="459">
      <c r="A459" s="6" t="inlineStr">
        <is>
          <t>216516</t>
        </is>
      </c>
      <c r="B459" s="7" t="inlineStr">
        <is>
          <t>Ponyvagörgő acél sínhez csapágyas</t>
        </is>
      </c>
      <c r="C459" s="6" t="inlineStr">
        <is>
          <t>Elhúzható rolóponyvás rendszer</t>
        </is>
      </c>
      <c r="D459" s="6" t="inlineStr">
        <is>
          <t>ADAICO "C" sín acél</t>
        </is>
      </c>
      <c r="E459" s="6" t="inlineStr">
        <is>
          <t>Dost</t>
        </is>
      </c>
      <c r="F459" s="6" t="inlineStr">
        <is>
          <t>40-SPR-0048-8</t>
        </is>
      </c>
      <c r="G459" s="6" t="inlineStr">
        <is>
          <t>Quadris Excel</t>
        </is>
      </c>
      <c r="H459" s="6" t="n">
        <v>0</v>
      </c>
      <c r="I459" s="6" t="n">
        <v>0</v>
      </c>
      <c r="J459" s="6" t="inlineStr">
        <is>
          <t>nincs</t>
        </is>
      </c>
      <c r="K459" s="6">
        <f>IF(AND(H459&gt;0,I459&gt;0),"Rendben",IF(AND(H459=0,I459=0),"Nincs kép és adat",IF(H459=0,"Nincs kép","Nincs adat")))</f>
        <v/>
      </c>
      <c r="L459" s="6" t="inlineStr">
        <is>
          <t>Igen</t>
        </is>
      </c>
      <c r="M459" s="7" t="inlineStr">
        <is>
          <t>Dost Teknik 2024 katalógus (PDF)</t>
        </is>
      </c>
      <c r="N459" s="7" t="inlineStr">
        <is>
          <t>Nem találtuk: Dost Teknik 2024 katalógus (PDF)</t>
        </is>
      </c>
      <c r="O459" s="6" t="inlineStr"/>
      <c r="P459" s="11" t="inlineStr">
        <is>
          <t>https://website-9ib.pages.dev/termek/216516-ponyvagorgo-acel-sinhez-csapagyas/</t>
        </is>
      </c>
      <c r="Q459" s="12" t="inlineStr"/>
      <c r="R459" s="13" t="inlineStr"/>
      <c r="S459" s="6" t="inlineStr">
        <is>
          <t>216516-ponyvagorgo-acel-sinhez-csapagyas</t>
        </is>
      </c>
    </row>
    <row r="460">
      <c r="A460" s="6" t="inlineStr">
        <is>
          <t>211115</t>
        </is>
      </c>
      <c r="B460" s="7" t="inlineStr">
        <is>
          <t>Ponyvagörgő acél sínhez hajlított</t>
        </is>
      </c>
      <c r="C460" s="6" t="inlineStr">
        <is>
          <t>Elhúzható rolóponyvás rendszer</t>
        </is>
      </c>
      <c r="D460" s="6" t="inlineStr">
        <is>
          <t>ADAICO "C" sín acél</t>
        </is>
      </c>
      <c r="E460" s="6" t="inlineStr">
        <is>
          <t>Dost</t>
        </is>
      </c>
      <c r="F460" s="6" t="inlineStr">
        <is>
          <t>401115</t>
        </is>
      </c>
      <c r="G460" s="6" t="inlineStr">
        <is>
          <t>Quadris Excel</t>
        </is>
      </c>
      <c r="H460" s="6" t="n">
        <v>2</v>
      </c>
      <c r="I460" s="6" t="n">
        <v>4</v>
      </c>
      <c r="J460" s="6" t="inlineStr">
        <is>
          <t>nincs</t>
        </is>
      </c>
      <c r="K460" s="6">
        <f>IF(AND(H460&gt;0,I460&gt;0),"Rendben",IF(AND(H460=0,I460=0),"Nincs kép és adat",IF(H460=0,"Nincs kép","Nincs adat")))</f>
        <v/>
      </c>
      <c r="L460" s="6" t="inlineStr">
        <is>
          <t>Igen</t>
        </is>
      </c>
      <c r="M460" s="7" t="inlineStr">
        <is>
          <t>Dost Teknik 2024 katalógus (PDF)</t>
        </is>
      </c>
      <c r="N460" s="7" t="inlineStr">
        <is>
          <t>Megtalálva: Dost 401115 (kód: 401115)</t>
        </is>
      </c>
      <c r="O460" s="11" t="inlineStr">
        <is>
          <t>https://dostteknik.com/wp-content/uploads/dost-catalog-2024.pdf</t>
        </is>
      </c>
      <c r="P460" s="11" t="inlineStr">
        <is>
          <t>https://website-9ib.pages.dev/termek/211115-ponyvagorgo-acel-sinhez-hajlitott/</t>
        </is>
      </c>
      <c r="Q460" s="12" t="inlineStr"/>
      <c r="R460" s="13" t="inlineStr"/>
      <c r="S460" s="6" t="inlineStr">
        <is>
          <t>211115-ponyvagorgo-acel-sinhez-hajlitott</t>
        </is>
      </c>
    </row>
    <row r="461">
      <c r="A461" s="6" t="inlineStr">
        <is>
          <t>211410</t>
        </is>
      </c>
      <c r="B461" s="7" t="inlineStr">
        <is>
          <t>Rakonca kocsi acél "C" sínhez</t>
        </is>
      </c>
      <c r="C461" s="6" t="inlineStr">
        <is>
          <t>Elhúzható rolóponyvás rendszer</t>
        </is>
      </c>
      <c r="D461" s="6" t="inlineStr">
        <is>
          <t>ADAICO "C" sín acél</t>
        </is>
      </c>
      <c r="E461" s="6" t="inlineStr">
        <is>
          <t>Dost</t>
        </is>
      </c>
      <c r="F461" s="6" t="inlineStr">
        <is>
          <t>401410</t>
        </is>
      </c>
      <c r="G461" s="6" t="inlineStr">
        <is>
          <t>Quadris Excel</t>
        </is>
      </c>
      <c r="H461" s="6" t="n">
        <v>2</v>
      </c>
      <c r="I461" s="6" t="n">
        <v>3</v>
      </c>
      <c r="J461" s="6" t="inlineStr">
        <is>
          <t>nincs</t>
        </is>
      </c>
      <c r="K461" s="6">
        <f>IF(AND(H461&gt;0,I461&gt;0),"Rendben",IF(AND(H461=0,I461=0),"Nincs kép és adat",IF(H461=0,"Nincs kép","Nincs adat")))</f>
        <v/>
      </c>
      <c r="L461" s="6" t="inlineStr">
        <is>
          <t>Igen</t>
        </is>
      </c>
      <c r="M461" s="7" t="inlineStr">
        <is>
          <t>Dost Teknik 2024 katalógus (PDF)</t>
        </is>
      </c>
      <c r="N461" s="7" t="inlineStr">
        <is>
          <t>Megtalálva: Dost 401410 (kód: 401410)</t>
        </is>
      </c>
      <c r="O461" s="11" t="inlineStr">
        <is>
          <t>https://dostteknik.com/wp-content/uploads/dost-catalog-2024.pdf</t>
        </is>
      </c>
      <c r="P461" s="11" t="inlineStr">
        <is>
          <t>https://website-9ib.pages.dev/termek/211410-rakonca-kocsi-acel-c-sinhez/</t>
        </is>
      </c>
      <c r="Q461" s="12" t="inlineStr"/>
      <c r="R461" s="13" t="inlineStr"/>
      <c r="S461" s="6" t="inlineStr">
        <is>
          <t>211410-rakonca-kocsi-acel-c-sinhez</t>
        </is>
      </c>
    </row>
    <row r="462">
      <c r="A462" s="6" t="inlineStr"/>
      <c r="B462" s="7" t="inlineStr">
        <is>
          <t>212105A Italszállító ajtó profil alsó görgő R D</t>
        </is>
      </c>
      <c r="C462" s="6" t="inlineStr">
        <is>
          <t>Italszállító KIT</t>
        </is>
      </c>
      <c r="D462" s="6" t="inlineStr">
        <is>
          <t>Italszállító KIT</t>
        </is>
      </c>
      <c r="E462" s="6" t="inlineStr">
        <is>
          <t>Dost</t>
        </is>
      </c>
      <c r="F462" s="6" t="inlineStr">
        <is>
          <t>EHP-05A</t>
        </is>
      </c>
      <c r="G462" s="6" t="inlineStr">
        <is>
          <t>Quadris Excel</t>
        </is>
      </c>
      <c r="H462" s="6" t="n">
        <v>0</v>
      </c>
      <c r="I462" s="6" t="n">
        <v>0</v>
      </c>
      <c r="J462" s="6" t="inlineStr">
        <is>
          <t>nincs</t>
        </is>
      </c>
      <c r="K462" s="6">
        <f>IF(AND(H462&gt;0,I462&gt;0),"Rendben",IF(AND(H462=0,I462=0),"Nincs kép és adat",IF(H462=0,"Nincs kép","Nincs adat")))</f>
        <v/>
      </c>
      <c r="L462" s="6" t="inlineStr">
        <is>
          <t>Igen</t>
        </is>
      </c>
      <c r="M462" s="7" t="inlineStr">
        <is>
          <t>Dost Teknik 2024 katalógus (PDF)</t>
        </is>
      </c>
      <c r="N462" s="7" t="inlineStr">
        <is>
          <t>Nem találtuk: Dost Teknik 2024 katalógus (PDF)</t>
        </is>
      </c>
      <c r="O462" s="6" t="inlineStr"/>
      <c r="P462" s="11" t="inlineStr">
        <is>
          <t>https://website-9ib.pages.dev/termek/212105a-italszallito-ajto-profil-also-gorgo-r-d/</t>
        </is>
      </c>
      <c r="Q462" s="12" t="inlineStr"/>
      <c r="R462" s="13" t="inlineStr"/>
      <c r="S462" s="6" t="inlineStr">
        <is>
          <t>212105a-italszallito-ajto-profil-also-gorgo-r-d</t>
        </is>
      </c>
    </row>
    <row r="463">
      <c r="A463" s="6" t="inlineStr"/>
      <c r="B463" s="7" t="inlineStr">
        <is>
          <t>212105B Italszállító ajtó profil alsó görgő L D</t>
        </is>
      </c>
      <c r="C463" s="6" t="inlineStr">
        <is>
          <t>Italszállító KIT</t>
        </is>
      </c>
      <c r="D463" s="6" t="inlineStr">
        <is>
          <t>Italszállító KIT</t>
        </is>
      </c>
      <c r="E463" s="6" t="inlineStr">
        <is>
          <t>Dost</t>
        </is>
      </c>
      <c r="F463" s="6" t="inlineStr">
        <is>
          <t>EHP-05B</t>
        </is>
      </c>
      <c r="G463" s="6" t="inlineStr">
        <is>
          <t>Quadris Excel</t>
        </is>
      </c>
      <c r="H463" s="6" t="n">
        <v>0</v>
      </c>
      <c r="I463" s="6" t="n">
        <v>0</v>
      </c>
      <c r="J463" s="6" t="inlineStr">
        <is>
          <t>nincs</t>
        </is>
      </c>
      <c r="K463" s="6">
        <f>IF(AND(H463&gt;0,I463&gt;0),"Rendben",IF(AND(H463=0,I463=0),"Nincs kép és adat",IF(H463=0,"Nincs kép","Nincs adat")))</f>
        <v/>
      </c>
      <c r="L463" s="6" t="inlineStr">
        <is>
          <t>Igen</t>
        </is>
      </c>
      <c r="M463" s="7" t="inlineStr">
        <is>
          <t>Dost Teknik 2024 katalógus (PDF)</t>
        </is>
      </c>
      <c r="N463" s="7" t="inlineStr">
        <is>
          <t>Nem találtuk: Dost Teknik 2024 katalógus (PDF)</t>
        </is>
      </c>
      <c r="O463" s="6" t="inlineStr"/>
      <c r="P463" s="11" t="inlineStr">
        <is>
          <t>https://website-9ib.pages.dev/termek/212105b-italszallito-ajto-profil-also-gorgo-l-d/</t>
        </is>
      </c>
      <c r="Q463" s="12" t="inlineStr"/>
      <c r="R463" s="13" t="inlineStr"/>
      <c r="S463" s="6" t="inlineStr">
        <is>
          <t>212105b-italszallito-ajto-profil-also-gorgo-l-d</t>
        </is>
      </c>
    </row>
    <row r="464">
      <c r="A464" s="6" t="inlineStr">
        <is>
          <t>211308</t>
        </is>
      </c>
      <c r="B464" s="7" t="inlineStr">
        <is>
          <t>Italszállító Zárszerkezet D</t>
        </is>
      </c>
      <c r="C464" s="6" t="inlineStr">
        <is>
          <t>Italszállító KIT</t>
        </is>
      </c>
      <c r="D464" s="6" t="inlineStr">
        <is>
          <t>Italszállító KIT</t>
        </is>
      </c>
      <c r="E464" s="6" t="inlineStr">
        <is>
          <t>Dost</t>
        </is>
      </c>
      <c r="F464" s="6" t="inlineStr">
        <is>
          <t>EHP-08</t>
        </is>
      </c>
      <c r="G464" s="6" t="inlineStr">
        <is>
          <t>Quadris Excel</t>
        </is>
      </c>
      <c r="H464" s="6" t="n">
        <v>0</v>
      </c>
      <c r="I464" s="6" t="n">
        <v>0</v>
      </c>
      <c r="J464" s="6" t="inlineStr">
        <is>
          <t>nincs</t>
        </is>
      </c>
      <c r="K464" s="6">
        <f>IF(AND(H464&gt;0,I464&gt;0),"Rendben",IF(AND(H464=0,I464=0),"Nincs kép és adat",IF(H464=0,"Nincs kép","Nincs adat")))</f>
        <v/>
      </c>
      <c r="L464" s="6" t="inlineStr">
        <is>
          <t>Igen</t>
        </is>
      </c>
      <c r="M464" s="7" t="inlineStr">
        <is>
          <t>Dost Teknik 2024 katalógus (PDF)</t>
        </is>
      </c>
      <c r="N464" s="7" t="inlineStr">
        <is>
          <t>Nem találtuk: Dost Teknik 2024 katalógus (PDF)</t>
        </is>
      </c>
      <c r="O464" s="6" t="inlineStr"/>
      <c r="P464" s="11" t="inlineStr">
        <is>
          <t>https://website-9ib.pages.dev/termek/211308-italszallito-zarszerkezet-d/</t>
        </is>
      </c>
      <c r="Q464" s="12" t="inlineStr"/>
      <c r="R464" s="13" t="inlineStr"/>
      <c r="S464" s="6" t="inlineStr">
        <is>
          <t>211308-italszallito-zarszerkezet-d</t>
        </is>
      </c>
    </row>
    <row r="465">
      <c r="A465" s="6" t="inlineStr">
        <is>
          <t>212104</t>
        </is>
      </c>
      <c r="B465" s="7" t="inlineStr">
        <is>
          <t>Italszállító ajtó profil felső görgő D</t>
        </is>
      </c>
      <c r="C465" s="6" t="inlineStr">
        <is>
          <t>Italszállító KIT</t>
        </is>
      </c>
      <c r="D465" s="6" t="inlineStr">
        <is>
          <t>Italszállító KIT</t>
        </is>
      </c>
      <c r="E465" s="6" t="inlineStr">
        <is>
          <t>Dost</t>
        </is>
      </c>
      <c r="F465" s="6" t="inlineStr">
        <is>
          <t>EHP-04</t>
        </is>
      </c>
      <c r="G465" s="6" t="inlineStr">
        <is>
          <t>Quadris Excel</t>
        </is>
      </c>
      <c r="H465" s="6" t="n">
        <v>0</v>
      </c>
      <c r="I465" s="6" t="n">
        <v>0</v>
      </c>
      <c r="J465" s="6" t="inlineStr">
        <is>
          <t>nincs</t>
        </is>
      </c>
      <c r="K465" s="6">
        <f>IF(AND(H465&gt;0,I465&gt;0),"Rendben",IF(AND(H465=0,I465=0),"Nincs kép és adat",IF(H465=0,"Nincs kép","Nincs adat")))</f>
        <v/>
      </c>
      <c r="L465" s="6" t="inlineStr">
        <is>
          <t>Igen</t>
        </is>
      </c>
      <c r="M465" s="7" t="inlineStr">
        <is>
          <t>Dost Teknik 2024 katalógus (PDF)</t>
        </is>
      </c>
      <c r="N465" s="7" t="inlineStr">
        <is>
          <t>Nem találtuk: Dost Teknik 2024 katalógus (PDF)</t>
        </is>
      </c>
      <c r="O465" s="6" t="inlineStr"/>
      <c r="P465" s="11" t="inlineStr">
        <is>
          <t>https://website-9ib.pages.dev/termek/212104-italszallito-ajto-profil-felso-gorgo-d/</t>
        </is>
      </c>
      <c r="Q465" s="12" t="inlineStr"/>
      <c r="R465" s="13" t="inlineStr"/>
      <c r="S465" s="6" t="inlineStr">
        <is>
          <t>212104-italszallito-ajto-profil-felso-gorgo-d</t>
        </is>
      </c>
    </row>
    <row r="466">
      <c r="A466" s="6" t="inlineStr">
        <is>
          <t>212107</t>
        </is>
      </c>
      <c r="B466" s="7" t="inlineStr">
        <is>
          <t>Italszállító ponyva görgő alsó D</t>
        </is>
      </c>
      <c r="C466" s="6" t="inlineStr">
        <is>
          <t>Italszállító KIT</t>
        </is>
      </c>
      <c r="D466" s="6" t="inlineStr">
        <is>
          <t>Italszállító KIT</t>
        </is>
      </c>
      <c r="E466" s="6" t="inlineStr">
        <is>
          <t>Dost</t>
        </is>
      </c>
      <c r="F466" s="6" t="inlineStr">
        <is>
          <t>EHP-07</t>
        </is>
      </c>
      <c r="G466" s="6" t="inlineStr">
        <is>
          <t>Quadris Excel</t>
        </is>
      </c>
      <c r="H466" s="6" t="n">
        <v>0</v>
      </c>
      <c r="I466" s="6" t="n">
        <v>0</v>
      </c>
      <c r="J466" s="6" t="inlineStr">
        <is>
          <t>nincs</t>
        </is>
      </c>
      <c r="K466" s="6">
        <f>IF(AND(H466&gt;0,I466&gt;0),"Rendben",IF(AND(H466=0,I466=0),"Nincs kép és adat",IF(H466=0,"Nincs kép","Nincs adat")))</f>
        <v/>
      </c>
      <c r="L466" s="6" t="inlineStr">
        <is>
          <t>Igen</t>
        </is>
      </c>
      <c r="M466" s="7" t="inlineStr">
        <is>
          <t>Dost Teknik 2024 katalógus (PDF)</t>
        </is>
      </c>
      <c r="N466" s="7" t="inlineStr">
        <is>
          <t>Nem találtuk: Dost Teknik 2024 katalógus (PDF)</t>
        </is>
      </c>
      <c r="O466" s="6" t="inlineStr"/>
      <c r="P466" s="11" t="inlineStr">
        <is>
          <t>https://website-9ib.pages.dev/termek/212107-italszallito-ponyva-gorgo-also-d/</t>
        </is>
      </c>
      <c r="Q466" s="12" t="inlineStr"/>
      <c r="R466" s="13" t="inlineStr"/>
      <c r="S466" s="6" t="inlineStr">
        <is>
          <t>212107-italszallito-ponyva-gorgo-also-d</t>
        </is>
      </c>
    </row>
    <row r="467">
      <c r="A467" s="6" t="inlineStr">
        <is>
          <t>212106</t>
        </is>
      </c>
      <c r="B467" s="7" t="inlineStr">
        <is>
          <t>Italszállító ponyva görgő felső D</t>
        </is>
      </c>
      <c r="C467" s="6" t="inlineStr">
        <is>
          <t>Italszállító KIT</t>
        </is>
      </c>
      <c r="D467" s="6" t="inlineStr">
        <is>
          <t>Italszállító KIT</t>
        </is>
      </c>
      <c r="E467" s="6" t="inlineStr">
        <is>
          <t>Dost</t>
        </is>
      </c>
      <c r="F467" s="6" t="inlineStr">
        <is>
          <t>EHP-06</t>
        </is>
      </c>
      <c r="G467" s="6" t="inlineStr">
        <is>
          <t>Quadris Excel</t>
        </is>
      </c>
      <c r="H467" s="6" t="n">
        <v>0</v>
      </c>
      <c r="I467" s="6" t="n">
        <v>0</v>
      </c>
      <c r="J467" s="6" t="inlineStr">
        <is>
          <t>nincs</t>
        </is>
      </c>
      <c r="K467" s="6">
        <f>IF(AND(H467&gt;0,I467&gt;0),"Rendben",IF(AND(H467=0,I467=0),"Nincs kép és adat",IF(H467=0,"Nincs kép","Nincs adat")))</f>
        <v/>
      </c>
      <c r="L467" s="6" t="inlineStr">
        <is>
          <t>Igen</t>
        </is>
      </c>
      <c r="M467" s="7" t="inlineStr">
        <is>
          <t>Dost Teknik 2024 katalógus (PDF)</t>
        </is>
      </c>
      <c r="N467" s="7" t="inlineStr">
        <is>
          <t>Nem találtuk: Dost Teknik 2024 katalógus (PDF)</t>
        </is>
      </c>
      <c r="O467" s="6" t="inlineStr"/>
      <c r="P467" s="11" t="inlineStr">
        <is>
          <t>https://website-9ib.pages.dev/termek/212106-italszallito-ponyva-gorgo-felso-d/</t>
        </is>
      </c>
      <c r="Q467" s="12" t="inlineStr"/>
      <c r="R467" s="13" t="inlineStr"/>
      <c r="S467" s="6" t="inlineStr">
        <is>
          <t>212106-italszallito-ponyva-gorgo-felso-d</t>
        </is>
      </c>
    </row>
    <row r="468">
      <c r="A468" s="6" t="inlineStr"/>
      <c r="B468" s="7" t="inlineStr">
        <is>
          <t>E/COMPACT CS tolótető rendszer</t>
        </is>
      </c>
      <c r="C468" s="6" t="inlineStr">
        <is>
          <t>Elhúzható rolóponyvás rendszer</t>
        </is>
      </c>
      <c r="D468" s="6" t="inlineStr">
        <is>
          <t>Edscha</t>
        </is>
      </c>
      <c r="E468" s="6" t="inlineStr">
        <is>
          <t>Edscha</t>
        </is>
      </c>
      <c r="F468" s="6" t="inlineStr"/>
      <c r="G468" s="6" t="inlineStr">
        <is>
          <t>Quadris Excel</t>
        </is>
      </c>
      <c r="H468" s="6" t="n">
        <v>2</v>
      </c>
      <c r="I468" s="6" t="n">
        <v>4</v>
      </c>
      <c r="J468" s="6" t="inlineStr">
        <is>
          <t>van</t>
        </is>
      </c>
      <c r="K468" s="6">
        <f>IF(AND(H468&gt;0,I468&gt;0),"Rendben",IF(AND(H468=0,I468=0),"Nincs kép és adat",IF(H468=0,"Nincs kép","Nincs adat")))</f>
        <v/>
      </c>
      <c r="L468" s="6" t="inlineStr">
        <is>
          <t>Igen</t>
        </is>
      </c>
      <c r="M468" s="7" t="inlineStr">
        <is>
          <t>Edscha TS / SESAM alkatrész-katalógus 2024 (edschats.com); Edscha Compact alkatrész-katalógus 2018 (Drive)</t>
        </is>
      </c>
      <c r="N468" s="7" t="inlineStr">
        <is>
          <t>Megtalálva: E/COMPACT CS (kód: E/COMPACT CS)</t>
        </is>
      </c>
      <c r="O468" s="11" t="inlineStr">
        <is>
          <t>https://www.edschats.com/en/products/edscha-ts/commercial-vehicle-roof-systems/curtain-sider-verdecke/compact-neu/</t>
        </is>
      </c>
      <c r="P468" s="11" t="inlineStr">
        <is>
          <t>https://website-9ib.pages.dev/termek/e-compact-cs-toloteto-rendszer/</t>
        </is>
      </c>
      <c r="Q468" s="12" t="inlineStr"/>
      <c r="R468" s="13" t="inlineStr"/>
      <c r="S468" s="6" t="inlineStr">
        <is>
          <t>e-compact-cs-toloteto-rendszer</t>
        </is>
      </c>
    </row>
    <row r="469">
      <c r="A469" s="6" t="inlineStr"/>
      <c r="B469" s="7" t="inlineStr">
        <is>
          <t>E/COMPACT FIX tető rendszer</t>
        </is>
      </c>
      <c r="C469" s="6" t="inlineStr">
        <is>
          <t>Elhúzható rolóponyvás rendszer</t>
        </is>
      </c>
      <c r="D469" s="6" t="inlineStr">
        <is>
          <t>Edscha</t>
        </is>
      </c>
      <c r="E469" s="6" t="inlineStr">
        <is>
          <t>Edscha</t>
        </is>
      </c>
      <c r="F469" s="6" t="inlineStr"/>
      <c r="G469" s="6" t="inlineStr">
        <is>
          <t>Quadris Excel</t>
        </is>
      </c>
      <c r="H469" s="6" t="n">
        <v>1</v>
      </c>
      <c r="I469" s="6" t="n">
        <v>3</v>
      </c>
      <c r="J469" s="6" t="inlineStr">
        <is>
          <t>van</t>
        </is>
      </c>
      <c r="K469" s="6">
        <f>IF(AND(H469&gt;0,I469&gt;0),"Rendben",IF(AND(H469=0,I469=0),"Nincs kép és adat",IF(H469=0,"Nincs kép","Nincs adat")))</f>
        <v/>
      </c>
      <c r="L469" s="6" t="inlineStr">
        <is>
          <t>Igen</t>
        </is>
      </c>
      <c r="M469" s="7" t="inlineStr">
        <is>
          <t>Edscha TS / SESAM alkatrész-katalógus 2024 (edschats.com); Edscha Compact alkatrész-katalógus 2018 (Drive)</t>
        </is>
      </c>
      <c r="N469" s="7" t="inlineStr">
        <is>
          <t>Megtalálva: E/COMPACT FIX (kód: E/COMPACT FIX)</t>
        </is>
      </c>
      <c r="O469" s="11" t="inlineStr">
        <is>
          <t>https://www.edschats.com/en/products/edscha-ts/commercial-vehicle-roof-systems/curtain-sider-verdecke/compact-neu/</t>
        </is>
      </c>
      <c r="P469" s="11" t="inlineStr">
        <is>
          <t>https://website-9ib.pages.dev/termek/e-compact-fix-teto-rendszer/</t>
        </is>
      </c>
      <c r="Q469" s="12" t="inlineStr"/>
      <c r="R469" s="13" t="inlineStr"/>
      <c r="S469" s="6" t="inlineStr">
        <is>
          <t>e-compact-fix-teto-rendszer</t>
        </is>
      </c>
    </row>
    <row r="470">
      <c r="A470" s="6" t="inlineStr"/>
      <c r="B470" s="7" t="inlineStr">
        <is>
          <t>E/COMPACT tetőprofil 900407/5000</t>
        </is>
      </c>
      <c r="C470" s="6" t="inlineStr">
        <is>
          <t>Elhúzható rolóponyvás rendszer</t>
        </is>
      </c>
      <c r="D470" s="6" t="inlineStr">
        <is>
          <t>Edscha</t>
        </is>
      </c>
      <c r="E470" s="6" t="inlineStr">
        <is>
          <t>Edscha</t>
        </is>
      </c>
      <c r="F470" s="6" t="inlineStr">
        <is>
          <t>29600</t>
        </is>
      </c>
      <c r="G470" s="6" t="inlineStr">
        <is>
          <t>Quadris Excel</t>
        </is>
      </c>
      <c r="H470" s="6" t="n">
        <v>2</v>
      </c>
      <c r="I470" s="6" t="n">
        <v>3</v>
      </c>
      <c r="J470" s="6" t="inlineStr">
        <is>
          <t>van</t>
        </is>
      </c>
      <c r="K470" s="6">
        <f>IF(AND(H470&gt;0,I470&gt;0),"Rendben",IF(AND(H470=0,I470=0),"Nincs kép és adat",IF(H470=0,"Nincs kép","Nincs adat")))</f>
        <v/>
      </c>
      <c r="L470" s="6" t="inlineStr">
        <is>
          <t>Igen</t>
        </is>
      </c>
      <c r="M470" s="7" t="inlineStr">
        <is>
          <t>Edscha TS / SESAM alkatrész-katalógus 2024 (edschats.com); Edscha Compact alkatrész-katalógus 2018 (Drive)</t>
        </is>
      </c>
      <c r="N470" s="7" t="inlineStr">
        <is>
          <t>Megtalálva: E/COMPACT tetőprofil (kód: E/COMPACT tetőprofil)</t>
        </is>
      </c>
      <c r="O470" s="11" t="inlineStr">
        <is>
          <t>https://www.edschats.com/en/products/edscha-ts/commercial-vehicle-roof-systems/curtain-sider-verdecke/compact-neu/</t>
        </is>
      </c>
      <c r="P470" s="11" t="inlineStr">
        <is>
          <t>https://website-9ib.pages.dev/termek/e-compact-tetoprofil-900407-5000/</t>
        </is>
      </c>
      <c r="Q470" s="12" t="inlineStr"/>
      <c r="R470" s="13" t="inlineStr"/>
      <c r="S470" s="6" t="inlineStr">
        <is>
          <t>e-compact-tetoprofil-900407-5000</t>
        </is>
      </c>
    </row>
    <row r="471">
      <c r="A471" s="6" t="inlineStr"/>
      <c r="B471" s="7" t="inlineStr">
        <is>
          <t>E/COMPACT tetőprofil 900407/5600</t>
        </is>
      </c>
      <c r="C471" s="6" t="inlineStr">
        <is>
          <t>Elhúzható rolóponyvás rendszer</t>
        </is>
      </c>
      <c r="D471" s="6" t="inlineStr">
        <is>
          <t>Edscha</t>
        </is>
      </c>
      <c r="E471" s="6" t="inlineStr">
        <is>
          <t>Edscha</t>
        </is>
      </c>
      <c r="F471" s="6" t="inlineStr">
        <is>
          <t>29600</t>
        </is>
      </c>
      <c r="G471" s="6" t="inlineStr">
        <is>
          <t>Quadris Excel</t>
        </is>
      </c>
      <c r="H471" s="6" t="n">
        <v>2</v>
      </c>
      <c r="I471" s="6" t="n">
        <v>3</v>
      </c>
      <c r="J471" s="6" t="inlineStr">
        <is>
          <t>van</t>
        </is>
      </c>
      <c r="K471" s="6">
        <f>IF(AND(H471&gt;0,I471&gt;0),"Rendben",IF(AND(H471=0,I471=0),"Nincs kép és adat",IF(H471=0,"Nincs kép","Nincs adat")))</f>
        <v/>
      </c>
      <c r="L471" s="6" t="inlineStr">
        <is>
          <t>Igen</t>
        </is>
      </c>
      <c r="M471" s="7" t="inlineStr">
        <is>
          <t>Edscha TS / SESAM alkatrész-katalógus 2024 (edschats.com); Edscha Compact alkatrész-katalógus 2018 (Drive)</t>
        </is>
      </c>
      <c r="N471" s="7" t="inlineStr">
        <is>
          <t>Megtalálva: E/COMPACT tetőprofil (kód: E/COMPACT tetőprofil)</t>
        </is>
      </c>
      <c r="O471" s="11" t="inlineStr">
        <is>
          <t>https://www.edschats.com/en/products/edscha-ts/commercial-vehicle-roof-systems/curtain-sider-verdecke/compact-neu/</t>
        </is>
      </c>
      <c r="P471" s="11" t="inlineStr">
        <is>
          <t>https://website-9ib.pages.dev/termek/e-compact-tetoprofil-900407-5600/</t>
        </is>
      </c>
      <c r="Q471" s="12" t="inlineStr"/>
      <c r="R471" s="13" t="inlineStr"/>
      <c r="S471" s="6" t="inlineStr">
        <is>
          <t>e-compact-tetoprofil-900407-5600</t>
        </is>
      </c>
    </row>
    <row r="472">
      <c r="A472" s="6" t="inlineStr"/>
      <c r="B472" s="7" t="inlineStr">
        <is>
          <t>E/COMPACT tetőprofil 900407/6600</t>
        </is>
      </c>
      <c r="C472" s="6" t="inlineStr">
        <is>
          <t>Elhúzható rolóponyvás rendszer</t>
        </is>
      </c>
      <c r="D472" s="6" t="inlineStr">
        <is>
          <t>Edscha</t>
        </is>
      </c>
      <c r="E472" s="6" t="inlineStr">
        <is>
          <t>Edscha</t>
        </is>
      </c>
      <c r="F472" s="6" t="inlineStr">
        <is>
          <t>29600</t>
        </is>
      </c>
      <c r="G472" s="6" t="inlineStr">
        <is>
          <t>Quadris Excel</t>
        </is>
      </c>
      <c r="H472" s="6" t="n">
        <v>2</v>
      </c>
      <c r="I472" s="6" t="n">
        <v>3</v>
      </c>
      <c r="J472" s="6" t="inlineStr">
        <is>
          <t>van</t>
        </is>
      </c>
      <c r="K472" s="6">
        <f>IF(AND(H472&gt;0,I472&gt;0),"Rendben",IF(AND(H472=0,I472=0),"Nincs kép és adat",IF(H472=0,"Nincs kép","Nincs adat")))</f>
        <v/>
      </c>
      <c r="L472" s="6" t="inlineStr">
        <is>
          <t>Igen</t>
        </is>
      </c>
      <c r="M472" s="7" t="inlineStr">
        <is>
          <t>Edscha TS / SESAM alkatrész-katalógus 2024 (edschats.com); Edscha Compact alkatrész-katalógus 2018 (Drive)</t>
        </is>
      </c>
      <c r="N472" s="7" t="inlineStr">
        <is>
          <t>Megtalálva: E/COMPACT tetőprofil (kód: E/COMPACT tetőprofil)</t>
        </is>
      </c>
      <c r="O472" s="11" t="inlineStr">
        <is>
          <t>https://www.edschats.com/en/products/edscha-ts/commercial-vehicle-roof-systems/curtain-sider-verdecke/compact-neu/</t>
        </is>
      </c>
      <c r="P472" s="11" t="inlineStr">
        <is>
          <t>https://website-9ib.pages.dev/termek/e-compact-tetoprofil-900407-6600/</t>
        </is>
      </c>
      <c r="Q472" s="12" t="inlineStr"/>
      <c r="R472" s="13" t="inlineStr"/>
      <c r="S472" s="6" t="inlineStr">
        <is>
          <t>e-compact-tetoprofil-900407-6600</t>
        </is>
      </c>
    </row>
    <row r="473">
      <c r="A473" s="6" t="inlineStr"/>
      <c r="B473" s="7" t="inlineStr">
        <is>
          <t>E/COMPACT tetőprofil 900407/7800</t>
        </is>
      </c>
      <c r="C473" s="6" t="inlineStr">
        <is>
          <t>Elhúzható rolóponyvás rendszer</t>
        </is>
      </c>
      <c r="D473" s="6" t="inlineStr">
        <is>
          <t>Edscha</t>
        </is>
      </c>
      <c r="E473" s="6" t="inlineStr">
        <is>
          <t>Edscha</t>
        </is>
      </c>
      <c r="F473" s="6" t="inlineStr">
        <is>
          <t>29600</t>
        </is>
      </c>
      <c r="G473" s="6" t="inlineStr">
        <is>
          <t>Quadris Excel</t>
        </is>
      </c>
      <c r="H473" s="6" t="n">
        <v>2</v>
      </c>
      <c r="I473" s="6" t="n">
        <v>3</v>
      </c>
      <c r="J473" s="6" t="inlineStr">
        <is>
          <t>van</t>
        </is>
      </c>
      <c r="K473" s="6">
        <f>IF(AND(H473&gt;0,I473&gt;0),"Rendben",IF(AND(H473=0,I473=0),"Nincs kép és adat",IF(H473=0,"Nincs kép","Nincs adat")))</f>
        <v/>
      </c>
      <c r="L473" s="6" t="inlineStr">
        <is>
          <t>Igen</t>
        </is>
      </c>
      <c r="M473" s="7" t="inlineStr">
        <is>
          <t>Edscha TS / SESAM alkatrész-katalógus 2024 (edschats.com); Edscha Compact alkatrész-katalógus 2018 (Drive)</t>
        </is>
      </c>
      <c r="N473" s="7" t="inlineStr">
        <is>
          <t>Megtalálva: E/COMPACT tetőprofil (kód: E/COMPACT tetőprofil)</t>
        </is>
      </c>
      <c r="O473" s="11" t="inlineStr">
        <is>
          <t>https://www.edschats.com/en/products/edscha-ts/commercial-vehicle-roof-systems/curtain-sider-verdecke/compact-neu/</t>
        </is>
      </c>
      <c r="P473" s="11" t="inlineStr">
        <is>
          <t>https://website-9ib.pages.dev/termek/e-compact-tetoprofil-900407-7800/</t>
        </is>
      </c>
      <c r="Q473" s="12" t="inlineStr"/>
      <c r="R473" s="13" t="inlineStr"/>
      <c r="S473" s="6" t="inlineStr">
        <is>
          <t>e-compact-tetoprofil-900407-7800</t>
        </is>
      </c>
    </row>
    <row r="474">
      <c r="A474" s="6" t="inlineStr"/>
      <c r="B474" s="7" t="inlineStr">
        <is>
          <t>E/COMPACT tetőprofil 900407/8000</t>
        </is>
      </c>
      <c r="C474" s="6" t="inlineStr">
        <is>
          <t>Elhúzható rolóponyvás rendszer</t>
        </is>
      </c>
      <c r="D474" s="6" t="inlineStr">
        <is>
          <t>Edscha</t>
        </is>
      </c>
      <c r="E474" s="6" t="inlineStr">
        <is>
          <t>Edscha</t>
        </is>
      </c>
      <c r="F474" s="6" t="inlineStr">
        <is>
          <t>29600</t>
        </is>
      </c>
      <c r="G474" s="6" t="inlineStr">
        <is>
          <t>Quadris Excel</t>
        </is>
      </c>
      <c r="H474" s="6" t="n">
        <v>2</v>
      </c>
      <c r="I474" s="6" t="n">
        <v>3</v>
      </c>
      <c r="J474" s="6" t="inlineStr">
        <is>
          <t>van</t>
        </is>
      </c>
      <c r="K474" s="6">
        <f>IF(AND(H474&gt;0,I474&gt;0),"Rendben",IF(AND(H474=0,I474=0),"Nincs kép és adat",IF(H474=0,"Nincs kép","Nincs adat")))</f>
        <v/>
      </c>
      <c r="L474" s="6" t="inlineStr">
        <is>
          <t>Igen</t>
        </is>
      </c>
      <c r="M474" s="7" t="inlineStr">
        <is>
          <t>Edscha TS / SESAM alkatrész-katalógus 2024 (edschats.com); Edscha Compact alkatrész-katalógus 2018 (Drive)</t>
        </is>
      </c>
      <c r="N474" s="7" t="inlineStr">
        <is>
          <t>Megtalálva: E/COMPACT tetőprofil (kód: E/COMPACT tetőprofil)</t>
        </is>
      </c>
      <c r="O474" s="11" t="inlineStr">
        <is>
          <t>https://www.edschats.com/en/products/edscha-ts/commercial-vehicle-roof-systems/curtain-sider-verdecke/compact-neu/</t>
        </is>
      </c>
      <c r="P474" s="11" t="inlineStr">
        <is>
          <t>https://website-9ib.pages.dev/termek/e-compact-tetoprofil-900407-8000/</t>
        </is>
      </c>
      <c r="Q474" s="12" t="inlineStr"/>
      <c r="R474" s="13" t="inlineStr"/>
      <c r="S474" s="6" t="inlineStr">
        <is>
          <t>e-compact-tetoprofil-900407-8000</t>
        </is>
      </c>
    </row>
    <row r="475">
      <c r="A475" s="6" t="inlineStr"/>
      <c r="B475" s="7" t="inlineStr">
        <is>
          <t>E/MEDIUM tetőprofil 9500 mm</t>
        </is>
      </c>
      <c r="C475" s="6" t="inlineStr">
        <is>
          <t>Elhúzható rolóponyvás rendszer</t>
        </is>
      </c>
      <c r="D475" s="6" t="inlineStr">
        <is>
          <t>Edscha</t>
        </is>
      </c>
      <c r="E475" s="6" t="inlineStr">
        <is>
          <t>Edscha</t>
        </is>
      </c>
      <c r="F475" s="6" t="inlineStr"/>
      <c r="G475" s="6" t="inlineStr">
        <is>
          <t>Quadris Excel</t>
        </is>
      </c>
      <c r="H475" s="6" t="n">
        <v>0</v>
      </c>
      <c r="I475" s="6" t="n">
        <v>0</v>
      </c>
      <c r="J475" s="6" t="inlineStr">
        <is>
          <t>nincs</t>
        </is>
      </c>
      <c r="K475" s="6">
        <f>IF(AND(H475&gt;0,I475&gt;0),"Rendben",IF(AND(H475=0,I475=0),"Nincs kép és adat",IF(H475=0,"Nincs kép","Nincs adat")))</f>
        <v/>
      </c>
      <c r="L475" s="6" t="inlineStr">
        <is>
          <t>Igen</t>
        </is>
      </c>
      <c r="M475" s="7" t="inlineStr">
        <is>
          <t>Edscha TS / SESAM alkatrész-katalógus 2024 (edschats.com); Edscha Compact alkatrész-katalógus 2018 (Drive)</t>
        </is>
      </c>
      <c r="N475" s="7" t="inlineStr">
        <is>
          <t>Nem találtuk: Edscha TS / SESAM alkatrész-katalógus 2024 (edschats.com); Edscha Compact alkatrész-katalógus 2018 (Drive)</t>
        </is>
      </c>
      <c r="O475" s="6" t="inlineStr"/>
      <c r="P475" s="11" t="inlineStr">
        <is>
          <t>https://website-9ib.pages.dev/termek/e-medium-tetoprofil-9500-mm/</t>
        </is>
      </c>
      <c r="Q475" s="12" t="inlineStr"/>
      <c r="R475" s="13" t="inlineStr"/>
      <c r="S475" s="6" t="inlineStr">
        <is>
          <t>e-medium-tetoprofil-9500-mm</t>
        </is>
      </c>
    </row>
    <row r="476">
      <c r="A476" s="6" t="inlineStr"/>
      <c r="B476" s="7" t="inlineStr">
        <is>
          <t>E/Ponyvagörgő 85810</t>
        </is>
      </c>
      <c r="C476" s="6" t="inlineStr">
        <is>
          <t>Elhúzható rolóponyvás rendszer</t>
        </is>
      </c>
      <c r="D476" s="6" t="inlineStr">
        <is>
          <t>Edscha</t>
        </is>
      </c>
      <c r="E476" s="6" t="inlineStr">
        <is>
          <t>Edscha</t>
        </is>
      </c>
      <c r="F476" s="6" t="inlineStr">
        <is>
          <t>735016</t>
        </is>
      </c>
      <c r="G476" s="6" t="inlineStr">
        <is>
          <t>Quadris Excel</t>
        </is>
      </c>
      <c r="H476" s="6" t="n">
        <v>1</v>
      </c>
      <c r="I476" s="6" t="n">
        <v>3</v>
      </c>
      <c r="J476" s="6" t="inlineStr">
        <is>
          <t>nincs</t>
        </is>
      </c>
      <c r="K476" s="6">
        <f>IF(AND(H476&gt;0,I476&gt;0),"Rendben",IF(AND(H476=0,I476=0),"Nincs kép és adat",IF(H476=0,"Nincs kép","Nincs adat")))</f>
        <v/>
      </c>
      <c r="L476" s="6" t="inlineStr">
        <is>
          <t>Igen</t>
        </is>
      </c>
      <c r="M476" s="7" t="inlineStr">
        <is>
          <t>Edscha TS / SESAM alkatrész-katalógus 2024 (edschats.com); Edscha Compact alkatrész-katalógus 2018 (Drive)</t>
        </is>
      </c>
      <c r="N476" s="7" t="inlineStr">
        <is>
          <t>Megtalálva: Edscha Compact alkatrész-katalógus 2018: 40 38 085 810 (kód: 40 38 085 810)</t>
        </is>
      </c>
      <c r="O476" s="11" t="inlineStr">
        <is>
          <t>https://www.edschats.com#page=7</t>
        </is>
      </c>
      <c r="P476" s="11" t="inlineStr">
        <is>
          <t>https://website-9ib.pages.dev/termek/e-ponyvagorgo-85810/</t>
        </is>
      </c>
      <c r="Q476" s="12" t="inlineStr"/>
      <c r="R476" s="13" t="inlineStr"/>
      <c r="S476" s="6" t="inlineStr">
        <is>
          <t>e-ponyvagorgo-85810</t>
        </is>
      </c>
    </row>
    <row r="477">
      <c r="A477" s="6" t="inlineStr"/>
      <c r="B477" s="7" t="inlineStr">
        <is>
          <t>E/SESAM FIX Volumen KIT</t>
        </is>
      </c>
      <c r="C477" s="6" t="inlineStr">
        <is>
          <t>Elhúzható rolóponyvás rendszer</t>
        </is>
      </c>
      <c r="D477" s="6" t="inlineStr">
        <is>
          <t>Edscha</t>
        </is>
      </c>
      <c r="E477" s="6" t="inlineStr">
        <is>
          <t>Edscha</t>
        </is>
      </c>
      <c r="F477" s="6" t="inlineStr"/>
      <c r="G477" s="6" t="inlineStr">
        <is>
          <t>Quadris Excel</t>
        </is>
      </c>
      <c r="H477" s="6" t="n">
        <v>2</v>
      </c>
      <c r="I477" s="6" t="n">
        <v>2</v>
      </c>
      <c r="J477" s="6" t="inlineStr">
        <is>
          <t>van</t>
        </is>
      </c>
      <c r="K477" s="6">
        <f>IF(AND(H477&gt;0,I477&gt;0),"Rendben",IF(AND(H477=0,I477=0),"Nincs kép és adat",IF(H477=0,"Nincs kép","Nincs adat")))</f>
        <v/>
      </c>
      <c r="L477" s="6" t="inlineStr">
        <is>
          <t>Igen</t>
        </is>
      </c>
      <c r="M477" s="7" t="inlineStr">
        <is>
          <t>Edscha TS / SESAM alkatrész-katalógus 2024 (edschats.com); Edscha Compact alkatrész-katalógus 2018 (Drive)</t>
        </is>
      </c>
      <c r="N477" s="7" t="inlineStr">
        <is>
          <t>Megtalálva: SESAM FIX Volumen (kód: SESAM FIX Volumen)</t>
        </is>
      </c>
      <c r="O477" s="11" t="inlineStr">
        <is>
          <t>https://www.edschats.com/en/products/sesam/sesam-cs-slimliner-fix/</t>
        </is>
      </c>
      <c r="P477" s="11" t="inlineStr">
        <is>
          <t>https://website-9ib.pages.dev/termek/e-sesam-fix-volumen-kit/</t>
        </is>
      </c>
      <c r="Q477" s="12" t="inlineStr"/>
      <c r="R477" s="13" t="inlineStr"/>
      <c r="S477" s="6" t="inlineStr">
        <is>
          <t>e-sesam-fix-volumen-kit</t>
        </is>
      </c>
    </row>
    <row r="478">
      <c r="A478" s="6" t="inlineStr"/>
      <c r="B478" s="7" t="inlineStr">
        <is>
          <t>E/Small tetőprofil 6600 mm</t>
        </is>
      </c>
      <c r="C478" s="6" t="inlineStr">
        <is>
          <t>Elhúzható rolóponyvás rendszer</t>
        </is>
      </c>
      <c r="D478" s="6" t="inlineStr">
        <is>
          <t>Edscha</t>
        </is>
      </c>
      <c r="E478" s="6" t="inlineStr">
        <is>
          <t>Edscha</t>
        </is>
      </c>
      <c r="F478" s="6" t="inlineStr">
        <is>
          <t>C3311</t>
        </is>
      </c>
      <c r="G478" s="6" t="inlineStr">
        <is>
          <t>Quadris Excel</t>
        </is>
      </c>
      <c r="H478" s="6" t="n">
        <v>1</v>
      </c>
      <c r="I478" s="6" t="n">
        <v>3</v>
      </c>
      <c r="J478" s="6" t="inlineStr">
        <is>
          <t>van</t>
        </is>
      </c>
      <c r="K478" s="6">
        <f>IF(AND(H478&gt;0,I478&gt;0),"Rendben",IF(AND(H478=0,I478=0),"Nincs kép és adat",IF(H478=0,"Nincs kép","Nincs adat")))</f>
        <v/>
      </c>
      <c r="L478" s="6" t="inlineStr">
        <is>
          <t>Igen</t>
        </is>
      </c>
      <c r="M478" s="7" t="inlineStr">
        <is>
          <t>Edscha TS / SESAM alkatrész-katalógus 2024 (edschats.com); Edscha Compact alkatrész-katalógus 2018 (Drive)</t>
        </is>
      </c>
      <c r="N478" s="7" t="inlineStr">
        <is>
          <t>Megtalálva: E/Small tetőprofil (kód: E/Small tetőprofil)</t>
        </is>
      </c>
      <c r="O478" s="11" t="inlineStr">
        <is>
          <t>https://www.edschats.com/en/products/sesam/sesam-cs-slimliner-fix/</t>
        </is>
      </c>
      <c r="P478" s="11" t="inlineStr">
        <is>
          <t>https://website-9ib.pages.dev/termek/e-small-tetoprofil-6600-mm/</t>
        </is>
      </c>
      <c r="Q478" s="12" t="inlineStr"/>
      <c r="R478" s="13" t="inlineStr"/>
      <c r="S478" s="6" t="inlineStr">
        <is>
          <t>e-small-tetoprofil-6600-mm</t>
        </is>
      </c>
    </row>
    <row r="479">
      <c r="A479" s="6" t="inlineStr"/>
      <c r="B479" s="7" t="inlineStr">
        <is>
          <t>E/Small tetőprofil 7800 mm</t>
        </is>
      </c>
      <c r="C479" s="6" t="inlineStr">
        <is>
          <t>Elhúzható rolóponyvás rendszer</t>
        </is>
      </c>
      <c r="D479" s="6" t="inlineStr">
        <is>
          <t>Edscha</t>
        </is>
      </c>
      <c r="E479" s="6" t="inlineStr">
        <is>
          <t>Edscha</t>
        </is>
      </c>
      <c r="F479" s="6" t="inlineStr">
        <is>
          <t>C3311</t>
        </is>
      </c>
      <c r="G479" s="6" t="inlineStr">
        <is>
          <t>Quadris Excel</t>
        </is>
      </c>
      <c r="H479" s="6" t="n">
        <v>1</v>
      </c>
      <c r="I479" s="6" t="n">
        <v>3</v>
      </c>
      <c r="J479" s="6" t="inlineStr">
        <is>
          <t>van</t>
        </is>
      </c>
      <c r="K479" s="6">
        <f>IF(AND(H479&gt;0,I479&gt;0),"Rendben",IF(AND(H479=0,I479=0),"Nincs kép és adat",IF(H479=0,"Nincs kép","Nincs adat")))</f>
        <v/>
      </c>
      <c r="L479" s="6" t="inlineStr">
        <is>
          <t>Igen</t>
        </is>
      </c>
      <c r="M479" s="7" t="inlineStr">
        <is>
          <t>Edscha TS / SESAM alkatrész-katalógus 2024 (edschats.com); Edscha Compact alkatrész-katalógus 2018 (Drive)</t>
        </is>
      </c>
      <c r="N479" s="7" t="inlineStr">
        <is>
          <t>Megtalálva: E/Small tetőprofil (kód: E/Small tetőprofil)</t>
        </is>
      </c>
      <c r="O479" s="11" t="inlineStr">
        <is>
          <t>https://www.edschats.com/en/products/sesam/sesam-cs-slimliner-fix/</t>
        </is>
      </c>
      <c r="P479" s="11" t="inlineStr">
        <is>
          <t>https://website-9ib.pages.dev/termek/e-small-tetoprofil-7800-mm/</t>
        </is>
      </c>
      <c r="Q479" s="12" t="inlineStr"/>
      <c r="R479" s="13" t="inlineStr"/>
      <c r="S479" s="6" t="inlineStr">
        <is>
          <t>e-small-tetoprofil-7800-mm</t>
        </is>
      </c>
    </row>
    <row r="480">
      <c r="A480" s="6" t="inlineStr"/>
      <c r="B480" s="7" t="inlineStr">
        <is>
          <t>E/Small tetőprofil 8200 mm</t>
        </is>
      </c>
      <c r="C480" s="6" t="inlineStr">
        <is>
          <t>Elhúzható rolóponyvás rendszer</t>
        </is>
      </c>
      <c r="D480" s="6" t="inlineStr">
        <is>
          <t>Edscha</t>
        </is>
      </c>
      <c r="E480" s="6" t="inlineStr">
        <is>
          <t>Edscha</t>
        </is>
      </c>
      <c r="F480" s="6" t="inlineStr">
        <is>
          <t>C3311</t>
        </is>
      </c>
      <c r="G480" s="6" t="inlineStr">
        <is>
          <t>Quadris Excel</t>
        </is>
      </c>
      <c r="H480" s="6" t="n">
        <v>1</v>
      </c>
      <c r="I480" s="6" t="n">
        <v>3</v>
      </c>
      <c r="J480" s="6" t="inlineStr">
        <is>
          <t>van</t>
        </is>
      </c>
      <c r="K480" s="6">
        <f>IF(AND(H480&gt;0,I480&gt;0),"Rendben",IF(AND(H480=0,I480=0),"Nincs kép és adat",IF(H480=0,"Nincs kép","Nincs adat")))</f>
        <v/>
      </c>
      <c r="L480" s="6" t="inlineStr">
        <is>
          <t>Igen</t>
        </is>
      </c>
      <c r="M480" s="7" t="inlineStr">
        <is>
          <t>Edscha TS / SESAM alkatrész-katalógus 2024 (edschats.com); Edscha Compact alkatrész-katalógus 2018 (Drive)</t>
        </is>
      </c>
      <c r="N480" s="7" t="inlineStr">
        <is>
          <t>Megtalálva: E/Small tetőprofil (kód: E/Small tetőprofil)</t>
        </is>
      </c>
      <c r="O480" s="11" t="inlineStr">
        <is>
          <t>https://www.edschats.com/en/products/sesam/sesam-cs-slimliner-fix/</t>
        </is>
      </c>
      <c r="P480" s="11" t="inlineStr">
        <is>
          <t>https://website-9ib.pages.dev/termek/e-small-tetoprofil-8200-mm/</t>
        </is>
      </c>
      <c r="Q480" s="12" t="inlineStr"/>
      <c r="R480" s="13" t="inlineStr"/>
      <c r="S480" s="6" t="inlineStr">
        <is>
          <t>e-small-tetoprofil-8200-mm</t>
        </is>
      </c>
    </row>
    <row r="481">
      <c r="A481" s="6" t="inlineStr"/>
      <c r="B481" s="7" t="inlineStr">
        <is>
          <t>E/TailWing 1200 mm</t>
        </is>
      </c>
      <c r="C481" s="6" t="inlineStr">
        <is>
          <t>Elhúzható rolóponyvás rendszer</t>
        </is>
      </c>
      <c r="D481" s="6" t="inlineStr">
        <is>
          <t>Edscha</t>
        </is>
      </c>
      <c r="E481" s="6" t="inlineStr">
        <is>
          <t>Edscha</t>
        </is>
      </c>
      <c r="F481" s="6" t="inlineStr">
        <is>
          <t>210420570</t>
        </is>
      </c>
      <c r="G481" s="6" t="inlineStr">
        <is>
          <t>Quadris Excel</t>
        </is>
      </c>
      <c r="H481" s="6" t="n">
        <v>1</v>
      </c>
      <c r="I481" s="6" t="n">
        <v>2</v>
      </c>
      <c r="J481" s="6" t="inlineStr">
        <is>
          <t>nincs</t>
        </is>
      </c>
      <c r="K481" s="6">
        <f>IF(AND(H481&gt;0,I481&gt;0),"Rendben",IF(AND(H481=0,I481=0),"Nincs kép és adat",IF(H481=0,"Nincs kép","Nincs adat")))</f>
        <v/>
      </c>
      <c r="L481" s="6" t="inlineStr">
        <is>
          <t>Igen</t>
        </is>
      </c>
      <c r="M481" s="7" t="inlineStr">
        <is>
          <t>Edscha TS / SESAM alkatrész-katalógus 2024 (edschats.com); Edscha Compact alkatrész-katalógus 2018 (Drive)</t>
        </is>
      </c>
      <c r="N481" s="7" t="inlineStr">
        <is>
          <t>Megtalálva: SESAM alkatrész-katalógus 2024/04: Construction kit TailWing Slimliner (901-1200mm) (kód: 210420570)</t>
        </is>
      </c>
      <c r="O481" s="11" t="inlineStr">
        <is>
          <t>https://www.edschats.com/globalassets/documents/pdfs/sesam/new_25/sesam_komponenten-u-ersatzteilkatalog_04-2024.pdf#page=89</t>
        </is>
      </c>
      <c r="P481" s="11" t="inlineStr">
        <is>
          <t>https://website-9ib.pages.dev/termek/e-tailwing-1200-mm/</t>
        </is>
      </c>
      <c r="Q481" s="12" t="inlineStr"/>
      <c r="R481" s="13" t="inlineStr"/>
      <c r="S481" s="6" t="inlineStr">
        <is>
          <t>e-tailwing-1200-mm</t>
        </is>
      </c>
    </row>
    <row r="482">
      <c r="A482" s="6" t="inlineStr"/>
      <c r="B482" s="7" t="inlineStr">
        <is>
          <t>E/TailWing 400-900 mm</t>
        </is>
      </c>
      <c r="C482" s="6" t="inlineStr">
        <is>
          <t>Elhúzható rolóponyvás rendszer</t>
        </is>
      </c>
      <c r="D482" s="6" t="inlineStr">
        <is>
          <t>Edscha</t>
        </is>
      </c>
      <c r="E482" s="6" t="inlineStr">
        <is>
          <t>Edscha</t>
        </is>
      </c>
      <c r="F482" s="6" t="inlineStr">
        <is>
          <t>210420560</t>
        </is>
      </c>
      <c r="G482" s="6" t="inlineStr">
        <is>
          <t>Quadris Excel</t>
        </is>
      </c>
      <c r="H482" s="6" t="n">
        <v>1</v>
      </c>
      <c r="I482" s="6" t="n">
        <v>2</v>
      </c>
      <c r="J482" s="6" t="inlineStr">
        <is>
          <t>nincs</t>
        </is>
      </c>
      <c r="K482" s="6">
        <f>IF(AND(H482&gt;0,I482&gt;0),"Rendben",IF(AND(H482=0,I482=0),"Nincs kép és adat",IF(H482=0,"Nincs kép","Nincs adat")))</f>
        <v/>
      </c>
      <c r="L482" s="6" t="inlineStr">
        <is>
          <t>Igen</t>
        </is>
      </c>
      <c r="M482" s="7" t="inlineStr">
        <is>
          <t>Edscha TS / SESAM alkatrész-katalógus 2024 (edschats.com); Edscha Compact alkatrész-katalógus 2018 (Drive)</t>
        </is>
      </c>
      <c r="N482" s="7" t="inlineStr">
        <is>
          <t>Megtalálva: SESAM alkatrész-katalógus 2024/04: Construction kit TailWing Slimliner (400-900mm) (kód: 210420560)</t>
        </is>
      </c>
      <c r="O482" s="11" t="inlineStr">
        <is>
          <t>https://www.edschats.com/globalassets/documents/pdfs/sesam/new_25/sesam_komponenten-u-ersatzteilkatalog_04-2024.pdf#page=89</t>
        </is>
      </c>
      <c r="P482" s="11" t="inlineStr">
        <is>
          <t>https://website-9ib.pages.dev/termek/e-tailwing-400-900-mm/</t>
        </is>
      </c>
      <c r="Q482" s="12" t="inlineStr"/>
      <c r="R482" s="13" t="inlineStr"/>
      <c r="S482" s="6" t="inlineStr">
        <is>
          <t>e-tailwing-400-900-mm</t>
        </is>
      </c>
    </row>
    <row r="483">
      <c r="A483" s="6" t="inlineStr"/>
      <c r="B483" s="7" t="inlineStr">
        <is>
          <t>E/VOLUMEN tetőprofil 900301/10000</t>
        </is>
      </c>
      <c r="C483" s="6" t="inlineStr">
        <is>
          <t>Elhúzható rolóponyvás rendszer</t>
        </is>
      </c>
      <c r="D483" s="6" t="inlineStr">
        <is>
          <t>Edscha</t>
        </is>
      </c>
      <c r="E483" s="6" t="inlineStr">
        <is>
          <t>Edscha</t>
        </is>
      </c>
      <c r="F483" s="6" t="inlineStr">
        <is>
          <t>29395</t>
        </is>
      </c>
      <c r="G483" s="6" t="inlineStr">
        <is>
          <t>Quadris Excel</t>
        </is>
      </c>
      <c r="H483" s="6" t="n">
        <v>1</v>
      </c>
      <c r="I483" s="6" t="n">
        <v>3</v>
      </c>
      <c r="J483" s="6" t="inlineStr">
        <is>
          <t>van</t>
        </is>
      </c>
      <c r="K483" s="6">
        <f>IF(AND(H483&gt;0,I483&gt;0),"Rendben",IF(AND(H483=0,I483=0),"Nincs kép és adat",IF(H483=0,"Nincs kép","Nincs adat")))</f>
        <v/>
      </c>
      <c r="L483" s="6" t="inlineStr">
        <is>
          <t>Igen</t>
        </is>
      </c>
      <c r="M483" s="7" t="inlineStr">
        <is>
          <t>Edscha TS / SESAM alkatrész-katalógus 2024 (edschats.com); Edscha Compact alkatrész-katalógus 2018 (Drive)</t>
        </is>
      </c>
      <c r="N483" s="7" t="inlineStr">
        <is>
          <t>Megtalálva: E/VOLUMEN tetőprofil (kód: E/VOLUMEN tetőprofil)</t>
        </is>
      </c>
      <c r="O483" s="11" t="inlineStr">
        <is>
          <t>https://www.edschats.com/en/products/sesam/sesam-cs-slimliner-fix/</t>
        </is>
      </c>
      <c r="P483" s="11" t="inlineStr">
        <is>
          <t>https://website-9ib.pages.dev/termek/e-volumen-tetoprofil-900301-10000/</t>
        </is>
      </c>
      <c r="Q483" s="12" t="inlineStr"/>
      <c r="R483" s="13" t="inlineStr"/>
      <c r="S483" s="6" t="inlineStr">
        <is>
          <t>e-volumen-tetoprofil-900301-10000</t>
        </is>
      </c>
    </row>
    <row r="484">
      <c r="A484" s="6" t="inlineStr"/>
      <c r="B484" s="7" t="inlineStr">
        <is>
          <t>E/VOLUMEN tetőprofil 900301/7800</t>
        </is>
      </c>
      <c r="C484" s="6" t="inlineStr">
        <is>
          <t>Elhúzható rolóponyvás rendszer</t>
        </is>
      </c>
      <c r="D484" s="6" t="inlineStr">
        <is>
          <t>Edscha</t>
        </is>
      </c>
      <c r="E484" s="6" t="inlineStr">
        <is>
          <t>Edscha</t>
        </is>
      </c>
      <c r="F484" s="6" t="inlineStr">
        <is>
          <t>29395</t>
        </is>
      </c>
      <c r="G484" s="6" t="inlineStr">
        <is>
          <t>Quadris Excel</t>
        </is>
      </c>
      <c r="H484" s="6" t="n">
        <v>1</v>
      </c>
      <c r="I484" s="6" t="n">
        <v>3</v>
      </c>
      <c r="J484" s="6" t="inlineStr">
        <is>
          <t>van</t>
        </is>
      </c>
      <c r="K484" s="6">
        <f>IF(AND(H484&gt;0,I484&gt;0),"Rendben",IF(AND(H484=0,I484=0),"Nincs kép és adat",IF(H484=0,"Nincs kép","Nincs adat")))</f>
        <v/>
      </c>
      <c r="L484" s="6" t="inlineStr">
        <is>
          <t>Igen</t>
        </is>
      </c>
      <c r="M484" s="7" t="inlineStr">
        <is>
          <t>Edscha TS / SESAM alkatrész-katalógus 2024 (edschats.com); Edscha Compact alkatrész-katalógus 2018 (Drive)</t>
        </is>
      </c>
      <c r="N484" s="7" t="inlineStr">
        <is>
          <t>Megtalálva: E/VOLUMEN tetőprofil (kód: E/VOLUMEN tetőprofil)</t>
        </is>
      </c>
      <c r="O484" s="11" t="inlineStr">
        <is>
          <t>https://www.edschats.com/en/products/sesam/sesam-cs-slimliner-fix/</t>
        </is>
      </c>
      <c r="P484" s="11" t="inlineStr">
        <is>
          <t>https://website-9ib.pages.dev/termek/e-volumen-tetoprofil-900301-7800/</t>
        </is>
      </c>
      <c r="Q484" s="12" t="inlineStr"/>
      <c r="R484" s="13" t="inlineStr"/>
      <c r="S484" s="6" t="inlineStr">
        <is>
          <t>e-volumen-tetoprofil-900301-7800</t>
        </is>
      </c>
    </row>
    <row r="485">
      <c r="A485" s="6" t="inlineStr"/>
      <c r="B485" s="7" t="inlineStr">
        <is>
          <t>E/VOLUMEN tetőprofil 900301/8500</t>
        </is>
      </c>
      <c r="C485" s="6" t="inlineStr">
        <is>
          <t>Elhúzható rolóponyvás rendszer</t>
        </is>
      </c>
      <c r="D485" s="6" t="inlineStr">
        <is>
          <t>Edscha</t>
        </is>
      </c>
      <c r="E485" s="6" t="inlineStr">
        <is>
          <t>Edscha</t>
        </is>
      </c>
      <c r="F485" s="6" t="inlineStr">
        <is>
          <t>29395</t>
        </is>
      </c>
      <c r="G485" s="6" t="inlineStr">
        <is>
          <t>Quadris Excel</t>
        </is>
      </c>
      <c r="H485" s="6" t="n">
        <v>1</v>
      </c>
      <c r="I485" s="6" t="n">
        <v>3</v>
      </c>
      <c r="J485" s="6" t="inlineStr">
        <is>
          <t>van</t>
        </is>
      </c>
      <c r="K485" s="6">
        <f>IF(AND(H485&gt;0,I485&gt;0),"Rendben",IF(AND(H485=0,I485=0),"Nincs kép és adat",IF(H485=0,"Nincs kép","Nincs adat")))</f>
        <v/>
      </c>
      <c r="L485" s="6" t="inlineStr">
        <is>
          <t>Igen</t>
        </is>
      </c>
      <c r="M485" s="7" t="inlineStr">
        <is>
          <t>Edscha TS / SESAM alkatrész-katalógus 2024 (edschats.com); Edscha Compact alkatrész-katalógus 2018 (Drive)</t>
        </is>
      </c>
      <c r="N485" s="7" t="inlineStr">
        <is>
          <t>Megtalálva: E/VOLUMEN tetőprofil (kód: E/VOLUMEN tetőprofil)</t>
        </is>
      </c>
      <c r="O485" s="11" t="inlineStr">
        <is>
          <t>https://www.edschats.com/en/products/sesam/sesam-cs-slimliner-fix/</t>
        </is>
      </c>
      <c r="P485" s="11" t="inlineStr">
        <is>
          <t>https://website-9ib.pages.dev/termek/e-volumen-tetoprofil-900301-8500/</t>
        </is>
      </c>
      <c r="Q485" s="12" t="inlineStr"/>
      <c r="R485" s="13" t="inlineStr"/>
      <c r="S485" s="6" t="inlineStr">
        <is>
          <t>e-volumen-tetoprofil-900301-8500</t>
        </is>
      </c>
    </row>
    <row r="486">
      <c r="A486" s="6" t="inlineStr"/>
      <c r="B486" s="7" t="inlineStr">
        <is>
          <t>E/VOLUMEN tetőprofil 900301/9000</t>
        </is>
      </c>
      <c r="C486" s="6" t="inlineStr">
        <is>
          <t>Elhúzható rolóponyvás rendszer</t>
        </is>
      </c>
      <c r="D486" s="6" t="inlineStr">
        <is>
          <t>Edscha</t>
        </is>
      </c>
      <c r="E486" s="6" t="inlineStr">
        <is>
          <t>Edscha</t>
        </is>
      </c>
      <c r="F486" s="6" t="inlineStr">
        <is>
          <t>29395</t>
        </is>
      </c>
      <c r="G486" s="6" t="inlineStr">
        <is>
          <t>Quadris Excel</t>
        </is>
      </c>
      <c r="H486" s="6" t="n">
        <v>1</v>
      </c>
      <c r="I486" s="6" t="n">
        <v>3</v>
      </c>
      <c r="J486" s="6" t="inlineStr">
        <is>
          <t>van</t>
        </is>
      </c>
      <c r="K486" s="6">
        <f>IF(AND(H486&gt;0,I486&gt;0),"Rendben",IF(AND(H486=0,I486=0),"Nincs kép és adat",IF(H486=0,"Nincs kép","Nincs adat")))</f>
        <v/>
      </c>
      <c r="L486" s="6" t="inlineStr">
        <is>
          <t>Igen</t>
        </is>
      </c>
      <c r="M486" s="7" t="inlineStr">
        <is>
          <t>Edscha TS / SESAM alkatrész-katalógus 2024 (edschats.com); Edscha Compact alkatrész-katalógus 2018 (Drive)</t>
        </is>
      </c>
      <c r="N486" s="7" t="inlineStr">
        <is>
          <t>Megtalálva: E/VOLUMEN tetőprofil (kód: E/VOLUMEN tetőprofil)</t>
        </is>
      </c>
      <c r="O486" s="11" t="inlineStr">
        <is>
          <t>https://www.edschats.com/en/products/sesam/sesam-cs-slimliner-fix/</t>
        </is>
      </c>
      <c r="P486" s="11" t="inlineStr">
        <is>
          <t>https://website-9ib.pages.dev/termek/e-volumen-tetoprofil-900301-9000/</t>
        </is>
      </c>
      <c r="Q486" s="12" t="inlineStr"/>
      <c r="R486" s="13" t="inlineStr"/>
      <c r="S486" s="6" t="inlineStr">
        <is>
          <t>e-volumen-tetoprofil-900301-9000</t>
        </is>
      </c>
    </row>
    <row r="487">
      <c r="A487" s="6" t="inlineStr"/>
      <c r="B487" s="7" t="inlineStr">
        <is>
          <t>E/VOLUMEN tetőprofil 900301/9400</t>
        </is>
      </c>
      <c r="C487" s="6" t="inlineStr">
        <is>
          <t>Elhúzható rolóponyvás rendszer</t>
        </is>
      </c>
      <c r="D487" s="6" t="inlineStr">
        <is>
          <t>Edscha</t>
        </is>
      </c>
      <c r="E487" s="6" t="inlineStr">
        <is>
          <t>Edscha</t>
        </is>
      </c>
      <c r="F487" s="6" t="inlineStr">
        <is>
          <t>29395</t>
        </is>
      </c>
      <c r="G487" s="6" t="inlineStr">
        <is>
          <t>Quadris Excel</t>
        </is>
      </c>
      <c r="H487" s="6" t="n">
        <v>1</v>
      </c>
      <c r="I487" s="6" t="n">
        <v>3</v>
      </c>
      <c r="J487" s="6" t="inlineStr">
        <is>
          <t>van</t>
        </is>
      </c>
      <c r="K487" s="6">
        <f>IF(AND(H487&gt;0,I487&gt;0),"Rendben",IF(AND(H487=0,I487=0),"Nincs kép és adat",IF(H487=0,"Nincs kép","Nincs adat")))</f>
        <v/>
      </c>
      <c r="L487" s="6" t="inlineStr">
        <is>
          <t>Igen</t>
        </is>
      </c>
      <c r="M487" s="7" t="inlineStr">
        <is>
          <t>Edscha TS / SESAM alkatrész-katalógus 2024 (edschats.com); Edscha Compact alkatrész-katalógus 2018 (Drive)</t>
        </is>
      </c>
      <c r="N487" s="7" t="inlineStr">
        <is>
          <t>Megtalálva: E/VOLUMEN tetőprofil (kód: E/VOLUMEN tetőprofil)</t>
        </is>
      </c>
      <c r="O487" s="11" t="inlineStr">
        <is>
          <t>https://www.edschats.com/en/products/sesam/sesam-cs-slimliner-fix/</t>
        </is>
      </c>
      <c r="P487" s="11" t="inlineStr">
        <is>
          <t>https://website-9ib.pages.dev/termek/e-volumen-tetoprofil-900301-9400/</t>
        </is>
      </c>
      <c r="Q487" s="12" t="inlineStr"/>
      <c r="R487" s="13" t="inlineStr"/>
      <c r="S487" s="6" t="inlineStr">
        <is>
          <t>e-volumen-tetoprofil-900301-9400</t>
        </is>
      </c>
    </row>
    <row r="488">
      <c r="A488" s="6" t="inlineStr"/>
      <c r="B488" s="7" t="inlineStr">
        <is>
          <t>E/VOLUMEN tetőprofil 900301/9600</t>
        </is>
      </c>
      <c r="C488" s="6" t="inlineStr">
        <is>
          <t>Elhúzható rolóponyvás rendszer</t>
        </is>
      </c>
      <c r="D488" s="6" t="inlineStr">
        <is>
          <t>Edscha</t>
        </is>
      </c>
      <c r="E488" s="6" t="inlineStr">
        <is>
          <t>Edscha</t>
        </is>
      </c>
      <c r="F488" s="6" t="inlineStr">
        <is>
          <t>29395</t>
        </is>
      </c>
      <c r="G488" s="6" t="inlineStr">
        <is>
          <t>Quadris Excel</t>
        </is>
      </c>
      <c r="H488" s="6" t="n">
        <v>1</v>
      </c>
      <c r="I488" s="6" t="n">
        <v>3</v>
      </c>
      <c r="J488" s="6" t="inlineStr">
        <is>
          <t>van</t>
        </is>
      </c>
      <c r="K488" s="6">
        <f>IF(AND(H488&gt;0,I488&gt;0),"Rendben",IF(AND(H488=0,I488=0),"Nincs kép és adat",IF(H488=0,"Nincs kép","Nincs adat")))</f>
        <v/>
      </c>
      <c r="L488" s="6" t="inlineStr">
        <is>
          <t>Igen</t>
        </is>
      </c>
      <c r="M488" s="7" t="inlineStr">
        <is>
          <t>Edscha TS / SESAM alkatrész-katalógus 2024 (edschats.com); Edscha Compact alkatrész-katalógus 2018 (Drive)</t>
        </is>
      </c>
      <c r="N488" s="7" t="inlineStr">
        <is>
          <t>Megtalálva: E/VOLUMEN tetőprofil (kód: E/VOLUMEN tetőprofil)</t>
        </is>
      </c>
      <c r="O488" s="11" t="inlineStr">
        <is>
          <t>https://www.edschats.com/en/products/sesam/sesam-cs-slimliner-fix/</t>
        </is>
      </c>
      <c r="P488" s="11" t="inlineStr">
        <is>
          <t>https://website-9ib.pages.dev/termek/e-volumen-tetoprofil-900301-9600/</t>
        </is>
      </c>
      <c r="Q488" s="12" t="inlineStr"/>
      <c r="R488" s="13" t="inlineStr"/>
      <c r="S488" s="6" t="inlineStr">
        <is>
          <t>e-volumen-tetoprofil-900301-9600</t>
        </is>
      </c>
    </row>
    <row r="489">
      <c r="A489" s="6" t="inlineStr"/>
      <c r="B489" s="7" t="inlineStr">
        <is>
          <t>E21042 Elhúzó kocsi 2200 mm</t>
        </is>
      </c>
      <c r="C489" s="6" t="inlineStr">
        <is>
          <t>Elhúzható rolóponyvás rendszer</t>
        </is>
      </c>
      <c r="D489" s="6" t="inlineStr">
        <is>
          <t>Edscha</t>
        </is>
      </c>
      <c r="E489" s="6" t="inlineStr">
        <is>
          <t>Edscha</t>
        </is>
      </c>
      <c r="F489" s="6" t="inlineStr"/>
      <c r="G489" s="6" t="inlineStr">
        <is>
          <t>Quadris Excel</t>
        </is>
      </c>
      <c r="H489" s="6" t="n">
        <v>0</v>
      </c>
      <c r="I489" s="6" t="n">
        <v>0</v>
      </c>
      <c r="J489" s="6" t="inlineStr">
        <is>
          <t>nincs</t>
        </is>
      </c>
      <c r="K489" s="6">
        <f>IF(AND(H489&gt;0,I489&gt;0),"Rendben",IF(AND(H489=0,I489=0),"Nincs kép és adat",IF(H489=0,"Nincs kép","Nincs adat")))</f>
        <v/>
      </c>
      <c r="L489" s="6" t="inlineStr">
        <is>
          <t>Igen</t>
        </is>
      </c>
      <c r="M489" s="7" t="inlineStr">
        <is>
          <t>Edscha TS / SESAM alkatrész-katalógus 2024 (edschats.com); Edscha Compact alkatrész-katalógus 2018 (Drive)</t>
        </is>
      </c>
      <c r="N489" s="7" t="inlineStr">
        <is>
          <t>Nem találtuk: Edscha TS / SESAM alkatrész-katalógus 2024 (edschats.com); Edscha Compact alkatrész-katalógus 2018 (Drive)</t>
        </is>
      </c>
      <c r="O489" s="6" t="inlineStr"/>
      <c r="P489" s="11" t="inlineStr">
        <is>
          <t>https://website-9ib.pages.dev/termek/e21042-elhuzo-kocsi-2200-mm/</t>
        </is>
      </c>
      <c r="Q489" s="12" t="inlineStr"/>
      <c r="R489" s="13" t="inlineStr"/>
      <c r="S489" s="6" t="inlineStr">
        <is>
          <t>e21042-elhuzo-kocsi-2200-mm</t>
        </is>
      </c>
    </row>
    <row r="490">
      <c r="A490" s="6" t="inlineStr"/>
      <c r="B490" s="7" t="inlineStr">
        <is>
          <t>E210422558 Elhúzó kocsi 2550 mm</t>
        </is>
      </c>
      <c r="C490" s="6" t="inlineStr">
        <is>
          <t>Elhúzható rolóponyvás rendszer</t>
        </is>
      </c>
      <c r="D490" s="6" t="inlineStr">
        <is>
          <t>Edscha</t>
        </is>
      </c>
      <c r="E490" s="6" t="inlineStr">
        <is>
          <t>Edscha</t>
        </is>
      </c>
      <c r="F490" s="6" t="inlineStr">
        <is>
          <t>210422558</t>
        </is>
      </c>
      <c r="G490" s="6" t="inlineStr">
        <is>
          <t>Quadris Excel</t>
        </is>
      </c>
      <c r="H490" s="6" t="n">
        <v>1</v>
      </c>
      <c r="I490" s="6" t="n">
        <v>2</v>
      </c>
      <c r="J490" s="6" t="inlineStr">
        <is>
          <t>nincs</t>
        </is>
      </c>
      <c r="K490" s="6">
        <f>IF(AND(H490&gt;0,I490&gt;0),"Rendben",IF(AND(H490=0,I490=0),"Nincs kép és adat",IF(H490=0,"Nincs kép","Nincs adat")))</f>
        <v/>
      </c>
      <c r="L490" s="6" t="inlineStr">
        <is>
          <t>Igen</t>
        </is>
      </c>
      <c r="M490" s="7" t="inlineStr">
        <is>
          <t>Edscha TS / SESAM alkatrész-katalógus 2024 (edschats.com); Edscha Compact alkatrész-katalógus 2018 (Drive)</t>
        </is>
      </c>
      <c r="N490" s="7" t="inlineStr">
        <is>
          <t>Megtalálva: SESAM alkatrész-katalógus 2024/04: End carriage 2550 mm (kód: 210422558)</t>
        </is>
      </c>
      <c r="O490" s="11" t="inlineStr">
        <is>
          <t>https://www.edschats.com/globalassets/documents/pdfs/sesam/new_25/sesam_komponenten-u-ersatzteilkatalog_04-2024.pdf#page=78</t>
        </is>
      </c>
      <c r="P490" s="11" t="inlineStr">
        <is>
          <t>https://website-9ib.pages.dev/termek/e210422558-elhuzo-kocsi-2550-mm/</t>
        </is>
      </c>
      <c r="Q490" s="12" t="inlineStr"/>
      <c r="R490" s="13" t="inlineStr"/>
      <c r="S490" s="6" t="inlineStr">
        <is>
          <t>e210422558-elhuzo-kocsi-2550-mm</t>
        </is>
      </c>
    </row>
    <row r="491">
      <c r="A491" s="6" t="inlineStr"/>
      <c r="B491" s="7" t="inlineStr">
        <is>
          <t>E235421 Szerelő készlet</t>
        </is>
      </c>
      <c r="C491" s="6" t="inlineStr">
        <is>
          <t>Elhúzható rolóponyvás rendszer</t>
        </is>
      </c>
      <c r="D491" s="6" t="inlineStr">
        <is>
          <t>Edscha</t>
        </is>
      </c>
      <c r="E491" s="6" t="inlineStr">
        <is>
          <t>Edscha</t>
        </is>
      </c>
      <c r="F491" s="6" t="inlineStr">
        <is>
          <t>235420001</t>
        </is>
      </c>
      <c r="G491" s="6" t="inlineStr">
        <is>
          <t>Quadris Excel</t>
        </is>
      </c>
      <c r="H491" s="6" t="n">
        <v>1</v>
      </c>
      <c r="I491" s="6" t="n">
        <v>1</v>
      </c>
      <c r="J491" s="6" t="inlineStr">
        <is>
          <t>nincs</t>
        </is>
      </c>
      <c r="K491" s="6">
        <f>IF(AND(H491&gt;0,I491&gt;0),"Rendben",IF(AND(H491=0,I491=0),"Nincs kép és adat",IF(H491=0,"Nincs kép","Nincs adat")))</f>
        <v/>
      </c>
      <c r="L491" s="6" t="inlineStr">
        <is>
          <t>Igen</t>
        </is>
      </c>
      <c r="M491" s="7" t="inlineStr">
        <is>
          <t>Edscha TS / SESAM alkatrész-katalógus 2024 (edschats.com); Edscha Compact alkatrész-katalógus 2018 (Drive)</t>
        </is>
      </c>
      <c r="N491" s="7" t="inlineStr">
        <is>
          <t>Megtalálva: SESAM alkatrész-katalógus 2024/04: Accessory kit (kód: 235420001)</t>
        </is>
      </c>
      <c r="O491" s="11" t="inlineStr">
        <is>
          <t>https://www.edschats.com/globalassets/documents/pdfs/sesam/new_25/sesam_komponenten-u-ersatzteilkatalog_04-2024.pdf#page=80</t>
        </is>
      </c>
      <c r="P491" s="11" t="inlineStr">
        <is>
          <t>https://website-9ib.pages.dev/termek/e235421-szerelo-keszlet/</t>
        </is>
      </c>
      <c r="Q491" s="12" t="inlineStr"/>
      <c r="R491" s="13" t="inlineStr"/>
      <c r="S491" s="6" t="inlineStr">
        <is>
          <t>e235421-szerelo-keszlet</t>
        </is>
      </c>
    </row>
    <row r="492">
      <c r="A492" s="6" t="inlineStr"/>
      <c r="B492" s="7" t="inlineStr">
        <is>
          <t>E38067930 Compact csuklópánt 650 mm</t>
        </is>
      </c>
      <c r="C492" s="6" t="inlineStr">
        <is>
          <t>Elhúzható rolóponyvás rendszer</t>
        </is>
      </c>
      <c r="D492" s="6" t="inlineStr">
        <is>
          <t>Edscha</t>
        </is>
      </c>
      <c r="E492" s="6" t="inlineStr">
        <is>
          <t>Edscha</t>
        </is>
      </c>
      <c r="F492" s="6" t="inlineStr">
        <is>
          <t>4138067930</t>
        </is>
      </c>
      <c r="G492" s="6" t="inlineStr">
        <is>
          <t>Quadris Excel</t>
        </is>
      </c>
      <c r="H492" s="6" t="n">
        <v>0</v>
      </c>
      <c r="I492" s="6" t="n">
        <v>0</v>
      </c>
      <c r="J492" s="6" t="inlineStr">
        <is>
          <t>nincs</t>
        </is>
      </c>
      <c r="K492" s="6">
        <f>IF(AND(H492&gt;0,I492&gt;0),"Rendben",IF(AND(H492=0,I492=0),"Nincs kép és adat",IF(H492=0,"Nincs kép","Nincs adat")))</f>
        <v/>
      </c>
      <c r="L492" s="6" t="inlineStr">
        <is>
          <t>Igen</t>
        </is>
      </c>
      <c r="M492" s="7" t="inlineStr">
        <is>
          <t>Edscha TS / SESAM alkatrész-katalógus 2024 (edschats.com); Edscha Compact alkatrész-katalógus 2018 (Drive)</t>
        </is>
      </c>
      <c r="N492" s="7" t="inlineStr">
        <is>
          <t>Nem találtuk: Edscha TS / SESAM alkatrész-katalógus 2024 (edschats.com); Edscha Compact alkatrész-katalógus 2018 (Drive)</t>
        </is>
      </c>
      <c r="O492" s="6" t="inlineStr"/>
      <c r="P492" s="11" t="inlineStr">
        <is>
          <t>https://website-9ib.pages.dev/termek/e38067930-compact-csuklopant-650-mm/</t>
        </is>
      </c>
      <c r="Q492" s="12" t="inlineStr"/>
      <c r="R492" s="13" t="inlineStr"/>
      <c r="S492" s="6" t="inlineStr">
        <is>
          <t>e38067930-compact-csuklopant-650-mm</t>
        </is>
      </c>
    </row>
    <row r="493">
      <c r="A493" s="6" t="inlineStr"/>
      <c r="B493" s="7" t="inlineStr">
        <is>
          <t>E4038068710 Biztosító készlt COMPACT</t>
        </is>
      </c>
      <c r="C493" s="6" t="inlineStr">
        <is>
          <t>Elhúzható rolóponyvás rendszer</t>
        </is>
      </c>
      <c r="D493" s="6" t="inlineStr">
        <is>
          <t>Edscha</t>
        </is>
      </c>
      <c r="E493" s="6" t="inlineStr">
        <is>
          <t>Edscha</t>
        </is>
      </c>
      <c r="F493" s="6" t="inlineStr">
        <is>
          <t>4038068710</t>
        </is>
      </c>
      <c r="G493" s="6" t="inlineStr">
        <is>
          <t>Quadris Excel</t>
        </is>
      </c>
      <c r="H493" s="6" t="n">
        <v>1</v>
      </c>
      <c r="I493" s="6" t="n">
        <v>1</v>
      </c>
      <c r="J493" s="6" t="inlineStr">
        <is>
          <t>nincs</t>
        </is>
      </c>
      <c r="K493" s="6">
        <f>IF(AND(H493&gt;0,I493&gt;0),"Rendben",IF(AND(H493=0,I493=0),"Nincs kép és adat",IF(H493=0,"Nincs kép","Nincs adat")))</f>
        <v/>
      </c>
      <c r="L493" s="6" t="inlineStr">
        <is>
          <t>Igen</t>
        </is>
      </c>
      <c r="M493" s="7" t="inlineStr">
        <is>
          <t>Edscha TS / SESAM alkatrész-katalógus 2024 (edschats.com); Edscha Compact alkatrész-katalógus 2018 (Drive)</t>
        </is>
      </c>
      <c r="N493" s="7" t="inlineStr">
        <is>
          <t>Megtalálva: Edscha TS alkatrész-katalógus 2024/04: Safety rope set (kód: 4038068710)</t>
        </is>
      </c>
      <c r="O493" s="11" t="inlineStr">
        <is>
          <t>https://www.edschats.com/globalassets/documents/pdfs/edscha/einzelersatzteilkatalog_international/09_24/edschats_ersatzteilkatalog_de-en_04-2024.pdf#page=18</t>
        </is>
      </c>
      <c r="P493" s="11" t="inlineStr">
        <is>
          <t>https://website-9ib.pages.dev/termek/e4038068710-biztosito-keszlt-compact/</t>
        </is>
      </c>
      <c r="Q493" s="12" t="inlineStr"/>
      <c r="R493" s="13" t="inlineStr"/>
      <c r="S493" s="6" t="inlineStr">
        <is>
          <t>e4038068710-biztosito-keszlt-compact</t>
        </is>
      </c>
    </row>
    <row r="494">
      <c r="A494" s="6" t="inlineStr"/>
      <c r="B494" s="7" t="inlineStr">
        <is>
          <t>E4038069900 COMPACT lezáró ponyvához 2550 mm</t>
        </is>
      </c>
      <c r="C494" s="6" t="inlineStr">
        <is>
          <t>Elhúzható rolóponyvás rendszer</t>
        </is>
      </c>
      <c r="D494" s="6" t="inlineStr">
        <is>
          <t>Edscha</t>
        </is>
      </c>
      <c r="E494" s="6" t="inlineStr">
        <is>
          <t>Edscha</t>
        </is>
      </c>
      <c r="F494" s="6" t="inlineStr">
        <is>
          <t>4038069900</t>
        </is>
      </c>
      <c r="G494" s="6" t="inlineStr">
        <is>
          <t>Quadris Excel</t>
        </is>
      </c>
      <c r="H494" s="6" t="n">
        <v>1</v>
      </c>
      <c r="I494" s="6" t="n">
        <v>1</v>
      </c>
      <c r="J494" s="6" t="inlineStr">
        <is>
          <t>nincs</t>
        </is>
      </c>
      <c r="K494" s="6">
        <f>IF(AND(H494&gt;0,I494&gt;0),"Rendben",IF(AND(H494=0,I494=0),"Nincs kép és adat",IF(H494=0,"Nincs kép","Nincs adat")))</f>
        <v/>
      </c>
      <c r="L494" s="6" t="inlineStr">
        <is>
          <t>Igen</t>
        </is>
      </c>
      <c r="M494" s="7" t="inlineStr">
        <is>
          <t>Edscha TS / SESAM alkatrész-katalógus 2024 (edschats.com); Edscha Compact alkatrész-katalógus 2018 (Drive)</t>
        </is>
      </c>
      <c r="N494" s="7" t="inlineStr">
        <is>
          <t>Megtalálva: Edscha TS alkatrész-katalógus 2024/04: End bow 2550 (kód: 4038069900)</t>
        </is>
      </c>
      <c r="O494" s="11" t="inlineStr">
        <is>
          <t>https://www.edschats.com/globalassets/documents/pdfs/edscha/einzelersatzteilkatalog_international/09_24/edschats_ersatzteilkatalog_de-en_04-2024.pdf#page=227</t>
        </is>
      </c>
      <c r="P494" s="11" t="inlineStr">
        <is>
          <t>https://website-9ib.pages.dev/termek/e4038069900-compact-lezaro-ponyvahoz-2550-mm/</t>
        </is>
      </c>
      <c r="Q494" s="12" t="inlineStr"/>
      <c r="R494" s="13" t="inlineStr"/>
      <c r="S494" s="6" t="inlineStr">
        <is>
          <t>e4038069900-compact-lezaro-ponyvahoz-2550-mm</t>
        </is>
      </c>
    </row>
    <row r="495">
      <c r="A495" s="6" t="inlineStr"/>
      <c r="B495" s="7" t="inlineStr">
        <is>
          <t>E4069000940 Elhúzó kocsi COMPACT TW/1200 mm</t>
        </is>
      </c>
      <c r="C495" s="6" t="inlineStr">
        <is>
          <t>Elhúzható rolóponyvás rendszer</t>
        </is>
      </c>
      <c r="D495" s="6" t="inlineStr">
        <is>
          <t>Edscha</t>
        </is>
      </c>
      <c r="E495" s="6" t="inlineStr">
        <is>
          <t>Edscha</t>
        </is>
      </c>
      <c r="F495" s="6" t="inlineStr">
        <is>
          <t>4069010920</t>
        </is>
      </c>
      <c r="G495" s="6" t="inlineStr">
        <is>
          <t>Quadris Excel</t>
        </is>
      </c>
      <c r="H495" s="6" t="n">
        <v>1</v>
      </c>
      <c r="I495" s="6" t="n">
        <v>1</v>
      </c>
      <c r="J495" s="6" t="inlineStr">
        <is>
          <t>nincs</t>
        </is>
      </c>
      <c r="K495" s="6">
        <f>IF(AND(H495&gt;0,I495&gt;0),"Rendben",IF(AND(H495=0,I495=0),"Nincs kép és adat",IF(H495=0,"Nincs kép","Nincs adat")))</f>
        <v/>
      </c>
      <c r="L495" s="6" t="inlineStr">
        <is>
          <t>Igen</t>
        </is>
      </c>
      <c r="M495" s="7" t="inlineStr">
        <is>
          <t>Edscha TS / SESAM alkatrész-katalógus 2024 (edschats.com); Edscha Compact alkatrész-katalógus 2018 (Drive)</t>
        </is>
      </c>
      <c r="N495" s="7" t="inlineStr">
        <is>
          <t>Megtalálva: Edscha TS alkatrész-katalógus 2024/04: End carriage for TailWing 901-1200 (kód: 4069010920)</t>
        </is>
      </c>
      <c r="O495" s="11" t="inlineStr">
        <is>
          <t>https://www.edschats.com/globalassets/documents/pdfs/edscha/einzelersatzteilkatalog_international/09_24/edschats_ersatzteilkatalog_de-en_04-2024.pdf#page=572</t>
        </is>
      </c>
      <c r="P495" s="11" t="inlineStr">
        <is>
          <t>https://website-9ib.pages.dev/termek/e4069000940-elhuzo-kocsi-compact-tw-1200-mm/</t>
        </is>
      </c>
      <c r="Q495" s="12" t="inlineStr"/>
      <c r="R495" s="13" t="inlineStr"/>
      <c r="S495" s="6" t="inlineStr">
        <is>
          <t>e4069000940-elhuzo-kocsi-compact-tw-1200-mm</t>
        </is>
      </c>
    </row>
    <row r="496">
      <c r="A496" s="6" t="inlineStr"/>
      <c r="B496" s="7" t="inlineStr">
        <is>
          <t>E4069000940 Elhúzó kocsi COMPACT normál /2550 mm</t>
        </is>
      </c>
      <c r="C496" s="6" t="inlineStr">
        <is>
          <t>Elhúzható rolóponyvás rendszer</t>
        </is>
      </c>
      <c r="D496" s="6" t="inlineStr">
        <is>
          <t>Edscha</t>
        </is>
      </c>
      <c r="E496" s="6" t="inlineStr">
        <is>
          <t>Edscha</t>
        </is>
      </c>
      <c r="F496" s="6" t="inlineStr">
        <is>
          <t>4069000940</t>
        </is>
      </c>
      <c r="G496" s="6" t="inlineStr">
        <is>
          <t>Quadris Excel</t>
        </is>
      </c>
      <c r="H496" s="6" t="n">
        <v>0</v>
      </c>
      <c r="I496" s="6" t="n">
        <v>3</v>
      </c>
      <c r="J496" s="6" t="inlineStr">
        <is>
          <t>nincs</t>
        </is>
      </c>
      <c r="K496" s="6">
        <f>IF(AND(H496&gt;0,I496&gt;0),"Rendben",IF(AND(H496=0,I496=0),"Nincs kép és adat",IF(H496=0,"Nincs kép","Nincs adat")))</f>
        <v/>
      </c>
      <c r="L496" s="6" t="inlineStr">
        <is>
          <t>Igen</t>
        </is>
      </c>
      <c r="M496" s="7" t="inlineStr">
        <is>
          <t>Edscha TS / SESAM alkatrész-katalógus 2024 (edschats.com); Edscha Compact alkatrész-katalógus 2018 (Drive)</t>
        </is>
      </c>
      <c r="N496" s="7" t="inlineStr">
        <is>
          <t>Megtalálva: Edscha Compact alkatrész-katalógus 2018: 40 69 000 940 (kód: 40 69 000 940)</t>
        </is>
      </c>
      <c r="O496" s="11" t="inlineStr">
        <is>
          <t>https://www.edschats.com#page=9</t>
        </is>
      </c>
      <c r="P496" s="11" t="inlineStr">
        <is>
          <t>https://website-9ib.pages.dev/termek/e4069000940-elhuzo-kocsi-compact-normal-2550-mm/</t>
        </is>
      </c>
      <c r="Q496" s="12" t="inlineStr"/>
      <c r="R496" s="13" t="inlineStr"/>
      <c r="S496" s="6" t="inlineStr">
        <is>
          <t>e4069000940-elhuzo-kocsi-compact-normal-2550-mm</t>
        </is>
      </c>
    </row>
    <row r="497">
      <c r="A497" s="6" t="inlineStr"/>
      <c r="B497" s="7" t="inlineStr">
        <is>
          <t>E4069002960 Elhúzó kocsi COMPACT SMALL/2550 mm</t>
        </is>
      </c>
      <c r="C497" s="6" t="inlineStr">
        <is>
          <t>Elhúzható rolóponyvás rendszer</t>
        </is>
      </c>
      <c r="D497" s="6" t="inlineStr">
        <is>
          <t>Edscha</t>
        </is>
      </c>
      <c r="E497" s="6" t="inlineStr">
        <is>
          <t>Edscha</t>
        </is>
      </c>
      <c r="F497" s="6" t="inlineStr">
        <is>
          <t>4069002960</t>
        </is>
      </c>
      <c r="G497" s="6" t="inlineStr">
        <is>
          <t>Quadris Excel</t>
        </is>
      </c>
      <c r="H497" s="6" t="n">
        <v>0</v>
      </c>
      <c r="I497" s="6" t="n">
        <v>3</v>
      </c>
      <c r="J497" s="6" t="inlineStr">
        <is>
          <t>nincs</t>
        </is>
      </c>
      <c r="K497" s="6">
        <f>IF(AND(H497&gt;0,I497&gt;0),"Rendben",IF(AND(H497=0,I497=0),"Nincs kép és adat",IF(H497=0,"Nincs kép","Nincs adat")))</f>
        <v/>
      </c>
      <c r="L497" s="6" t="inlineStr">
        <is>
          <t>Igen</t>
        </is>
      </c>
      <c r="M497" s="7" t="inlineStr">
        <is>
          <t>Edscha TS / SESAM alkatrész-katalógus 2024 (edschats.com); Edscha Compact alkatrész-katalógus 2018 (Drive)</t>
        </is>
      </c>
      <c r="N497" s="7" t="inlineStr">
        <is>
          <t>Megtalálva: Edscha Compact alkatrész-katalógus 2018: 40 69 002 960 (kód: 40 69 002 960)</t>
        </is>
      </c>
      <c r="O497" s="11" t="inlineStr">
        <is>
          <t>https://www.edschats.com#page=9</t>
        </is>
      </c>
      <c r="P497" s="11" t="inlineStr">
        <is>
          <t>https://website-9ib.pages.dev/termek/e4069002960-elhuzo-kocsi-compact-small-2550-mm/</t>
        </is>
      </c>
      <c r="Q497" s="12" t="inlineStr"/>
      <c r="R497" s="13" t="inlineStr"/>
      <c r="S497" s="6" t="inlineStr">
        <is>
          <t>e4069002960-elhuzo-kocsi-compact-small-2550-mm</t>
        </is>
      </c>
    </row>
    <row r="498">
      <c r="A498" s="6" t="inlineStr"/>
      <c r="B498" s="7" t="inlineStr">
        <is>
          <t>E4069009030 130-as COMPACT normál lezáró 2550 mm</t>
        </is>
      </c>
      <c r="C498" s="6" t="inlineStr">
        <is>
          <t>Elhúzható rolóponyvás rendszer</t>
        </is>
      </c>
      <c r="D498" s="6" t="inlineStr">
        <is>
          <t>Edscha</t>
        </is>
      </c>
      <c r="E498" s="6" t="inlineStr">
        <is>
          <t>Edscha</t>
        </is>
      </c>
      <c r="F498" s="6" t="inlineStr">
        <is>
          <t>4069009030</t>
        </is>
      </c>
      <c r="G498" s="6" t="inlineStr">
        <is>
          <t>Quadris Excel</t>
        </is>
      </c>
      <c r="H498" s="6" t="n">
        <v>1</v>
      </c>
      <c r="I498" s="6" t="n">
        <v>1</v>
      </c>
      <c r="J498" s="6" t="inlineStr">
        <is>
          <t>nincs</t>
        </is>
      </c>
      <c r="K498" s="6">
        <f>IF(AND(H498&gt;0,I498&gt;0),"Rendben",IF(AND(H498=0,I498=0),"Nincs kép és adat",IF(H498=0,"Nincs kép","Nincs adat")))</f>
        <v/>
      </c>
      <c r="L498" s="6" t="inlineStr">
        <is>
          <t>Igen</t>
        </is>
      </c>
      <c r="M498" s="7" t="inlineStr">
        <is>
          <t>Edscha TS / SESAM alkatrész-katalógus 2024 (edschats.com); Edscha Compact alkatrész-katalógus 2018 (Drive)</t>
        </is>
      </c>
      <c r="N498" s="7" t="inlineStr">
        <is>
          <t>Megtalálva: Edscha TS alkatrész-katalógus 2024/04: Gantry beam VP 2550 (kód: 4069009030)</t>
        </is>
      </c>
      <c r="O498" s="11" t="inlineStr">
        <is>
          <t>https://www.edschats.com/globalassets/documents/pdfs/edscha/einzelersatzteilkatalog_international/09_24/edschats_ersatzteilkatalog_de-en_04-2024.pdf#page=631</t>
        </is>
      </c>
      <c r="P498" s="11" t="inlineStr">
        <is>
          <t>https://website-9ib.pages.dev/termek/e4069009030-130-as-compact-normal-lezaro-2550-mm/</t>
        </is>
      </c>
      <c r="Q498" s="12" t="inlineStr"/>
      <c r="R498" s="13" t="inlineStr"/>
      <c r="S498" s="6" t="inlineStr">
        <is>
          <t>e4069009030-130-as-compact-normal-lezaro-2550-mm</t>
        </is>
      </c>
    </row>
    <row r="499">
      <c r="A499" s="6" t="inlineStr"/>
      <c r="B499" s="7" t="inlineStr">
        <is>
          <t>E40696690 Indítóprofil készlet COMPACT</t>
        </is>
      </c>
      <c r="C499" s="6" t="inlineStr">
        <is>
          <t>Elhúzható rolóponyvás rendszer</t>
        </is>
      </c>
      <c r="D499" s="6" t="inlineStr">
        <is>
          <t>Edscha</t>
        </is>
      </c>
      <c r="E499" s="6" t="inlineStr">
        <is>
          <t>Edscha</t>
        </is>
      </c>
      <c r="F499" s="6" t="inlineStr">
        <is>
          <t>4069006690</t>
        </is>
      </c>
      <c r="G499" s="6" t="inlineStr">
        <is>
          <t>Quadris Excel</t>
        </is>
      </c>
      <c r="H499" s="6" t="n">
        <v>1</v>
      </c>
      <c r="I499" s="6" t="n">
        <v>1</v>
      </c>
      <c r="J499" s="6" t="inlineStr">
        <is>
          <t>nincs</t>
        </is>
      </c>
      <c r="K499" s="6">
        <f>IF(AND(H499&gt;0,I499&gt;0),"Rendben",IF(AND(H499=0,I499=0),"Nincs kép és adat",IF(H499=0,"Nincs kép","Nincs adat")))</f>
        <v/>
      </c>
      <c r="L499" s="6" t="inlineStr">
        <is>
          <t>Igen</t>
        </is>
      </c>
      <c r="M499" s="7" t="inlineStr">
        <is>
          <t>Edscha TS / SESAM alkatrész-katalógus 2024 (edschats.com); Edscha Compact alkatrész-katalógus 2018 (Drive)</t>
        </is>
      </c>
      <c r="N499" s="7" t="inlineStr">
        <is>
          <t>Megtalálva: Edscha TS alkatrész-katalógus 2024/04: Closing bow (kód: 4069006690)</t>
        </is>
      </c>
      <c r="O499" s="11" t="inlineStr">
        <is>
          <t>https://www.edschats.com/globalassets/documents/pdfs/edscha/einzelersatzteilkatalog_international/09_24/edschats_ersatzteilkatalog_de-en_04-2024.pdf#page=590</t>
        </is>
      </c>
      <c r="P499" s="11" t="inlineStr">
        <is>
          <t>https://website-9ib.pages.dev/termek/e40696690-inditoprofil-keszlet-compact/</t>
        </is>
      </c>
      <c r="Q499" s="12" t="inlineStr"/>
      <c r="R499" s="13" t="inlineStr"/>
      <c r="S499" s="6" t="inlineStr">
        <is>
          <t>e40696690-inditoprofil-keszlet-compact</t>
        </is>
      </c>
    </row>
    <row r="500">
      <c r="A500" s="6" t="inlineStr"/>
      <c r="B500" s="7" t="inlineStr">
        <is>
          <t>E422552 Tetőkereszttartó 2550 mm</t>
        </is>
      </c>
      <c r="C500" s="6" t="inlineStr">
        <is>
          <t>Elhúzható rolóponyvás rendszer</t>
        </is>
      </c>
      <c r="D500" s="6" t="inlineStr">
        <is>
          <t>Edscha</t>
        </is>
      </c>
      <c r="E500" s="6" t="inlineStr">
        <is>
          <t>Edscha</t>
        </is>
      </c>
      <c r="F500" s="6" t="inlineStr">
        <is>
          <t>192422552</t>
        </is>
      </c>
      <c r="G500" s="6" t="inlineStr">
        <is>
          <t>Quadris Excel</t>
        </is>
      </c>
      <c r="H500" s="6" t="n">
        <v>1</v>
      </c>
      <c r="I500" s="6" t="n">
        <v>2</v>
      </c>
      <c r="J500" s="6" t="inlineStr">
        <is>
          <t>nincs</t>
        </is>
      </c>
      <c r="K500" s="6">
        <f>IF(AND(H500&gt;0,I500&gt;0),"Rendben",IF(AND(H500=0,I500=0),"Nincs kép és adat",IF(H500=0,"Nincs kép","Nincs adat")))</f>
        <v/>
      </c>
      <c r="L500" s="6" t="inlineStr">
        <is>
          <t>Igen</t>
        </is>
      </c>
      <c r="M500" s="7" t="inlineStr">
        <is>
          <t>Edscha TS / SESAM alkatrész-katalógus 2024 (edschats.com); Edscha Compact alkatrész-katalógus 2018 (Drive)</t>
        </is>
      </c>
      <c r="N500" s="7" t="inlineStr">
        <is>
          <t>Megtalálva: SESAM alkatrész-katalógus 2024/04: Roofstick / 2550 mm (kód: 192422552)</t>
        </is>
      </c>
      <c r="O500" s="11" t="inlineStr">
        <is>
          <t>https://www.edschats.com/globalassets/documents/pdfs/sesam/new_25/sesam_komponenten-u-ersatzteilkatalog_04-2024.pdf#page=77</t>
        </is>
      </c>
      <c r="P500" s="11" t="inlineStr">
        <is>
          <t>https://website-9ib.pages.dev/termek/e422552-tetokereszttarto-2550-mm/</t>
        </is>
      </c>
      <c r="Q500" s="12" t="inlineStr"/>
      <c r="R500" s="13" t="inlineStr"/>
      <c r="S500" s="6" t="inlineStr">
        <is>
          <t>e422552-tetokereszttarto-2550-mm</t>
        </is>
      </c>
    </row>
    <row r="501">
      <c r="A501" s="6" t="inlineStr"/>
      <c r="B501" s="7" t="inlineStr">
        <is>
          <t>E422590 Csavarozható tetőkereszttartó 2550</t>
        </is>
      </c>
      <c r="C501" s="6" t="inlineStr">
        <is>
          <t>Elhúzható rolóponyvás rendszer</t>
        </is>
      </c>
      <c r="D501" s="6" t="inlineStr">
        <is>
          <t>Edscha</t>
        </is>
      </c>
      <c r="E501" s="6" t="inlineStr">
        <is>
          <t>Edscha</t>
        </is>
      </c>
      <c r="F501" s="6" t="inlineStr">
        <is>
          <t>192422590</t>
        </is>
      </c>
      <c r="G501" s="6" t="inlineStr">
        <is>
          <t>Quadris Excel</t>
        </is>
      </c>
      <c r="H501" s="6" t="n">
        <v>1</v>
      </c>
      <c r="I501" s="6" t="n">
        <v>2</v>
      </c>
      <c r="J501" s="6" t="inlineStr">
        <is>
          <t>nincs</t>
        </is>
      </c>
      <c r="K501" s="6">
        <f>IF(AND(H501&gt;0,I501&gt;0),"Rendben",IF(AND(H501=0,I501=0),"Nincs kép és adat",IF(H501=0,"Nincs kép","Nincs adat")))</f>
        <v/>
      </c>
      <c r="L501" s="6" t="inlineStr">
        <is>
          <t>Igen</t>
        </is>
      </c>
      <c r="M501" s="7" t="inlineStr">
        <is>
          <t>Edscha TS / SESAM alkatrész-katalógus 2024 (edschats.com); Edscha Compact alkatrész-katalógus 2018 (Drive)</t>
        </is>
      </c>
      <c r="N501" s="7" t="inlineStr">
        <is>
          <t>Megtalálva: SESAM alkatrész-katalógus 2024/04: Bow screwed / 2550 mm (kód: 192422590)</t>
        </is>
      </c>
      <c r="O501" s="11" t="inlineStr">
        <is>
          <t>https://www.edschats.com/globalassets/documents/pdfs/sesam/new_25/sesam_komponenten-u-ersatzteilkatalog_04-2024.pdf#page=77</t>
        </is>
      </c>
      <c r="P501" s="11" t="inlineStr">
        <is>
          <t>https://website-9ib.pages.dev/termek/e422590-csavarozhato-tetokereszttarto-2550/</t>
        </is>
      </c>
      <c r="Q501" s="12" t="inlineStr"/>
      <c r="R501" s="13" t="inlineStr"/>
      <c r="S501" s="6" t="inlineStr">
        <is>
          <t>e422590-csavarozhato-tetokereszttarto-2550</t>
        </is>
      </c>
    </row>
    <row r="502">
      <c r="A502" s="6" t="inlineStr"/>
      <c r="B502" s="7" t="inlineStr">
        <is>
          <t>E42587 Csuklópánt 700 mm</t>
        </is>
      </c>
      <c r="C502" s="6" t="inlineStr">
        <is>
          <t>Elhúzható rolóponyvás rendszer</t>
        </is>
      </c>
      <c r="D502" s="6" t="inlineStr">
        <is>
          <t>Edscha</t>
        </is>
      </c>
      <c r="E502" s="6" t="inlineStr">
        <is>
          <t>Edscha</t>
        </is>
      </c>
      <c r="F502" s="6" t="inlineStr">
        <is>
          <t>194258700</t>
        </is>
      </c>
      <c r="G502" s="6" t="inlineStr">
        <is>
          <t>Quadris Excel</t>
        </is>
      </c>
      <c r="H502" s="6" t="n">
        <v>1</v>
      </c>
      <c r="I502" s="6" t="n">
        <v>2</v>
      </c>
      <c r="J502" s="6" t="inlineStr">
        <is>
          <t>nincs</t>
        </is>
      </c>
      <c r="K502" s="6">
        <f>IF(AND(H502&gt;0,I502&gt;0),"Rendben",IF(AND(H502=0,I502=0),"Nincs kép és adat",IF(H502=0,"Nincs kép","Nincs adat")))</f>
        <v/>
      </c>
      <c r="L502" s="6" t="inlineStr">
        <is>
          <t>Igen</t>
        </is>
      </c>
      <c r="M502" s="7" t="inlineStr">
        <is>
          <t>Edscha TS / SESAM alkatrész-katalógus 2024 (edschats.com); Edscha Compact alkatrész-katalógus 2018 (Drive)</t>
        </is>
      </c>
      <c r="N502" s="7" t="inlineStr">
        <is>
          <t>Megtalálva: SESAM alkatrész-katalógus 2024/04: Folding plate Type 2 L=700mm (kód: 194258700)</t>
        </is>
      </c>
      <c r="O502" s="11" t="inlineStr">
        <is>
          <t>https://www.edschats.com/globalassets/documents/pdfs/sesam/new_25/sesam_komponenten-u-ersatzteilkatalog_04-2024.pdf#page=5</t>
        </is>
      </c>
      <c r="P502" s="11" t="inlineStr">
        <is>
          <t>https://website-9ib.pages.dev/termek/e42587-csuklopant-700-mm/</t>
        </is>
      </c>
      <c r="Q502" s="12" t="inlineStr"/>
      <c r="R502" s="13" t="inlineStr"/>
      <c r="S502" s="6" t="inlineStr">
        <is>
          <t>e42587-csuklopant-700-mm</t>
        </is>
      </c>
    </row>
    <row r="503">
      <c r="A503" s="6" t="inlineStr"/>
      <c r="B503" s="7" t="inlineStr">
        <is>
          <t>E50502 Edscha takarógumi tetőprofilhoz</t>
        </is>
      </c>
      <c r="C503" s="6" t="inlineStr">
        <is>
          <t>Elhúzható rolóponyvás rendszer</t>
        </is>
      </c>
      <c r="D503" s="6" t="inlineStr">
        <is>
          <t>Edscha</t>
        </is>
      </c>
      <c r="E503" s="6" t="inlineStr">
        <is>
          <t>Edscha</t>
        </is>
      </c>
      <c r="F503" s="6" t="inlineStr">
        <is>
          <t>243250502</t>
        </is>
      </c>
      <c r="G503" s="6" t="inlineStr">
        <is>
          <t>Quadris Excel</t>
        </is>
      </c>
      <c r="H503" s="6" t="n">
        <v>1</v>
      </c>
      <c r="I503" s="6" t="n">
        <v>1</v>
      </c>
      <c r="J503" s="6" t="inlineStr">
        <is>
          <t>nincs</t>
        </is>
      </c>
      <c r="K503" s="6">
        <f>IF(AND(H503&gt;0,I503&gt;0),"Rendben",IF(AND(H503=0,I503=0),"Nincs kép és adat",IF(H503=0,"Nincs kép","Nincs adat")))</f>
        <v/>
      </c>
      <c r="L503" s="6" t="inlineStr">
        <is>
          <t>Igen</t>
        </is>
      </c>
      <c r="M503" s="7" t="inlineStr">
        <is>
          <t>Edscha TS / SESAM alkatrész-katalógus 2024 (edschats.com); Edscha Compact alkatrész-katalógus 2018 (Drive)</t>
        </is>
      </c>
      <c r="N503" s="7" t="inlineStr">
        <is>
          <t>Megtalálva: SESAM alkatrész-katalógus 2024/04: Rubber pelmet black 28m (kód: 243250502)</t>
        </is>
      </c>
      <c r="O503" s="11" t="inlineStr">
        <is>
          <t>https://www.edschats.com/globalassets/documents/pdfs/sesam/new_25/sesam_komponenten-u-ersatzteilkatalog_04-2024.pdf#page=14</t>
        </is>
      </c>
      <c r="P503" s="11" t="inlineStr">
        <is>
          <t>https://website-9ib.pages.dev/termek/e50502-edscha-takarogumi-tetoprofilhoz/</t>
        </is>
      </c>
      <c r="Q503" s="12" t="inlineStr"/>
      <c r="R503" s="13" t="inlineStr"/>
      <c r="S503" s="6" t="inlineStr">
        <is>
          <t>e50502-edscha-takarogumi-tetoprofilhoz</t>
        </is>
      </c>
    </row>
    <row r="504">
      <c r="A504" s="6" t="inlineStr"/>
      <c r="B504" s="7" t="inlineStr">
        <is>
          <t>E62430 Elhúzó rúd</t>
        </is>
      </c>
      <c r="C504" s="6" t="inlineStr">
        <is>
          <t>Elhúzható rolóponyvás rendszer</t>
        </is>
      </c>
      <c r="D504" s="6" t="inlineStr">
        <is>
          <t>Edscha</t>
        </is>
      </c>
      <c r="E504" s="6" t="inlineStr">
        <is>
          <t>Edscha</t>
        </is>
      </c>
      <c r="F504" s="6" t="inlineStr">
        <is>
          <t>38062430</t>
        </is>
      </c>
      <c r="G504" s="6" t="inlineStr">
        <is>
          <t>Quadris Excel</t>
        </is>
      </c>
      <c r="H504" s="6" t="n">
        <v>1</v>
      </c>
      <c r="I504" s="6" t="n">
        <v>1</v>
      </c>
      <c r="J504" s="6" t="inlineStr">
        <is>
          <t>nincs</t>
        </is>
      </c>
      <c r="K504" s="6">
        <f>IF(AND(H504&gt;0,I504&gt;0),"Rendben",IF(AND(H504=0,I504=0),"Nincs kép és adat",IF(H504=0,"Nincs kép","Nincs adat")))</f>
        <v/>
      </c>
      <c r="L504" s="6" t="inlineStr">
        <is>
          <t>Igen</t>
        </is>
      </c>
      <c r="M504" s="7" t="inlineStr">
        <is>
          <t>Edscha TS / SESAM alkatrész-katalógus 2024 (edschats.com); Edscha Compact alkatrész-katalógus 2018 (Drive)</t>
        </is>
      </c>
      <c r="N504" s="7" t="inlineStr">
        <is>
          <t>Megtalálva: SESAM alkatrész-katalógus 2024/04: Tie rod (kód: 38062430)</t>
        </is>
      </c>
      <c r="O504" s="11" t="inlineStr">
        <is>
          <t>https://www.edschats.com/globalassets/documents/pdfs/sesam/new_25/sesam_komponenten-u-ersatzteilkatalog_04-2024.pdf#page=58</t>
        </is>
      </c>
      <c r="P504" s="11" t="inlineStr">
        <is>
          <t>https://website-9ib.pages.dev/termek/e62430-elhuzo-rud/</t>
        </is>
      </c>
      <c r="Q504" s="12" t="inlineStr"/>
      <c r="R504" s="13" t="inlineStr"/>
      <c r="S504" s="6" t="inlineStr">
        <is>
          <t>e62430-elhuzo-rud</t>
        </is>
      </c>
    </row>
    <row r="505">
      <c r="A505" s="6" t="inlineStr"/>
      <c r="B505" s="7" t="inlineStr">
        <is>
          <t>E69000690 130-as lezáró 2550 mm</t>
        </is>
      </c>
      <c r="C505" s="6" t="inlineStr">
        <is>
          <t>Elhúzható rolóponyvás rendszer</t>
        </is>
      </c>
      <c r="D505" s="6" t="inlineStr">
        <is>
          <t>Edscha</t>
        </is>
      </c>
      <c r="E505" s="6" t="inlineStr">
        <is>
          <t>Edscha</t>
        </is>
      </c>
      <c r="F505" s="6" t="inlineStr">
        <is>
          <t>69000690</t>
        </is>
      </c>
      <c r="G505" s="6" t="inlineStr">
        <is>
          <t>Quadris Excel</t>
        </is>
      </c>
      <c r="H505" s="6" t="n">
        <v>1</v>
      </c>
      <c r="I505" s="6" t="n">
        <v>1</v>
      </c>
      <c r="J505" s="6" t="inlineStr">
        <is>
          <t>nincs</t>
        </is>
      </c>
      <c r="K505" s="6">
        <f>IF(AND(H505&gt;0,I505&gt;0),"Rendben",IF(AND(H505=0,I505=0),"Nincs kép és adat",IF(H505=0,"Nincs kép","Nincs adat")))</f>
        <v/>
      </c>
      <c r="L505" s="6" t="inlineStr">
        <is>
          <t>Igen</t>
        </is>
      </c>
      <c r="M505" s="7" t="inlineStr">
        <is>
          <t>Edscha TS / SESAM alkatrész-katalógus 2024 (edschats.com); Edscha Compact alkatrész-katalógus 2018 (Drive)</t>
        </is>
      </c>
      <c r="N505" s="7" t="inlineStr">
        <is>
          <t>Megtalálva: SESAM alkatrész-katalógus 2024/04: Gantry beam-BG-130 (kód: 69000690)</t>
        </is>
      </c>
      <c r="O505" s="11" t="inlineStr">
        <is>
          <t>https://www.edschats.com/globalassets/documents/pdfs/sesam/new_25/sesam_komponenten-u-ersatzteilkatalog_04-2024.pdf#page=78</t>
        </is>
      </c>
      <c r="P505" s="11" t="inlineStr">
        <is>
          <t>https://website-9ib.pages.dev/termek/e69000690-130-as-lezaro-2550-mm/</t>
        </is>
      </c>
      <c r="Q505" s="12" t="inlineStr"/>
      <c r="R505" s="13" t="inlineStr"/>
      <c r="S505" s="6" t="inlineStr">
        <is>
          <t>e69000690-130-as-lezaro-2550-mm</t>
        </is>
      </c>
    </row>
    <row r="506">
      <c r="A506" s="6" t="inlineStr"/>
      <c r="B506" s="7" t="inlineStr">
        <is>
          <t>E69001370 190-es lezáró 2550 mm</t>
        </is>
      </c>
      <c r="C506" s="6" t="inlineStr">
        <is>
          <t>Elhúzható rolóponyvás rendszer</t>
        </is>
      </c>
      <c r="D506" s="6" t="inlineStr">
        <is>
          <t>Edscha</t>
        </is>
      </c>
      <c r="E506" s="6" t="inlineStr">
        <is>
          <t>Edscha</t>
        </is>
      </c>
      <c r="F506" s="6" t="inlineStr">
        <is>
          <t>69001370</t>
        </is>
      </c>
      <c r="G506" s="6" t="inlineStr">
        <is>
          <t>Quadris Excel</t>
        </is>
      </c>
      <c r="H506" s="6" t="n">
        <v>1</v>
      </c>
      <c r="I506" s="6" t="n">
        <v>1</v>
      </c>
      <c r="J506" s="6" t="inlineStr">
        <is>
          <t>nincs</t>
        </is>
      </c>
      <c r="K506" s="6">
        <f>IF(AND(H506&gt;0,I506&gt;0),"Rendben",IF(AND(H506=0,I506=0),"Nincs kép és adat",IF(H506=0,"Nincs kép","Nincs adat")))</f>
        <v/>
      </c>
      <c r="L506" s="6" t="inlineStr">
        <is>
          <t>Igen</t>
        </is>
      </c>
      <c r="M506" s="7" t="inlineStr">
        <is>
          <t>Edscha TS / SESAM alkatrész-katalógus 2024 (edschats.com); Edscha Compact alkatrész-katalógus 2018 (Drive)</t>
        </is>
      </c>
      <c r="N506" s="7" t="inlineStr">
        <is>
          <t>Megtalálva: SESAM alkatrész-katalógus 2024/04: Gantry beam 190 (kód: 69001370)</t>
        </is>
      </c>
      <c r="O506" s="11" t="inlineStr">
        <is>
          <t>https://www.edschats.com/globalassets/documents/pdfs/sesam/new_25/sesam_komponenten-u-ersatzteilkatalog_04-2024.pdf#page=79</t>
        </is>
      </c>
      <c r="P506" s="11" t="inlineStr">
        <is>
          <t>https://website-9ib.pages.dev/termek/e69001370-190-es-lezaro-2550-mm/</t>
        </is>
      </c>
      <c r="Q506" s="12" t="inlineStr"/>
      <c r="R506" s="13" t="inlineStr"/>
      <c r="S506" s="6" t="inlineStr">
        <is>
          <t>e69001370-190-es-lezaro-2550-mm</t>
        </is>
      </c>
    </row>
    <row r="507">
      <c r="A507" s="6" t="inlineStr"/>
      <c r="B507" s="7" t="inlineStr">
        <is>
          <t>E69004670 Compact FIX Tetőkereszttartó 2550 mm</t>
        </is>
      </c>
      <c r="C507" s="6" t="inlineStr">
        <is>
          <t>Elhúzható rolóponyvás rendszer</t>
        </is>
      </c>
      <c r="D507" s="6" t="inlineStr">
        <is>
          <t>Edscha</t>
        </is>
      </c>
      <c r="E507" s="6" t="inlineStr">
        <is>
          <t>Edscha</t>
        </is>
      </c>
      <c r="F507" s="6" t="inlineStr">
        <is>
          <t>69004670</t>
        </is>
      </c>
      <c r="G507" s="6" t="inlineStr">
        <is>
          <t>Quadris Excel</t>
        </is>
      </c>
      <c r="H507" s="6" t="n">
        <v>0</v>
      </c>
      <c r="I507" s="6" t="n">
        <v>4</v>
      </c>
      <c r="J507" s="6" t="inlineStr">
        <is>
          <t>nincs</t>
        </is>
      </c>
      <c r="K507" s="6">
        <f>IF(AND(H507&gt;0,I507&gt;0),"Rendben",IF(AND(H507=0,I507=0),"Nincs kép és adat",IF(H507=0,"Nincs kép","Nincs adat")))</f>
        <v/>
      </c>
      <c r="L507" s="6" t="inlineStr">
        <is>
          <t>Igen</t>
        </is>
      </c>
      <c r="M507" s="7" t="inlineStr">
        <is>
          <t>Edscha TS / SESAM alkatrész-katalógus 2024 (edschats.com); Edscha Compact alkatrész-katalógus 2018 (Drive)</t>
        </is>
      </c>
      <c r="N507" s="7" t="inlineStr">
        <is>
          <t>Megtalálva: Edscha Compact alkatrész-katalógus 2018: 40 69 004 670 (kód: 40 69 004 670)</t>
        </is>
      </c>
      <c r="O507" s="11" t="inlineStr">
        <is>
          <t>https://www.edschats.com#page=12</t>
        </is>
      </c>
      <c r="P507" s="11" t="inlineStr">
        <is>
          <t>https://website-9ib.pages.dev/termek/e69004670-compact-fix-tetokereszttarto-2550-mm/</t>
        </is>
      </c>
      <c r="Q507" s="12" t="inlineStr"/>
      <c r="R507" s="13" t="inlineStr"/>
      <c r="S507" s="6" t="inlineStr">
        <is>
          <t>e69004670-compact-fix-tetokereszttarto-2550-mm</t>
        </is>
      </c>
    </row>
    <row r="508">
      <c r="A508" s="6" t="inlineStr"/>
      <c r="B508" s="7" t="inlineStr">
        <is>
          <t>E69004740 CS-Compact tetőkereszttartó 2550 mm</t>
        </is>
      </c>
      <c r="C508" s="6" t="inlineStr">
        <is>
          <t>Elhúzható rolóponyvás rendszer</t>
        </is>
      </c>
      <c r="D508" s="6" t="inlineStr">
        <is>
          <t>Edscha</t>
        </is>
      </c>
      <c r="E508" s="6" t="inlineStr">
        <is>
          <t>Edscha</t>
        </is>
      </c>
      <c r="F508" s="6" t="inlineStr">
        <is>
          <t>4069004740</t>
        </is>
      </c>
      <c r="G508" s="6" t="inlineStr">
        <is>
          <t>Quadris Excel</t>
        </is>
      </c>
      <c r="H508" s="6" t="n">
        <v>1</v>
      </c>
      <c r="I508" s="6" t="n">
        <v>2</v>
      </c>
      <c r="J508" s="6" t="inlineStr">
        <is>
          <t>nincs</t>
        </is>
      </c>
      <c r="K508" s="6">
        <f>IF(AND(H508&gt;0,I508&gt;0),"Rendben",IF(AND(H508=0,I508=0),"Nincs kép és adat",IF(H508=0,"Nincs kép","Nincs adat")))</f>
        <v/>
      </c>
      <c r="L508" s="6" t="inlineStr">
        <is>
          <t>Igen</t>
        </is>
      </c>
      <c r="M508" s="7" t="inlineStr">
        <is>
          <t>Edscha TS / SESAM alkatrész-katalógus 2024 (edschats.com); Edscha Compact alkatrész-katalógus 2018 (Drive)</t>
        </is>
      </c>
      <c r="N508" s="7" t="inlineStr">
        <is>
          <t>Megtalálva: Edscha TS alkatrész-katalógus 2024/04: Bow with roller carriage 2550 mm (kód: 4069004740)</t>
        </is>
      </c>
      <c r="O508" s="11" t="inlineStr">
        <is>
          <t>https://www.edschats.com/globalassets/documents/pdfs/edscha/einzelersatzteilkatalog_international/09_24/edschats_ersatzteilkatalog_de-en_04-2024.pdf#page=588</t>
        </is>
      </c>
      <c r="P508" s="11" t="inlineStr">
        <is>
          <t>https://website-9ib.pages.dev/termek/e69004740-cs-compact-tetokereszttarto-2550-mm/</t>
        </is>
      </c>
      <c r="Q508" s="12" t="inlineStr"/>
      <c r="R508" s="13" t="inlineStr"/>
      <c r="S508" s="6" t="inlineStr">
        <is>
          <t>e69004740-cs-compact-tetokereszttarto-2550-mm</t>
        </is>
      </c>
    </row>
    <row r="509">
      <c r="A509" s="6" t="inlineStr"/>
      <c r="B509" s="7" t="inlineStr">
        <is>
          <t>E87370 Edscha takaró gumi COMPACT 110 SZÜRKE 14M</t>
        </is>
      </c>
      <c r="C509" s="6" t="inlineStr">
        <is>
          <t>Elhúzható rolóponyvás rendszer</t>
        </is>
      </c>
      <c r="D509" s="6" t="inlineStr">
        <is>
          <t>Edscha</t>
        </is>
      </c>
      <c r="E509" s="6" t="inlineStr">
        <is>
          <t>Edscha</t>
        </is>
      </c>
      <c r="F509" s="6" t="inlineStr">
        <is>
          <t>511012</t>
        </is>
      </c>
      <c r="G509" s="6" t="inlineStr">
        <is>
          <t>Quadris Excel</t>
        </is>
      </c>
      <c r="H509" s="6" t="n">
        <v>0</v>
      </c>
      <c r="I509" s="6" t="n">
        <v>0</v>
      </c>
      <c r="J509" s="6" t="inlineStr">
        <is>
          <t>nincs</t>
        </is>
      </c>
      <c r="K509" s="6">
        <f>IF(AND(H509&gt;0,I509&gt;0),"Rendben",IF(AND(H509=0,I509=0),"Nincs kép és adat",IF(H509=0,"Nincs kép","Nincs adat")))</f>
        <v/>
      </c>
      <c r="L509" s="6" t="inlineStr">
        <is>
          <t>Igen</t>
        </is>
      </c>
      <c r="M509" s="7" t="inlineStr">
        <is>
          <t>Edscha TS / SESAM alkatrész-katalógus 2024 (edschats.com); Edscha Compact alkatrész-katalógus 2018 (Drive)</t>
        </is>
      </c>
      <c r="N509" s="7" t="inlineStr">
        <is>
          <t>Nem találtuk: Edscha TS / SESAM alkatrész-katalógus 2024 (edschats.com); Edscha Compact alkatrész-katalógus 2018 (Drive)</t>
        </is>
      </c>
      <c r="O509" s="6" t="inlineStr"/>
      <c r="P509" s="11" t="inlineStr">
        <is>
          <t>https://website-9ib.pages.dev/termek/e87370-edscha-takaro-gumi-compact-110-szurke-14m/</t>
        </is>
      </c>
      <c r="Q509" s="12" t="inlineStr"/>
      <c r="R509" s="13" t="inlineStr"/>
      <c r="S509" s="6" t="inlineStr">
        <is>
          <t>e87370-edscha-takaro-gumi-compact-110-szurke-14m</t>
        </is>
      </c>
    </row>
    <row r="510">
      <c r="A510" s="6" t="inlineStr"/>
      <c r="B510" s="7" t="inlineStr">
        <is>
          <t>EDSCHA tolótető CS STANDARD KIT</t>
        </is>
      </c>
      <c r="C510" s="6" t="inlineStr">
        <is>
          <t>Elhúzható rolóponyvás rendszer</t>
        </is>
      </c>
      <c r="D510" s="6" t="inlineStr">
        <is>
          <t>Edscha</t>
        </is>
      </c>
      <c r="E510" s="6" t="inlineStr">
        <is>
          <t>Edscha</t>
        </is>
      </c>
      <c r="F510" s="6" t="inlineStr"/>
      <c r="G510" s="6" t="inlineStr">
        <is>
          <t>Quadris Excel</t>
        </is>
      </c>
      <c r="H510" s="6" t="n">
        <v>0</v>
      </c>
      <c r="I510" s="6" t="n">
        <v>0</v>
      </c>
      <c r="J510" s="6" t="inlineStr">
        <is>
          <t>nincs</t>
        </is>
      </c>
      <c r="K510" s="6">
        <f>IF(AND(H510&gt;0,I510&gt;0),"Rendben",IF(AND(H510=0,I510=0),"Nincs kép és adat",IF(H510=0,"Nincs kép","Nincs adat")))</f>
        <v/>
      </c>
      <c r="L510" s="6" t="inlineStr">
        <is>
          <t>Igen</t>
        </is>
      </c>
      <c r="M510" s="7" t="inlineStr">
        <is>
          <t>Edscha TS / SESAM alkatrész-katalógus 2024 (edschats.com); Edscha Compact alkatrész-katalógus 2018 (Drive)</t>
        </is>
      </c>
      <c r="N510" s="7" t="inlineStr">
        <is>
          <t>Nem találtuk: Edscha TS / SESAM alkatrész-katalógus 2024 (edschats.com); Edscha Compact alkatrész-katalógus 2018 (Drive)</t>
        </is>
      </c>
      <c r="O510" s="6" t="inlineStr"/>
      <c r="P510" s="11" t="inlineStr">
        <is>
          <t>https://website-9ib.pages.dev/termek/edscha-toloteto-cs-standard-kit/</t>
        </is>
      </c>
      <c r="Q510" s="12" t="inlineStr"/>
      <c r="R510" s="13" t="inlineStr"/>
      <c r="S510" s="6" t="inlineStr">
        <is>
          <t>edscha-toloteto-cs-standard-kit</t>
        </is>
      </c>
    </row>
    <row r="511">
      <c r="A511" s="6" t="inlineStr"/>
      <c r="B511" s="7" t="inlineStr">
        <is>
          <t>EDSCHA tolótető CS Volumen KIT</t>
        </is>
      </c>
      <c r="C511" s="6" t="inlineStr">
        <is>
          <t>Elhúzható rolóponyvás rendszer</t>
        </is>
      </c>
      <c r="D511" s="6" t="inlineStr">
        <is>
          <t>Edscha</t>
        </is>
      </c>
      <c r="E511" s="6" t="inlineStr">
        <is>
          <t>Edscha</t>
        </is>
      </c>
      <c r="F511" s="6" t="inlineStr"/>
      <c r="G511" s="6" t="inlineStr">
        <is>
          <t>Quadris Excel</t>
        </is>
      </c>
      <c r="H511" s="6" t="n">
        <v>0</v>
      </c>
      <c r="I511" s="6" t="n">
        <v>0</v>
      </c>
      <c r="J511" s="6" t="inlineStr">
        <is>
          <t>nincs</t>
        </is>
      </c>
      <c r="K511" s="6">
        <f>IF(AND(H511&gt;0,I511&gt;0),"Rendben",IF(AND(H511=0,I511=0),"Nincs kép és adat",IF(H511=0,"Nincs kép","Nincs adat")))</f>
        <v/>
      </c>
      <c r="L511" s="6" t="inlineStr">
        <is>
          <t>Igen</t>
        </is>
      </c>
      <c r="M511" s="7" t="inlineStr">
        <is>
          <t>Edscha TS / SESAM alkatrész-katalógus 2024 (edschats.com); Edscha Compact alkatrész-katalógus 2018 (Drive)</t>
        </is>
      </c>
      <c r="N511" s="7" t="inlineStr">
        <is>
          <t>Nem találtuk: Edscha TS / SESAM alkatrész-katalógus 2024 (edschats.com); Edscha Compact alkatrész-katalógus 2018 (Drive)</t>
        </is>
      </c>
      <c r="O511" s="6" t="inlineStr"/>
      <c r="P511" s="11" t="inlineStr">
        <is>
          <t>https://website-9ib.pages.dev/termek/edscha-toloteto-cs-volumen-kit/</t>
        </is>
      </c>
      <c r="Q511" s="12" t="inlineStr"/>
      <c r="R511" s="13" t="inlineStr"/>
      <c r="S511" s="6" t="inlineStr">
        <is>
          <t>edscha-toloteto-cs-volumen-kit</t>
        </is>
      </c>
    </row>
    <row r="512">
      <c r="A512" s="6" t="inlineStr"/>
      <c r="B512" s="7" t="inlineStr">
        <is>
          <t>8BT1MB RM hátsóajtó zsanérlap+bak 260/3mm MP</t>
        </is>
      </c>
      <c r="C512" s="6" t="inlineStr">
        <is>
          <t>Dobozos felépítmény alkatrészek</t>
        </is>
      </c>
      <c r="D512" s="6" t="inlineStr">
        <is>
          <t>Zsanérok</t>
        </is>
      </c>
      <c r="E512" s="6" t="inlineStr">
        <is>
          <t>EMEPE</t>
        </is>
      </c>
      <c r="F512" s="6" t="inlineStr">
        <is>
          <t>BT1MB</t>
        </is>
      </c>
      <c r="G512" s="6" t="inlineStr">
        <is>
          <t>Quadris Excel</t>
        </is>
      </c>
      <c r="H512" s="6" t="n">
        <v>0</v>
      </c>
      <c r="I512" s="6" t="n">
        <v>0</v>
      </c>
      <c r="J512" s="6" t="inlineStr">
        <is>
          <t>nincs</t>
        </is>
      </c>
      <c r="K512" s="6">
        <f>IF(AND(H512&gt;0,I512&gt;0),"Rendben",IF(AND(H512=0,I512=0),"Nincs kép és adat",IF(H512=0,"Nincs kép","Nincs adat")))</f>
        <v/>
      </c>
      <c r="L512" s="6" t="inlineStr">
        <is>
          <t>Nem</t>
        </is>
      </c>
      <c r="M512" s="7" t="inlineStr">
        <is>
          <t>–</t>
        </is>
      </c>
      <c r="N512" s="7" t="inlineStr">
        <is>
          <t>Nem kerestük – nincs ismert weboldal vagy katalógus</t>
        </is>
      </c>
      <c r="O512" s="6" t="inlineStr"/>
      <c r="P512" s="11" t="inlineStr">
        <is>
          <t>https://website-9ib.pages.dev/termek/8bt1mb-rm-hatsoajto-zsanerlap-bak-260-3mm-mp/</t>
        </is>
      </c>
      <c r="Q512" s="12" t="inlineStr"/>
      <c r="R512" s="13" t="inlineStr"/>
      <c r="S512" s="6" t="inlineStr">
        <is>
          <t>8bt1mb-rm-hatsoajto-zsanerlap-bak-260-3mm-mp</t>
        </is>
      </c>
    </row>
    <row r="513">
      <c r="A513" s="6" t="inlineStr"/>
      <c r="B513" s="7" t="inlineStr">
        <is>
          <t>MP CEM Inox fészek</t>
        </is>
      </c>
      <c r="C513" s="6" t="inlineStr">
        <is>
          <t>Dobozos felépítmény alkatrészek</t>
        </is>
      </c>
      <c r="D513" s="6" t="inlineStr">
        <is>
          <t>Zárak</t>
        </is>
      </c>
      <c r="E513" s="6" t="inlineStr">
        <is>
          <t>EMEPE</t>
        </is>
      </c>
      <c r="F513" s="6" t="inlineStr">
        <is>
          <t>CEM1</t>
        </is>
      </c>
      <c r="G513" s="6" t="inlineStr">
        <is>
          <t>Quadris Excel</t>
        </is>
      </c>
      <c r="H513" s="6" t="n">
        <v>0</v>
      </c>
      <c r="I513" s="6" t="n">
        <v>0</v>
      </c>
      <c r="J513" s="6" t="inlineStr">
        <is>
          <t>nincs</t>
        </is>
      </c>
      <c r="K513" s="6">
        <f>IF(AND(H513&gt;0,I513&gt;0),"Rendben",IF(AND(H513=0,I513=0),"Nincs kép és adat",IF(H513=0,"Nincs kép","Nincs adat")))</f>
        <v/>
      </c>
      <c r="L513" s="6" t="inlineStr">
        <is>
          <t>Nem</t>
        </is>
      </c>
      <c r="M513" s="7" t="inlineStr">
        <is>
          <t>–</t>
        </is>
      </c>
      <c r="N513" s="7" t="inlineStr">
        <is>
          <t>Nem kerestük – nincs ismert weboldal vagy katalógus</t>
        </is>
      </c>
      <c r="O513" s="6" t="inlineStr"/>
      <c r="P513" s="11" t="inlineStr">
        <is>
          <t>https://website-9ib.pages.dev/termek/mp-cem-inox-feszek/</t>
        </is>
      </c>
      <c r="Q513" s="12" t="inlineStr"/>
      <c r="R513" s="13" t="inlineStr"/>
      <c r="S513" s="6" t="inlineStr">
        <is>
          <t>mp-cem-inox-feszek</t>
        </is>
      </c>
    </row>
    <row r="514">
      <c r="A514" s="6" t="inlineStr"/>
      <c r="B514" s="7" t="inlineStr">
        <is>
          <t>MP CEM Inox fészek + MP LEM kampó KIT</t>
        </is>
      </c>
      <c r="C514" s="6" t="inlineStr">
        <is>
          <t>Dobozos felépítmény alkatrészek</t>
        </is>
      </c>
      <c r="D514" s="6" t="inlineStr">
        <is>
          <t>Zárak</t>
        </is>
      </c>
      <c r="E514" s="6" t="inlineStr">
        <is>
          <t>EMEPE</t>
        </is>
      </c>
      <c r="F514" s="6" t="inlineStr">
        <is>
          <t>KLC-EM1</t>
        </is>
      </c>
      <c r="G514" s="6" t="inlineStr">
        <is>
          <t>Quadris Excel</t>
        </is>
      </c>
      <c r="H514" s="6" t="n">
        <v>0</v>
      </c>
      <c r="I514" s="6" t="n">
        <v>0</v>
      </c>
      <c r="J514" s="6" t="inlineStr">
        <is>
          <t>nincs</t>
        </is>
      </c>
      <c r="K514" s="6">
        <f>IF(AND(H514&gt;0,I514&gt;0),"Rendben",IF(AND(H514=0,I514=0),"Nincs kép és adat",IF(H514=0,"Nincs kép","Nincs adat")))</f>
        <v/>
      </c>
      <c r="L514" s="6" t="inlineStr">
        <is>
          <t>Nem</t>
        </is>
      </c>
      <c r="M514" s="7" t="inlineStr">
        <is>
          <t>–</t>
        </is>
      </c>
      <c r="N514" s="7" t="inlineStr">
        <is>
          <t>Nem kerestük – nincs ismert weboldal vagy katalógus</t>
        </is>
      </c>
      <c r="O514" s="6" t="inlineStr"/>
      <c r="P514" s="11" t="inlineStr">
        <is>
          <t>https://website-9ib.pages.dev/termek/mp-cem-inox-feszek-mp-lem-kampo-kit/</t>
        </is>
      </c>
      <c r="Q514" s="12" t="inlineStr"/>
      <c r="R514" s="13" t="inlineStr"/>
      <c r="S514" s="6" t="inlineStr">
        <is>
          <t>mp-cem-inox-feszek-mp-lem-kampo-kit</t>
        </is>
      </c>
    </row>
    <row r="515">
      <c r="A515" s="6" t="inlineStr"/>
      <c r="B515" s="7" t="inlineStr">
        <is>
          <t>MP CFEM003 Alátét a zárhoz</t>
        </is>
      </c>
      <c r="C515" s="6" t="inlineStr">
        <is>
          <t>Dobozos felépítmény alkatrészek</t>
        </is>
      </c>
      <c r="D515" s="6" t="inlineStr">
        <is>
          <t>Zárak</t>
        </is>
      </c>
      <c r="E515" s="6" t="inlineStr">
        <is>
          <t>EMEPE</t>
        </is>
      </c>
      <c r="F515" s="6" t="inlineStr">
        <is>
          <t>CFEM003</t>
        </is>
      </c>
      <c r="G515" s="6" t="inlineStr">
        <is>
          <t>Quadris Excel</t>
        </is>
      </c>
      <c r="H515" s="6" t="n">
        <v>0</v>
      </c>
      <c r="I515" s="6" t="n">
        <v>0</v>
      </c>
      <c r="J515" s="6" t="inlineStr">
        <is>
          <t>nincs</t>
        </is>
      </c>
      <c r="K515" s="6">
        <f>IF(AND(H515&gt;0,I515&gt;0),"Rendben",IF(AND(H515=0,I515=0),"Nincs kép és adat",IF(H515=0,"Nincs kép","Nincs adat")))</f>
        <v/>
      </c>
      <c r="L515" s="6" t="inlineStr">
        <is>
          <t>Nem</t>
        </is>
      </c>
      <c r="M515" s="7" t="inlineStr">
        <is>
          <t>–</t>
        </is>
      </c>
      <c r="N515" s="7" t="inlineStr">
        <is>
          <t>Nem kerestük – nincs ismert weboldal vagy katalógus</t>
        </is>
      </c>
      <c r="O515" s="6" t="inlineStr"/>
      <c r="P515" s="11" t="inlineStr">
        <is>
          <t>https://website-9ib.pages.dev/termek/mp-cfem003-alatet-a-zarhoz/</t>
        </is>
      </c>
      <c r="Q515" s="12" t="inlineStr"/>
      <c r="R515" s="13" t="inlineStr"/>
      <c r="S515" s="6" t="inlineStr">
        <is>
          <t>mp-cfem003-alatet-a-zarhoz</t>
        </is>
      </c>
    </row>
    <row r="516">
      <c r="A516" s="6" t="inlineStr"/>
      <c r="B516" s="7" t="inlineStr">
        <is>
          <t>MP FEM16003/25 Süllyesztett rúdzár inox</t>
        </is>
      </c>
      <c r="C516" s="6" t="inlineStr">
        <is>
          <t>Dobozos felépítmény alkatrészek</t>
        </is>
      </c>
      <c r="D516" s="6" t="inlineStr">
        <is>
          <t>Zárak</t>
        </is>
      </c>
      <c r="E516" s="6" t="inlineStr">
        <is>
          <t>EMEPE</t>
        </is>
      </c>
      <c r="F516" s="6" t="inlineStr">
        <is>
          <t>FEM16003-25</t>
        </is>
      </c>
      <c r="G516" s="6" t="inlineStr">
        <is>
          <t>Quadris Excel</t>
        </is>
      </c>
      <c r="H516" s="6" t="n">
        <v>0</v>
      </c>
      <c r="I516" s="6" t="n">
        <v>0</v>
      </c>
      <c r="J516" s="6" t="inlineStr">
        <is>
          <t>nincs</t>
        </is>
      </c>
      <c r="K516" s="6">
        <f>IF(AND(H516&gt;0,I516&gt;0),"Rendben",IF(AND(H516=0,I516=0),"Nincs kép és adat",IF(H516=0,"Nincs kép","Nincs adat")))</f>
        <v/>
      </c>
      <c r="L516" s="6" t="inlineStr">
        <is>
          <t>Nem</t>
        </is>
      </c>
      <c r="M516" s="7" t="inlineStr">
        <is>
          <t>–</t>
        </is>
      </c>
      <c r="N516" s="7" t="inlineStr">
        <is>
          <t>Nem kerestük – nincs ismert weboldal vagy katalógus</t>
        </is>
      </c>
      <c r="O516" s="6" t="inlineStr"/>
      <c r="P516" s="11" t="inlineStr">
        <is>
          <t>https://website-9ib.pages.dev/termek/mp-fem16003-25-sullyesztett-rudzar-inox/</t>
        </is>
      </c>
      <c r="Q516" s="12" t="inlineStr"/>
      <c r="R516" s="13" t="inlineStr"/>
      <c r="S516" s="6" t="inlineStr">
        <is>
          <t>mp-fem16003-25-sullyesztett-rudzar-inox</t>
        </is>
      </c>
    </row>
    <row r="517">
      <c r="A517" s="6" t="inlineStr"/>
      <c r="B517" s="7" t="inlineStr">
        <is>
          <t>MP FEM16003/29 Süllyesztett rúdzár inox</t>
        </is>
      </c>
      <c r="C517" s="6" t="inlineStr">
        <is>
          <t>Dobozos felépítmény alkatrészek</t>
        </is>
      </c>
      <c r="D517" s="6" t="inlineStr">
        <is>
          <t>Zárak</t>
        </is>
      </c>
      <c r="E517" s="6" t="inlineStr">
        <is>
          <t>EMEPE</t>
        </is>
      </c>
      <c r="F517" s="6" t="inlineStr">
        <is>
          <t>FEM16003-29</t>
        </is>
      </c>
      <c r="G517" s="6" t="inlineStr">
        <is>
          <t>Quadris Excel</t>
        </is>
      </c>
      <c r="H517" s="6" t="n">
        <v>0</v>
      </c>
      <c r="I517" s="6" t="n">
        <v>0</v>
      </c>
      <c r="J517" s="6" t="inlineStr">
        <is>
          <t>nincs</t>
        </is>
      </c>
      <c r="K517" s="6">
        <f>IF(AND(H517&gt;0,I517&gt;0),"Rendben",IF(AND(H517=0,I517=0),"Nincs kép és adat",IF(H517=0,"Nincs kép","Nincs adat")))</f>
        <v/>
      </c>
      <c r="L517" s="6" t="inlineStr">
        <is>
          <t>Nem</t>
        </is>
      </c>
      <c r="M517" s="7" t="inlineStr">
        <is>
          <t>–</t>
        </is>
      </c>
      <c r="N517" s="7" t="inlineStr">
        <is>
          <t>Nem kerestük – nincs ismert weboldal vagy katalógus</t>
        </is>
      </c>
      <c r="O517" s="6" t="inlineStr"/>
      <c r="P517" s="11" t="inlineStr">
        <is>
          <t>https://website-9ib.pages.dev/termek/mp-fem16003-29-sullyesztett-rudzar-inox/</t>
        </is>
      </c>
      <c r="Q517" s="12" t="inlineStr"/>
      <c r="R517" s="13" t="inlineStr"/>
      <c r="S517" s="6" t="inlineStr">
        <is>
          <t>mp-fem16003-29-sullyesztett-rudzar-inox</t>
        </is>
      </c>
    </row>
    <row r="518">
      <c r="A518" s="6" t="inlineStr"/>
      <c r="B518" s="7" t="inlineStr">
        <is>
          <t>MP FEX16 001 Nyomólapos rúdzár</t>
        </is>
      </c>
      <c r="C518" s="6" t="inlineStr">
        <is>
          <t>Dobozos felépítmény alkatrészek</t>
        </is>
      </c>
      <c r="D518" s="6" t="inlineStr">
        <is>
          <t>Zárak</t>
        </is>
      </c>
      <c r="E518" s="6" t="inlineStr">
        <is>
          <t>EMEPE</t>
        </is>
      </c>
      <c r="F518" s="6" t="inlineStr">
        <is>
          <t>FEX16001</t>
        </is>
      </c>
      <c r="G518" s="6" t="inlineStr">
        <is>
          <t>Quadris Excel</t>
        </is>
      </c>
      <c r="H518" s="6" t="n">
        <v>0</v>
      </c>
      <c r="I518" s="6" t="n">
        <v>0</v>
      </c>
      <c r="J518" s="6" t="inlineStr">
        <is>
          <t>nincs</t>
        </is>
      </c>
      <c r="K518" s="6">
        <f>IF(AND(H518&gt;0,I518&gt;0),"Rendben",IF(AND(H518=0,I518=0),"Nincs kép és adat",IF(H518=0,"Nincs kép","Nincs adat")))</f>
        <v/>
      </c>
      <c r="L518" s="6" t="inlineStr">
        <is>
          <t>Nem</t>
        </is>
      </c>
      <c r="M518" s="7" t="inlineStr">
        <is>
          <t>–</t>
        </is>
      </c>
      <c r="N518" s="7" t="inlineStr">
        <is>
          <t>Nem kerestük – nincs ismert weboldal vagy katalógus</t>
        </is>
      </c>
      <c r="O518" s="6" t="inlineStr"/>
      <c r="P518" s="11" t="inlineStr">
        <is>
          <t>https://website-9ib.pages.dev/termek/mp-fex16-001-nyomolapos-rudzar/</t>
        </is>
      </c>
      <c r="Q518" s="12" t="inlineStr"/>
      <c r="R518" s="13" t="inlineStr"/>
      <c r="S518" s="6" t="inlineStr">
        <is>
          <t>mp-fex16-001-nyomolapos-rudzar</t>
        </is>
      </c>
    </row>
    <row r="519">
      <c r="A519" s="6" t="inlineStr"/>
      <c r="B519" s="7" t="inlineStr">
        <is>
          <t>MP FEX16 001+KLCEX31/KB3A Nyomólapos rúdzár szett</t>
        </is>
      </c>
      <c r="C519" s="6" t="inlineStr">
        <is>
          <t>Dobozos felépítmény alkatrészek</t>
        </is>
      </c>
      <c r="D519" s="6" t="inlineStr">
        <is>
          <t>Zárak</t>
        </is>
      </c>
      <c r="E519" s="6" t="inlineStr">
        <is>
          <t>EMEPE</t>
        </is>
      </c>
      <c r="F519" s="6" t="inlineStr">
        <is>
          <t>FEX16001,KLC-E31,KB3</t>
        </is>
      </c>
      <c r="G519" s="6" t="inlineStr">
        <is>
          <t>Quadris Excel</t>
        </is>
      </c>
      <c r="H519" s="6" t="n">
        <v>0</v>
      </c>
      <c r="I519" s="6" t="n">
        <v>0</v>
      </c>
      <c r="J519" s="6" t="inlineStr">
        <is>
          <t>nincs</t>
        </is>
      </c>
      <c r="K519" s="6">
        <f>IF(AND(H519&gt;0,I519&gt;0),"Rendben",IF(AND(H519=0,I519=0),"Nincs kép és adat",IF(H519=0,"Nincs kép","Nincs adat")))</f>
        <v/>
      </c>
      <c r="L519" s="6" t="inlineStr">
        <is>
          <t>Nem</t>
        </is>
      </c>
      <c r="M519" s="7" t="inlineStr">
        <is>
          <t>–</t>
        </is>
      </c>
      <c r="N519" s="7" t="inlineStr">
        <is>
          <t>Nem kerestük – nincs ismert weboldal vagy katalógus</t>
        </is>
      </c>
      <c r="O519" s="6" t="inlineStr"/>
      <c r="P519" s="11" t="inlineStr">
        <is>
          <t>https://website-9ib.pages.dev/termek/mp-fex16-001-klcex31-kb3a-nyomolapos-rudzar-szett/</t>
        </is>
      </c>
      <c r="Q519" s="12" t="inlineStr"/>
      <c r="R519" s="13" t="inlineStr"/>
      <c r="S519" s="6" t="inlineStr">
        <is>
          <t>mp-fex16-001-klcex31-kb3a-nyomolapos-rudzar-szett</t>
        </is>
      </c>
    </row>
    <row r="520">
      <c r="A520" s="6" t="inlineStr"/>
      <c r="B520" s="7" t="inlineStr">
        <is>
          <t>MP FEX27 002+KLCEX11/KB1G Nyomólapos rúdzár szett</t>
        </is>
      </c>
      <c r="C520" s="6" t="inlineStr">
        <is>
          <t>Dobozos felépítmény alkatrészek</t>
        </is>
      </c>
      <c r="D520" s="6" t="inlineStr">
        <is>
          <t>Zárak</t>
        </is>
      </c>
      <c r="E520" s="6" t="inlineStr">
        <is>
          <t>EMEPE</t>
        </is>
      </c>
      <c r="F520" s="6" t="inlineStr">
        <is>
          <t>FEX27002,KLC-E11,KB1</t>
        </is>
      </c>
      <c r="G520" s="6" t="inlineStr">
        <is>
          <t>Quadris Excel</t>
        </is>
      </c>
      <c r="H520" s="6" t="n">
        <v>0</v>
      </c>
      <c r="I520" s="6" t="n">
        <v>0</v>
      </c>
      <c r="J520" s="6" t="inlineStr">
        <is>
          <t>nincs</t>
        </is>
      </c>
      <c r="K520" s="6">
        <f>IF(AND(H520&gt;0,I520&gt;0),"Rendben",IF(AND(H520=0,I520=0),"Nincs kép és adat",IF(H520=0,"Nincs kép","Nincs adat")))</f>
        <v/>
      </c>
      <c r="L520" s="6" t="inlineStr">
        <is>
          <t>Nem</t>
        </is>
      </c>
      <c r="M520" s="7" t="inlineStr">
        <is>
          <t>–</t>
        </is>
      </c>
      <c r="N520" s="7" t="inlineStr">
        <is>
          <t>Nem kerestük – nincs ismert weboldal vagy katalógus</t>
        </is>
      </c>
      <c r="O520" s="6" t="inlineStr"/>
      <c r="P520" s="11" t="inlineStr">
        <is>
          <t>https://website-9ib.pages.dev/termek/mp-fex27-002-klcex11-kb1g-nyomolapos-rudzar-szett/</t>
        </is>
      </c>
      <c r="Q520" s="12" t="inlineStr"/>
      <c r="R520" s="13" t="inlineStr"/>
      <c r="S520" s="6" t="inlineStr">
        <is>
          <t>mp-fex27-002-klcex11-kb1g-nyomolapos-rudzar-szett</t>
        </is>
      </c>
    </row>
    <row r="521">
      <c r="A521" s="6" t="inlineStr"/>
      <c r="B521" s="7" t="inlineStr">
        <is>
          <t>MP KB2A 22 mm omega lefogató 33-22</t>
        </is>
      </c>
      <c r="C521" s="6" t="inlineStr">
        <is>
          <t>Dobozos felépítmény alkatrészek</t>
        </is>
      </c>
      <c r="D521" s="6" t="inlineStr">
        <is>
          <t>Zárak</t>
        </is>
      </c>
      <c r="E521" s="6" t="inlineStr">
        <is>
          <t>EMEPE</t>
        </is>
      </c>
      <c r="F521" s="6" t="inlineStr">
        <is>
          <t>KB2A</t>
        </is>
      </c>
      <c r="G521" s="6" t="inlineStr">
        <is>
          <t>Quadris Excel</t>
        </is>
      </c>
      <c r="H521" s="6" t="n">
        <v>0</v>
      </c>
      <c r="I521" s="6" t="n">
        <v>0</v>
      </c>
      <c r="J521" s="6" t="inlineStr">
        <is>
          <t>nincs</t>
        </is>
      </c>
      <c r="K521" s="6">
        <f>IF(AND(H521&gt;0,I521&gt;0),"Rendben",IF(AND(H521=0,I521=0),"Nincs kép és adat",IF(H521=0,"Nincs kép","Nincs adat")))</f>
        <v/>
      </c>
      <c r="L521" s="6" t="inlineStr">
        <is>
          <t>Nem</t>
        </is>
      </c>
      <c r="M521" s="7" t="inlineStr">
        <is>
          <t>–</t>
        </is>
      </c>
      <c r="N521" s="7" t="inlineStr">
        <is>
          <t>Nem kerestük – nincs ismert weboldal vagy katalógus</t>
        </is>
      </c>
      <c r="O521" s="6" t="inlineStr"/>
      <c r="P521" s="11" t="inlineStr">
        <is>
          <t>https://website-9ib.pages.dev/termek/mp-kb2a-22-mm-omega-lefogato-33-22/</t>
        </is>
      </c>
      <c r="Q521" s="12" t="inlineStr"/>
      <c r="R521" s="13" t="inlineStr"/>
      <c r="S521" s="6" t="inlineStr">
        <is>
          <t>mp-kb2a-22-mm-omega-lefogato-33-22</t>
        </is>
      </c>
    </row>
    <row r="522">
      <c r="A522" s="6" t="inlineStr"/>
      <c r="B522" s="7" t="inlineStr">
        <is>
          <t>MP KB2B 22 mm nagy omega 130-22</t>
        </is>
      </c>
      <c r="C522" s="6" t="inlineStr">
        <is>
          <t>Dobozos felépítmény alkatrészek</t>
        </is>
      </c>
      <c r="D522" s="6" t="inlineStr">
        <is>
          <t>Zárak</t>
        </is>
      </c>
      <c r="E522" s="6" t="inlineStr">
        <is>
          <t>EMEPE</t>
        </is>
      </c>
      <c r="F522" s="6" t="inlineStr">
        <is>
          <t>KB2B</t>
        </is>
      </c>
      <c r="G522" s="6" t="inlineStr">
        <is>
          <t>Quadris Excel</t>
        </is>
      </c>
      <c r="H522" s="6" t="n">
        <v>0</v>
      </c>
      <c r="I522" s="6" t="n">
        <v>0</v>
      </c>
      <c r="J522" s="6" t="inlineStr">
        <is>
          <t>nincs</t>
        </is>
      </c>
      <c r="K522" s="6">
        <f>IF(AND(H522&gt;0,I522&gt;0),"Rendben",IF(AND(H522=0,I522=0),"Nincs kép és adat",IF(H522=0,"Nincs kép","Nincs adat")))</f>
        <v/>
      </c>
      <c r="L522" s="6" t="inlineStr">
        <is>
          <t>Nem</t>
        </is>
      </c>
      <c r="M522" s="7" t="inlineStr">
        <is>
          <t>–</t>
        </is>
      </c>
      <c r="N522" s="7" t="inlineStr">
        <is>
          <t>Nem kerestük – nincs ismert weboldal vagy katalógus</t>
        </is>
      </c>
      <c r="O522" s="6" t="inlineStr"/>
      <c r="P522" s="11" t="inlineStr">
        <is>
          <t>https://website-9ib.pages.dev/termek/mp-kb2b-22-mm-nagy-omega-130-22/</t>
        </is>
      </c>
      <c r="Q522" s="12" t="inlineStr"/>
      <c r="R522" s="13" t="inlineStr"/>
      <c r="S522" s="6" t="inlineStr">
        <is>
          <t>mp-kb2b-22-mm-nagy-omega-130-22</t>
        </is>
      </c>
    </row>
    <row r="523">
      <c r="A523" s="6" t="inlineStr"/>
      <c r="B523" s="7" t="inlineStr">
        <is>
          <t>MP KB2E KIT omega lefogató 22 mm</t>
        </is>
      </c>
      <c r="C523" s="6" t="inlineStr">
        <is>
          <t>Dobozos felépítmény alkatrészek</t>
        </is>
      </c>
      <c r="D523" s="6" t="inlineStr">
        <is>
          <t>Zárak</t>
        </is>
      </c>
      <c r="E523" s="6" t="inlineStr">
        <is>
          <t>EMEPE</t>
        </is>
      </c>
      <c r="F523" s="6" t="inlineStr">
        <is>
          <t>KB2E</t>
        </is>
      </c>
      <c r="G523" s="6" t="inlineStr">
        <is>
          <t>Quadris Excel</t>
        </is>
      </c>
      <c r="H523" s="6" t="n">
        <v>0</v>
      </c>
      <c r="I523" s="6" t="n">
        <v>0</v>
      </c>
      <c r="J523" s="6" t="inlineStr">
        <is>
          <t>nincs</t>
        </is>
      </c>
      <c r="K523" s="6">
        <f>IF(AND(H523&gt;0,I523&gt;0),"Rendben",IF(AND(H523=0,I523=0),"Nincs kép és adat",IF(H523=0,"Nincs kép","Nincs adat")))</f>
        <v/>
      </c>
      <c r="L523" s="6" t="inlineStr">
        <is>
          <t>Nem</t>
        </is>
      </c>
      <c r="M523" s="7" t="inlineStr">
        <is>
          <t>–</t>
        </is>
      </c>
      <c r="N523" s="7" t="inlineStr">
        <is>
          <t>Nem kerestük – nincs ismert weboldal vagy katalógus</t>
        </is>
      </c>
      <c r="O523" s="6" t="inlineStr"/>
      <c r="P523" s="11" t="inlineStr">
        <is>
          <t>https://website-9ib.pages.dev/termek/mp-kb2e-kit-omega-lefogato-22-mm/</t>
        </is>
      </c>
      <c r="Q523" s="12" t="inlineStr"/>
      <c r="R523" s="13" t="inlineStr"/>
      <c r="S523" s="6" t="inlineStr">
        <is>
          <t>mp-kb2e-kit-omega-lefogato-22-mm</t>
        </is>
      </c>
    </row>
    <row r="524">
      <c r="A524" s="6" t="inlineStr"/>
      <c r="B524" s="7" t="inlineStr">
        <is>
          <t>MP KB3A Omega lefogató 16 mm</t>
        </is>
      </c>
      <c r="C524" s="6" t="inlineStr">
        <is>
          <t>Dobozos felépítmény alkatrészek</t>
        </is>
      </c>
      <c r="D524" s="6" t="inlineStr">
        <is>
          <t>Zárak</t>
        </is>
      </c>
      <c r="E524" s="6" t="inlineStr">
        <is>
          <t>EMEPE</t>
        </is>
      </c>
      <c r="F524" s="6" t="inlineStr">
        <is>
          <t>KB3A</t>
        </is>
      </c>
      <c r="G524" s="6" t="inlineStr">
        <is>
          <t>Quadris Excel</t>
        </is>
      </c>
      <c r="H524" s="6" t="n">
        <v>0</v>
      </c>
      <c r="I524" s="6" t="n">
        <v>0</v>
      </c>
      <c r="J524" s="6" t="inlineStr">
        <is>
          <t>nincs</t>
        </is>
      </c>
      <c r="K524" s="6">
        <f>IF(AND(H524&gt;0,I524&gt;0),"Rendben",IF(AND(H524=0,I524=0),"Nincs kép és adat",IF(H524=0,"Nincs kép","Nincs adat")))</f>
        <v/>
      </c>
      <c r="L524" s="6" t="inlineStr">
        <is>
          <t>Nem</t>
        </is>
      </c>
      <c r="M524" s="7" t="inlineStr">
        <is>
          <t>–</t>
        </is>
      </c>
      <c r="N524" s="7" t="inlineStr">
        <is>
          <t>Nem kerestük – nincs ismert weboldal vagy katalógus</t>
        </is>
      </c>
      <c r="O524" s="6" t="inlineStr"/>
      <c r="P524" s="11" t="inlineStr">
        <is>
          <t>https://website-9ib.pages.dev/termek/mp-kb3a-omega-lefogato-16-mm/</t>
        </is>
      </c>
      <c r="Q524" s="12" t="inlineStr"/>
      <c r="R524" s="13" t="inlineStr"/>
      <c r="S524" s="6" t="inlineStr">
        <is>
          <t>mp-kb3a-omega-lefogato-16-mm</t>
        </is>
      </c>
    </row>
    <row r="525">
      <c r="A525" s="6" t="inlineStr"/>
      <c r="B525" s="7" t="inlineStr">
        <is>
          <t>MP KLC-EM2 Inox fészek+kampó</t>
        </is>
      </c>
      <c r="C525" s="6" t="inlineStr">
        <is>
          <t>Dobozos felépítmény alkatrészek</t>
        </is>
      </c>
      <c r="D525" s="6" t="inlineStr">
        <is>
          <t>Zárak</t>
        </is>
      </c>
      <c r="E525" s="6" t="inlineStr">
        <is>
          <t>EMEPE</t>
        </is>
      </c>
      <c r="F525" s="6" t="inlineStr"/>
      <c r="G525" s="6" t="inlineStr">
        <is>
          <t>Quadris Excel</t>
        </is>
      </c>
      <c r="H525" s="6" t="n">
        <v>0</v>
      </c>
      <c r="I525" s="6" t="n">
        <v>0</v>
      </c>
      <c r="J525" s="6" t="inlineStr">
        <is>
          <t>nincs</t>
        </is>
      </c>
      <c r="K525" s="6">
        <f>IF(AND(H525&gt;0,I525&gt;0),"Rendben",IF(AND(H525=0,I525=0),"Nincs kép és adat",IF(H525=0,"Nincs kép","Nincs adat")))</f>
        <v/>
      </c>
      <c r="L525" s="6" t="inlineStr">
        <is>
          <t>Nem</t>
        </is>
      </c>
      <c r="M525" s="7" t="inlineStr">
        <is>
          <t>–</t>
        </is>
      </c>
      <c r="N525" s="7" t="inlineStr">
        <is>
          <t>Nem kerestük – nincs ismert weboldal vagy katalógus</t>
        </is>
      </c>
      <c r="O525" s="6" t="inlineStr"/>
      <c r="P525" s="11" t="inlineStr">
        <is>
          <t>https://website-9ib.pages.dev/termek/mp-klc-em2-inox-feszek-kampo/</t>
        </is>
      </c>
      <c r="Q525" s="12" t="inlineStr"/>
      <c r="R525" s="13" t="inlineStr"/>
      <c r="S525" s="6" t="inlineStr">
        <is>
          <t>mp-klc-em2-inox-feszek-kampo</t>
        </is>
      </c>
    </row>
    <row r="526">
      <c r="A526" s="6" t="inlineStr"/>
      <c r="B526" s="7" t="inlineStr">
        <is>
          <t>MP KLC-EX31 KIT 16 Zárkampó+ellendarab</t>
        </is>
      </c>
      <c r="C526" s="6" t="inlineStr">
        <is>
          <t>Dobozos felépítmény alkatrészek</t>
        </is>
      </c>
      <c r="D526" s="6" t="inlineStr">
        <is>
          <t>Zárak</t>
        </is>
      </c>
      <c r="E526" s="6" t="inlineStr">
        <is>
          <t>EMEPE</t>
        </is>
      </c>
      <c r="F526" s="6" t="inlineStr">
        <is>
          <t>KLC-EX31</t>
        </is>
      </c>
      <c r="G526" s="6" t="inlineStr">
        <is>
          <t>Quadris Excel</t>
        </is>
      </c>
      <c r="H526" s="6" t="n">
        <v>0</v>
      </c>
      <c r="I526" s="6" t="n">
        <v>0</v>
      </c>
      <c r="J526" s="6" t="inlineStr">
        <is>
          <t>nincs</t>
        </is>
      </c>
      <c r="K526" s="6">
        <f>IF(AND(H526&gt;0,I526&gt;0),"Rendben",IF(AND(H526=0,I526=0),"Nincs kép és adat",IF(H526=0,"Nincs kép","Nincs adat")))</f>
        <v/>
      </c>
      <c r="L526" s="6" t="inlineStr">
        <is>
          <t>Nem</t>
        </is>
      </c>
      <c r="M526" s="7" t="inlineStr">
        <is>
          <t>–</t>
        </is>
      </c>
      <c r="N526" s="7" t="inlineStr">
        <is>
          <t>Nem kerestük – nincs ismert weboldal vagy katalógus</t>
        </is>
      </c>
      <c r="O526" s="6" t="inlineStr"/>
      <c r="P526" s="11" t="inlineStr">
        <is>
          <t>https://website-9ib.pages.dev/termek/mp-klc-ex31-kit-16-zarkampo-ellendarab/</t>
        </is>
      </c>
      <c r="Q526" s="12" t="inlineStr"/>
      <c r="R526" s="13" t="inlineStr"/>
      <c r="S526" s="6" t="inlineStr">
        <is>
          <t>mp-klc-ex31-kit-16-zarkampo-ellendarab</t>
        </is>
      </c>
    </row>
    <row r="527">
      <c r="A527" s="6" t="inlineStr"/>
      <c r="B527" s="7" t="inlineStr">
        <is>
          <t>MP LEM Inox kampó</t>
        </is>
      </c>
      <c r="C527" s="6" t="inlineStr">
        <is>
          <t>Dobozos felépítmény alkatrészek</t>
        </is>
      </c>
      <c r="D527" s="6" t="inlineStr">
        <is>
          <t>Zárak</t>
        </is>
      </c>
      <c r="E527" s="6" t="inlineStr">
        <is>
          <t>EMEPE</t>
        </is>
      </c>
      <c r="F527" s="6" t="inlineStr">
        <is>
          <t>LEM1</t>
        </is>
      </c>
      <c r="G527" s="6" t="inlineStr">
        <is>
          <t>Quadris Excel</t>
        </is>
      </c>
      <c r="H527" s="6" t="n">
        <v>0</v>
      </c>
      <c r="I527" s="6" t="n">
        <v>0</v>
      </c>
      <c r="J527" s="6" t="inlineStr">
        <is>
          <t>nincs</t>
        </is>
      </c>
      <c r="K527" s="6">
        <f>IF(AND(H527&gt;0,I527&gt;0),"Rendben",IF(AND(H527=0,I527=0),"Nincs kép és adat",IF(H527=0,"Nincs kép","Nincs adat")))</f>
        <v/>
      </c>
      <c r="L527" s="6" t="inlineStr">
        <is>
          <t>Nem</t>
        </is>
      </c>
      <c r="M527" s="7" t="inlineStr">
        <is>
          <t>–</t>
        </is>
      </c>
      <c r="N527" s="7" t="inlineStr">
        <is>
          <t>Nem kerestük – nincs ismert weboldal vagy katalógus</t>
        </is>
      </c>
      <c r="O527" s="6" t="inlineStr"/>
      <c r="P527" s="11" t="inlineStr">
        <is>
          <t>https://website-9ib.pages.dev/termek/mp-lem-inox-kampo/</t>
        </is>
      </c>
      <c r="Q527" s="12" t="inlineStr"/>
      <c r="R527" s="13" t="inlineStr"/>
      <c r="S527" s="6" t="inlineStr">
        <is>
          <t>mp-lem-inox-kampo</t>
        </is>
      </c>
    </row>
    <row r="528">
      <c r="A528" s="6" t="inlineStr"/>
      <c r="B528" s="7" t="inlineStr">
        <is>
          <t>MP22 FEX22001 RM Nyomólapos rúdzár</t>
        </is>
      </c>
      <c r="C528" s="6" t="inlineStr">
        <is>
          <t>Dobozos felépítmény alkatrészek</t>
        </is>
      </c>
      <c r="D528" s="6" t="inlineStr">
        <is>
          <t>Zárak</t>
        </is>
      </c>
      <c r="E528" s="6" t="inlineStr">
        <is>
          <t>EMEPE</t>
        </is>
      </c>
      <c r="F528" s="6" t="inlineStr">
        <is>
          <t>FEX22001</t>
        </is>
      </c>
      <c r="G528" s="6" t="inlineStr">
        <is>
          <t>Quadris Excel</t>
        </is>
      </c>
      <c r="H528" s="6" t="n">
        <v>0</v>
      </c>
      <c r="I528" s="6" t="n">
        <v>0</v>
      </c>
      <c r="J528" s="6" t="inlineStr">
        <is>
          <t>nincs</t>
        </is>
      </c>
      <c r="K528" s="6">
        <f>IF(AND(H528&gt;0,I528&gt;0),"Rendben",IF(AND(H528=0,I528=0),"Nincs kép és adat",IF(H528=0,"Nincs kép","Nincs adat")))</f>
        <v/>
      </c>
      <c r="L528" s="6" t="inlineStr">
        <is>
          <t>Nem</t>
        </is>
      </c>
      <c r="M528" s="7" t="inlineStr">
        <is>
          <t>–</t>
        </is>
      </c>
      <c r="N528" s="7" t="inlineStr">
        <is>
          <t>Nem kerestük – nincs ismert weboldal vagy katalógus</t>
        </is>
      </c>
      <c r="O528" s="6" t="inlineStr"/>
      <c r="P528" s="11" t="inlineStr">
        <is>
          <t>https://website-9ib.pages.dev/termek/mp22-fex22001-rm-nyomolapos-rudzar/</t>
        </is>
      </c>
      <c r="Q528" s="12" t="inlineStr"/>
      <c r="R528" s="13" t="inlineStr"/>
      <c r="S528" s="6" t="inlineStr">
        <is>
          <t>mp22-fex22001-rm-nyomolapos-rudzar</t>
        </is>
      </c>
    </row>
    <row r="529">
      <c r="A529" s="6" t="inlineStr"/>
      <c r="B529" s="7" t="inlineStr">
        <is>
          <t>MP22 KLC-EX41 RM kampó+fészek</t>
        </is>
      </c>
      <c r="C529" s="6" t="inlineStr">
        <is>
          <t>Dobozos felépítmény alkatrészek</t>
        </is>
      </c>
      <c r="D529" s="6" t="inlineStr">
        <is>
          <t>Zárak</t>
        </is>
      </c>
      <c r="E529" s="6" t="inlineStr">
        <is>
          <t>EMEPE</t>
        </is>
      </c>
      <c r="F529" s="6" t="inlineStr">
        <is>
          <t>KLC-EX41</t>
        </is>
      </c>
      <c r="G529" s="6" t="inlineStr">
        <is>
          <t>Quadris Excel</t>
        </is>
      </c>
      <c r="H529" s="6" t="n">
        <v>0</v>
      </c>
      <c r="I529" s="6" t="n">
        <v>0</v>
      </c>
      <c r="J529" s="6" t="inlineStr">
        <is>
          <t>nincs</t>
        </is>
      </c>
      <c r="K529" s="6">
        <f>IF(AND(H529&gt;0,I529&gt;0),"Rendben",IF(AND(H529=0,I529=0),"Nincs kép és adat",IF(H529=0,"Nincs kép","Nincs adat")))</f>
        <v/>
      </c>
      <c r="L529" s="6" t="inlineStr">
        <is>
          <t>Nem</t>
        </is>
      </c>
      <c r="M529" s="7" t="inlineStr">
        <is>
          <t>–</t>
        </is>
      </c>
      <c r="N529" s="7" t="inlineStr">
        <is>
          <t>Nem kerestük – nincs ismert weboldal vagy katalógus</t>
        </is>
      </c>
      <c r="O529" s="6" t="inlineStr"/>
      <c r="P529" s="11" t="inlineStr">
        <is>
          <t>https://website-9ib.pages.dev/termek/mp22-klc-ex41-rm-kampo-feszek/</t>
        </is>
      </c>
      <c r="Q529" s="12" t="inlineStr"/>
      <c r="R529" s="13" t="inlineStr"/>
      <c r="S529" s="6" t="inlineStr">
        <is>
          <t>mp22-klc-ex41-rm-kampo-feszek</t>
        </is>
      </c>
    </row>
    <row r="530">
      <c r="A530" s="6" t="inlineStr"/>
      <c r="B530" s="7" t="inlineStr">
        <is>
          <t>MP22 KLCB-EX41E RM kampó+fészek+omegák KIT</t>
        </is>
      </c>
      <c r="C530" s="6" t="inlineStr">
        <is>
          <t>Dobozos felépítmény alkatrészek</t>
        </is>
      </c>
      <c r="D530" s="6" t="inlineStr">
        <is>
          <t>Zárak</t>
        </is>
      </c>
      <c r="E530" s="6" t="inlineStr">
        <is>
          <t>EMEPE</t>
        </is>
      </c>
      <c r="F530" s="6" t="inlineStr">
        <is>
          <t>KLCB-EX41E</t>
        </is>
      </c>
      <c r="G530" s="6" t="inlineStr">
        <is>
          <t>Quadris Excel</t>
        </is>
      </c>
      <c r="H530" s="6" t="n">
        <v>0</v>
      </c>
      <c r="I530" s="6" t="n">
        <v>0</v>
      </c>
      <c r="J530" s="6" t="inlineStr">
        <is>
          <t>nincs</t>
        </is>
      </c>
      <c r="K530" s="6">
        <f>IF(AND(H530&gt;0,I530&gt;0),"Rendben",IF(AND(H530=0,I530=0),"Nincs kép és adat",IF(H530=0,"Nincs kép","Nincs adat")))</f>
        <v/>
      </c>
      <c r="L530" s="6" t="inlineStr">
        <is>
          <t>Nem</t>
        </is>
      </c>
      <c r="M530" s="7" t="inlineStr">
        <is>
          <t>–</t>
        </is>
      </c>
      <c r="N530" s="7" t="inlineStr">
        <is>
          <t>Nem kerestük – nincs ismert weboldal vagy katalógus</t>
        </is>
      </c>
      <c r="O530" s="6" t="inlineStr"/>
      <c r="P530" s="11" t="inlineStr">
        <is>
          <t>https://website-9ib.pages.dev/termek/mp22-klcb-ex41e-rm-kampo-feszek-omegak-kit/</t>
        </is>
      </c>
      <c r="Q530" s="12" t="inlineStr"/>
      <c r="R530" s="13" t="inlineStr"/>
      <c r="S530" s="6" t="inlineStr">
        <is>
          <t>mp22-klcb-ex41e-rm-kampo-feszek-omegak-kit</t>
        </is>
      </c>
    </row>
    <row r="531">
      <c r="A531" s="6" t="inlineStr">
        <is>
          <t>203183</t>
        </is>
      </c>
      <c r="B531" s="7" t="inlineStr">
        <is>
          <t>250/25 mm Aláfutásgátló elox profil</t>
        </is>
      </c>
      <c r="C531" s="6" t="inlineStr">
        <is>
          <t>Alumínium alváz profilok</t>
        </is>
      </c>
      <c r="D531" s="6" t="inlineStr">
        <is>
          <t>Aláfutásgátló profilok</t>
        </is>
      </c>
      <c r="E531" s="6" t="inlineStr">
        <is>
          <t>ESAL</t>
        </is>
      </c>
      <c r="F531" s="6" t="inlineStr">
        <is>
          <t>S021318375</t>
        </is>
      </c>
      <c r="G531" s="6" t="inlineStr">
        <is>
          <t>Quadris Excel</t>
        </is>
      </c>
      <c r="H531" s="6" t="n">
        <v>1</v>
      </c>
      <c r="I531" s="6" t="n">
        <v>4</v>
      </c>
      <c r="J531" s="6" t="inlineStr">
        <is>
          <t>nincs</t>
        </is>
      </c>
      <c r="K531" s="6">
        <f>IF(AND(H531&gt;0,I531&gt;0),"Rendben",IF(AND(H531=0,I531=0),"Nincs kép és adat",IF(H531=0,"Nincs kép","Nincs adat")))</f>
        <v/>
      </c>
      <c r="L531" s="6" t="inlineStr">
        <is>
          <t>Igen</t>
        </is>
      </c>
      <c r="M531" s="7" t="inlineStr">
        <is>
          <t>ESAL Catalogo Sponde 2020 (PDF); ESAL Profili commerciali (PDF)</t>
        </is>
      </c>
      <c r="N531" s="7" t="inlineStr">
        <is>
          <t>Megtalálva: ESAL 13183 (kód: 13183)</t>
        </is>
      </c>
      <c r="O531" s="11" t="inlineStr">
        <is>
          <t>https://esalforli.com/public/Catalogo-Sponde-2020-Esal-Forli.pdf#page=55</t>
        </is>
      </c>
      <c r="P531" s="11" t="inlineStr">
        <is>
          <t>https://website-9ib.pages.dev/termek/203183-250-25-mm-alafutasgatlo-elox-profil/</t>
        </is>
      </c>
      <c r="Q531" s="12" t="inlineStr"/>
      <c r="R531" s="13" t="inlineStr"/>
      <c r="S531" s="6" t="inlineStr">
        <is>
          <t>203183-250-25-mm-alafutasgatlo-elox-profil</t>
        </is>
      </c>
    </row>
    <row r="532">
      <c r="A532" s="6" t="inlineStr">
        <is>
          <t>205535</t>
        </is>
      </c>
      <c r="B532" s="7" t="inlineStr">
        <is>
          <t>Íves aláfutásgátló végzáró elox profil</t>
        </is>
      </c>
      <c r="C532" s="6" t="inlineStr">
        <is>
          <t>Alumínium alváz profilok</t>
        </is>
      </c>
      <c r="D532" s="6" t="inlineStr">
        <is>
          <t>Aláfutásgátló profilok</t>
        </is>
      </c>
      <c r="E532" s="6" t="inlineStr">
        <is>
          <t>ESAL</t>
        </is>
      </c>
      <c r="F532" s="6" t="inlineStr">
        <is>
          <t>250535</t>
        </is>
      </c>
      <c r="G532" s="6" t="inlineStr">
        <is>
          <t>Quadris Excel</t>
        </is>
      </c>
      <c r="H532" s="6" t="n">
        <v>1</v>
      </c>
      <c r="I532" s="6" t="n">
        <v>2</v>
      </c>
      <c r="J532" s="6" t="inlineStr">
        <is>
          <t>nincs</t>
        </is>
      </c>
      <c r="K532" s="6">
        <f>IF(AND(H532&gt;0,I532&gt;0),"Rendben",IF(AND(H532=0,I532=0),"Nincs kép és adat",IF(H532=0,"Nincs kép","Nincs adat")))</f>
        <v/>
      </c>
      <c r="L532" s="6" t="inlineStr">
        <is>
          <t>Igen</t>
        </is>
      </c>
      <c r="M532" s="7" t="inlineStr">
        <is>
          <t>ESAL Catalogo Sponde 2020 (PDF); ESAL Profili commerciali (PDF)</t>
        </is>
      </c>
      <c r="N532" s="7" t="inlineStr">
        <is>
          <t>Megtalálva: ESAL 50535 (kód: 50535)</t>
        </is>
      </c>
      <c r="O532" s="11" t="inlineStr">
        <is>
          <t>https://esalforli.com/public/Catalogo-Sponde-2020-Esal-Forli.pdf#page=55</t>
        </is>
      </c>
      <c r="P532" s="11" t="inlineStr">
        <is>
          <t>https://website-9ib.pages.dev/termek/205535-ives-alafutasgatlo-vegzaro-elox-profil/</t>
        </is>
      </c>
      <c r="Q532" s="12" t="inlineStr"/>
      <c r="R532" s="13" t="inlineStr"/>
      <c r="S532" s="6" t="inlineStr">
        <is>
          <t>205535-ives-alafutasgatlo-vegzaro-elox-profil</t>
        </is>
      </c>
    </row>
    <row r="533">
      <c r="A533" s="6" t="inlineStr">
        <is>
          <t>729629</t>
        </is>
      </c>
      <c r="B533" s="7" t="inlineStr">
        <is>
          <t>Húspálya "C" sín elox 6000 mm</t>
        </is>
      </c>
      <c r="C533" s="6" t="inlineStr">
        <is>
          <t>Dobozos felépítmény alkatrészek</t>
        </is>
      </c>
      <c r="D533" s="6" t="inlineStr">
        <is>
          <t>Húspálya rendszer</t>
        </is>
      </c>
      <c r="E533" s="6" t="inlineStr">
        <is>
          <t>ESAL</t>
        </is>
      </c>
      <c r="F533" s="6" t="inlineStr">
        <is>
          <t>S0296296</t>
        </is>
      </c>
      <c r="G533" s="6" t="inlineStr">
        <is>
          <t>Quadris Excel</t>
        </is>
      </c>
      <c r="H533" s="6" t="n">
        <v>1</v>
      </c>
      <c r="I533" s="6" t="n">
        <v>4</v>
      </c>
      <c r="J533" s="6" t="inlineStr">
        <is>
          <t>nincs</t>
        </is>
      </c>
      <c r="K533" s="6">
        <f>IF(AND(H533&gt;0,I533&gt;0),"Rendben",IF(AND(H533=0,I533=0),"Nincs kép és adat",IF(H533=0,"Nincs kép","Nincs adat")))</f>
        <v/>
      </c>
      <c r="L533" s="6" t="inlineStr">
        <is>
          <t>Igen</t>
        </is>
      </c>
      <c r="M533" s="7" t="inlineStr">
        <is>
          <t>ESAL Catalogo Sponde 2020 (PDF); ESAL Profili commerciali (PDF)</t>
        </is>
      </c>
      <c r="N533" s="7" t="inlineStr">
        <is>
          <t>Megtalálva: ESAL 9629 (kód: 9629)</t>
        </is>
      </c>
      <c r="O533" s="11" t="inlineStr">
        <is>
          <t>https://esalforli.com/public/Catalogo-Sponde-2020-Esal-Forli.pdf#page=73</t>
        </is>
      </c>
      <c r="P533" s="11" t="inlineStr">
        <is>
          <t>https://website-9ib.pages.dev/termek/729629-huspalya-c-sin-elox-6000-mm/</t>
        </is>
      </c>
      <c r="Q533" s="12" t="inlineStr"/>
      <c r="R533" s="13" t="inlineStr"/>
      <c r="S533" s="6" t="inlineStr">
        <is>
          <t>729629-huspalya-c-sin-elox-6000-mm</t>
        </is>
      </c>
    </row>
    <row r="534">
      <c r="A534" s="6" t="inlineStr">
        <is>
          <t>729630</t>
        </is>
      </c>
      <c r="B534" s="7" t="inlineStr">
        <is>
          <t>Húspálya "C" sín elox 7000 mm</t>
        </is>
      </c>
      <c r="C534" s="6" t="inlineStr">
        <is>
          <t>Dobozos felépítmény alkatrészek</t>
        </is>
      </c>
      <c r="D534" s="6" t="inlineStr">
        <is>
          <t>Húspálya rendszer</t>
        </is>
      </c>
      <c r="E534" s="6" t="inlineStr">
        <is>
          <t>ESAL</t>
        </is>
      </c>
      <c r="F534" s="6" t="inlineStr">
        <is>
          <t>S0296297</t>
        </is>
      </c>
      <c r="G534" s="6" t="inlineStr">
        <is>
          <t>Quadris Excel</t>
        </is>
      </c>
      <c r="H534" s="6" t="n">
        <v>1</v>
      </c>
      <c r="I534" s="6" t="n">
        <v>4</v>
      </c>
      <c r="J534" s="6" t="inlineStr">
        <is>
          <t>nincs</t>
        </is>
      </c>
      <c r="K534" s="6">
        <f>IF(AND(H534&gt;0,I534&gt;0),"Rendben",IF(AND(H534=0,I534=0),"Nincs kép és adat",IF(H534=0,"Nincs kép","Nincs adat")))</f>
        <v/>
      </c>
      <c r="L534" s="6" t="inlineStr">
        <is>
          <t>Igen</t>
        </is>
      </c>
      <c r="M534" s="7" t="inlineStr">
        <is>
          <t>ESAL Catalogo Sponde 2020 (PDF); ESAL Profili commerciali (PDF)</t>
        </is>
      </c>
      <c r="N534" s="7" t="inlineStr">
        <is>
          <t>Megtalálva: ESAL 9629 (kód: 9629)</t>
        </is>
      </c>
      <c r="O534" s="11" t="inlineStr">
        <is>
          <t>https://esalforli.com/public/Catalogo-Sponde-2020-Esal-Forli.pdf#page=73</t>
        </is>
      </c>
      <c r="P534" s="11" t="inlineStr">
        <is>
          <t>https://website-9ib.pages.dev/termek/729630-huspalya-c-sin-elox-7000-mm/</t>
        </is>
      </c>
      <c r="Q534" s="12" t="inlineStr"/>
      <c r="R534" s="13" t="inlineStr"/>
      <c r="S534" s="6" t="inlineStr">
        <is>
          <t>729630-huspalya-c-sin-elox-7000-mm</t>
        </is>
      </c>
    </row>
    <row r="535">
      <c r="A535" s="6" t="inlineStr">
        <is>
          <t>255004</t>
        </is>
      </c>
      <c r="B535" s="7" t="inlineStr">
        <is>
          <t>100x50x4 mm Alu zártszelvény</t>
        </is>
      </c>
      <c r="C535" s="6" t="inlineStr">
        <is>
          <t>Ipari félgyártmányok</t>
        </is>
      </c>
      <c r="D535" s="6" t="inlineStr">
        <is>
          <t>Zártszelvény</t>
        </is>
      </c>
      <c r="E535" s="6" t="inlineStr">
        <is>
          <t>ESAL</t>
        </is>
      </c>
      <c r="F535" s="6" t="inlineStr">
        <is>
          <t>6060A/ T6</t>
        </is>
      </c>
      <c r="G535" s="6" t="inlineStr">
        <is>
          <t>Quadris Excel</t>
        </is>
      </c>
      <c r="H535" s="6" t="n">
        <v>3</v>
      </c>
      <c r="I535" s="6" t="n">
        <v>4</v>
      </c>
      <c r="J535" s="6" t="inlineStr">
        <is>
          <t>nincs</t>
        </is>
      </c>
      <c r="K535" s="6">
        <f>IF(AND(H535&gt;0,I535&gt;0),"Rendben",IF(AND(H535=0,I535=0),"Nincs kép és adat",IF(H535=0,"Nincs kép","Nincs adat")))</f>
        <v/>
      </c>
      <c r="L535" s="6" t="inlineStr">
        <is>
          <t>Igen</t>
        </is>
      </c>
      <c r="M535" s="7" t="inlineStr">
        <is>
          <t>ESAL Catalogo Sponde 2020 (PDF); ESAL Profili commerciali (PDF)</t>
        </is>
      </c>
      <c r="N535" s="7" t="inlineStr">
        <is>
          <t>Nem találtuk: ESAL Catalogo Sponde 2020 (PDF); ESAL Profili commerciali (PDF); adatlap a Quadris-megnevezésből</t>
        </is>
      </c>
      <c r="O535" s="6" t="inlineStr"/>
      <c r="P535" s="11" t="inlineStr">
        <is>
          <t>https://website-9ib.pages.dev/termek/255004-100x50x4-mm-alu-zartszelveny/</t>
        </is>
      </c>
      <c r="Q535" s="12" t="inlineStr"/>
      <c r="R535" s="13" t="inlineStr"/>
      <c r="S535" s="6" t="inlineStr">
        <is>
          <t>255004-100x50x4-mm-alu-zartszelveny</t>
        </is>
      </c>
    </row>
    <row r="536">
      <c r="A536" s="6" t="inlineStr">
        <is>
          <t>254020</t>
        </is>
      </c>
      <c r="B536" s="7" t="inlineStr">
        <is>
          <t>40x20x2 Alu "L" profil</t>
        </is>
      </c>
      <c r="C536" s="6" t="inlineStr">
        <is>
          <t>Ipari félgyártmányok</t>
        </is>
      </c>
      <c r="D536" s="6" t="inlineStr">
        <is>
          <t>L profil</t>
        </is>
      </c>
      <c r="E536" s="6" t="inlineStr">
        <is>
          <t>ESAL</t>
        </is>
      </c>
      <c r="F536" s="6" t="inlineStr">
        <is>
          <t>402002</t>
        </is>
      </c>
      <c r="G536" s="6" t="inlineStr">
        <is>
          <t>Quadris Excel</t>
        </is>
      </c>
      <c r="H536" s="6" t="n">
        <v>3</v>
      </c>
      <c r="I536" s="6" t="n">
        <v>4</v>
      </c>
      <c r="J536" s="6" t="inlineStr">
        <is>
          <t>nincs</t>
        </is>
      </c>
      <c r="K536" s="6">
        <f>IF(AND(H536&gt;0,I536&gt;0),"Rendben",IF(AND(H536=0,I536=0),"Nincs kép és adat",IF(H536=0,"Nincs kép","Nincs adat")))</f>
        <v/>
      </c>
      <c r="L536" s="6" t="inlineStr">
        <is>
          <t>Igen</t>
        </is>
      </c>
      <c r="M536" s="7" t="inlineStr">
        <is>
          <t>ESAL Catalogo Sponde 2020 (PDF); ESAL Profili commerciali (PDF)</t>
        </is>
      </c>
      <c r="N536" s="7" t="inlineStr">
        <is>
          <t>Nem találtuk: ESAL Catalogo Sponde 2020 (PDF); ESAL Profili commerciali (PDF); adatlap a Quadris-megnevezésből</t>
        </is>
      </c>
      <c r="O536" s="6" t="inlineStr"/>
      <c r="P536" s="11" t="inlineStr">
        <is>
          <t>https://website-9ib.pages.dev/termek/254020-40x20x2-alu-l-profil/</t>
        </is>
      </c>
      <c r="Q536" s="12" t="inlineStr"/>
      <c r="R536" s="13" t="inlineStr"/>
      <c r="S536" s="6" t="inlineStr">
        <is>
          <t>254020-40x20x2-alu-l-profil</t>
        </is>
      </c>
    </row>
    <row r="537">
      <c r="A537" s="6" t="inlineStr">
        <is>
          <t>222020</t>
        </is>
      </c>
      <c r="B537" s="7" t="inlineStr">
        <is>
          <t>"h" szegő, kiugrós 25 mm elox</t>
        </is>
      </c>
      <c r="C537" s="6" t="inlineStr">
        <is>
          <t>Platós és ponyvás oldalfal profilok és szegők</t>
        </is>
      </c>
      <c r="D537" s="6" t="inlineStr">
        <is>
          <t>Szegő profilok</t>
        </is>
      </c>
      <c r="E537" s="6" t="inlineStr">
        <is>
          <t>ESAL</t>
        </is>
      </c>
      <c r="F537" s="6" t="inlineStr">
        <is>
          <t>S02500206</t>
        </is>
      </c>
      <c r="G537" s="6" t="inlineStr">
        <is>
          <t>Quadris Excel</t>
        </is>
      </c>
      <c r="H537" s="6" t="n">
        <v>1</v>
      </c>
      <c r="I537" s="6" t="n">
        <v>4</v>
      </c>
      <c r="J537" s="6" t="inlineStr">
        <is>
          <t>nincs</t>
        </is>
      </c>
      <c r="K537" s="6">
        <f>IF(AND(H537&gt;0,I537&gt;0),"Rendben",IF(AND(H537=0,I537=0),"Nincs kép és adat",IF(H537=0,"Nincs kép","Nincs adat")))</f>
        <v/>
      </c>
      <c r="L537" s="6" t="inlineStr">
        <is>
          <t>Igen</t>
        </is>
      </c>
      <c r="M537" s="7" t="inlineStr">
        <is>
          <t>ESAL Catalogo Sponde 2020 (PDF); ESAL Profili commerciali (PDF)</t>
        </is>
      </c>
      <c r="N537" s="7" t="inlineStr">
        <is>
          <t>Megtalálva: ESAL 50020 (kód: 50020)</t>
        </is>
      </c>
      <c r="O537" s="11" t="inlineStr">
        <is>
          <t>https://esalforli.com/public/Catalogo-Sponde-2020-Esal-Forli.pdf#page=58</t>
        </is>
      </c>
      <c r="P537" s="11" t="inlineStr">
        <is>
          <t>https://website-9ib.pages.dev/termek/222020-h-szego-kiugros-25-mm-elox/</t>
        </is>
      </c>
      <c r="Q537" s="12" t="inlineStr"/>
      <c r="R537" s="13" t="inlineStr"/>
      <c r="S537" s="6" t="inlineStr">
        <is>
          <t>222020-h-szego-kiugros-25-mm-elox</t>
        </is>
      </c>
    </row>
    <row r="538">
      <c r="A538" s="6" t="inlineStr">
        <is>
          <t>227075</t>
        </is>
      </c>
      <c r="B538" s="7" t="inlineStr">
        <is>
          <t>200 mm MONO profil teli szakálas elox</t>
        </is>
      </c>
      <c r="C538" s="6" t="inlineStr">
        <is>
          <t>Platós és ponyvás oldalfal profilok és szegők</t>
        </is>
      </c>
      <c r="D538" s="6" t="inlineStr">
        <is>
          <t>25 mm monó profilok</t>
        </is>
      </c>
      <c r="E538" s="6" t="inlineStr">
        <is>
          <t>ESAL</t>
        </is>
      </c>
      <c r="F538" s="6" t="inlineStr">
        <is>
          <t>S02877075</t>
        </is>
      </c>
      <c r="G538" s="6" t="inlineStr">
        <is>
          <t>Quadris Excel</t>
        </is>
      </c>
      <c r="H538" s="6" t="n">
        <v>1</v>
      </c>
      <c r="I538" s="6" t="n">
        <v>4</v>
      </c>
      <c r="J538" s="6" t="inlineStr">
        <is>
          <t>nincs</t>
        </is>
      </c>
      <c r="K538" s="6">
        <f>IF(AND(H538&gt;0,I538&gt;0),"Rendben",IF(AND(H538=0,I538=0),"Nincs kép és adat",IF(H538=0,"Nincs kép","Nincs adat")))</f>
        <v/>
      </c>
      <c r="L538" s="6" t="inlineStr">
        <is>
          <t>Igen</t>
        </is>
      </c>
      <c r="M538" s="7" t="inlineStr">
        <is>
          <t>ESAL Catalogo Sponde 2020 (PDF); ESAL Profili commerciali (PDF)</t>
        </is>
      </c>
      <c r="N538" s="7" t="inlineStr">
        <is>
          <t>Megtalálva: ESAL 8770 (kód: 8770)</t>
        </is>
      </c>
      <c r="O538" s="11" t="inlineStr">
        <is>
          <t>https://esalforli.com/public/Catalogo-Sponde-2020-Esal-Forli.pdf#page=49</t>
        </is>
      </c>
      <c r="P538" s="11" t="inlineStr">
        <is>
          <t>https://website-9ib.pages.dev/termek/227075-200-mm-mono-profil-teli-szakalas-elox/</t>
        </is>
      </c>
      <c r="Q538" s="12" t="inlineStr"/>
      <c r="R538" s="13" t="inlineStr"/>
      <c r="S538" s="6" t="inlineStr">
        <is>
          <t>227075-200-mm-mono-profil-teli-szakalas-elox</t>
        </is>
      </c>
    </row>
    <row r="539">
      <c r="A539" s="6" t="inlineStr">
        <is>
          <t>245085</t>
        </is>
      </c>
      <c r="B539" s="7" t="inlineStr">
        <is>
          <t>Bill. "u" szegő 30 mm (40/60) elox</t>
        </is>
      </c>
      <c r="C539" s="6" t="inlineStr">
        <is>
          <t>Platós és ponyvás oldalfal profilok és szegők</t>
        </is>
      </c>
      <c r="D539" s="6" t="inlineStr">
        <is>
          <t>Alumínium billencs oldalfalak</t>
        </is>
      </c>
      <c r="E539" s="6" t="inlineStr">
        <is>
          <t>ESAL</t>
        </is>
      </c>
      <c r="F539" s="6" t="inlineStr">
        <is>
          <t>S02500856</t>
        </is>
      </c>
      <c r="G539" s="6" t="inlineStr">
        <is>
          <t>Quadris Excel</t>
        </is>
      </c>
      <c r="H539" s="6" t="n">
        <v>1</v>
      </c>
      <c r="I539" s="6" t="n">
        <v>4</v>
      </c>
      <c r="J539" s="6" t="inlineStr">
        <is>
          <t>nincs</t>
        </is>
      </c>
      <c r="K539" s="6">
        <f>IF(AND(H539&gt;0,I539&gt;0),"Rendben",IF(AND(H539=0,I539=0),"Nincs kép és adat",IF(H539=0,"Nincs kép","Nincs adat")))</f>
        <v/>
      </c>
      <c r="L539" s="6" t="inlineStr">
        <is>
          <t>Igen</t>
        </is>
      </c>
      <c r="M539" s="7" t="inlineStr">
        <is>
          <t>ESAL Catalogo Sponde 2020 (PDF); ESAL Profili commerciali (PDF)</t>
        </is>
      </c>
      <c r="N539" s="7" t="inlineStr">
        <is>
          <t>Megtalálva: ESAL 50085 (kód: 50085)</t>
        </is>
      </c>
      <c r="O539" s="11" t="inlineStr">
        <is>
          <t>https://esalforli.com/public/Catalogo-Sponde-2020-Esal-Forli.pdf#page=36</t>
        </is>
      </c>
      <c r="P539" s="11" t="inlineStr">
        <is>
          <t>https://website-9ib.pages.dev/termek/245085-bill-u-szego-30-mm-40-60-elox/</t>
        </is>
      </c>
      <c r="Q539" s="12" t="inlineStr"/>
      <c r="R539" s="13" t="inlineStr"/>
      <c r="S539" s="6" t="inlineStr">
        <is>
          <t>245085-bill-u-szego-30-mm-40-60-elox</t>
        </is>
      </c>
    </row>
    <row r="540">
      <c r="A540" s="6" t="inlineStr">
        <is>
          <t>102439</t>
        </is>
      </c>
      <c r="B540" s="7" t="inlineStr">
        <is>
          <t>Dugó spitzprofilhoz 150 mm magas</t>
        </is>
      </c>
      <c r="C540" s="6" t="inlineStr">
        <is>
          <t>Ponyvarendszer kiegészítők</t>
        </is>
      </c>
      <c r="D540" s="6" t="inlineStr">
        <is>
          <t>Ponyvatartó alkatrészek</t>
        </is>
      </c>
      <c r="E540" s="6" t="inlineStr">
        <is>
          <t>ESAL</t>
        </is>
      </c>
      <c r="F540" s="6" t="inlineStr">
        <is>
          <t>12439</t>
        </is>
      </c>
      <c r="G540" s="6" t="inlineStr">
        <is>
          <t>Quadris Excel</t>
        </is>
      </c>
      <c r="H540" s="6" t="n">
        <v>0</v>
      </c>
      <c r="I540" s="6" t="n">
        <v>0</v>
      </c>
      <c r="J540" s="6" t="inlineStr">
        <is>
          <t>nincs</t>
        </is>
      </c>
      <c r="K540" s="6">
        <f>IF(AND(H540&gt;0,I540&gt;0),"Rendben",IF(AND(H540=0,I540=0),"Nincs kép és adat",IF(H540=0,"Nincs kép","Nincs adat")))</f>
        <v/>
      </c>
      <c r="L540" s="6" t="inlineStr">
        <is>
          <t>Igen</t>
        </is>
      </c>
      <c r="M540" s="7" t="inlineStr">
        <is>
          <t>ESAL Catalogo Sponde 2020 (PDF); ESAL Profili commerciali (PDF)</t>
        </is>
      </c>
      <c r="N540" s="7" t="inlineStr">
        <is>
          <t>Nem találtuk: ESAL Catalogo Sponde 2020 (PDF); ESAL Profili commerciali (PDF)</t>
        </is>
      </c>
      <c r="O540" s="6" t="inlineStr"/>
      <c r="P540" s="11" t="inlineStr">
        <is>
          <t>https://website-9ib.pages.dev/termek/102439-dugo-spitzprofilhoz-150-mm-magas/</t>
        </is>
      </c>
      <c r="Q540" s="12" t="inlineStr"/>
      <c r="R540" s="13" t="inlineStr"/>
      <c r="S540" s="6" t="inlineStr">
        <is>
          <t>102439-dugo-spitzprofilhoz-150-mm-magas</t>
        </is>
      </c>
    </row>
    <row r="541">
      <c r="A541" s="6" t="inlineStr">
        <is>
          <t>201092</t>
        </is>
      </c>
      <c r="B541" s="7" t="inlineStr">
        <is>
          <t>Spanner profil</t>
        </is>
      </c>
      <c r="C541" s="6" t="inlineStr">
        <is>
          <t>Ponyvarendszer kiegészítők</t>
        </is>
      </c>
      <c r="D541" s="6" t="inlineStr">
        <is>
          <t>Spanner profil</t>
        </is>
      </c>
      <c r="E541" s="6" t="inlineStr">
        <is>
          <t>ESAL</t>
        </is>
      </c>
      <c r="F541" s="6" t="inlineStr">
        <is>
          <t>21092</t>
        </is>
      </c>
      <c r="G541" s="6" t="inlineStr">
        <is>
          <t>Quadris Excel</t>
        </is>
      </c>
      <c r="H541" s="6" t="n">
        <v>1</v>
      </c>
      <c r="I541" s="6" t="n">
        <v>3</v>
      </c>
      <c r="J541" s="6" t="inlineStr">
        <is>
          <t>nincs</t>
        </is>
      </c>
      <c r="K541" s="6">
        <f>IF(AND(H541&gt;0,I541&gt;0),"Rendben",IF(AND(H541=0,I541=0),"Nincs kép és adat",IF(H541=0,"Nincs kép","Nincs adat")))</f>
        <v/>
      </c>
      <c r="L541" s="6" t="inlineStr">
        <is>
          <t>Igen</t>
        </is>
      </c>
      <c r="M541" s="7" t="inlineStr">
        <is>
          <t>ESAL Catalogo Sponde 2020 (PDF); ESAL Profili commerciali (PDF)</t>
        </is>
      </c>
      <c r="N541" s="7" t="inlineStr">
        <is>
          <t>Megtalálva: ESAL 21092 (kód: 21092)</t>
        </is>
      </c>
      <c r="O541" s="11" t="inlineStr">
        <is>
          <t>https://esalforli.com/public/Catalogo-Sponde-2020-Esal-Forli.pdf#page=64</t>
        </is>
      </c>
      <c r="P541" s="11" t="inlineStr">
        <is>
          <t>https://website-9ib.pages.dev/termek/201092-spanner-profil/</t>
        </is>
      </c>
      <c r="Q541" s="12" t="inlineStr"/>
      <c r="R541" s="13" t="inlineStr"/>
      <c r="S541" s="6" t="inlineStr">
        <is>
          <t>201092-spanner-profil</t>
        </is>
      </c>
    </row>
    <row r="542">
      <c r="A542" s="6" t="inlineStr">
        <is>
          <t>203101</t>
        </is>
      </c>
      <c r="B542" s="7" t="inlineStr">
        <is>
          <t>Spanner profil</t>
        </is>
      </c>
      <c r="C542" s="6" t="inlineStr">
        <is>
          <t>Ponyvarendszer kiegészítők</t>
        </is>
      </c>
      <c r="D542" s="6" t="inlineStr">
        <is>
          <t>Spanner profil</t>
        </is>
      </c>
      <c r="E542" s="6" t="inlineStr">
        <is>
          <t>ESAL</t>
        </is>
      </c>
      <c r="F542" s="6" t="inlineStr">
        <is>
          <t>7KPB3101</t>
        </is>
      </c>
      <c r="G542" s="6" t="inlineStr">
        <is>
          <t>Quadris Excel</t>
        </is>
      </c>
      <c r="H542" s="6" t="n">
        <v>0</v>
      </c>
      <c r="I542" s="6" t="n">
        <v>0</v>
      </c>
      <c r="J542" s="6" t="inlineStr">
        <is>
          <t>nincs</t>
        </is>
      </c>
      <c r="K542" s="6">
        <f>IF(AND(H542&gt;0,I542&gt;0),"Rendben",IF(AND(H542=0,I542=0),"Nincs kép és adat",IF(H542=0,"Nincs kép","Nincs adat")))</f>
        <v/>
      </c>
      <c r="L542" s="6" t="inlineStr">
        <is>
          <t>Igen</t>
        </is>
      </c>
      <c r="M542" s="7" t="inlineStr">
        <is>
          <t>ESAL Catalogo Sponde 2020 (PDF); ESAL Profili commerciali (PDF)</t>
        </is>
      </c>
      <c r="N542" s="7" t="inlineStr">
        <is>
          <t>Nem találtuk: ESAL Catalogo Sponde 2020 (PDF); ESAL Profili commerciali (PDF)</t>
        </is>
      </c>
      <c r="O542" s="6" t="inlineStr"/>
      <c r="P542" s="11" t="inlineStr">
        <is>
          <t>https://website-9ib.pages.dev/termek/203101-spanner-profil/</t>
        </is>
      </c>
      <c r="Q542" s="12" t="inlineStr"/>
      <c r="R542" s="13" t="inlineStr"/>
      <c r="S542" s="6" t="inlineStr">
        <is>
          <t>203101-spanner-profil</t>
        </is>
      </c>
    </row>
    <row r="543">
      <c r="A543" s="6" t="inlineStr">
        <is>
          <t>237005</t>
        </is>
      </c>
      <c r="B543" s="7" t="inlineStr">
        <is>
          <t>142 mm I Koptató profil elox</t>
        </is>
      </c>
      <c r="C543" s="6" t="inlineStr">
        <is>
          <t>Zárt-dobozos és hűtős profilok</t>
        </is>
      </c>
      <c r="D543" s="6" t="inlineStr">
        <is>
          <t>Zárt-dobozos és hűtős profilok</t>
        </is>
      </c>
      <c r="E543" s="6" t="inlineStr">
        <is>
          <t>ESAL</t>
        </is>
      </c>
      <c r="F543" s="6" t="inlineStr">
        <is>
          <t>T1.7005.1</t>
        </is>
      </c>
      <c r="G543" s="6" t="inlineStr">
        <is>
          <t>Quadris Excel</t>
        </is>
      </c>
      <c r="H543" s="6" t="n">
        <v>0</v>
      </c>
      <c r="I543" s="6" t="n">
        <v>0</v>
      </c>
      <c r="J543" s="6" t="inlineStr">
        <is>
          <t>nincs</t>
        </is>
      </c>
      <c r="K543" s="6">
        <f>IF(AND(H543&gt;0,I543&gt;0),"Rendben",IF(AND(H543=0,I543=0),"Nincs kép és adat",IF(H543=0,"Nincs kép","Nincs adat")))</f>
        <v/>
      </c>
      <c r="L543" s="6" t="inlineStr">
        <is>
          <t>Igen</t>
        </is>
      </c>
      <c r="M543" s="7" t="inlineStr">
        <is>
          <t>ESAL Catalogo Sponde 2020 (PDF); ESAL Profili commerciali (PDF)</t>
        </is>
      </c>
      <c r="N543" s="7" t="inlineStr">
        <is>
          <t>Nem találtuk: ESAL Catalogo Sponde 2020 (PDF); ESAL Profili commerciali (PDF)</t>
        </is>
      </c>
      <c r="O543" s="6" t="inlineStr"/>
      <c r="P543" s="11" t="inlineStr">
        <is>
          <t>https://website-9ib.pages.dev/termek/237005-142-mm-i-koptato-profil-elox/</t>
        </is>
      </c>
      <c r="Q543" s="12" t="inlineStr"/>
      <c r="R543" s="13" t="inlineStr"/>
      <c r="S543" s="6" t="inlineStr">
        <is>
          <t>237005-142-mm-i-koptato-profil-elox</t>
        </is>
      </c>
    </row>
    <row r="544">
      <c r="A544" s="6" t="inlineStr">
        <is>
          <t>231381</t>
        </is>
      </c>
      <c r="B544" s="7" t="inlineStr">
        <is>
          <t>25 mm Díszléc alu 3000 mm</t>
        </is>
      </c>
      <c r="C544" s="6" t="inlineStr">
        <is>
          <t>Zárt-dobozos és hűtős profilok</t>
        </is>
      </c>
      <c r="D544" s="6" t="inlineStr">
        <is>
          <t>Zárt-dobozos és hűtős profilok</t>
        </is>
      </c>
      <c r="E544" s="6" t="inlineStr">
        <is>
          <t>ESAL</t>
        </is>
      </c>
      <c r="F544" s="6" t="inlineStr">
        <is>
          <t>C01MT205</t>
        </is>
      </c>
      <c r="G544" s="6" t="inlineStr">
        <is>
          <t>Quadris Excel</t>
        </is>
      </c>
      <c r="H544" s="6" t="n">
        <v>1</v>
      </c>
      <c r="I544" s="6" t="n">
        <v>3</v>
      </c>
      <c r="J544" s="6" t="inlineStr">
        <is>
          <t>nincs</t>
        </is>
      </c>
      <c r="K544" s="6">
        <f>IF(AND(H544&gt;0,I544&gt;0),"Rendben",IF(AND(H544=0,I544=0),"Nincs kép és adat",IF(H544=0,"Nincs kép","Nincs adat")))</f>
        <v/>
      </c>
      <c r="L544" s="6" t="inlineStr">
        <is>
          <t>Igen</t>
        </is>
      </c>
      <c r="M544" s="7" t="inlineStr">
        <is>
          <t>ESAL Catalogo Sponde 2020 (PDF); ESAL Profili commerciali (PDF)</t>
        </is>
      </c>
      <c r="N544" s="7" t="inlineStr">
        <is>
          <t>Megtalálva: ESAL MT (kód: MT)</t>
        </is>
      </c>
      <c r="O544" s="11" t="inlineStr">
        <is>
          <t>https://esalforli.com/public/Catalogo-Sponde-2020-Esal-Forli.pdf#page=64</t>
        </is>
      </c>
      <c r="P544" s="11" t="inlineStr">
        <is>
          <t>https://website-9ib.pages.dev/termek/231381-25-mm-diszlec-alu-3000-mm/</t>
        </is>
      </c>
      <c r="Q544" s="12" t="inlineStr"/>
      <c r="R544" s="13" t="inlineStr"/>
      <c r="S544" s="6" t="inlineStr">
        <is>
          <t>231381-25-mm-diszlec-alu-3000-mm</t>
        </is>
      </c>
    </row>
    <row r="545">
      <c r="A545" s="6" t="inlineStr">
        <is>
          <t>232134</t>
        </is>
      </c>
      <c r="B545" s="7" t="inlineStr">
        <is>
          <t>285 mm I Koptató profil elox</t>
        </is>
      </c>
      <c r="C545" s="6" t="inlineStr">
        <is>
          <t>Zárt-dobozos és hűtős profilok</t>
        </is>
      </c>
      <c r="D545" s="6" t="inlineStr">
        <is>
          <t>Zárt-dobozos és hűtős profilok</t>
        </is>
      </c>
      <c r="E545" s="6" t="inlineStr">
        <is>
          <t>ESAL</t>
        </is>
      </c>
      <c r="F545" s="6" t="inlineStr">
        <is>
          <t>2134</t>
        </is>
      </c>
      <c r="G545" s="6" t="inlineStr">
        <is>
          <t>Quadris Excel</t>
        </is>
      </c>
      <c r="H545" s="6" t="n">
        <v>1</v>
      </c>
      <c r="I545" s="6" t="n">
        <v>3</v>
      </c>
      <c r="J545" s="6" t="inlineStr">
        <is>
          <t>nincs</t>
        </is>
      </c>
      <c r="K545" s="6">
        <f>IF(AND(H545&gt;0,I545&gt;0),"Rendben",IF(AND(H545=0,I545=0),"Nincs kép és adat",IF(H545=0,"Nincs kép","Nincs adat")))</f>
        <v/>
      </c>
      <c r="L545" s="6" t="inlineStr">
        <is>
          <t>Igen</t>
        </is>
      </c>
      <c r="M545" s="7" t="inlineStr">
        <is>
          <t>ESAL Catalogo Sponde 2020 (PDF); ESAL Profili commerciali (PDF)</t>
        </is>
      </c>
      <c r="N545" s="7" t="inlineStr">
        <is>
          <t>Megtalálva: ESAL 2134 (kód: 2134)</t>
        </is>
      </c>
      <c r="O545" s="11" t="inlineStr">
        <is>
          <t>https://esalforli.com/public/Catalogo-Sponde-2020-Esal-Forli.pdf#page=74</t>
        </is>
      </c>
      <c r="P545" s="11" t="inlineStr">
        <is>
          <t>https://website-9ib.pages.dev/termek/232134-285-mm-i-koptato-profil-elox/</t>
        </is>
      </c>
      <c r="Q545" s="12" t="inlineStr"/>
      <c r="R545" s="13" t="inlineStr"/>
      <c r="S545" s="6" t="inlineStr">
        <is>
          <t>232134-285-mm-i-koptato-profil-elox</t>
        </is>
      </c>
    </row>
    <row r="546">
      <c r="A546" s="6" t="inlineStr">
        <is>
          <t>233837</t>
        </is>
      </c>
      <c r="B546" s="7" t="inlineStr">
        <is>
          <t>OR Tömítéses ajtószegő 35 mm elox</t>
        </is>
      </c>
      <c r="C546" s="6" t="inlineStr">
        <is>
          <t>Zárt-dobozos és hűtős profilok</t>
        </is>
      </c>
      <c r="D546" s="6" t="inlineStr">
        <is>
          <t>Zárt-dobozos és hűtős profilok</t>
        </is>
      </c>
      <c r="E546" s="6" t="inlineStr">
        <is>
          <t>ESAL</t>
        </is>
      </c>
      <c r="F546" s="6" t="inlineStr">
        <is>
          <t>213837</t>
        </is>
      </c>
      <c r="G546" s="6" t="inlineStr">
        <is>
          <t>Quadris Excel</t>
        </is>
      </c>
      <c r="H546" s="6" t="n">
        <v>1</v>
      </c>
      <c r="I546" s="6" t="n">
        <v>3</v>
      </c>
      <c r="J546" s="6" t="inlineStr">
        <is>
          <t>nincs</t>
        </is>
      </c>
      <c r="K546" s="6">
        <f>IF(AND(H546&gt;0,I546&gt;0),"Rendben",IF(AND(H546=0,I546=0),"Nincs kép és adat",IF(H546=0,"Nincs kép","Nincs adat")))</f>
        <v/>
      </c>
      <c r="L546" s="6" t="inlineStr">
        <is>
          <t>Igen</t>
        </is>
      </c>
      <c r="M546" s="7" t="inlineStr">
        <is>
          <t>ESAL Catalogo Sponde 2020 (PDF); ESAL Profili commerciali (PDF)</t>
        </is>
      </c>
      <c r="N546" s="7" t="inlineStr">
        <is>
          <t>Megtalálva: ESAL 13837 (kód: 13837)</t>
        </is>
      </c>
      <c r="O546" s="11" t="inlineStr">
        <is>
          <t>https://esalforli.com/public/Catalogo-Sponde-2020-Esal-Forli.pdf#page=46</t>
        </is>
      </c>
      <c r="P546" s="11" t="inlineStr">
        <is>
          <t>https://website-9ib.pages.dev/termek/233837-or-tomiteses-ajtoszego-35-mm-elox/</t>
        </is>
      </c>
      <c r="Q546" s="12" t="inlineStr"/>
      <c r="R546" s="13" t="inlineStr"/>
      <c r="S546" s="6" t="inlineStr">
        <is>
          <t>233837-or-tomiteses-ajtoszego-35-mm-elox</t>
        </is>
      </c>
    </row>
    <row r="547">
      <c r="A547" s="6" t="inlineStr">
        <is>
          <t>234002</t>
        </is>
      </c>
      <c r="B547" s="7" t="inlineStr">
        <is>
          <t>Tömítés a szegő profilhoz OR</t>
        </is>
      </c>
      <c r="C547" s="6" t="inlineStr">
        <is>
          <t>Zárt-dobozos és hűtős profilok</t>
        </is>
      </c>
      <c r="D547" s="6" t="inlineStr">
        <is>
          <t>Zárt-dobozos és hűtős profilok</t>
        </is>
      </c>
      <c r="E547" s="6" t="inlineStr">
        <is>
          <t>ESAL</t>
        </is>
      </c>
      <c r="F547" s="6" t="inlineStr">
        <is>
          <t>GK40020</t>
        </is>
      </c>
      <c r="G547" s="6" t="inlineStr">
        <is>
          <t>Quadris Excel</t>
        </is>
      </c>
      <c r="H547" s="6" t="n">
        <v>0</v>
      </c>
      <c r="I547" s="6" t="n">
        <v>0</v>
      </c>
      <c r="J547" s="6" t="inlineStr">
        <is>
          <t>nincs</t>
        </is>
      </c>
      <c r="K547" s="6">
        <f>IF(AND(H547&gt;0,I547&gt;0),"Rendben",IF(AND(H547=0,I547=0),"Nincs kép és adat",IF(H547=0,"Nincs kép","Nincs adat")))</f>
        <v/>
      </c>
      <c r="L547" s="6" t="inlineStr">
        <is>
          <t>Igen</t>
        </is>
      </c>
      <c r="M547" s="7" t="inlineStr">
        <is>
          <t>ESAL Catalogo Sponde 2020 (PDF); ESAL Profili commerciali (PDF)</t>
        </is>
      </c>
      <c r="N547" s="7" t="inlineStr">
        <is>
          <t>Nem találtuk: ESAL Catalogo Sponde 2020 (PDF); ESAL Profili commerciali (PDF)</t>
        </is>
      </c>
      <c r="O547" s="6" t="inlineStr"/>
      <c r="P547" s="11" t="inlineStr">
        <is>
          <t>https://website-9ib.pages.dev/termek/234002-tomites-a-szego-profilhoz-or/</t>
        </is>
      </c>
      <c r="Q547" s="12" t="inlineStr"/>
      <c r="R547" s="13" t="inlineStr"/>
      <c r="S547" s="6" t="inlineStr">
        <is>
          <t>234002-tomites-a-szego-profilhoz-or</t>
        </is>
      </c>
    </row>
    <row r="548">
      <c r="A548" s="6" t="inlineStr">
        <is>
          <t>251010</t>
        </is>
      </c>
      <c r="B548" s="7" t="inlineStr">
        <is>
          <t>100x100x8 Alu "L" profil</t>
        </is>
      </c>
      <c r="C548" s="6" t="inlineStr">
        <is>
          <t>Ipari félgyártmányok</t>
        </is>
      </c>
      <c r="D548" s="6" t="inlineStr">
        <is>
          <t>L profil</t>
        </is>
      </c>
      <c r="E548" s="6" t="inlineStr">
        <is>
          <t>EXAL</t>
        </is>
      </c>
      <c r="F548" s="6" t="inlineStr">
        <is>
          <t>EXL1001008N</t>
        </is>
      </c>
      <c r="G548" s="6" t="inlineStr">
        <is>
          <t>Quadris Excel</t>
        </is>
      </c>
      <c r="H548" s="6" t="n">
        <v>3</v>
      </c>
      <c r="I548" s="6" t="n">
        <v>4</v>
      </c>
      <c r="J548" s="6" t="inlineStr">
        <is>
          <t>nincs</t>
        </is>
      </c>
      <c r="K548" s="6">
        <f>IF(AND(H548&gt;0,I548&gt;0),"Rendben",IF(AND(H548=0,I548=0),"Nincs kép és adat",IF(H548=0,"Nincs kép","Nincs adat")))</f>
        <v/>
      </c>
      <c r="L548" s="6" t="inlineStr">
        <is>
          <t>Nem</t>
        </is>
      </c>
      <c r="M548" s="7" t="inlineStr">
        <is>
          <t>Quadris-megnevezés (nincs beszállítói forrás)</t>
        </is>
      </c>
      <c r="N548" s="7" t="inlineStr">
        <is>
          <t>Beszállítói forrás nincs – adatlap a Quadris-megnevezésből (méretek, elméleti tömeg)</t>
        </is>
      </c>
      <c r="O548" s="6" t="inlineStr"/>
      <c r="P548" s="11" t="inlineStr">
        <is>
          <t>https://website-9ib.pages.dev/termek/251010-100x100x8-alu-l-profil/</t>
        </is>
      </c>
      <c r="Q548" s="12" t="inlineStr"/>
      <c r="R548" s="13" t="inlineStr"/>
      <c r="S548" s="6" t="inlineStr">
        <is>
          <t>251010-100x100x8-alu-l-profil</t>
        </is>
      </c>
    </row>
    <row r="549">
      <c r="A549" s="6" t="inlineStr">
        <is>
          <t>255032</t>
        </is>
      </c>
      <c r="B549" s="7" t="inlineStr">
        <is>
          <t>50x30x2,5 Alu zártszelvény 6000 mm</t>
        </is>
      </c>
      <c r="C549" s="6" t="inlineStr">
        <is>
          <t>Ipari félgyártmányok</t>
        </is>
      </c>
      <c r="D549" s="6" t="inlineStr">
        <is>
          <t>Zártszelvény</t>
        </is>
      </c>
      <c r="E549" s="6" t="inlineStr">
        <is>
          <t>EXAL</t>
        </is>
      </c>
      <c r="F549" s="6" t="inlineStr">
        <is>
          <t>EXZ50302-5N</t>
        </is>
      </c>
      <c r="G549" s="6" t="inlineStr">
        <is>
          <t>Quadris Excel</t>
        </is>
      </c>
      <c r="H549" s="6" t="n">
        <v>3</v>
      </c>
      <c r="I549" s="6" t="n">
        <v>4</v>
      </c>
      <c r="J549" s="6" t="inlineStr">
        <is>
          <t>nincs</t>
        </is>
      </c>
      <c r="K549" s="6">
        <f>IF(AND(H549&gt;0,I549&gt;0),"Rendben",IF(AND(H549=0,I549=0),"Nincs kép és adat",IF(H549=0,"Nincs kép","Nincs adat")))</f>
        <v/>
      </c>
      <c r="L549" s="6" t="inlineStr">
        <is>
          <t>Nem</t>
        </is>
      </c>
      <c r="M549" s="7" t="inlineStr">
        <is>
          <t>Quadris-megnevezés (nincs beszállítói forrás)</t>
        </is>
      </c>
      <c r="N549" s="7" t="inlineStr">
        <is>
          <t>Beszállítói forrás nincs – adatlap a Quadris-megnevezésből (méretek, elméleti tömeg)</t>
        </is>
      </c>
      <c r="O549" s="6" t="inlineStr"/>
      <c r="P549" s="11" t="inlineStr">
        <is>
          <t>https://website-9ib.pages.dev/termek/255032-50x30x2-5-alu-zartszelveny-6000-mm/</t>
        </is>
      </c>
      <c r="Q549" s="12" t="inlineStr"/>
      <c r="R549" s="13" t="inlineStr"/>
      <c r="S549" s="6" t="inlineStr">
        <is>
          <t>255032-50x30x2-5-alu-zartszelveny-6000-mm</t>
        </is>
      </c>
    </row>
    <row r="550">
      <c r="A550" s="6" t="inlineStr">
        <is>
          <t>223520</t>
        </is>
      </c>
      <c r="B550" s="7" t="inlineStr">
        <is>
          <t>Ponyvacső 35x2 mm</t>
        </is>
      </c>
      <c r="C550" s="6" t="inlineStr">
        <is>
          <t>Ponyvarendszer kiegészítők</t>
        </is>
      </c>
      <c r="D550" s="6" t="inlineStr">
        <is>
          <t>Ponyvacsövek</t>
        </is>
      </c>
      <c r="E550" s="6" t="inlineStr">
        <is>
          <t>EXAL</t>
        </is>
      </c>
      <c r="F550" s="6" t="inlineStr">
        <is>
          <t>EXO352N/7000</t>
        </is>
      </c>
      <c r="G550" s="6" t="inlineStr">
        <is>
          <t>Quadris Excel</t>
        </is>
      </c>
      <c r="H550" s="6" t="n">
        <v>3</v>
      </c>
      <c r="I550" s="6" t="n">
        <v>4</v>
      </c>
      <c r="J550" s="6" t="inlineStr">
        <is>
          <t>nincs</t>
        </is>
      </c>
      <c r="K550" s="6">
        <f>IF(AND(H550&gt;0,I550&gt;0),"Rendben",IF(AND(H550=0,I550=0),"Nincs kép és adat",IF(H550=0,"Nincs kép","Nincs adat")))</f>
        <v/>
      </c>
      <c r="L550" s="6" t="inlineStr">
        <is>
          <t>Nem</t>
        </is>
      </c>
      <c r="M550" s="7" t="inlineStr">
        <is>
          <t>Quadris-megnevezés (nincs beszállítói forrás)</t>
        </is>
      </c>
      <c r="N550" s="7" t="inlineStr">
        <is>
          <t>Beszállítói forrás nincs – adatlap a Quadris-megnevezésből (méretek, elméleti tömeg)</t>
        </is>
      </c>
      <c r="O550" s="6" t="inlineStr"/>
      <c r="P550" s="11" t="inlineStr">
        <is>
          <t>https://website-9ib.pages.dev/termek/223520-ponyvacso-35x2-mm/</t>
        </is>
      </c>
      <c r="Q550" s="12" t="inlineStr"/>
      <c r="R550" s="13" t="inlineStr"/>
      <c r="S550" s="6" t="inlineStr">
        <is>
          <t>223520-ponyvacso-35x2-mm</t>
        </is>
      </c>
    </row>
    <row r="551">
      <c r="A551" s="6" t="inlineStr">
        <is>
          <t>206441</t>
        </is>
      </c>
      <c r="B551" s="7" t="inlineStr">
        <is>
          <t>"I" gerenda profil 80x60/50x8,6 mm</t>
        </is>
      </c>
      <c r="C551" s="6" t="inlineStr">
        <is>
          <t>Alumínium alváz profilok</t>
        </is>
      </c>
      <c r="D551" s="6" t="inlineStr">
        <is>
          <t>Kereszttartók</t>
        </is>
      </c>
      <c r="E551" s="6" t="inlineStr">
        <is>
          <t>Exlabesa ES</t>
        </is>
      </c>
      <c r="F551" s="6" t="inlineStr">
        <is>
          <t>06441</t>
        </is>
      </c>
      <c r="G551" s="6" t="inlineStr">
        <is>
          <t>Quadris Excel</t>
        </is>
      </c>
      <c r="H551" s="6" t="n">
        <v>3</v>
      </c>
      <c r="I551" s="6" t="n">
        <v>4</v>
      </c>
      <c r="J551" s="6" t="inlineStr">
        <is>
          <t>nincs</t>
        </is>
      </c>
      <c r="K551" s="6">
        <f>IF(AND(H551&gt;0,I551&gt;0),"Rendben",IF(AND(H551=0,I551=0),"Nincs kép és adat",IF(H551=0,"Nincs kép","Nincs adat")))</f>
        <v/>
      </c>
      <c r="L551" s="6" t="inlineStr">
        <is>
          <t>Igen</t>
        </is>
      </c>
      <c r="M551" s="7" t="inlineStr">
        <is>
          <t>Exlabesa 2023 standard katalógus (Drive)</t>
        </is>
      </c>
      <c r="N551" s="7" t="inlineStr">
        <is>
          <t>Nem találtuk: Exlabesa 2023 standard katalógus (Drive); adatlap a Quadris-megnevezésből</t>
        </is>
      </c>
      <c r="O551" s="6" t="inlineStr"/>
      <c r="P551" s="11" t="inlineStr">
        <is>
          <t>https://website-9ib.pages.dev/termek/206441-i-gerenda-profil-80x60-50x8-6-mm/</t>
        </is>
      </c>
      <c r="Q551" s="12" t="inlineStr"/>
      <c r="R551" s="13" t="inlineStr"/>
      <c r="S551" s="6" t="inlineStr">
        <is>
          <t>206441-i-gerenda-profil-80x60-50x8-6-mm</t>
        </is>
      </c>
    </row>
    <row r="552">
      <c r="A552" s="6" t="inlineStr">
        <is>
          <t>220233</t>
        </is>
      </c>
      <c r="B552" s="7" t="inlineStr">
        <is>
          <t>150x25 mm Ponyvatartó zártszelvény</t>
        </is>
      </c>
      <c r="C552" s="6" t="inlineStr">
        <is>
          <t>Ponyvarendszer kiegészítők</t>
        </is>
      </c>
      <c r="D552" s="6" t="inlineStr">
        <is>
          <t>Ponyvatartó zártszelvények</t>
        </is>
      </c>
      <c r="E552" s="6" t="inlineStr">
        <is>
          <t>Exlabesa ES</t>
        </is>
      </c>
      <c r="F552" s="6" t="inlineStr">
        <is>
          <t>20233</t>
        </is>
      </c>
      <c r="G552" s="6" t="inlineStr">
        <is>
          <t>Quadris Excel</t>
        </is>
      </c>
      <c r="H552" s="6" t="n">
        <v>3</v>
      </c>
      <c r="I552" s="6" t="n">
        <v>2</v>
      </c>
      <c r="J552" s="6" t="inlineStr">
        <is>
          <t>nincs</t>
        </is>
      </c>
      <c r="K552" s="6">
        <f>IF(AND(H552&gt;0,I552&gt;0),"Rendben",IF(AND(H552=0,I552=0),"Nincs kép és adat",IF(H552=0,"Nincs kép","Nincs adat")))</f>
        <v/>
      </c>
      <c r="L552" s="6" t="inlineStr">
        <is>
          <t>Igen</t>
        </is>
      </c>
      <c r="M552" s="7" t="inlineStr">
        <is>
          <t>Exlabesa 2023 standard katalógus (Drive)</t>
        </is>
      </c>
      <c r="N552" s="7" t="inlineStr">
        <is>
          <t>Nem találtuk: Exlabesa 2023 standard katalógus (Drive); adatlap a Quadris-megnevezésből</t>
        </is>
      </c>
      <c r="O552" s="6" t="inlineStr"/>
      <c r="P552" s="11" t="inlineStr">
        <is>
          <t>https://website-9ib.pages.dev/termek/220233-150x25-mm-ponyvatarto-zartszelveny/</t>
        </is>
      </c>
      <c r="Q552" s="12" t="inlineStr"/>
      <c r="R552" s="13" t="inlineStr"/>
      <c r="S552" s="6" t="inlineStr">
        <is>
          <t>220233-150x25-mm-ponyvatarto-zartszelveny</t>
        </is>
      </c>
    </row>
    <row r="553">
      <c r="A553" s="6" t="inlineStr">
        <is>
          <t>226887</t>
        </is>
      </c>
      <c r="B553" s="7" t="inlineStr">
        <is>
          <t>Spitz profil 140 mm magas</t>
        </is>
      </c>
      <c r="C553" s="6" t="inlineStr">
        <is>
          <t>Ponyvarendszer kiegészítők</t>
        </is>
      </c>
      <c r="D553" s="6" t="inlineStr">
        <is>
          <t>Spitzprofilok</t>
        </is>
      </c>
      <c r="E553" s="6" t="inlineStr">
        <is>
          <t>Exlabesa ES</t>
        </is>
      </c>
      <c r="F553" s="6" t="inlineStr">
        <is>
          <t>06887</t>
        </is>
      </c>
      <c r="G553" s="6" t="inlineStr">
        <is>
          <t>Quadris Excel</t>
        </is>
      </c>
      <c r="H553" s="6" t="n">
        <v>0</v>
      </c>
      <c r="I553" s="6" t="n">
        <v>0</v>
      </c>
      <c r="J553" s="6" t="inlineStr">
        <is>
          <t>nincs</t>
        </is>
      </c>
      <c r="K553" s="6">
        <f>IF(AND(H553&gt;0,I553&gt;0),"Rendben",IF(AND(H553=0,I553=0),"Nincs kép és adat",IF(H553=0,"Nincs kép","Nincs adat")))</f>
        <v/>
      </c>
      <c r="L553" s="6" t="inlineStr">
        <is>
          <t>Igen</t>
        </is>
      </c>
      <c r="M553" s="7" t="inlineStr">
        <is>
          <t>Exlabesa 2023 standard katalógus (Drive)</t>
        </is>
      </c>
      <c r="N553" s="7" t="inlineStr">
        <is>
          <t>Nem találtuk: Exlabesa 2023 standard katalógus (Drive)</t>
        </is>
      </c>
      <c r="O553" s="6" t="inlineStr"/>
      <c r="P553" s="11" t="inlineStr">
        <is>
          <t>https://website-9ib.pages.dev/termek/226887-spitz-profil-140-mm-magas/</t>
        </is>
      </c>
      <c r="Q553" s="12" t="inlineStr"/>
      <c r="R553" s="13" t="inlineStr"/>
      <c r="S553" s="6" t="inlineStr">
        <is>
          <t>226887-spitz-profil-140-mm-magas</t>
        </is>
      </c>
    </row>
    <row r="554">
      <c r="A554" s="6" t="inlineStr">
        <is>
          <t>200392</t>
        </is>
      </c>
      <c r="B554" s="7" t="inlineStr">
        <is>
          <t>"I" 90/60 Kereszttartó EX</t>
        </is>
      </c>
      <c r="C554" s="6" t="inlineStr">
        <is>
          <t>Alumínium alváz profilok</t>
        </is>
      </c>
      <c r="D554" s="6" t="inlineStr">
        <is>
          <t>Kereszttartók</t>
        </is>
      </c>
      <c r="E554" s="6" t="inlineStr">
        <is>
          <t>Exlabesa PL</t>
        </is>
      </c>
      <c r="F554" s="6" t="inlineStr">
        <is>
          <t>50392</t>
        </is>
      </c>
      <c r="G554" s="6" t="inlineStr">
        <is>
          <t>Quadris Excel</t>
        </is>
      </c>
      <c r="H554" s="6" t="n">
        <v>3</v>
      </c>
      <c r="I554" s="6" t="n">
        <v>7</v>
      </c>
      <c r="J554" s="6" t="inlineStr">
        <is>
          <t>nincs</t>
        </is>
      </c>
      <c r="K554" s="6">
        <f>IF(AND(H554&gt;0,I554&gt;0),"Rendben",IF(AND(H554=0,I554=0),"Nincs kép és adat",IF(H554=0,"Nincs kép","Nincs adat")))</f>
        <v/>
      </c>
      <c r="L554" s="6" t="inlineStr">
        <is>
          <t>Igen</t>
        </is>
      </c>
      <c r="M554" s="7" t="inlineStr">
        <is>
          <t>Exlabesa 2023 standard katalógus (Drive)</t>
        </is>
      </c>
      <c r="N554" s="7" t="inlineStr">
        <is>
          <t>Megtalálva: Exlabesa katalógus EXL-50392 (kód: EXL-50392)</t>
        </is>
      </c>
      <c r="O554" s="11" t="inlineStr">
        <is>
          <t>https://www.exlabesa.com</t>
        </is>
      </c>
      <c r="P554" s="11" t="inlineStr">
        <is>
          <t>https://website-9ib.pages.dev/termek/200392-i-90-60-kereszttarto-ex/</t>
        </is>
      </c>
      <c r="Q554" s="12" t="inlineStr"/>
      <c r="R554" s="13" t="inlineStr"/>
      <c r="S554" s="6" t="inlineStr">
        <is>
          <t>200392-i-90-60-kereszttarto-ex</t>
        </is>
      </c>
    </row>
    <row r="555">
      <c r="A555" s="6" t="inlineStr">
        <is>
          <t>207327</t>
        </is>
      </c>
      <c r="B555" s="7" t="inlineStr">
        <is>
          <t>"TL" 110/60/60 Hossztartó EX</t>
        </is>
      </c>
      <c r="C555" s="6" t="inlineStr">
        <is>
          <t>Alumínium alváz profilok</t>
        </is>
      </c>
      <c r="D555" s="6" t="inlineStr">
        <is>
          <t>Hossztartók</t>
        </is>
      </c>
      <c r="E555" s="6" t="inlineStr">
        <is>
          <t>Exlabesa PL</t>
        </is>
      </c>
      <c r="F555" s="6" t="inlineStr">
        <is>
          <t>37327</t>
        </is>
      </c>
      <c r="G555" s="6" t="inlineStr">
        <is>
          <t>Quadris Excel</t>
        </is>
      </c>
      <c r="H555" s="6" t="n">
        <v>1</v>
      </c>
      <c r="I555" s="6" t="n">
        <v>6</v>
      </c>
      <c r="J555" s="6" t="inlineStr">
        <is>
          <t>nincs</t>
        </is>
      </c>
      <c r="K555" s="6">
        <f>IF(AND(H555&gt;0,I555&gt;0),"Rendben",IF(AND(H555=0,I555=0),"Nincs kép és adat",IF(H555=0,"Nincs kép","Nincs adat")))</f>
        <v/>
      </c>
      <c r="L555" s="6" t="inlineStr">
        <is>
          <t>Igen</t>
        </is>
      </c>
      <c r="M555" s="7" t="inlineStr">
        <is>
          <t>Exlabesa 2023 standard katalógus (Drive)</t>
        </is>
      </c>
      <c r="N555" s="7" t="inlineStr">
        <is>
          <t>Megtalálva: Exlabesa katalógus EXL-37327 (kód: EXL-37327)</t>
        </is>
      </c>
      <c r="O555" s="11" t="inlineStr">
        <is>
          <t>https://www.exlabesa.com</t>
        </is>
      </c>
      <c r="P555" s="11" t="inlineStr">
        <is>
          <t>https://website-9ib.pages.dev/termek/207327-tl-110-60-60-hossztarto-ex/</t>
        </is>
      </c>
      <c r="Q555" s="12" t="inlineStr"/>
      <c r="R555" s="13" t="inlineStr"/>
      <c r="S555" s="6" t="inlineStr">
        <is>
          <t>207327-tl-110-60-60-hossztarto-ex</t>
        </is>
      </c>
    </row>
    <row r="556">
      <c r="A556" s="6" t="inlineStr">
        <is>
          <t>209695</t>
        </is>
      </c>
      <c r="B556" s="7" t="inlineStr">
        <is>
          <t>"U" 110/60 Hossztartó duplanútolt EX</t>
        </is>
      </c>
      <c r="C556" s="6" t="inlineStr">
        <is>
          <t>Alumínium alváz profilok</t>
        </is>
      </c>
      <c r="D556" s="6" t="inlineStr">
        <is>
          <t>Hossztartók</t>
        </is>
      </c>
      <c r="E556" s="6" t="inlineStr">
        <is>
          <t>Exlabesa PL</t>
        </is>
      </c>
      <c r="F556" s="6" t="inlineStr">
        <is>
          <t>39695</t>
        </is>
      </c>
      <c r="G556" s="6" t="inlineStr">
        <is>
          <t>Quadris Excel</t>
        </is>
      </c>
      <c r="H556" s="6" t="n">
        <v>3</v>
      </c>
      <c r="I556" s="6" t="n">
        <v>7</v>
      </c>
      <c r="J556" s="6" t="inlineStr">
        <is>
          <t>nincs</t>
        </is>
      </c>
      <c r="K556" s="6">
        <f>IF(AND(H556&gt;0,I556&gt;0),"Rendben",IF(AND(H556=0,I556=0),"Nincs kép és adat",IF(H556=0,"Nincs kép","Nincs adat")))</f>
        <v/>
      </c>
      <c r="L556" s="6" t="inlineStr">
        <is>
          <t>Igen</t>
        </is>
      </c>
      <c r="M556" s="7" t="inlineStr">
        <is>
          <t>Exlabesa 2023 standard katalógus (Drive)</t>
        </is>
      </c>
      <c r="N556" s="7" t="inlineStr">
        <is>
          <t>Megtalálva: Exlabesa katalógus EXL-39695 (kód: EXL-39695)</t>
        </is>
      </c>
      <c r="O556" s="11" t="inlineStr">
        <is>
          <t>https://www.exlabesa.com</t>
        </is>
      </c>
      <c r="P556" s="11" t="inlineStr">
        <is>
          <t>https://website-9ib.pages.dev/termek/209695-u-110-60-hossztarto-duplanutolt-ex/</t>
        </is>
      </c>
      <c r="Q556" s="12" t="inlineStr"/>
      <c r="R556" s="13" t="inlineStr"/>
      <c r="S556" s="6" t="inlineStr">
        <is>
          <t>209695-u-110-60-hossztarto-duplanutolt-ex</t>
        </is>
      </c>
    </row>
    <row r="557">
      <c r="A557" s="6" t="inlineStr">
        <is>
          <t>222910/30</t>
        </is>
      </c>
      <c r="B557" s="7" t="inlineStr">
        <is>
          <t>Padló profil 200 mm EXL</t>
        </is>
      </c>
      <c r="C557" s="6" t="inlineStr">
        <is>
          <t>Alumínium padló profilok</t>
        </is>
      </c>
      <c r="D557" s="6" t="inlineStr">
        <is>
          <t>Padló profilok</t>
        </is>
      </c>
      <c r="E557" s="6" t="inlineStr">
        <is>
          <t>Exlabesa PL</t>
        </is>
      </c>
      <c r="F557" s="6" t="inlineStr">
        <is>
          <t>29100</t>
        </is>
      </c>
      <c r="G557" s="6" t="inlineStr">
        <is>
          <t>Quadris Excel</t>
        </is>
      </c>
      <c r="H557" s="6" t="n">
        <v>0</v>
      </c>
      <c r="I557" s="6" t="n">
        <v>0</v>
      </c>
      <c r="J557" s="6" t="inlineStr">
        <is>
          <t>nincs</t>
        </is>
      </c>
      <c r="K557" s="6">
        <f>IF(AND(H557&gt;0,I557&gt;0),"Rendben",IF(AND(H557=0,I557=0),"Nincs kép és adat",IF(H557=0,"Nincs kép","Nincs adat")))</f>
        <v/>
      </c>
      <c r="L557" s="6" t="inlineStr">
        <is>
          <t>Igen</t>
        </is>
      </c>
      <c r="M557" s="7" t="inlineStr">
        <is>
          <t>Exlabesa 2023 standard katalógus (Drive)</t>
        </is>
      </c>
      <c r="N557" s="7" t="inlineStr">
        <is>
          <t>Nem találtuk: Exlabesa 2023 standard katalógus (Drive)</t>
        </is>
      </c>
      <c r="O557" s="6" t="inlineStr"/>
      <c r="P557" s="11" t="inlineStr">
        <is>
          <t>https://website-9ib.pages.dev/termek/222910-30-padlo-profil-200-mm-exl/</t>
        </is>
      </c>
      <c r="Q557" s="12" t="inlineStr"/>
      <c r="R557" s="13" t="inlineStr"/>
      <c r="S557" s="6" t="inlineStr">
        <is>
          <t>222910-30-padlo-profil-200-mm-exl</t>
        </is>
      </c>
    </row>
    <row r="558">
      <c r="A558" s="6" t="inlineStr">
        <is>
          <t>207776/30</t>
        </is>
      </c>
      <c r="B558" s="7" t="inlineStr">
        <is>
          <t>Padló profil 220 mm EX</t>
        </is>
      </c>
      <c r="C558" s="6" t="inlineStr">
        <is>
          <t>Alumínium padló profilok</t>
        </is>
      </c>
      <c r="D558" s="6" t="inlineStr">
        <is>
          <t>Autószállító profilok</t>
        </is>
      </c>
      <c r="E558" s="6" t="inlineStr">
        <is>
          <t>Exlabesa PL</t>
        </is>
      </c>
      <c r="F558" s="6" t="inlineStr">
        <is>
          <t>37776</t>
        </is>
      </c>
      <c r="G558" s="6" t="inlineStr">
        <is>
          <t>Quadris Excel</t>
        </is>
      </c>
      <c r="H558" s="6" t="n">
        <v>1</v>
      </c>
      <c r="I558" s="6" t="n">
        <v>7</v>
      </c>
      <c r="J558" s="6" t="inlineStr">
        <is>
          <t>nincs</t>
        </is>
      </c>
      <c r="K558" s="6">
        <f>IF(AND(H558&gt;0,I558&gt;0),"Rendben",IF(AND(H558=0,I558=0),"Nincs kép és adat",IF(H558=0,"Nincs kép","Nincs adat")))</f>
        <v/>
      </c>
      <c r="L558" s="6" t="inlineStr">
        <is>
          <t>Igen</t>
        </is>
      </c>
      <c r="M558" s="7" t="inlineStr">
        <is>
          <t>Exlabesa 2023 standard katalógus (Drive)</t>
        </is>
      </c>
      <c r="N558" s="7" t="inlineStr">
        <is>
          <t>Megtalálva: Exlabesa katalógus EXL-37776 (kód: EXL-37776)</t>
        </is>
      </c>
      <c r="O558" s="11" t="inlineStr">
        <is>
          <t>https://www.exlabesa.com</t>
        </is>
      </c>
      <c r="P558" s="11" t="inlineStr">
        <is>
          <t>https://website-9ib.pages.dev/termek/207776-30-padlo-profil-220-mm-ex/</t>
        </is>
      </c>
      <c r="Q558" s="12" t="inlineStr"/>
      <c r="R558" s="13" t="inlineStr"/>
      <c r="S558" s="6" t="inlineStr">
        <is>
          <t>207776-30-padlo-profil-220-mm-ex</t>
        </is>
      </c>
    </row>
    <row r="559">
      <c r="A559" s="6" t="inlineStr">
        <is>
          <t>225630/55</t>
        </is>
      </c>
      <c r="B559" s="7" t="inlineStr">
        <is>
          <t>Padló profil 250 mm zárt</t>
        </is>
      </c>
      <c r="C559" s="6" t="inlineStr">
        <is>
          <t>Alumínium padló profilok</t>
        </is>
      </c>
      <c r="D559" s="6" t="inlineStr">
        <is>
          <t>Padló profilok</t>
        </is>
      </c>
      <c r="E559" s="6" t="inlineStr">
        <is>
          <t>Exlabesa PL</t>
        </is>
      </c>
      <c r="F559" s="6" t="inlineStr">
        <is>
          <t>05630</t>
        </is>
      </c>
      <c r="G559" s="6" t="inlineStr">
        <is>
          <t>Quadris Excel</t>
        </is>
      </c>
      <c r="H559" s="6" t="n">
        <v>0</v>
      </c>
      <c r="I559" s="6" t="n">
        <v>0</v>
      </c>
      <c r="J559" s="6" t="inlineStr">
        <is>
          <t>nincs</t>
        </is>
      </c>
      <c r="K559" s="6">
        <f>IF(AND(H559&gt;0,I559&gt;0),"Rendben",IF(AND(H559=0,I559=0),"Nincs kép és adat",IF(H559=0,"Nincs kép","Nincs adat")))</f>
        <v/>
      </c>
      <c r="L559" s="6" t="inlineStr">
        <is>
          <t>Igen</t>
        </is>
      </c>
      <c r="M559" s="7" t="inlineStr">
        <is>
          <t>Exlabesa 2023 standard katalógus (Drive)</t>
        </is>
      </c>
      <c r="N559" s="7" t="inlineStr">
        <is>
          <t>Nem találtuk: Exlabesa 2023 standard katalógus (Drive)</t>
        </is>
      </c>
      <c r="O559" s="6" t="inlineStr"/>
      <c r="P559" s="11" t="inlineStr">
        <is>
          <t>https://website-9ib.pages.dev/termek/225630-55-padlo-profil-250-mm-zart/</t>
        </is>
      </c>
      <c r="Q559" s="12" t="inlineStr"/>
      <c r="R559" s="13" t="inlineStr"/>
      <c r="S559" s="6" t="inlineStr">
        <is>
          <t>225630-55-padlo-profil-250-mm-zart</t>
        </is>
      </c>
    </row>
    <row r="560">
      <c r="A560" s="6" t="inlineStr">
        <is>
          <t>6639692</t>
        </is>
      </c>
      <c r="B560" s="7" t="inlineStr">
        <is>
          <t>MAX első oszlop EXL elox</t>
        </is>
      </c>
      <c r="C560" s="6" t="inlineStr">
        <is>
          <t>Elhúzható rolóponyvás rendszer</t>
        </is>
      </c>
      <c r="D560" s="6" t="inlineStr">
        <is>
          <t>Alumínium sarok oszlopok</t>
        </is>
      </c>
      <c r="E560" s="6" t="inlineStr">
        <is>
          <t>Exlabesa PL</t>
        </is>
      </c>
      <c r="F560" s="6" t="inlineStr">
        <is>
          <t>39692</t>
        </is>
      </c>
      <c r="G560" s="6" t="inlineStr">
        <is>
          <t>Quadris Excel</t>
        </is>
      </c>
      <c r="H560" s="6" t="n">
        <v>1</v>
      </c>
      <c r="I560" s="6" t="n">
        <v>6</v>
      </c>
      <c r="J560" s="6" t="inlineStr">
        <is>
          <t>nincs</t>
        </is>
      </c>
      <c r="K560" s="6">
        <f>IF(AND(H560&gt;0,I560&gt;0),"Rendben",IF(AND(H560=0,I560=0),"Nincs kép és adat",IF(H560=0,"Nincs kép","Nincs adat")))</f>
        <v/>
      </c>
      <c r="L560" s="6" t="inlineStr">
        <is>
          <t>Igen</t>
        </is>
      </c>
      <c r="M560" s="7" t="inlineStr">
        <is>
          <t>Exlabesa 2023 standard katalógus (Drive)</t>
        </is>
      </c>
      <c r="N560" s="7" t="inlineStr">
        <is>
          <t>Megtalálva: Exlabesa katalógus EXL-39692 (kód: EXL-39692)</t>
        </is>
      </c>
      <c r="O560" s="11" t="inlineStr">
        <is>
          <t>https://www.exlabesa.com</t>
        </is>
      </c>
      <c r="P560" s="11" t="inlineStr">
        <is>
          <t>https://website-9ib.pages.dev/termek/6639692-max-elso-oszlop-exl-elox/</t>
        </is>
      </c>
      <c r="Q560" s="12" t="inlineStr"/>
      <c r="R560" s="13" t="inlineStr"/>
      <c r="S560" s="6" t="inlineStr">
        <is>
          <t>6639692-max-elso-oszlop-exl-elox</t>
        </is>
      </c>
    </row>
    <row r="561">
      <c r="A561" s="6" t="inlineStr">
        <is>
          <t>6639604</t>
        </is>
      </c>
      <c r="B561" s="7" t="inlineStr">
        <is>
          <t>MAX hátsó oszlop EXL elox</t>
        </is>
      </c>
      <c r="C561" s="6" t="inlineStr">
        <is>
          <t>Elhúzható rolóponyvás rendszer</t>
        </is>
      </c>
      <c r="D561" s="6" t="inlineStr">
        <is>
          <t>Alumínium sarok oszlopok</t>
        </is>
      </c>
      <c r="E561" s="6" t="inlineStr">
        <is>
          <t>Exlabesa PL</t>
        </is>
      </c>
      <c r="F561" s="6" t="inlineStr">
        <is>
          <t>39604</t>
        </is>
      </c>
      <c r="G561" s="6" t="inlineStr">
        <is>
          <t>Quadris Excel</t>
        </is>
      </c>
      <c r="H561" s="6" t="n">
        <v>1</v>
      </c>
      <c r="I561" s="6" t="n">
        <v>6</v>
      </c>
      <c r="J561" s="6" t="inlineStr">
        <is>
          <t>nincs</t>
        </is>
      </c>
      <c r="K561" s="6">
        <f>IF(AND(H561&gt;0,I561&gt;0),"Rendben",IF(AND(H561=0,I561=0),"Nincs kép és adat",IF(H561=0,"Nincs kép","Nincs adat")))</f>
        <v/>
      </c>
      <c r="L561" s="6" t="inlineStr">
        <is>
          <t>Igen</t>
        </is>
      </c>
      <c r="M561" s="7" t="inlineStr">
        <is>
          <t>Exlabesa 2023 standard katalógus (Drive)</t>
        </is>
      </c>
      <c r="N561" s="7" t="inlineStr">
        <is>
          <t>Megtalálva: Exlabesa katalógus EXL-39604 (kód: EXL-39604)</t>
        </is>
      </c>
      <c r="O561" s="11" t="inlineStr">
        <is>
          <t>https://www.exlabesa.com</t>
        </is>
      </c>
      <c r="P561" s="11" t="inlineStr">
        <is>
          <t>https://website-9ib.pages.dev/termek/6639604-max-hatso-oszlop-exl-elox/</t>
        </is>
      </c>
      <c r="Q561" s="12" t="inlineStr"/>
      <c r="R561" s="13" t="inlineStr"/>
      <c r="S561" s="6" t="inlineStr">
        <is>
          <t>6639604-max-hatso-oszlop-exl-elox</t>
        </is>
      </c>
    </row>
    <row r="562">
      <c r="A562" s="6" t="inlineStr">
        <is>
          <t>237301</t>
        </is>
      </c>
      <c r="B562" s="7" t="inlineStr">
        <is>
          <t>45x300x3 mm L Belső bokaléc védőprofil elox</t>
        </is>
      </c>
      <c r="C562" s="6" t="inlineStr">
        <is>
          <t>Zárt-dobozos és hűtős profilok</t>
        </is>
      </c>
      <c r="D562" s="6" t="inlineStr">
        <is>
          <t>Zárt-dobozos és hűtős profilok</t>
        </is>
      </c>
      <c r="E562" s="6" t="inlineStr">
        <is>
          <t>Exlabesa PL</t>
        </is>
      </c>
      <c r="F562" s="6" t="inlineStr">
        <is>
          <t>130301</t>
        </is>
      </c>
      <c r="G562" s="6" t="inlineStr">
        <is>
          <t>Quadris Excel</t>
        </is>
      </c>
      <c r="H562" s="6" t="n">
        <v>3</v>
      </c>
      <c r="I562" s="6" t="n">
        <v>4</v>
      </c>
      <c r="J562" s="6" t="inlineStr">
        <is>
          <t>nincs</t>
        </is>
      </c>
      <c r="K562" s="6">
        <f>IF(AND(H562&gt;0,I562&gt;0),"Rendben",IF(AND(H562=0,I562=0),"Nincs kép és adat",IF(H562=0,"Nincs kép","Nincs adat")))</f>
        <v/>
      </c>
      <c r="L562" s="6" t="inlineStr">
        <is>
          <t>Igen</t>
        </is>
      </c>
      <c r="M562" s="7" t="inlineStr">
        <is>
          <t>Exlabesa 2023 standard katalógus (Drive)</t>
        </is>
      </c>
      <c r="N562" s="7" t="inlineStr">
        <is>
          <t>Nem találtuk: Exlabesa 2023 standard katalógus (Drive); adatlap a Quadris-megnevezésből</t>
        </is>
      </c>
      <c r="O562" s="6" t="inlineStr"/>
      <c r="P562" s="11" t="inlineStr">
        <is>
          <t>https://website-9ib.pages.dev/termek/237301-45x300x3-mm-l-belso-bokalec-vedoprofil-elox/</t>
        </is>
      </c>
      <c r="Q562" s="12" t="inlineStr"/>
      <c r="R562" s="13" t="inlineStr"/>
      <c r="S562" s="6" t="inlineStr">
        <is>
          <t>237301-45x300x3-mm-l-belso-bokalec-vedoprofil-elox</t>
        </is>
      </c>
    </row>
    <row r="563">
      <c r="A563" s="6" t="inlineStr">
        <is>
          <t>237712/13</t>
        </is>
      </c>
      <c r="B563" s="7" t="inlineStr">
        <is>
          <t>Dupla alu csiga zsanér "u" 25 mm elox</t>
        </is>
      </c>
      <c r="C563" s="6" t="inlineStr">
        <is>
          <t>Zárt-dobozos és hűtős profilok</t>
        </is>
      </c>
      <c r="D563" s="6" t="inlineStr">
        <is>
          <t>Zárt-dobozos és hűtős profilok</t>
        </is>
      </c>
      <c r="E563" s="6" t="inlineStr">
        <is>
          <t>Exlabesa PL</t>
        </is>
      </c>
      <c r="F563" s="6" t="inlineStr">
        <is>
          <t>37712</t>
        </is>
      </c>
      <c r="G563" s="6" t="inlineStr">
        <is>
          <t>Quadris Excel</t>
        </is>
      </c>
      <c r="H563" s="6" t="n">
        <v>1</v>
      </c>
      <c r="I563" s="6" t="n">
        <v>6</v>
      </c>
      <c r="J563" s="6" t="inlineStr">
        <is>
          <t>nincs</t>
        </is>
      </c>
      <c r="K563" s="6">
        <f>IF(AND(H563&gt;0,I563&gt;0),"Rendben",IF(AND(H563=0,I563=0),"Nincs kép és adat",IF(H563=0,"Nincs kép","Nincs adat")))</f>
        <v/>
      </c>
      <c r="L563" s="6" t="inlineStr">
        <is>
          <t>Igen</t>
        </is>
      </c>
      <c r="M563" s="7" t="inlineStr">
        <is>
          <t>Exlabesa 2023 standard katalógus (Drive)</t>
        </is>
      </c>
      <c r="N563" s="7" t="inlineStr">
        <is>
          <t>Megtalálva: Exlabesa katalógus EXL-37712 (kód: EXL-37712)</t>
        </is>
      </c>
      <c r="O563" s="11" t="inlineStr">
        <is>
          <t>https://www.exlabesa.com</t>
        </is>
      </c>
      <c r="P563" s="11" t="inlineStr">
        <is>
          <t>https://website-9ib.pages.dev/termek/237712-13-dupla-alu-csiga-zsaner-u-25-mm-elox/</t>
        </is>
      </c>
      <c r="Q563" s="12" t="inlineStr"/>
      <c r="R563" s="13" t="inlineStr"/>
      <c r="S563" s="6" t="inlineStr">
        <is>
          <t>237712-13-dupla-alu-csiga-zsaner-u-25-mm-elox</t>
        </is>
      </c>
    </row>
    <row r="564">
      <c r="A564" s="6" t="inlineStr">
        <is>
          <t>238210</t>
        </is>
      </c>
      <c r="B564" s="7" t="inlineStr">
        <is>
          <t>Lamella TARTÓ profil EX</t>
        </is>
      </c>
      <c r="C564" s="6" t="inlineStr">
        <is>
          <t>Zárt-dobozos és hűtős profilok</t>
        </is>
      </c>
      <c r="D564" s="6" t="inlineStr">
        <is>
          <t>Zárt-dobozos és hűtős profilok</t>
        </is>
      </c>
      <c r="E564" s="6" t="inlineStr">
        <is>
          <t>Exlabesa PL</t>
        </is>
      </c>
      <c r="F564" s="6" t="inlineStr">
        <is>
          <t>38210</t>
        </is>
      </c>
      <c r="G564" s="6" t="inlineStr">
        <is>
          <t>Quadris Excel</t>
        </is>
      </c>
      <c r="H564" s="6" t="n">
        <v>1</v>
      </c>
      <c r="I564" s="6" t="n">
        <v>6</v>
      </c>
      <c r="J564" s="6" t="inlineStr">
        <is>
          <t>nincs</t>
        </is>
      </c>
      <c r="K564" s="6">
        <f>IF(AND(H564&gt;0,I564&gt;0),"Rendben",IF(AND(H564=0,I564=0),"Nincs kép és adat",IF(H564=0,"Nincs kép","Nincs adat")))</f>
        <v/>
      </c>
      <c r="L564" s="6" t="inlineStr">
        <is>
          <t>Igen</t>
        </is>
      </c>
      <c r="M564" s="7" t="inlineStr">
        <is>
          <t>Exlabesa 2023 standard katalógus (Drive)</t>
        </is>
      </c>
      <c r="N564" s="7" t="inlineStr">
        <is>
          <t>Megtalálva: Exlabesa katalógus EXL-38210 (kód: EXL-38210)</t>
        </is>
      </c>
      <c r="O564" s="11" t="inlineStr">
        <is>
          <t>https://www.exlabesa.com</t>
        </is>
      </c>
      <c r="P564" s="11" t="inlineStr">
        <is>
          <t>https://website-9ib.pages.dev/termek/238210-lamella-tarto-profil-ex/</t>
        </is>
      </c>
      <c r="Q564" s="12" t="inlineStr"/>
      <c r="R564" s="13" t="inlineStr"/>
      <c r="S564" s="6" t="inlineStr">
        <is>
          <t>238210-lamella-tarto-profil-ex</t>
        </is>
      </c>
    </row>
    <row r="565">
      <c r="A565" s="6" t="inlineStr">
        <is>
          <t>238209</t>
        </is>
      </c>
      <c r="B565" s="7" t="inlineStr">
        <is>
          <t>Lamella profil 200 mm EX</t>
        </is>
      </c>
      <c r="C565" s="6" t="inlineStr">
        <is>
          <t>Zárt-dobozos és hűtős profilok</t>
        </is>
      </c>
      <c r="D565" s="6" t="inlineStr">
        <is>
          <t>Zárt-dobozos és hűtős profilok</t>
        </is>
      </c>
      <c r="E565" s="6" t="inlineStr">
        <is>
          <t>Exlabesa PL</t>
        </is>
      </c>
      <c r="F565" s="6" t="inlineStr">
        <is>
          <t>38209</t>
        </is>
      </c>
      <c r="G565" s="6" t="inlineStr">
        <is>
          <t>Quadris Excel</t>
        </is>
      </c>
      <c r="H565" s="6" t="n">
        <v>1</v>
      </c>
      <c r="I565" s="6" t="n">
        <v>6</v>
      </c>
      <c r="J565" s="6" t="inlineStr">
        <is>
          <t>nincs</t>
        </is>
      </c>
      <c r="K565" s="6">
        <f>IF(AND(H565&gt;0,I565&gt;0),"Rendben",IF(AND(H565=0,I565=0),"Nincs kép és adat",IF(H565=0,"Nincs kép","Nincs adat")))</f>
        <v/>
      </c>
      <c r="L565" s="6" t="inlineStr">
        <is>
          <t>Igen</t>
        </is>
      </c>
      <c r="M565" s="7" t="inlineStr">
        <is>
          <t>Exlabesa 2023 standard katalógus (Drive)</t>
        </is>
      </c>
      <c r="N565" s="7" t="inlineStr">
        <is>
          <t>Megtalálva: Exlabesa katalógus EXL-38209 (kód: EXL-38209)</t>
        </is>
      </c>
      <c r="O565" s="11" t="inlineStr">
        <is>
          <t>https://www.exlabesa.com</t>
        </is>
      </c>
      <c r="P565" s="11" t="inlineStr">
        <is>
          <t>https://website-9ib.pages.dev/termek/238209-lamella-profil-200-mm-ex/</t>
        </is>
      </c>
      <c r="Q565" s="12" t="inlineStr"/>
      <c r="R565" s="13" t="inlineStr"/>
      <c r="S565" s="6" t="inlineStr">
        <is>
          <t>238209-lamella-profil-200-mm-ex</t>
        </is>
      </c>
    </row>
    <row r="566">
      <c r="A566" s="6" t="inlineStr">
        <is>
          <t>35014251/2</t>
        </is>
      </c>
      <c r="B566" s="7" t="inlineStr">
        <is>
          <t>- 400-as billencs első rakonca R/L</t>
        </is>
      </c>
      <c r="C566" s="6" t="inlineStr">
        <is>
          <t>Billencs alkatrészek</t>
        </is>
      </c>
      <c r="D566" s="6" t="inlineStr">
        <is>
          <t>Billencs rakoncák</t>
        </is>
      </c>
      <c r="E566" s="6" t="inlineStr">
        <is>
          <t>FTS</t>
        </is>
      </c>
      <c r="F566" s="6" t="inlineStr">
        <is>
          <t>35900402</t>
        </is>
      </c>
      <c r="G566" s="6" t="inlineStr">
        <is>
          <t>Quadris Excel</t>
        </is>
      </c>
      <c r="H566" s="6" t="n">
        <v>1</v>
      </c>
      <c r="I566" s="6" t="n">
        <v>2</v>
      </c>
      <c r="J566" s="6" t="inlineStr">
        <is>
          <t>nincs</t>
        </is>
      </c>
      <c r="K566" s="6">
        <f>IF(AND(H566&gt;0,I566&gt;0),"Rendben",IF(AND(H566=0,I566=0),"Nincs kép és adat",IF(H566=0,"Nincs kép","Nincs adat")))</f>
        <v/>
      </c>
      <c r="L566" s="6" t="inlineStr">
        <is>
          <t>Igen</t>
        </is>
      </c>
      <c r="M566" s="7" t="inlineStr">
        <is>
          <t>fts-farina.it webáruház (WooCommerce API); FTS 2024 katalógus (PDF)</t>
        </is>
      </c>
      <c r="N566" s="7" t="inlineStr">
        <is>
          <t>Megtalálva: Piantone Stretto 100/60 verniciatura in Cataforesi (kód: 35900402)</t>
        </is>
      </c>
      <c r="O566" s="11" t="inlineStr">
        <is>
          <t>https://www.fts-farina.it/prodotto/piantone-stretto-100-60-verniciatura-in-cataforesi/</t>
        </is>
      </c>
      <c r="P566" s="11" t="inlineStr">
        <is>
          <t>https://website-9ib.pages.dev/termek/35014251-2-400-as-billencs-elso-rakonca-r-l/</t>
        </is>
      </c>
      <c r="Q566" s="12" t="inlineStr"/>
      <c r="R566" s="13" t="inlineStr"/>
      <c r="S566" s="6" t="inlineStr">
        <is>
          <t>35014251-2-400-as-billencs-elso-rakonca-r-l</t>
        </is>
      </c>
    </row>
    <row r="567">
      <c r="A567" s="6" t="inlineStr">
        <is>
          <t>35014051/2</t>
        </is>
      </c>
      <c r="B567" s="7" t="inlineStr">
        <is>
          <t>- 400/500-as hátsó billencs rakonca R/L acél zsebbel</t>
        </is>
      </c>
      <c r="C567" s="6" t="inlineStr">
        <is>
          <t>Billencs alkatrészek</t>
        </is>
      </c>
      <c r="D567" s="6" t="inlineStr">
        <is>
          <t>Billencs rakoncák</t>
        </is>
      </c>
      <c r="E567" s="6" t="inlineStr">
        <is>
          <t>FTS</t>
        </is>
      </c>
      <c r="F567" s="6" t="inlineStr">
        <is>
          <t>35900405</t>
        </is>
      </c>
      <c r="G567" s="6" t="inlineStr">
        <is>
          <t>Quadris Excel</t>
        </is>
      </c>
      <c r="H567" s="6" t="n">
        <v>1</v>
      </c>
      <c r="I567" s="6" t="n">
        <v>1</v>
      </c>
      <c r="J567" s="6" t="inlineStr">
        <is>
          <t>nincs</t>
        </is>
      </c>
      <c r="K567" s="6">
        <f>IF(AND(H567&gt;0,I567&gt;0),"Rendben",IF(AND(H567=0,I567=0),"Nincs kép és adat",IF(H567=0,"Nincs kép","Nincs adat")))</f>
        <v/>
      </c>
      <c r="L567" s="6" t="inlineStr">
        <is>
          <t>Igen</t>
        </is>
      </c>
      <c r="M567" s="7" t="inlineStr">
        <is>
          <t>fts-farina.it webáruház (WooCommerce API); FTS 2024 katalógus (PDF)</t>
        </is>
      </c>
      <c r="N567" s="7" t="inlineStr">
        <is>
          <t>Megtalálva: Piantone Stretto 100/60 verniciatura in Cataforesi (kód: 35900405)</t>
        </is>
      </c>
      <c r="O567" s="11" t="inlineStr">
        <is>
          <t>https://www.fts-farina.it/prodotto/piantone-stretto-100-60-verniciatura-in-cataforesi/</t>
        </is>
      </c>
      <c r="P567" s="11" t="inlineStr">
        <is>
          <t>https://website-9ib.pages.dev/termek/35014051-2-400-500-as-hatso-billencs-rakonca-r-l-acel-zsebbel/</t>
        </is>
      </c>
      <c r="Q567" s="12" t="inlineStr"/>
      <c r="R567" s="13" t="inlineStr"/>
      <c r="S567" s="6" t="inlineStr">
        <is>
          <t>35014051-2-400-500-as-hatso-billencs-rakonca-r-l-acel-zsebbel</t>
        </is>
      </c>
    </row>
    <row r="568">
      <c r="A568" s="6" t="inlineStr">
        <is>
          <t>145010</t>
        </is>
      </c>
      <c r="B568" s="7" t="inlineStr">
        <is>
          <t>- 50 mm-es gömbcsukló készlet 3,5t</t>
        </is>
      </c>
      <c r="C568" s="6" t="inlineStr">
        <is>
          <t>Billencs alkatrészek</t>
        </is>
      </c>
      <c r="D568" s="6" t="inlineStr">
        <is>
          <t>Billencs alkatrészek</t>
        </is>
      </c>
      <c r="E568" s="6" t="inlineStr">
        <is>
          <t>FTS</t>
        </is>
      </c>
      <c r="F568" s="6" t="inlineStr">
        <is>
          <t>25350100</t>
        </is>
      </c>
      <c r="G568" s="6" t="inlineStr">
        <is>
          <t>Quadris Excel</t>
        </is>
      </c>
      <c r="H568" s="6" t="n">
        <v>1</v>
      </c>
      <c r="I568" s="6" t="n">
        <v>0</v>
      </c>
      <c r="J568" s="6" t="inlineStr">
        <is>
          <t>nincs</t>
        </is>
      </c>
      <c r="K568" s="6">
        <f>IF(AND(H568&gt;0,I568&gt;0),"Rendben",IF(AND(H568=0,I568=0),"Nincs kép és adat",IF(H568=0,"Nincs kép","Nincs adat")))</f>
        <v/>
      </c>
      <c r="L568" s="6" t="inlineStr">
        <is>
          <t>Igen</t>
        </is>
      </c>
      <c r="M568" s="7" t="inlineStr">
        <is>
          <t>fts-farina.it webáruház (WooCommerce API); FTS 2024 katalógus (PDF)</t>
        </is>
      </c>
      <c r="N568" s="7" t="inlineStr">
        <is>
          <t>Megtalálva: FTS</t>
        </is>
      </c>
      <c r="O568" s="11" t="inlineStr">
        <is>
          <t>https://www.fts-farina.it/wp-content/uploads/2023/11/FTS_CATALOGO_2024_low_compressed_compressed.pdf</t>
        </is>
      </c>
      <c r="P568" s="11" t="inlineStr">
        <is>
          <t>https://website-9ib.pages.dev/termek/145010-50-mm-es-gombcsuklo-keszlet-3-5t/</t>
        </is>
      </c>
      <c r="Q568" s="12" t="inlineStr"/>
      <c r="R568" s="13" t="inlineStr"/>
      <c r="S568" s="6" t="inlineStr">
        <is>
          <t>145010-50-mm-es-gombcsuklo-keszlet-3-5t</t>
        </is>
      </c>
    </row>
    <row r="569">
      <c r="A569" s="6" t="inlineStr">
        <is>
          <t>142103/V</t>
        </is>
      </c>
      <c r="B569" s="7" t="inlineStr">
        <is>
          <t>3 Kardán</t>
        </is>
      </c>
      <c r="C569" s="6" t="inlineStr">
        <is>
          <t>Billencs alkatrészek</t>
        </is>
      </c>
      <c r="D569" s="6" t="inlineStr">
        <is>
          <t>Billencs alkatrészek</t>
        </is>
      </c>
      <c r="E569" s="6" t="inlineStr">
        <is>
          <t>FTS</t>
        </is>
      </c>
      <c r="F569" s="6" t="inlineStr"/>
      <c r="G569" s="6" t="inlineStr">
        <is>
          <t>Quadris Excel</t>
        </is>
      </c>
      <c r="H569" s="6" t="n">
        <v>0</v>
      </c>
      <c r="I569" s="6" t="n">
        <v>0</v>
      </c>
      <c r="J569" s="6" t="inlineStr">
        <is>
          <t>nincs</t>
        </is>
      </c>
      <c r="K569" s="6">
        <f>IF(AND(H569&gt;0,I569&gt;0),"Rendben",IF(AND(H569=0,I569=0),"Nincs kép és adat",IF(H569=0,"Nincs kép","Nincs adat")))</f>
        <v/>
      </c>
      <c r="L569" s="6" t="inlineStr">
        <is>
          <t>Igen</t>
        </is>
      </c>
      <c r="M569" s="7" t="inlineStr">
        <is>
          <t>fts-farina.it webáruház (WooCommerce API); FTS 2024 katalógus (PDF)</t>
        </is>
      </c>
      <c r="N569" s="7" t="inlineStr">
        <is>
          <t>Nem találtuk: fts-farina.it webáruház (WooCommerce API); FTS 2024 katalógus (PDF)</t>
        </is>
      </c>
      <c r="O569" s="6" t="inlineStr"/>
      <c r="P569" s="11" t="inlineStr">
        <is>
          <t>https://website-9ib.pages.dev/termek/142103-v-3-kardan/</t>
        </is>
      </c>
      <c r="Q569" s="12" t="inlineStr"/>
      <c r="R569" s="13" t="inlineStr"/>
      <c r="S569" s="6" t="inlineStr">
        <is>
          <t>142103-v-3-kardan</t>
        </is>
      </c>
    </row>
    <row r="570">
      <c r="A570" s="6" t="inlineStr">
        <is>
          <t>143100</t>
        </is>
      </c>
      <c r="B570" s="7" t="inlineStr">
        <is>
          <t>43 mm Gömbcsukló készlet kicsi</t>
        </is>
      </c>
      <c r="C570" s="6" t="inlineStr">
        <is>
          <t>Billencs alkatrészek</t>
        </is>
      </c>
      <c r="D570" s="6" t="inlineStr">
        <is>
          <t>Billencs alkatrészek</t>
        </is>
      </c>
      <c r="E570" s="6" t="inlineStr">
        <is>
          <t>FTS</t>
        </is>
      </c>
      <c r="F570" s="6" t="inlineStr"/>
      <c r="G570" s="6" t="inlineStr">
        <is>
          <t>Quadris Excel</t>
        </is>
      </c>
      <c r="H570" s="6" t="n">
        <v>0</v>
      </c>
      <c r="I570" s="6" t="n">
        <v>0</v>
      </c>
      <c r="J570" s="6" t="inlineStr">
        <is>
          <t>nincs</t>
        </is>
      </c>
      <c r="K570" s="6">
        <f>IF(AND(H570&gt;0,I570&gt;0),"Rendben",IF(AND(H570=0,I570=0),"Nincs kép és adat",IF(H570=0,"Nincs kép","Nincs adat")))</f>
        <v/>
      </c>
      <c r="L570" s="6" t="inlineStr">
        <is>
          <t>Igen</t>
        </is>
      </c>
      <c r="M570" s="7" t="inlineStr">
        <is>
          <t>fts-farina.it webáruház (WooCommerce API); FTS 2024 katalógus (PDF)</t>
        </is>
      </c>
      <c r="N570" s="7" t="inlineStr">
        <is>
          <t>Nem találtuk: fts-farina.it webáruház (WooCommerce API); FTS 2024 katalógus (PDF)</t>
        </is>
      </c>
      <c r="O570" s="6" t="inlineStr"/>
      <c r="P570" s="11" t="inlineStr">
        <is>
          <t>https://website-9ib.pages.dev/termek/143100-43-mm-gombcsuklo-keszlet-kicsi/</t>
        </is>
      </c>
      <c r="Q570" s="12" t="inlineStr"/>
      <c r="R570" s="13" t="inlineStr"/>
      <c r="S570" s="6" t="inlineStr">
        <is>
          <t>143100-43-mm-gombcsuklo-keszlet-kicsi</t>
        </is>
      </c>
    </row>
    <row r="571">
      <c r="A571" s="6" t="inlineStr">
        <is>
          <t>142304</t>
        </is>
      </c>
      <c r="B571" s="7" t="inlineStr">
        <is>
          <t>Billencs nyitókar B</t>
        </is>
      </c>
      <c r="C571" s="6" t="inlineStr">
        <is>
          <t>Billencs alkatrészek</t>
        </is>
      </c>
      <c r="D571" s="6" t="inlineStr">
        <is>
          <t>Billencs alkatrészek</t>
        </is>
      </c>
      <c r="E571" s="6" t="inlineStr">
        <is>
          <t>FTS</t>
        </is>
      </c>
      <c r="F571" s="6" t="inlineStr">
        <is>
          <t>15012304</t>
        </is>
      </c>
      <c r="G571" s="6" t="inlineStr">
        <is>
          <t>Quadris Excel</t>
        </is>
      </c>
      <c r="H571" s="6" t="n">
        <v>2</v>
      </c>
      <c r="I571" s="6" t="n">
        <v>1</v>
      </c>
      <c r="J571" s="6" t="inlineStr">
        <is>
          <t>nincs</t>
        </is>
      </c>
      <c r="K571" s="6">
        <f>IF(AND(H571&gt;0,I571&gt;0),"Rendben",IF(AND(H571=0,I571=0),"Nincs kép és adat",IF(H571=0,"Nincs kép","Nincs adat")))</f>
        <v/>
      </c>
      <c r="L571" s="6" t="inlineStr">
        <is>
          <t>Igen</t>
        </is>
      </c>
      <c r="M571" s="7" t="inlineStr">
        <is>
          <t>fts-farina.it webáruház (WooCommerce API); FTS 2024 katalógus (PDF)</t>
        </is>
      </c>
      <c r="N571" s="7" t="inlineStr">
        <is>
          <t>Megtalálva: 15012304 – Leva comando Sinistra per apertura cerniere (kód: 15012304)</t>
        </is>
      </c>
      <c r="O571" s="11" t="inlineStr">
        <is>
          <t>https://www.fts-farina.it/prodotto/15012304-leva-comando-sinistra-per-apertura-cerniere/</t>
        </is>
      </c>
      <c r="P571" s="11" t="inlineStr">
        <is>
          <t>https://website-9ib.pages.dev/termek/142304-billencs-nyitokar-b/</t>
        </is>
      </c>
      <c r="Q571" s="12" t="inlineStr"/>
      <c r="R571" s="13" t="inlineStr"/>
      <c r="S571" s="6" t="inlineStr">
        <is>
          <t>142304-billencs-nyitokar-b</t>
        </is>
      </c>
    </row>
    <row r="572">
      <c r="A572" s="6" t="inlineStr">
        <is>
          <t>142303</t>
        </is>
      </c>
      <c r="B572" s="7" t="inlineStr">
        <is>
          <t>Billencs nyitókar J</t>
        </is>
      </c>
      <c r="C572" s="6" t="inlineStr">
        <is>
          <t>Billencs alkatrészek</t>
        </is>
      </c>
      <c r="D572" s="6" t="inlineStr">
        <is>
          <t>Billencs alkatrészek</t>
        </is>
      </c>
      <c r="E572" s="6" t="inlineStr">
        <is>
          <t>FTS</t>
        </is>
      </c>
      <c r="F572" s="6" t="inlineStr">
        <is>
          <t>15012303</t>
        </is>
      </c>
      <c r="G572" s="6" t="inlineStr">
        <is>
          <t>Quadris Excel</t>
        </is>
      </c>
      <c r="H572" s="6" t="n">
        <v>2</v>
      </c>
      <c r="I572" s="6" t="n">
        <v>1</v>
      </c>
      <c r="J572" s="6" t="inlineStr">
        <is>
          <t>nincs</t>
        </is>
      </c>
      <c r="K572" s="6">
        <f>IF(AND(H572&gt;0,I572&gt;0),"Rendben",IF(AND(H572=0,I572=0),"Nincs kép és adat",IF(H572=0,"Nincs kép","Nincs adat")))</f>
        <v/>
      </c>
      <c r="L572" s="6" t="inlineStr">
        <is>
          <t>Igen</t>
        </is>
      </c>
      <c r="M572" s="7" t="inlineStr">
        <is>
          <t>fts-farina.it webáruház (WooCommerce API); FTS 2024 katalógus (PDF)</t>
        </is>
      </c>
      <c r="N572" s="7" t="inlineStr">
        <is>
          <t>Megtalálva: 15012303 – Leva comando Destra per apertura cerniere (kód: 15012303)</t>
        </is>
      </c>
      <c r="O572" s="11" t="inlineStr">
        <is>
          <t>https://www.fts-farina.it/prodotto/15012303-leva-comando-destra-per-apertura-cerniere/</t>
        </is>
      </c>
      <c r="P572" s="11" t="inlineStr">
        <is>
          <t>https://website-9ib.pages.dev/termek/142303-billencs-nyitokar-j/</t>
        </is>
      </c>
      <c r="Q572" s="12" t="inlineStr"/>
      <c r="R572" s="13" t="inlineStr"/>
      <c r="S572" s="6" t="inlineStr">
        <is>
          <t>142303-billencs-nyitokar-j</t>
        </is>
      </c>
    </row>
    <row r="573">
      <c r="A573" s="6" t="inlineStr">
        <is>
          <t>3514430/1</t>
        </is>
      </c>
      <c r="B573" s="7" t="inlineStr">
        <is>
          <t>Billencs rakonca szegő egyenes R/L</t>
        </is>
      </c>
      <c r="C573" s="6" t="inlineStr">
        <is>
          <t>Billencs alkatrészek</t>
        </is>
      </c>
      <c r="D573" s="6" t="inlineStr">
        <is>
          <t>Billencs rakoncák</t>
        </is>
      </c>
      <c r="E573" s="6" t="inlineStr">
        <is>
          <t>FTS</t>
        </is>
      </c>
      <c r="F573" s="6" t="inlineStr">
        <is>
          <t>35144300/301</t>
        </is>
      </c>
      <c r="G573" s="6" t="inlineStr">
        <is>
          <t>Quadris Excel</t>
        </is>
      </c>
      <c r="H573" s="6" t="n">
        <v>1</v>
      </c>
      <c r="I573" s="6" t="n">
        <v>2</v>
      </c>
      <c r="J573" s="6" t="inlineStr">
        <is>
          <t>nincs</t>
        </is>
      </c>
      <c r="K573" s="6">
        <f>IF(AND(H573&gt;0,I573&gt;0),"Rendben",IF(AND(H573=0,I573=0),"Nincs kép és adat",IF(H573=0,"Nincs kép","Nincs adat")))</f>
        <v/>
      </c>
      <c r="L573" s="6" t="inlineStr">
        <is>
          <t>Igen</t>
        </is>
      </c>
      <c r="M573" s="7" t="inlineStr">
        <is>
          <t>fts-farina.it webáruház (WooCommerce API); FTS 2024 katalógus (PDF)</t>
        </is>
      </c>
      <c r="N573" s="7" t="inlineStr">
        <is>
          <t>Megtalálva: Piantone Stretto 100/60 verniciatura in Cataforesi (kód: 35144300)</t>
        </is>
      </c>
      <c r="O573" s="11" t="inlineStr">
        <is>
          <t>https://www.fts-farina.it/prodotto/piantone-stretto-100-60-verniciatura-in-cataforesi/</t>
        </is>
      </c>
      <c r="P573" s="11" t="inlineStr">
        <is>
          <t>https://website-9ib.pages.dev/termek/3514430-1-billencs-rakonca-szego-egyenes-r-l/</t>
        </is>
      </c>
      <c r="Q573" s="12" t="inlineStr"/>
      <c r="R573" s="13" t="inlineStr"/>
      <c r="S573" s="6" t="inlineStr">
        <is>
          <t>3514430-1-billencs-rakonca-szego-egyenes-r-l</t>
        </is>
      </c>
    </row>
    <row r="574">
      <c r="A574" s="6" t="inlineStr">
        <is>
          <t>3514400/1</t>
        </is>
      </c>
      <c r="B574" s="7" t="inlineStr">
        <is>
          <t>Billencs rakonca szegő háromszöges</t>
        </is>
      </c>
      <c r="C574" s="6" t="inlineStr">
        <is>
          <t>Billencs alkatrészek</t>
        </is>
      </c>
      <c r="D574" s="6" t="inlineStr">
        <is>
          <t>Billencs rakoncák</t>
        </is>
      </c>
      <c r="E574" s="6" t="inlineStr">
        <is>
          <t>FTS</t>
        </is>
      </c>
      <c r="F574" s="6" t="inlineStr"/>
      <c r="G574" s="6" t="inlineStr">
        <is>
          <t>Quadris Excel</t>
        </is>
      </c>
      <c r="H574" s="6" t="n">
        <v>0</v>
      </c>
      <c r="I574" s="6" t="n">
        <v>0</v>
      </c>
      <c r="J574" s="6" t="inlineStr">
        <is>
          <t>nincs</t>
        </is>
      </c>
      <c r="K574" s="6">
        <f>IF(AND(H574&gt;0,I574&gt;0),"Rendben",IF(AND(H574=0,I574=0),"Nincs kép és adat",IF(H574=0,"Nincs kép","Nincs adat")))</f>
        <v/>
      </c>
      <c r="L574" s="6" t="inlineStr">
        <is>
          <t>Igen</t>
        </is>
      </c>
      <c r="M574" s="7" t="inlineStr">
        <is>
          <t>fts-farina.it webáruház (WooCommerce API); FTS 2024 katalógus (PDF)</t>
        </is>
      </c>
      <c r="N574" s="7" t="inlineStr">
        <is>
          <t>Nem találtuk: fts-farina.it webáruház (WooCommerce API); FTS 2024 katalógus (PDF)</t>
        </is>
      </c>
      <c r="O574" s="6" t="inlineStr"/>
      <c r="P574" s="11" t="inlineStr">
        <is>
          <t>https://website-9ib.pages.dev/termek/3514400-1-billencs-rakonca-szego-haromszoges/</t>
        </is>
      </c>
      <c r="Q574" s="12" t="inlineStr"/>
      <c r="R574" s="13" t="inlineStr"/>
      <c r="S574" s="6" t="inlineStr">
        <is>
          <t>3514400-1-billencs-rakonca-szego-haromszoges</t>
        </is>
      </c>
    </row>
    <row r="575">
      <c r="A575" s="6" t="inlineStr">
        <is>
          <t>148110</t>
        </is>
      </c>
      <c r="B575" s="7" t="inlineStr">
        <is>
          <t>Biztosító tüske</t>
        </is>
      </c>
      <c r="C575" s="6" t="inlineStr">
        <is>
          <t>Billencs alkatrészek</t>
        </is>
      </c>
      <c r="D575" s="6" t="inlineStr">
        <is>
          <t>Billencs alkatrészek</t>
        </is>
      </c>
      <c r="E575" s="6" t="inlineStr">
        <is>
          <t>FTS</t>
        </is>
      </c>
      <c r="F575" s="6" t="inlineStr"/>
      <c r="G575" s="6" t="inlineStr">
        <is>
          <t>Quadris Excel</t>
        </is>
      </c>
      <c r="H575" s="6" t="n">
        <v>0</v>
      </c>
      <c r="I575" s="6" t="n">
        <v>0</v>
      </c>
      <c r="J575" s="6" t="inlineStr">
        <is>
          <t>nincs</t>
        </is>
      </c>
      <c r="K575" s="6">
        <f>IF(AND(H575&gt;0,I575&gt;0),"Rendben",IF(AND(H575=0,I575=0),"Nincs kép és adat",IF(H575=0,"Nincs kép","Nincs adat")))</f>
        <v/>
      </c>
      <c r="L575" s="6" t="inlineStr">
        <is>
          <t>Igen</t>
        </is>
      </c>
      <c r="M575" s="7" t="inlineStr">
        <is>
          <t>fts-farina.it webáruház (WooCommerce API); FTS 2024 katalógus (PDF)</t>
        </is>
      </c>
      <c r="N575" s="7" t="inlineStr">
        <is>
          <t>Nem találtuk: fts-farina.it webáruház (WooCommerce API); FTS 2024 katalógus (PDF)</t>
        </is>
      </c>
      <c r="O575" s="6" t="inlineStr"/>
      <c r="P575" s="11" t="inlineStr">
        <is>
          <t>https://website-9ib.pages.dev/termek/148110-biztosito-tuske/</t>
        </is>
      </c>
      <c r="Q575" s="12" t="inlineStr"/>
      <c r="R575" s="13" t="inlineStr"/>
      <c r="S575" s="6" t="inlineStr">
        <is>
          <t>148110-biztosito-tuske</t>
        </is>
      </c>
    </row>
    <row r="576">
      <c r="A576" s="6" t="inlineStr">
        <is>
          <t>140235</t>
        </is>
      </c>
      <c r="B576" s="7" t="inlineStr">
        <is>
          <t>D35 zárt omega lefogató</t>
        </is>
      </c>
      <c r="C576" s="6" t="inlineStr">
        <is>
          <t>Billencs alkatrészek</t>
        </is>
      </c>
      <c r="D576" s="6" t="inlineStr">
        <is>
          <t>Billencs alkatrészek</t>
        </is>
      </c>
      <c r="E576" s="6" t="inlineStr">
        <is>
          <t>FTS</t>
        </is>
      </c>
      <c r="F576" s="6" t="inlineStr">
        <is>
          <t>510352</t>
        </is>
      </c>
      <c r="G576" s="6" t="inlineStr">
        <is>
          <t>Quadris Excel</t>
        </is>
      </c>
      <c r="H576" s="6" t="n">
        <v>0</v>
      </c>
      <c r="I576" s="6" t="n">
        <v>0</v>
      </c>
      <c r="J576" s="6" t="inlineStr">
        <is>
          <t>nincs</t>
        </is>
      </c>
      <c r="K576" s="6">
        <f>IF(AND(H576&gt;0,I576&gt;0),"Rendben",IF(AND(H576=0,I576=0),"Nincs kép és adat",IF(H576=0,"Nincs kép","Nincs adat")))</f>
        <v/>
      </c>
      <c r="L576" s="6" t="inlineStr">
        <is>
          <t>Igen</t>
        </is>
      </c>
      <c r="M576" s="7" t="inlineStr">
        <is>
          <t>fts-farina.it webáruház (WooCommerce API); FTS 2024 katalógus (PDF)</t>
        </is>
      </c>
      <c r="N576" s="7" t="inlineStr">
        <is>
          <t>Nem találtuk: fts-farina.it webáruház (WooCommerce API); FTS 2024 katalógus (PDF)</t>
        </is>
      </c>
      <c r="O576" s="6" t="inlineStr"/>
      <c r="P576" s="11" t="inlineStr">
        <is>
          <t>https://website-9ib.pages.dev/termek/140235-d35-zart-omega-lefogato/</t>
        </is>
      </c>
      <c r="Q576" s="12" t="inlineStr"/>
      <c r="R576" s="13" t="inlineStr"/>
      <c r="S576" s="6" t="inlineStr">
        <is>
          <t>140235-d35-zart-omega-lefogato</t>
        </is>
      </c>
    </row>
    <row r="577">
      <c r="A577" s="6" t="inlineStr">
        <is>
          <t>140240</t>
        </is>
      </c>
      <c r="B577" s="7" t="inlineStr">
        <is>
          <t>D40 zárt omega lefogató</t>
        </is>
      </c>
      <c r="C577" s="6" t="inlineStr">
        <is>
          <t>Billencs alkatrészek</t>
        </is>
      </c>
      <c r="D577" s="6" t="inlineStr">
        <is>
          <t>Billencs alkatrészek</t>
        </is>
      </c>
      <c r="E577" s="6" t="inlineStr">
        <is>
          <t>FTS</t>
        </is>
      </c>
      <c r="F577" s="6" t="inlineStr"/>
      <c r="G577" s="6" t="inlineStr">
        <is>
          <t>Quadris Excel</t>
        </is>
      </c>
      <c r="H577" s="6" t="n">
        <v>0</v>
      </c>
      <c r="I577" s="6" t="n">
        <v>0</v>
      </c>
      <c r="J577" s="6" t="inlineStr">
        <is>
          <t>nincs</t>
        </is>
      </c>
      <c r="K577" s="6">
        <f>IF(AND(H577&gt;0,I577&gt;0),"Rendben",IF(AND(H577=0,I577=0),"Nincs kép és adat",IF(H577=0,"Nincs kép","Nincs adat")))</f>
        <v/>
      </c>
      <c r="L577" s="6" t="inlineStr">
        <is>
          <t>Igen</t>
        </is>
      </c>
      <c r="M577" s="7" t="inlineStr">
        <is>
          <t>fts-farina.it webáruház (WooCommerce API); FTS 2024 katalógus (PDF)</t>
        </is>
      </c>
      <c r="N577" s="7" t="inlineStr">
        <is>
          <t>Nem találtuk: fts-farina.it webáruház (WooCommerce API); FTS 2024 katalógus (PDF)</t>
        </is>
      </c>
      <c r="O577" s="6" t="inlineStr"/>
      <c r="P577" s="11" t="inlineStr">
        <is>
          <t>https://website-9ib.pages.dev/termek/140240-d40-zart-omega-lefogato/</t>
        </is>
      </c>
      <c r="Q577" s="12" t="inlineStr"/>
      <c r="R577" s="13" t="inlineStr"/>
      <c r="S577" s="6" t="inlineStr">
        <is>
          <t>140240-d40-zart-omega-lefogato</t>
        </is>
      </c>
    </row>
    <row r="578">
      <c r="A578" s="6" t="inlineStr">
        <is>
          <t>352240</t>
        </is>
      </c>
      <c r="B578" s="7" t="inlineStr">
        <is>
          <t>Ellendarabos szegő 400mm R+L</t>
        </is>
      </c>
      <c r="C578" s="6" t="inlineStr">
        <is>
          <t>Billencs alkatrészek</t>
        </is>
      </c>
      <c r="D578" s="6" t="inlineStr">
        <is>
          <t>Billencs rakoncák</t>
        </is>
      </c>
      <c r="E578" s="6" t="inlineStr">
        <is>
          <t>FTS</t>
        </is>
      </c>
      <c r="F578" s="6" t="inlineStr">
        <is>
          <t>35220400</t>
        </is>
      </c>
      <c r="G578" s="6" t="inlineStr">
        <is>
          <t>Quadris Excel</t>
        </is>
      </c>
      <c r="H578" s="6" t="n">
        <v>1</v>
      </c>
      <c r="I578" s="6" t="n">
        <v>1</v>
      </c>
      <c r="J578" s="6" t="inlineStr">
        <is>
          <t>nincs</t>
        </is>
      </c>
      <c r="K578" s="6">
        <f>IF(AND(H578&gt;0,I578&gt;0),"Rendben",IF(AND(H578=0,I578=0),"Nincs kép és adat",IF(H578=0,"Nincs kép","Nincs adat")))</f>
        <v/>
      </c>
      <c r="L578" s="6" t="inlineStr">
        <is>
          <t>Igen</t>
        </is>
      </c>
      <c r="M578" s="7" t="inlineStr">
        <is>
          <t>fts-farina.it webáruház (WooCommerce API); FTS 2024 katalógus (PDF)</t>
        </is>
      </c>
      <c r="N578" s="7" t="inlineStr">
        <is>
          <t>Megtalálva: Piantone in alluminio TL35 S/BATTUTA (kód: 35220400)</t>
        </is>
      </c>
      <c r="O578" s="11" t="inlineStr">
        <is>
          <t>https://www.fts-farina.it/prodotto/piantone-in-alluminio-tl35-s-battuta/</t>
        </is>
      </c>
      <c r="P578" s="11" t="inlineStr">
        <is>
          <t>https://website-9ib.pages.dev/termek/352240-ellendarabos-szego-400mm-r-l/</t>
        </is>
      </c>
      <c r="Q578" s="12" t="inlineStr"/>
      <c r="R578" s="13" t="inlineStr"/>
      <c r="S578" s="6" t="inlineStr">
        <is>
          <t>352240-ellendarabos-szego-400mm-r-l</t>
        </is>
      </c>
    </row>
    <row r="579">
      <c r="A579" s="6" t="inlineStr">
        <is>
          <t>352260</t>
        </is>
      </c>
      <c r="B579" s="7" t="inlineStr">
        <is>
          <t>Ellendarabos szegő 600mm R+L</t>
        </is>
      </c>
      <c r="C579" s="6" t="inlineStr">
        <is>
          <t>Billencs alkatrészek</t>
        </is>
      </c>
      <c r="D579" s="6" t="inlineStr">
        <is>
          <t>Billencs rakoncák</t>
        </is>
      </c>
      <c r="E579" s="6" t="inlineStr">
        <is>
          <t>FTS</t>
        </is>
      </c>
      <c r="F579" s="6" t="inlineStr">
        <is>
          <t>35220600/R/L</t>
        </is>
      </c>
      <c r="G579" s="6" t="inlineStr">
        <is>
          <t>Quadris Excel</t>
        </is>
      </c>
      <c r="H579" s="6" t="n">
        <v>1</v>
      </c>
      <c r="I579" s="6" t="n">
        <v>1</v>
      </c>
      <c r="J579" s="6" t="inlineStr">
        <is>
          <t>nincs</t>
        </is>
      </c>
      <c r="K579" s="6">
        <f>IF(AND(H579&gt;0,I579&gt;0),"Rendben",IF(AND(H579=0,I579=0),"Nincs kép és adat",IF(H579=0,"Nincs kép","Nincs adat")))</f>
        <v/>
      </c>
      <c r="L579" s="6" t="inlineStr">
        <is>
          <t>Igen</t>
        </is>
      </c>
      <c r="M579" s="7" t="inlineStr">
        <is>
          <t>fts-farina.it webáruház (WooCommerce API); FTS 2024 katalógus (PDF)</t>
        </is>
      </c>
      <c r="N579" s="7" t="inlineStr">
        <is>
          <t>Megtalálva: Piantone in alluminio TL35 S/BATTUTA (kód: 35220600)</t>
        </is>
      </c>
      <c r="O579" s="11" t="inlineStr">
        <is>
          <t>https://www.fts-farina.it/prodotto/piantone-in-alluminio-tl35-s-battuta/</t>
        </is>
      </c>
      <c r="P579" s="11" t="inlineStr">
        <is>
          <t>https://website-9ib.pages.dev/termek/352260-ellendarabos-szego-600mm-r-l/</t>
        </is>
      </c>
      <c r="Q579" s="12" t="inlineStr"/>
      <c r="R579" s="13" t="inlineStr"/>
      <c r="S579" s="6" t="inlineStr">
        <is>
          <t>352260-ellendarabos-szego-600mm-r-l</t>
        </is>
      </c>
    </row>
    <row r="580">
      <c r="A580" s="6" t="inlineStr">
        <is>
          <t>146001</t>
        </is>
      </c>
      <c r="B580" s="7" t="inlineStr">
        <is>
          <t>Kapcsolótábla</t>
        </is>
      </c>
      <c r="C580" s="6" t="inlineStr">
        <is>
          <t>Billencs alkatrészek</t>
        </is>
      </c>
      <c r="D580" s="6" t="inlineStr">
        <is>
          <t>Billencs alkatrészek</t>
        </is>
      </c>
      <c r="E580" s="6" t="inlineStr">
        <is>
          <t>FTS</t>
        </is>
      </c>
      <c r="F580" s="6" t="inlineStr"/>
      <c r="G580" s="6" t="inlineStr">
        <is>
          <t>Quadris Excel</t>
        </is>
      </c>
      <c r="H580" s="6" t="n">
        <v>0</v>
      </c>
      <c r="I580" s="6" t="n">
        <v>0</v>
      </c>
      <c r="J580" s="6" t="inlineStr">
        <is>
          <t>nincs</t>
        </is>
      </c>
      <c r="K580" s="6">
        <f>IF(AND(H580&gt;0,I580&gt;0),"Rendben",IF(AND(H580=0,I580=0),"Nincs kép és adat",IF(H580=0,"Nincs kép","Nincs adat")))</f>
        <v/>
      </c>
      <c r="L580" s="6" t="inlineStr">
        <is>
          <t>Igen</t>
        </is>
      </c>
      <c r="M580" s="7" t="inlineStr">
        <is>
          <t>fts-farina.it webáruház (WooCommerce API); FTS 2024 katalógus (PDF)</t>
        </is>
      </c>
      <c r="N580" s="7" t="inlineStr">
        <is>
          <t>Nem találtuk: fts-farina.it webáruház (WooCommerce API); FTS 2024 katalógus (PDF)</t>
        </is>
      </c>
      <c r="O580" s="6" t="inlineStr"/>
      <c r="P580" s="11" t="inlineStr">
        <is>
          <t>https://website-9ib.pages.dev/termek/146001-kapcsolotabla/</t>
        </is>
      </c>
      <c r="Q580" s="12" t="inlineStr"/>
      <c r="R580" s="13" t="inlineStr"/>
      <c r="S580" s="6" t="inlineStr">
        <is>
          <t>146001-kapcsolotabla</t>
        </is>
      </c>
    </row>
    <row r="581">
      <c r="A581" s="6" t="inlineStr">
        <is>
          <t>146006</t>
        </is>
      </c>
      <c r="B581" s="7" t="inlineStr">
        <is>
          <t>Kábeles távkapcsoló</t>
        </is>
      </c>
      <c r="C581" s="6" t="inlineStr">
        <is>
          <t>Billencs alkatrészek</t>
        </is>
      </c>
      <c r="D581" s="6" t="inlineStr">
        <is>
          <t>Billencs alkatrészek</t>
        </is>
      </c>
      <c r="E581" s="6" t="inlineStr">
        <is>
          <t>FTS</t>
        </is>
      </c>
      <c r="F581" s="6" t="inlineStr"/>
      <c r="G581" s="6" t="inlineStr">
        <is>
          <t>Quadris Excel</t>
        </is>
      </c>
      <c r="H581" s="6" t="n">
        <v>0</v>
      </c>
      <c r="I581" s="6" t="n">
        <v>0</v>
      </c>
      <c r="J581" s="6" t="inlineStr">
        <is>
          <t>nincs</t>
        </is>
      </c>
      <c r="K581" s="6">
        <f>IF(AND(H581&gt;0,I581&gt;0),"Rendben",IF(AND(H581=0,I581=0),"Nincs kép és adat",IF(H581=0,"Nincs kép","Nincs adat")))</f>
        <v/>
      </c>
      <c r="L581" s="6" t="inlineStr">
        <is>
          <t>Igen</t>
        </is>
      </c>
      <c r="M581" s="7" t="inlineStr">
        <is>
          <t>fts-farina.it webáruház (WooCommerce API); FTS 2024 katalógus (PDF)</t>
        </is>
      </c>
      <c r="N581" s="7" t="inlineStr">
        <is>
          <t>Nem találtuk: fts-farina.it webáruház (WooCommerce API); FTS 2024 katalógus (PDF)</t>
        </is>
      </c>
      <c r="O581" s="6" t="inlineStr"/>
      <c r="P581" s="11" t="inlineStr">
        <is>
          <t>https://website-9ib.pages.dev/termek/146006-kabeles-tavkapcsolo/</t>
        </is>
      </c>
      <c r="Q581" s="12" t="inlineStr"/>
      <c r="R581" s="13" t="inlineStr"/>
      <c r="S581" s="6" t="inlineStr">
        <is>
          <t>146006-kabeles-tavkapcsolo</t>
        </is>
      </c>
    </row>
    <row r="582">
      <c r="A582" s="6" t="inlineStr">
        <is>
          <t>146012</t>
        </is>
      </c>
      <c r="B582" s="7" t="inlineStr">
        <is>
          <t>Szivattyú 12V</t>
        </is>
      </c>
      <c r="C582" s="6" t="inlineStr">
        <is>
          <t>Billencs alkatrészek</t>
        </is>
      </c>
      <c r="D582" s="6" t="inlineStr">
        <is>
          <t>Billencs alkatrészek</t>
        </is>
      </c>
      <c r="E582" s="6" t="inlineStr">
        <is>
          <t>FTS</t>
        </is>
      </c>
      <c r="F582" s="6" t="inlineStr">
        <is>
          <t>14600012</t>
        </is>
      </c>
      <c r="G582" s="6" t="inlineStr">
        <is>
          <t>Quadris Excel</t>
        </is>
      </c>
      <c r="H582" s="6" t="n">
        <v>1</v>
      </c>
      <c r="I582" s="6" t="n">
        <v>0</v>
      </c>
      <c r="J582" s="6" t="inlineStr">
        <is>
          <t>nincs</t>
        </is>
      </c>
      <c r="K582" s="6">
        <f>IF(AND(H582&gt;0,I582&gt;0),"Rendben",IF(AND(H582=0,I582=0),"Nincs kép és adat",IF(H582=0,"Nincs kép","Nincs adat")))</f>
        <v/>
      </c>
      <c r="L582" s="6" t="inlineStr">
        <is>
          <t>Igen</t>
        </is>
      </c>
      <c r="M582" s="7" t="inlineStr">
        <is>
          <t>fts-farina.it webáruház (WooCommerce API); FTS 2024 katalógus (PDF)</t>
        </is>
      </c>
      <c r="N582" s="7" t="inlineStr">
        <is>
          <t>Megtalálva: 14600012 – Centralina completa 12 Volt (kód: 14600012)</t>
        </is>
      </c>
      <c r="O582" s="11" t="inlineStr">
        <is>
          <t>https://www.fts-farina.it/prodotto/14600012-centralina-completa-12-volt/</t>
        </is>
      </c>
      <c r="P582" s="11" t="inlineStr">
        <is>
          <t>https://website-9ib.pages.dev/termek/146012-szivattyu-12v/</t>
        </is>
      </c>
      <c r="Q582" s="12" t="inlineStr"/>
      <c r="R582" s="13" t="inlineStr"/>
      <c r="S582" s="6" t="inlineStr">
        <is>
          <t>146012-szivattyu-12v</t>
        </is>
      </c>
    </row>
    <row r="583">
      <c r="A583" s="6" t="inlineStr">
        <is>
          <t>140319</t>
        </is>
      </c>
      <c r="B583" s="7" t="inlineStr">
        <is>
          <t>Szivattyú 24V 3000W 20L 1P3.1CC</t>
        </is>
      </c>
      <c r="C583" s="6" t="inlineStr">
        <is>
          <t>Billencs alkatrészek</t>
        </is>
      </c>
      <c r="D583" s="6" t="inlineStr">
        <is>
          <t>Billencs alkatrészek</t>
        </is>
      </c>
      <c r="E583" s="6" t="inlineStr">
        <is>
          <t>FTS</t>
        </is>
      </c>
      <c r="F583" s="6" t="inlineStr">
        <is>
          <t>770319</t>
        </is>
      </c>
      <c r="G583" s="6" t="inlineStr">
        <is>
          <t>Quadris Excel</t>
        </is>
      </c>
      <c r="H583" s="6" t="n">
        <v>0</v>
      </c>
      <c r="I583" s="6" t="n">
        <v>0</v>
      </c>
      <c r="J583" s="6" t="inlineStr">
        <is>
          <t>nincs</t>
        </is>
      </c>
      <c r="K583" s="6">
        <f>IF(AND(H583&gt;0,I583&gt;0),"Rendben",IF(AND(H583=0,I583=0),"Nincs kép és adat",IF(H583=0,"Nincs kép","Nincs adat")))</f>
        <v/>
      </c>
      <c r="L583" s="6" t="inlineStr">
        <is>
          <t>Igen</t>
        </is>
      </c>
      <c r="M583" s="7" t="inlineStr">
        <is>
          <t>fts-farina.it webáruház (WooCommerce API); FTS 2024 katalógus (PDF)</t>
        </is>
      </c>
      <c r="N583" s="7" t="inlineStr">
        <is>
          <t>Nem találtuk: fts-farina.it webáruház (WooCommerce API); FTS 2024 katalógus (PDF)</t>
        </is>
      </c>
      <c r="O583" s="6" t="inlineStr"/>
      <c r="P583" s="11" t="inlineStr">
        <is>
          <t>https://website-9ib.pages.dev/termek/140319-szivattyu-24v-3000w-20l-1p3-1cc/</t>
        </is>
      </c>
      <c r="Q583" s="12" t="inlineStr"/>
      <c r="R583" s="13" t="inlineStr"/>
      <c r="S583" s="6" t="inlineStr">
        <is>
          <t>140319-szivattyu-24v-3000w-20l-1p3-1cc</t>
        </is>
      </c>
    </row>
    <row r="584">
      <c r="A584" s="6" t="inlineStr">
        <is>
          <t>354424</t>
        </is>
      </c>
      <c r="B584" s="7" t="inlineStr">
        <is>
          <t>Top-Kuplung</t>
        </is>
      </c>
      <c r="C584" s="6" t="inlineStr">
        <is>
          <t>Billencs alkatrészek</t>
        </is>
      </c>
      <c r="D584" s="6" t="inlineStr">
        <is>
          <t>Billencs rakoncák</t>
        </is>
      </c>
      <c r="E584" s="6" t="inlineStr">
        <is>
          <t>FTS</t>
        </is>
      </c>
      <c r="F584" s="6" t="inlineStr">
        <is>
          <t>35442401</t>
        </is>
      </c>
      <c r="G584" s="6" t="inlineStr">
        <is>
          <t>Quadris Excel</t>
        </is>
      </c>
      <c r="H584" s="6" t="n">
        <v>1</v>
      </c>
      <c r="I584" s="6" t="n">
        <v>2</v>
      </c>
      <c r="J584" s="6" t="inlineStr">
        <is>
          <t>nincs</t>
        </is>
      </c>
      <c r="K584" s="6">
        <f>IF(AND(H584&gt;0,I584&gt;0),"Rendben",IF(AND(H584=0,I584=0),"Nincs kép és adat",IF(H584=0,"Nincs kép","Nincs adat")))</f>
        <v/>
      </c>
      <c r="L584" s="6" t="inlineStr">
        <is>
          <t>Igen</t>
        </is>
      </c>
      <c r="M584" s="7" t="inlineStr">
        <is>
          <t>fts-farina.it webáruház (WooCommerce API); FTS 2024 katalógus (PDF)</t>
        </is>
      </c>
      <c r="N584" s="7" t="inlineStr">
        <is>
          <t>Megtalálva: 35442401 – Gancio Grezzo per Articolazione Superiore (kód: 35442401)</t>
        </is>
      </c>
      <c r="O584" s="11" t="inlineStr">
        <is>
          <t>https://www.fts-farina.it/prodotto/35442401-gancio-grezzo-per-articolazione-superiore/</t>
        </is>
      </c>
      <c r="P584" s="11" t="inlineStr">
        <is>
          <t>https://website-9ib.pages.dev/termek/354424-top-kuplung/</t>
        </is>
      </c>
      <c r="Q584" s="12" t="inlineStr"/>
      <c r="R584" s="13" t="inlineStr"/>
      <c r="S584" s="6" t="inlineStr">
        <is>
          <t>354424-top-kuplung</t>
        </is>
      </c>
    </row>
    <row r="585">
      <c r="A585" s="6" t="inlineStr">
        <is>
          <t>146002</t>
        </is>
      </c>
      <c r="B585" s="7" t="inlineStr">
        <is>
          <t>Végálláskapcsoló</t>
        </is>
      </c>
      <c r="C585" s="6" t="inlineStr">
        <is>
          <t>Billencs alkatrészek</t>
        </is>
      </c>
      <c r="D585" s="6" t="inlineStr">
        <is>
          <t>Billencs alkatrészek</t>
        </is>
      </c>
      <c r="E585" s="6" t="inlineStr">
        <is>
          <t>FTS</t>
        </is>
      </c>
      <c r="F585" s="6" t="inlineStr"/>
      <c r="G585" s="6" t="inlineStr">
        <is>
          <t>Quadris Excel</t>
        </is>
      </c>
      <c r="H585" s="6" t="n">
        <v>0</v>
      </c>
      <c r="I585" s="6" t="n">
        <v>0</v>
      </c>
      <c r="J585" s="6" t="inlineStr">
        <is>
          <t>nincs</t>
        </is>
      </c>
      <c r="K585" s="6">
        <f>IF(AND(H585&gt;0,I585&gt;0),"Rendben",IF(AND(H585=0,I585=0),"Nincs kép és adat",IF(H585=0,"Nincs kép","Nincs adat")))</f>
        <v/>
      </c>
      <c r="L585" s="6" t="inlineStr">
        <is>
          <t>Igen</t>
        </is>
      </c>
      <c r="M585" s="7" t="inlineStr">
        <is>
          <t>fts-farina.it webáruház (WooCommerce API); FTS 2024 katalógus (PDF)</t>
        </is>
      </c>
      <c r="N585" s="7" t="inlineStr">
        <is>
          <t>Nem találtuk: fts-farina.it webáruház (WooCommerce API); FTS 2024 katalógus (PDF)</t>
        </is>
      </c>
      <c r="O585" s="6" t="inlineStr"/>
      <c r="P585" s="11" t="inlineStr">
        <is>
          <t>https://website-9ib.pages.dev/termek/146002-vegallaskapcsolo/</t>
        </is>
      </c>
      <c r="Q585" s="12" t="inlineStr"/>
      <c r="R585" s="13" t="inlineStr"/>
      <c r="S585" s="6" t="inlineStr">
        <is>
          <t>146002-vegallaskapcsolo</t>
        </is>
      </c>
    </row>
    <row r="586">
      <c r="A586" s="6" t="inlineStr">
        <is>
          <t>508820</t>
        </is>
      </c>
      <c r="B586" s="7" t="inlineStr">
        <is>
          <t>1 fokos létra horg.</t>
        </is>
      </c>
      <c r="C586" s="6" t="inlineStr">
        <is>
          <t>Dobozos felépítmény alkatrészek</t>
        </is>
      </c>
      <c r="D586" s="6" t="inlineStr">
        <is>
          <t>Létrák</t>
        </is>
      </c>
      <c r="E586" s="6" t="inlineStr">
        <is>
          <t>FTS</t>
        </is>
      </c>
      <c r="F586" s="6" t="inlineStr">
        <is>
          <t>50298820</t>
        </is>
      </c>
      <c r="G586" s="6" t="inlineStr">
        <is>
          <t>Quadris Excel</t>
        </is>
      </c>
      <c r="H586" s="6" t="n">
        <v>3</v>
      </c>
      <c r="I586" s="6" t="n">
        <v>1</v>
      </c>
      <c r="J586" s="6" t="inlineStr">
        <is>
          <t>nincs</t>
        </is>
      </c>
      <c r="K586" s="6">
        <f>IF(AND(H586&gt;0,I586&gt;0),"Rendben",IF(AND(H586=0,I586=0),"Nincs kép és adat",IF(H586=0,"Nincs kép","Nincs adat")))</f>
        <v/>
      </c>
      <c r="L586" s="6" t="inlineStr">
        <is>
          <t>Igen</t>
        </is>
      </c>
      <c r="M586" s="7" t="inlineStr">
        <is>
          <t>fts-farina.it webáruház (WooCommerce API); FTS 2024 katalógus (PDF)</t>
        </is>
      </c>
      <c r="N586" s="7" t="inlineStr">
        <is>
          <t>Megtalálva: 50298820 – Scaletta leggera zincata estraibile a 1 gradino (kód: 50298820)</t>
        </is>
      </c>
      <c r="O586" s="11" t="inlineStr">
        <is>
          <t>https://www.fts-farina.it/prodotto/50298820-scaletta-leggera-zincata-estraibile-a-1-gradino/</t>
        </is>
      </c>
      <c r="P586" s="11" t="inlineStr">
        <is>
          <t>https://website-9ib.pages.dev/termek/508820-1-fokos-letra-horg/</t>
        </is>
      </c>
      <c r="Q586" s="12" t="inlineStr"/>
      <c r="R586" s="13" t="inlineStr"/>
      <c r="S586" s="6" t="inlineStr">
        <is>
          <t>508820-1-fokos-letra-horg</t>
        </is>
      </c>
    </row>
    <row r="587">
      <c r="A587" s="6" t="inlineStr">
        <is>
          <t>5030270</t>
        </is>
      </c>
      <c r="B587" s="7" t="inlineStr">
        <is>
          <t>2 fokos létra + platform TH</t>
        </is>
      </c>
      <c r="C587" s="6" t="inlineStr">
        <is>
          <t>Dobozos felépítmény alkatrészek</t>
        </is>
      </c>
      <c r="D587" s="6" t="inlineStr">
        <is>
          <t>Létrák</t>
        </is>
      </c>
      <c r="E587" s="6" t="inlineStr">
        <is>
          <t>FTS</t>
        </is>
      </c>
      <c r="F587" s="6" t="inlineStr">
        <is>
          <t>50430270</t>
        </is>
      </c>
      <c r="G587" s="6" t="inlineStr">
        <is>
          <t>Quadris Excel</t>
        </is>
      </c>
      <c r="H587" s="6" t="n">
        <v>2</v>
      </c>
      <c r="I587" s="6" t="n">
        <v>1</v>
      </c>
      <c r="J587" s="6" t="inlineStr">
        <is>
          <t>nincs</t>
        </is>
      </c>
      <c r="K587" s="6">
        <f>IF(AND(H587&gt;0,I587&gt;0),"Rendben",IF(AND(H587=0,I587=0),"Nincs kép és adat",IF(H587=0,"Nincs kép","Nincs adat")))</f>
        <v/>
      </c>
      <c r="L587" s="6" t="inlineStr">
        <is>
          <t>Igen</t>
        </is>
      </c>
      <c r="M587" s="7" t="inlineStr">
        <is>
          <t>fts-farina.it webáruház (WooCommerce API); FTS 2024 katalógus (PDF)</t>
        </is>
      </c>
      <c r="N587" s="7" t="inlineStr">
        <is>
          <t>Megtalálva: 50430270 – Scaletta estraibile con pedana a 2 gradini zincata a caldo (kód: 50430270)</t>
        </is>
      </c>
      <c r="O587" s="11" t="inlineStr">
        <is>
          <t>https://www.fts-farina.it/prodotto/50430270-scaletta-estraibile-con-pedana-a-2-gradini-zincata-a-caldo/</t>
        </is>
      </c>
      <c r="P587" s="11" t="inlineStr">
        <is>
          <t>https://website-9ib.pages.dev/termek/5030270-2-fokos-letra-platform-th/</t>
        </is>
      </c>
      <c r="Q587" s="12" t="inlineStr"/>
      <c r="R587" s="13" t="inlineStr"/>
      <c r="S587" s="6" t="inlineStr">
        <is>
          <t>5030270-2-fokos-letra-platform-th</t>
        </is>
      </c>
    </row>
    <row r="588">
      <c r="A588" s="6" t="inlineStr">
        <is>
          <t>509665</t>
        </is>
      </c>
      <c r="B588" s="7" t="inlineStr">
        <is>
          <t>2 fokos létra TH</t>
        </is>
      </c>
      <c r="C588" s="6" t="inlineStr">
        <is>
          <t>Dobozos felépítmény alkatrészek</t>
        </is>
      </c>
      <c r="D588" s="6" t="inlineStr">
        <is>
          <t>Létrák</t>
        </is>
      </c>
      <c r="E588" s="6" t="inlineStr">
        <is>
          <t>FTS</t>
        </is>
      </c>
      <c r="F588" s="6" t="inlineStr">
        <is>
          <t>50399665</t>
        </is>
      </c>
      <c r="G588" s="6" t="inlineStr">
        <is>
          <t>Quadris Excel</t>
        </is>
      </c>
      <c r="H588" s="6" t="n">
        <v>0</v>
      </c>
      <c r="I588" s="6" t="n">
        <v>0</v>
      </c>
      <c r="J588" s="6" t="inlineStr">
        <is>
          <t>nincs</t>
        </is>
      </c>
      <c r="K588" s="6">
        <f>IF(AND(H588&gt;0,I588&gt;0),"Rendben",IF(AND(H588=0,I588=0),"Nincs kép és adat",IF(H588=0,"Nincs kép","Nincs adat")))</f>
        <v/>
      </c>
      <c r="L588" s="6" t="inlineStr">
        <is>
          <t>Igen</t>
        </is>
      </c>
      <c r="M588" s="7" t="inlineStr">
        <is>
          <t>fts-farina.it webáruház (WooCommerce API); FTS 2024 katalógus (PDF)</t>
        </is>
      </c>
      <c r="N588" s="7" t="inlineStr">
        <is>
          <t>Nem találtuk: fts-farina.it webáruház (WooCommerce API); FTS 2024 katalógus (PDF)</t>
        </is>
      </c>
      <c r="O588" s="6" t="inlineStr"/>
      <c r="P588" s="11" t="inlineStr">
        <is>
          <t>https://website-9ib.pages.dev/termek/509665-2-fokos-letra-th/</t>
        </is>
      </c>
      <c r="Q588" s="12" t="inlineStr"/>
      <c r="R588" s="13" t="inlineStr"/>
      <c r="S588" s="6" t="inlineStr">
        <is>
          <t>509665-2-fokos-letra-th</t>
        </is>
      </c>
    </row>
    <row r="589">
      <c r="A589" s="6" t="inlineStr">
        <is>
          <t>501927</t>
        </is>
      </c>
      <c r="B589" s="7" t="inlineStr">
        <is>
          <t>2 fokos létra TH platform</t>
        </is>
      </c>
      <c r="C589" s="6" t="inlineStr">
        <is>
          <t>Dobozos felépítmény alkatrészek</t>
        </is>
      </c>
      <c r="D589" s="6" t="inlineStr">
        <is>
          <t>Létrák</t>
        </is>
      </c>
      <c r="E589" s="6" t="inlineStr">
        <is>
          <t>FTS</t>
        </is>
      </c>
      <c r="F589" s="6" t="inlineStr">
        <is>
          <t>50419270</t>
        </is>
      </c>
      <c r="G589" s="6" t="inlineStr">
        <is>
          <t>Quadris Excel</t>
        </is>
      </c>
      <c r="H589" s="6" t="n">
        <v>3</v>
      </c>
      <c r="I589" s="6" t="n">
        <v>2</v>
      </c>
      <c r="J589" s="6" t="inlineStr">
        <is>
          <t>nincs</t>
        </is>
      </c>
      <c r="K589" s="6">
        <f>IF(AND(H589&gt;0,I589&gt;0),"Rendben",IF(AND(H589=0,I589=0),"Nincs kép és adat",IF(H589=0,"Nincs kép","Nincs adat")))</f>
        <v/>
      </c>
      <c r="L589" s="6" t="inlineStr">
        <is>
          <t>Igen</t>
        </is>
      </c>
      <c r="M589" s="7" t="inlineStr">
        <is>
          <t>fts-farina.it webáruház (WooCommerce API); FTS 2024 katalógus (PDF)</t>
        </is>
      </c>
      <c r="N589" s="7" t="inlineStr">
        <is>
          <t>Megtalálva: Scaletta estraibile con pedana a 2 gradini compatta (kód: 50419270)</t>
        </is>
      </c>
      <c r="O589" s="11" t="inlineStr">
        <is>
          <t>https://www.fts-farina.it/prodotto/scaletta-estraibile-con-pedana-a-2-gradini-compatta/</t>
        </is>
      </c>
      <c r="P589" s="11" t="inlineStr">
        <is>
          <t>https://website-9ib.pages.dev/termek/501927-2-fokos-letra-th-platform/</t>
        </is>
      </c>
      <c r="Q589" s="12" t="inlineStr"/>
      <c r="R589" s="13" t="inlineStr"/>
      <c r="S589" s="6" t="inlineStr">
        <is>
          <t>501927-2-fokos-letra-th-platform</t>
        </is>
      </c>
    </row>
    <row r="590">
      <c r="A590" s="6" t="inlineStr">
        <is>
          <t>502210</t>
        </is>
      </c>
      <c r="B590" s="7" t="inlineStr">
        <is>
          <t>2 fokos létra horg.</t>
        </is>
      </c>
      <c r="C590" s="6" t="inlineStr">
        <is>
          <t>Dobozos felépítmény alkatrészek</t>
        </is>
      </c>
      <c r="D590" s="6" t="inlineStr">
        <is>
          <t>Létrák</t>
        </is>
      </c>
      <c r="E590" s="6" t="inlineStr">
        <is>
          <t>FTS</t>
        </is>
      </c>
      <c r="F590" s="6" t="inlineStr">
        <is>
          <t>50292210</t>
        </is>
      </c>
      <c r="G590" s="6" t="inlineStr">
        <is>
          <t>Quadris Excel</t>
        </is>
      </c>
      <c r="H590" s="6" t="n">
        <v>2</v>
      </c>
      <c r="I590" s="6" t="n">
        <v>1</v>
      </c>
      <c r="J590" s="6" t="inlineStr">
        <is>
          <t>nincs</t>
        </is>
      </c>
      <c r="K590" s="6">
        <f>IF(AND(H590&gt;0,I590&gt;0),"Rendben",IF(AND(H590=0,I590=0),"Nincs kép és adat",IF(H590=0,"Nincs kép","Nincs adat")))</f>
        <v/>
      </c>
      <c r="L590" s="6" t="inlineStr">
        <is>
          <t>Igen</t>
        </is>
      </c>
      <c r="M590" s="7" t="inlineStr">
        <is>
          <t>fts-farina.it webáruház (WooCommerce API); FTS 2024 katalógus (PDF)</t>
        </is>
      </c>
      <c r="N590" s="7" t="inlineStr">
        <is>
          <t>Megtalálva: 50292210 – Scaletta leggera zincata estraibile a 2 gradini (kód: 50292210)</t>
        </is>
      </c>
      <c r="O590" s="11" t="inlineStr">
        <is>
          <t>https://www.fts-farina.it/prodotto/50292210-scaletta-leggera-zincata-estraibile-a-2-gradini/</t>
        </is>
      </c>
      <c r="P590" s="11" t="inlineStr">
        <is>
          <t>https://website-9ib.pages.dev/termek/502210-2-fokos-letra-horg/</t>
        </is>
      </c>
      <c r="Q590" s="12" t="inlineStr"/>
      <c r="R590" s="13" t="inlineStr"/>
      <c r="S590" s="6" t="inlineStr">
        <is>
          <t>502210-2-fokos-letra-horg</t>
        </is>
      </c>
    </row>
    <row r="591">
      <c r="A591" s="6" t="inlineStr">
        <is>
          <t>508665</t>
        </is>
      </c>
      <c r="B591" s="7" t="inlineStr">
        <is>
          <t>2 fokos létra horg.</t>
        </is>
      </c>
      <c r="C591" s="6" t="inlineStr">
        <is>
          <t>Dobozos felépítmény alkatrészek</t>
        </is>
      </c>
      <c r="D591" s="6" t="inlineStr">
        <is>
          <t>Létrák</t>
        </is>
      </c>
      <c r="E591" s="6" t="inlineStr">
        <is>
          <t>FTS</t>
        </is>
      </c>
      <c r="F591" s="6" t="inlineStr">
        <is>
          <t>50398665</t>
        </is>
      </c>
      <c r="G591" s="6" t="inlineStr">
        <is>
          <t>Quadris Excel</t>
        </is>
      </c>
      <c r="H591" s="6" t="n">
        <v>2</v>
      </c>
      <c r="I591" s="6" t="n">
        <v>1</v>
      </c>
      <c r="J591" s="6" t="inlineStr">
        <is>
          <t>nincs</t>
        </is>
      </c>
      <c r="K591" s="6">
        <f>IF(AND(H591&gt;0,I591&gt;0),"Rendben",IF(AND(H591=0,I591=0),"Nincs kép és adat",IF(H591=0,"Nincs kép","Nincs adat")))</f>
        <v/>
      </c>
      <c r="L591" s="6" t="inlineStr">
        <is>
          <t>Igen</t>
        </is>
      </c>
      <c r="M591" s="7" t="inlineStr">
        <is>
          <t>fts-farina.it webáruház (WooCommerce API); FTS 2024 katalógus (PDF)</t>
        </is>
      </c>
      <c r="N591" s="7" t="inlineStr">
        <is>
          <t>Megtalálva: 50398665 – Scaletta zincata estraibile 2 gradini con asole (kód: 50398665)</t>
        </is>
      </c>
      <c r="O591" s="11" t="inlineStr">
        <is>
          <t>https://www.fts-farina.it/prodotto/50398665-scaletta-zincata-estraibile-2-gradini-con-asole/</t>
        </is>
      </c>
      <c r="P591" s="11" t="inlineStr">
        <is>
          <t>https://website-9ib.pages.dev/termek/508665-2-fokos-letra-horg/</t>
        </is>
      </c>
      <c r="Q591" s="12" t="inlineStr"/>
      <c r="R591" s="13" t="inlineStr"/>
      <c r="S591" s="6" t="inlineStr">
        <is>
          <t>508665-2-fokos-letra-horg</t>
        </is>
      </c>
    </row>
    <row r="592">
      <c r="A592" s="6" t="inlineStr">
        <is>
          <t>056402</t>
        </is>
      </c>
      <c r="B592" s="7" t="inlineStr">
        <is>
          <t>2 részes rugós ajtókiakasztó szet</t>
        </is>
      </c>
      <c r="C592" s="6" t="inlineStr">
        <is>
          <t>Dobozos felépítmény alkatrészek</t>
        </is>
      </c>
      <c r="D592" s="6" t="inlineStr">
        <is>
          <t>Ajtórögzítők</t>
        </is>
      </c>
      <c r="E592" s="6" t="inlineStr">
        <is>
          <t>FTS</t>
        </is>
      </c>
      <c r="F592" s="6" t="inlineStr">
        <is>
          <t>80700800</t>
        </is>
      </c>
      <c r="G592" s="6" t="inlineStr">
        <is>
          <t>Quadris Excel</t>
        </is>
      </c>
      <c r="H592" s="6" t="n">
        <v>3</v>
      </c>
      <c r="I592" s="6" t="n">
        <v>1</v>
      </c>
      <c r="J592" s="6" t="inlineStr">
        <is>
          <t>nincs</t>
        </is>
      </c>
      <c r="K592" s="6">
        <f>IF(AND(H592&gt;0,I592&gt;0),"Rendben",IF(AND(H592=0,I592=0),"Nincs kép és adat",IF(H592=0,"Nincs kép","Nincs adat")))</f>
        <v/>
      </c>
      <c r="L592" s="6" t="inlineStr">
        <is>
          <t>Igen</t>
        </is>
      </c>
      <c r="M592" s="7" t="inlineStr">
        <is>
          <t>fts-farina.it webáruház (WooCommerce API); FTS 2024 katalógus (PDF)</t>
        </is>
      </c>
      <c r="N592" s="7" t="inlineStr">
        <is>
          <t>Megtalálva: 80700800 – Ferma porta autoallineante zincato (kód: 80700800)</t>
        </is>
      </c>
      <c r="O592" s="11" t="inlineStr">
        <is>
          <t>https://www.fts-farina.it/prodotto/80700800-ferma-porta-autoallineante-zincato/</t>
        </is>
      </c>
      <c r="P592" s="11" t="inlineStr">
        <is>
          <t>https://website-9ib.pages.dev/termek/056402-2-reszes-rugos-ajtokiakaszto-szet/</t>
        </is>
      </c>
      <c r="Q592" s="12" t="inlineStr"/>
      <c r="R592" s="13" t="inlineStr"/>
      <c r="S592" s="6" t="inlineStr">
        <is>
          <t>056402-2-reszes-rugos-ajtokiakaszto-szet</t>
        </is>
      </c>
    </row>
    <row r="593">
      <c r="A593" s="6" t="inlineStr">
        <is>
          <t>820128/L</t>
        </is>
      </c>
      <c r="B593" s="7" t="inlineStr">
        <is>
          <t>210 mm Rugós Rigli RM</t>
        </is>
      </c>
      <c r="C593" s="6" t="inlineStr">
        <is>
          <t>Dobozos felépítmény alkatrészek</t>
        </is>
      </c>
      <c r="D593" s="6" t="inlineStr">
        <is>
          <t>Egyéb dobozos felépítmény tartozékok</t>
        </is>
      </c>
      <c r="E593" s="6" t="inlineStr">
        <is>
          <t>FTS</t>
        </is>
      </c>
      <c r="F593" s="6" t="inlineStr">
        <is>
          <t>20128610</t>
        </is>
      </c>
      <c r="G593" s="6" t="inlineStr">
        <is>
          <t>Quadris Excel</t>
        </is>
      </c>
      <c r="H593" s="6" t="n">
        <v>2</v>
      </c>
      <c r="I593" s="6" t="n">
        <v>2</v>
      </c>
      <c r="J593" s="6" t="inlineStr">
        <is>
          <t>nincs</t>
        </is>
      </c>
      <c r="K593" s="6">
        <f>IF(AND(H593&gt;0,I593&gt;0),"Rendben",IF(AND(H593=0,I593=0),"Nincs kép és adat",IF(H593=0,"Nincs kép","Nincs adat")))</f>
        <v/>
      </c>
      <c r="L593" s="6" t="inlineStr">
        <is>
          <t>Igen</t>
        </is>
      </c>
      <c r="M593" s="7" t="inlineStr">
        <is>
          <t>fts-farina.it webáruház (WooCommerce API); FTS 2024 katalógus (PDF)</t>
        </is>
      </c>
      <c r="N593" s="7" t="inlineStr">
        <is>
          <t>Megtalálva: 20128610/1 – Perno a molla grande in inox (kód: 20128610)</t>
        </is>
      </c>
      <c r="O593" s="11" t="inlineStr">
        <is>
          <t>https://www.fts-farina.it/prodotto/20128610-1-perno-a-molla-grande-in-inox/</t>
        </is>
      </c>
      <c r="P593" s="11" t="inlineStr">
        <is>
          <t>https://website-9ib.pages.dev/termek/820128-l-210-mm-rugos-rigli-rm/</t>
        </is>
      </c>
      <c r="Q593" s="12" t="inlineStr"/>
      <c r="R593" s="13" t="inlineStr"/>
      <c r="S593" s="6" t="inlineStr">
        <is>
          <t>820128-l-210-mm-rugos-rigli-rm</t>
        </is>
      </c>
    </row>
    <row r="594">
      <c r="A594" s="6" t="inlineStr">
        <is>
          <t>820129/L</t>
        </is>
      </c>
      <c r="B594" s="7" t="inlineStr">
        <is>
          <t>247 mm Rugós Rigli horg</t>
        </is>
      </c>
      <c r="C594" s="6" t="inlineStr">
        <is>
          <t>Dobozos felépítmény alkatrészek</t>
        </is>
      </c>
      <c r="D594" s="6" t="inlineStr">
        <is>
          <t>Egyéb dobozos felépítmény tartozékok</t>
        </is>
      </c>
      <c r="E594" s="6" t="inlineStr">
        <is>
          <t>FTS</t>
        </is>
      </c>
      <c r="F594" s="6" t="inlineStr">
        <is>
          <t>20128510/1</t>
        </is>
      </c>
      <c r="G594" s="6" t="inlineStr">
        <is>
          <t>Quadris Excel</t>
        </is>
      </c>
      <c r="H594" s="6" t="n">
        <v>2</v>
      </c>
      <c r="I594" s="6" t="n">
        <v>2</v>
      </c>
      <c r="J594" s="6" t="inlineStr">
        <is>
          <t>nincs</t>
        </is>
      </c>
      <c r="K594" s="6">
        <f>IF(AND(H594&gt;0,I594&gt;0),"Rendben",IF(AND(H594=0,I594=0),"Nincs kép és adat",IF(H594=0,"Nincs kép","Nincs adat")))</f>
        <v/>
      </c>
      <c r="L594" s="6" t="inlineStr">
        <is>
          <t>Igen</t>
        </is>
      </c>
      <c r="M594" s="7" t="inlineStr">
        <is>
          <t>fts-farina.it webáruház (WooCommerce API); FTS 2024 katalógus (PDF)</t>
        </is>
      </c>
      <c r="N594" s="7" t="inlineStr">
        <is>
          <t>Megtalálva: 20128510/1 – Perno a molla grande zinc. (kód: 20128510)</t>
        </is>
      </c>
      <c r="O594" s="11" t="inlineStr">
        <is>
          <t>https://www.fts-farina.it/prodotto/20128510-1-perno-a-molla-grande-zinc/</t>
        </is>
      </c>
      <c r="P594" s="11" t="inlineStr">
        <is>
          <t>https://website-9ib.pages.dev/termek/820129-l-247-mm-rugos-rigli-horg/</t>
        </is>
      </c>
      <c r="Q594" s="12" t="inlineStr"/>
      <c r="R594" s="13" t="inlineStr"/>
      <c r="S594" s="6" t="inlineStr">
        <is>
          <t>820129-l-247-mm-rugos-rigli-horg</t>
        </is>
      </c>
    </row>
    <row r="595">
      <c r="A595" s="6" t="inlineStr">
        <is>
          <t>504665</t>
        </is>
      </c>
      <c r="B595" s="7" t="inlineStr">
        <is>
          <t>3 fokos létra horganyzott</t>
        </is>
      </c>
      <c r="C595" s="6" t="inlineStr">
        <is>
          <t>Dobozos felépítmény alkatrészek</t>
        </is>
      </c>
      <c r="D595" s="6" t="inlineStr">
        <is>
          <t>Létrák</t>
        </is>
      </c>
      <c r="E595" s="6" t="inlineStr">
        <is>
          <t>FTS</t>
        </is>
      </c>
      <c r="F595" s="6" t="inlineStr">
        <is>
          <t>50400665</t>
        </is>
      </c>
      <c r="G595" s="6" t="inlineStr">
        <is>
          <t>Quadris Excel</t>
        </is>
      </c>
      <c r="H595" s="6" t="n">
        <v>2</v>
      </c>
      <c r="I595" s="6" t="n">
        <v>1</v>
      </c>
      <c r="J595" s="6" t="inlineStr">
        <is>
          <t>nincs</t>
        </is>
      </c>
      <c r="K595" s="6">
        <f>IF(AND(H595&gt;0,I595&gt;0),"Rendben",IF(AND(H595=0,I595=0),"Nincs kép és adat",IF(H595=0,"Nincs kép","Nincs adat")))</f>
        <v/>
      </c>
      <c r="L595" s="6" t="inlineStr">
        <is>
          <t>Igen</t>
        </is>
      </c>
      <c r="M595" s="7" t="inlineStr">
        <is>
          <t>fts-farina.it webáruház (WooCommerce API); FTS 2024 katalógus (PDF)</t>
        </is>
      </c>
      <c r="N595" s="7" t="inlineStr">
        <is>
          <t>Megtalálva: 50400665 – Scaletta zincata estraibile 3 gradini con asole (kód: 50400665)</t>
        </is>
      </c>
      <c r="O595" s="11" t="inlineStr">
        <is>
          <t>https://www.fts-farina.it/prodotto/50400665-scaletta-zincata-estraibile-3-gradini-con-asole/</t>
        </is>
      </c>
      <c r="P595" s="11" t="inlineStr">
        <is>
          <t>https://website-9ib.pages.dev/termek/504665-3-fokos-letra-horganyzott/</t>
        </is>
      </c>
      <c r="Q595" s="12" t="inlineStr"/>
      <c r="R595" s="13" t="inlineStr"/>
      <c r="S595" s="6" t="inlineStr">
        <is>
          <t>504665-3-fokos-letra-horganyzott</t>
        </is>
      </c>
    </row>
    <row r="596">
      <c r="A596" s="6" t="inlineStr">
        <is>
          <t>882050</t>
        </is>
      </c>
      <c r="B596" s="7" t="inlineStr">
        <is>
          <t>5 fokos létra</t>
        </is>
      </c>
      <c r="C596" s="6" t="inlineStr">
        <is>
          <t>Dobozos felépítmény alkatrészek</t>
        </is>
      </c>
      <c r="D596" s="6" t="inlineStr">
        <is>
          <t>Létrák</t>
        </is>
      </c>
      <c r="E596" s="6" t="inlineStr">
        <is>
          <t>FTS</t>
        </is>
      </c>
      <c r="F596" s="6" t="inlineStr"/>
      <c r="G596" s="6" t="inlineStr">
        <is>
          <t>Quadris Excel</t>
        </is>
      </c>
      <c r="H596" s="6" t="n">
        <v>0</v>
      </c>
      <c r="I596" s="6" t="n">
        <v>0</v>
      </c>
      <c r="J596" s="6" t="inlineStr">
        <is>
          <t>nincs</t>
        </is>
      </c>
      <c r="K596" s="6">
        <f>IF(AND(H596&gt;0,I596&gt;0),"Rendben",IF(AND(H596=0,I596=0),"Nincs kép és adat",IF(H596=0,"Nincs kép","Nincs adat")))</f>
        <v/>
      </c>
      <c r="L596" s="6" t="inlineStr">
        <is>
          <t>Igen</t>
        </is>
      </c>
      <c r="M596" s="7" t="inlineStr">
        <is>
          <t>fts-farina.it webáruház (WooCommerce API); FTS 2024 katalógus (PDF)</t>
        </is>
      </c>
      <c r="N596" s="7" t="inlineStr">
        <is>
          <t>Nem találtuk: fts-farina.it webáruház (WooCommerce API); FTS 2024 katalógus (PDF)</t>
        </is>
      </c>
      <c r="O596" s="6" t="inlineStr"/>
      <c r="P596" s="11" t="inlineStr">
        <is>
          <t>https://website-9ib.pages.dev/termek/882050-5-fokos-letra/</t>
        </is>
      </c>
      <c r="Q596" s="12" t="inlineStr"/>
      <c r="R596" s="13" t="inlineStr"/>
      <c r="S596" s="6" t="inlineStr">
        <is>
          <t>882050-5-fokos-letra</t>
        </is>
      </c>
    </row>
    <row r="597">
      <c r="A597" s="6" t="inlineStr">
        <is>
          <t>504927</t>
        </is>
      </c>
      <c r="B597" s="7" t="inlineStr">
        <is>
          <t>6 fokos létra TH</t>
        </is>
      </c>
      <c r="C597" s="6" t="inlineStr">
        <is>
          <t>Dobozos felépítmény alkatrészek</t>
        </is>
      </c>
      <c r="D597" s="6" t="inlineStr">
        <is>
          <t>Létrák</t>
        </is>
      </c>
      <c r="E597" s="6" t="inlineStr">
        <is>
          <t>FTS</t>
        </is>
      </c>
      <c r="F597" s="6" t="inlineStr">
        <is>
          <t>50449270</t>
        </is>
      </c>
      <c r="G597" s="6" t="inlineStr">
        <is>
          <t>Quadris Excel</t>
        </is>
      </c>
      <c r="H597" s="6" t="n">
        <v>3</v>
      </c>
      <c r="I597" s="6" t="n">
        <v>1</v>
      </c>
      <c r="J597" s="6" t="inlineStr">
        <is>
          <t>nincs</t>
        </is>
      </c>
      <c r="K597" s="6">
        <f>IF(AND(H597&gt;0,I597&gt;0),"Rendben",IF(AND(H597=0,I597=0),"Nincs kép és adat",IF(H597=0,"Nincs kép","Nincs adat")))</f>
        <v/>
      </c>
      <c r="L597" s="6" t="inlineStr">
        <is>
          <t>Igen</t>
        </is>
      </c>
      <c r="M597" s="7" t="inlineStr">
        <is>
          <t>fts-farina.it webáruház (WooCommerce API); FTS 2024 katalógus (PDF)</t>
        </is>
      </c>
      <c r="N597" s="7" t="inlineStr">
        <is>
          <t>Megtalálva: 50449270 – Scala estraibile 6 gradini zincata AT600 (kód: 50449270)</t>
        </is>
      </c>
      <c r="O597" s="11" t="inlineStr">
        <is>
          <t>https://www.fts-farina.it/prodotto/50449270-scala-estraibile-6-gradini-zincata-at600/</t>
        </is>
      </c>
      <c r="P597" s="11" t="inlineStr">
        <is>
          <t>https://website-9ib.pages.dev/termek/504927-6-fokos-letra-th/</t>
        </is>
      </c>
      <c r="Q597" s="12" t="inlineStr"/>
      <c r="R597" s="13" t="inlineStr"/>
      <c r="S597" s="6" t="inlineStr">
        <is>
          <t>504927-6-fokos-letra-th</t>
        </is>
      </c>
    </row>
    <row r="598">
      <c r="A598" s="6" t="inlineStr">
        <is>
          <t>836500</t>
        </is>
      </c>
      <c r="B598" s="7" t="inlineStr">
        <is>
          <t>D18 horg hátsóajtózár KIT TS</t>
        </is>
      </c>
      <c r="C598" s="6" t="inlineStr">
        <is>
          <t>Dobozos felépítmény alkatrészek</t>
        </is>
      </c>
      <c r="D598" s="6" t="inlineStr">
        <is>
          <t>Zárak</t>
        </is>
      </c>
      <c r="E598" s="6" t="inlineStr">
        <is>
          <t>FTS</t>
        </is>
      </c>
      <c r="F598" s="6" t="inlineStr">
        <is>
          <t>80365000</t>
        </is>
      </c>
      <c r="G598" s="6" t="inlineStr">
        <is>
          <t>Quadris Excel</t>
        </is>
      </c>
      <c r="H598" s="6" t="n">
        <v>4</v>
      </c>
      <c r="I598" s="6" t="n">
        <v>1</v>
      </c>
      <c r="J598" s="6" t="inlineStr">
        <is>
          <t>nincs</t>
        </is>
      </c>
      <c r="K598" s="6">
        <f>IF(AND(H598&gt;0,I598&gt;0),"Rendben",IF(AND(H598=0,I598=0),"Nincs kép és adat",IF(H598=0,"Nincs kép","Nincs adat")))</f>
        <v/>
      </c>
      <c r="L598" s="6" t="inlineStr">
        <is>
          <t>Igen</t>
        </is>
      </c>
      <c r="M598" s="7" t="inlineStr">
        <is>
          <t>fts-farina.it webáruház (WooCommerce API); FTS 2024 katalógus (PDF)</t>
        </is>
      </c>
      <c r="N598" s="7" t="inlineStr">
        <is>
          <t>Megtalálva: 80365000 – Chiusura sottoporta zincata Ø18 (kód: 80365000)</t>
        </is>
      </c>
      <c r="O598" s="11" t="inlineStr">
        <is>
          <t>https://www.fts-farina.it/prodotto/80365000-chiusura-sottoporta-zincata-o18/</t>
        </is>
      </c>
      <c r="P598" s="11" t="inlineStr">
        <is>
          <t>https://website-9ib.pages.dev/termek/836500-d18-horg-hatsoajtozar-kit-ts/</t>
        </is>
      </c>
      <c r="Q598" s="12" t="inlineStr"/>
      <c r="R598" s="13" t="inlineStr"/>
      <c r="S598" s="6" t="inlineStr">
        <is>
          <t>836500-d18-horg-hatsoajtozar-kit-ts</t>
        </is>
      </c>
    </row>
    <row r="599">
      <c r="A599" s="6" t="inlineStr">
        <is>
          <t>836821/L</t>
        </is>
      </c>
      <c r="B599" s="7" t="inlineStr">
        <is>
          <t>D22 konténer rúdzár RM. kit TS</t>
        </is>
      </c>
      <c r="C599" s="6" t="inlineStr">
        <is>
          <t>Dobozos felépítmény alkatrészek</t>
        </is>
      </c>
      <c r="D599" s="6" t="inlineStr">
        <is>
          <t>Zárak</t>
        </is>
      </c>
      <c r="E599" s="6" t="inlineStr">
        <is>
          <t>FTS</t>
        </is>
      </c>
      <c r="F599" s="6" t="inlineStr">
        <is>
          <t>80368210/L</t>
        </is>
      </c>
      <c r="G599" s="6" t="inlineStr">
        <is>
          <t>Quadris Excel</t>
        </is>
      </c>
      <c r="H599" s="6" t="n">
        <v>1</v>
      </c>
      <c r="I599" s="6" t="n">
        <v>1</v>
      </c>
      <c r="J599" s="6" t="inlineStr">
        <is>
          <t>nincs</t>
        </is>
      </c>
      <c r="K599" s="6">
        <f>IF(AND(H599&gt;0,I599&gt;0),"Rendben",IF(AND(H599=0,I599=0),"Nincs kép és adat",IF(H599=0,"Nincs kép","Nincs adat")))</f>
        <v/>
      </c>
      <c r="L599" s="6" t="inlineStr">
        <is>
          <t>Igen</t>
        </is>
      </c>
      <c r="M599" s="7" t="inlineStr">
        <is>
          <t>fts-farina.it webáruház (WooCommerce API); FTS 2024 katalógus (PDF)</t>
        </is>
      </c>
      <c r="N599" s="7" t="inlineStr">
        <is>
          <t>Megtalálva: Chiusura esterna SL2 per tubo Ø22 (kód: 80368210)</t>
        </is>
      </c>
      <c r="O599" s="11" t="inlineStr">
        <is>
          <t>https://www.fts-farina.it/prodotto/chiusura-esterna-sl2-per-tubo-o22/</t>
        </is>
      </c>
      <c r="P599" s="11" t="inlineStr">
        <is>
          <t>https://website-9ib.pages.dev/termek/836821-l-d22-kontener-rudzar-rm-kit-ts/</t>
        </is>
      </c>
      <c r="Q599" s="12" t="inlineStr"/>
      <c r="R599" s="13" t="inlineStr"/>
      <c r="S599" s="6" t="inlineStr">
        <is>
          <t>836821-l-d22-kontener-rudzar-rm-kit-ts</t>
        </is>
      </c>
    </row>
    <row r="600">
      <c r="A600" s="6" t="inlineStr">
        <is>
          <t>836821/R</t>
        </is>
      </c>
      <c r="B600" s="7" t="inlineStr">
        <is>
          <t>D22 konténer rúdzár RM. kit TS</t>
        </is>
      </c>
      <c r="C600" s="6" t="inlineStr">
        <is>
          <t>Dobozos felépítmény alkatrészek</t>
        </is>
      </c>
      <c r="D600" s="6" t="inlineStr">
        <is>
          <t>Zárak</t>
        </is>
      </c>
      <c r="E600" s="6" t="inlineStr">
        <is>
          <t>FTS</t>
        </is>
      </c>
      <c r="F600" s="6" t="inlineStr">
        <is>
          <t>80368210/R</t>
        </is>
      </c>
      <c r="G600" s="6" t="inlineStr">
        <is>
          <t>Quadris Excel</t>
        </is>
      </c>
      <c r="H600" s="6" t="n">
        <v>1</v>
      </c>
      <c r="I600" s="6" t="n">
        <v>1</v>
      </c>
      <c r="J600" s="6" t="inlineStr">
        <is>
          <t>nincs</t>
        </is>
      </c>
      <c r="K600" s="6">
        <f>IF(AND(H600&gt;0,I600&gt;0),"Rendben",IF(AND(H600=0,I600=0),"Nincs kép és adat",IF(H600=0,"Nincs kép","Nincs adat")))</f>
        <v/>
      </c>
      <c r="L600" s="6" t="inlineStr">
        <is>
          <t>Igen</t>
        </is>
      </c>
      <c r="M600" s="7" t="inlineStr">
        <is>
          <t>fts-farina.it webáruház (WooCommerce API); FTS 2024 katalógus (PDF)</t>
        </is>
      </c>
      <c r="N600" s="7" t="inlineStr">
        <is>
          <t>Megtalálva: Chiusura esterna SL2 per tubo Ø22 (kód: 80368210)</t>
        </is>
      </c>
      <c r="O600" s="11" t="inlineStr">
        <is>
          <t>https://www.fts-farina.it/prodotto/chiusura-esterna-sl2-per-tubo-o22/</t>
        </is>
      </c>
      <c r="P600" s="11" t="inlineStr">
        <is>
          <t>https://website-9ib.pages.dev/termek/836821-r-d22-kontener-rudzar-rm-kit-ts/</t>
        </is>
      </c>
      <c r="Q600" s="12" t="inlineStr"/>
      <c r="R600" s="13" t="inlineStr"/>
      <c r="S600" s="6" t="inlineStr">
        <is>
          <t>836821-r-d22-kontener-rudzar-rm-kit-ts</t>
        </is>
      </c>
    </row>
    <row r="601">
      <c r="A601" s="6" t="inlineStr">
        <is>
          <t>836931</t>
        </is>
      </c>
      <c r="B601" s="7" t="inlineStr">
        <is>
          <t>D34 konténer rúdzár horg. kit</t>
        </is>
      </c>
      <c r="C601" s="6" t="inlineStr">
        <is>
          <t>Dobozos felépítmény alkatrészek</t>
        </is>
      </c>
      <c r="D601" s="6" t="inlineStr">
        <is>
          <t>Zárak</t>
        </is>
      </c>
      <c r="E601" s="6" t="inlineStr">
        <is>
          <t>FTS</t>
        </is>
      </c>
      <c r="F601" s="6" t="inlineStr">
        <is>
          <t>80369310</t>
        </is>
      </c>
      <c r="G601" s="6" t="inlineStr">
        <is>
          <t>Quadris Excel</t>
        </is>
      </c>
      <c r="H601" s="6" t="n">
        <v>1</v>
      </c>
      <c r="I601" s="6" t="n">
        <v>1</v>
      </c>
      <c r="J601" s="6" t="inlineStr">
        <is>
          <t>nincs</t>
        </is>
      </c>
      <c r="K601" s="6">
        <f>IF(AND(H601&gt;0,I601&gt;0),"Rendben",IF(AND(H601=0,I601=0),"Nincs kép és adat",IF(H601=0,"Nincs kép","Nincs adat")))</f>
        <v/>
      </c>
      <c r="L601" s="6" t="inlineStr">
        <is>
          <t>Igen</t>
        </is>
      </c>
      <c r="M601" s="7" t="inlineStr">
        <is>
          <t>fts-farina.it webáruház (WooCommerce API); FTS 2024 katalógus (PDF)</t>
        </is>
      </c>
      <c r="N601" s="7" t="inlineStr">
        <is>
          <t>Megtalálva: 80369310 – Chiusura esterna Container Zincata per tubo Ø34 (kód: 80369310)</t>
        </is>
      </c>
      <c r="O601" s="11" t="inlineStr">
        <is>
          <t>https://www.fts-farina.it/prodotto/80369310-chiusura-esterna-container-zincata-per-tubo-o34/</t>
        </is>
      </c>
      <c r="P601" s="11" t="inlineStr">
        <is>
          <t>https://website-9ib.pages.dev/termek/836931-d34-kontener-rudzar-horg-kit/</t>
        </is>
      </c>
      <c r="Q601" s="12" t="inlineStr"/>
      <c r="R601" s="13" t="inlineStr"/>
      <c r="S601" s="6" t="inlineStr">
        <is>
          <t>836931-d34-kontener-rudzar-horg-kit</t>
        </is>
      </c>
    </row>
    <row r="602">
      <c r="A602" s="6" t="inlineStr">
        <is>
          <t>501952</t>
        </is>
      </c>
      <c r="B602" s="7" t="inlineStr">
        <is>
          <t>Fix Thorg. oldalajtó fellépő létra</t>
        </is>
      </c>
      <c r="C602" s="6" t="inlineStr">
        <is>
          <t>Dobozos felépítmény alkatrészek</t>
        </is>
      </c>
      <c r="D602" s="6" t="inlineStr">
        <is>
          <t>Létrák</t>
        </is>
      </c>
      <c r="E602" s="6" t="inlineStr">
        <is>
          <t>FTS</t>
        </is>
      </c>
      <c r="F602" s="6" t="inlineStr">
        <is>
          <t>50195200</t>
        </is>
      </c>
      <c r="G602" s="6" t="inlineStr">
        <is>
          <t>Quadris Excel</t>
        </is>
      </c>
      <c r="H602" s="6" t="n">
        <v>4</v>
      </c>
      <c r="I602" s="6" t="n">
        <v>2</v>
      </c>
      <c r="J602" s="6" t="inlineStr">
        <is>
          <t>nincs</t>
        </is>
      </c>
      <c r="K602" s="6">
        <f>IF(AND(H602&gt;0,I602&gt;0),"Rendben",IF(AND(H602=0,I602=0),"Nincs kép és adat",IF(H602=0,"Nincs kép","Nincs adat")))</f>
        <v/>
      </c>
      <c r="L602" s="6" t="inlineStr">
        <is>
          <t>Igen</t>
        </is>
      </c>
      <c r="M602" s="7" t="inlineStr">
        <is>
          <t>fts-farina.it webáruház (WooCommerce API); FTS 2024 katalógus (PDF)</t>
        </is>
      </c>
      <c r="N602" s="7" t="inlineStr">
        <is>
          <t>Megtalálva: Gradino sagomato H=240 (kód: 50195200)</t>
        </is>
      </c>
      <c r="O602" s="11" t="inlineStr">
        <is>
          <t>https://www.fts-farina.it/prodotto/gradino-sagomato-h240/</t>
        </is>
      </c>
      <c r="P602" s="11" t="inlineStr">
        <is>
          <t>https://website-9ib.pages.dev/termek/501952-fix-thorg-oldalajto-fellepo-letra/</t>
        </is>
      </c>
      <c r="Q602" s="12" t="inlineStr"/>
      <c r="R602" s="13" t="inlineStr"/>
      <c r="S602" s="6" t="inlineStr">
        <is>
          <t>501952-fix-thorg-oldalajto-fellepo-letra</t>
        </is>
      </c>
    </row>
    <row r="603">
      <c r="A603" s="6" t="inlineStr">
        <is>
          <t>552280</t>
        </is>
      </c>
      <c r="B603" s="7" t="inlineStr">
        <is>
          <t>Gumi ütközőgyűrű D21,5x7,5 mm</t>
        </is>
      </c>
      <c r="C603" s="6" t="inlineStr">
        <is>
          <t>Dobozos felépítmény alkatrészek</t>
        </is>
      </c>
      <c r="D603" s="6" t="inlineStr">
        <is>
          <t>Gumiütközők</t>
        </is>
      </c>
      <c r="E603" s="6" t="inlineStr">
        <is>
          <t>FTS</t>
        </is>
      </c>
      <c r="F603" s="6" t="inlineStr">
        <is>
          <t>55228000</t>
        </is>
      </c>
      <c r="G603" s="6" t="inlineStr">
        <is>
          <t>Quadris Excel</t>
        </is>
      </c>
      <c r="H603" s="6" t="n">
        <v>2</v>
      </c>
      <c r="I603" s="6" t="n">
        <v>1</v>
      </c>
      <c r="J603" s="6" t="inlineStr">
        <is>
          <t>nincs</t>
        </is>
      </c>
      <c r="K603" s="6">
        <f>IF(AND(H603&gt;0,I603&gt;0),"Rendben",IF(AND(H603=0,I603=0),"Nincs kép és adat",IF(H603=0,"Nincs kép","Nincs adat")))</f>
        <v/>
      </c>
      <c r="L603" s="6" t="inlineStr">
        <is>
          <t>Igen</t>
        </is>
      </c>
      <c r="M603" s="7" t="inlineStr">
        <is>
          <t>fts-farina.it webáruház (WooCommerce API); FTS 2024 katalógus (PDF)</t>
        </is>
      </c>
      <c r="N603" s="7" t="inlineStr">
        <is>
          <t>Megtalálva: 55228000 – Tampone paracolpi cilindico in gomma Ø21×7,5 (kód: 55228000)</t>
        </is>
      </c>
      <c r="O603" s="11" t="inlineStr">
        <is>
          <t>https://www.fts-farina.it/prodotto/55228000-tampone-paracolpi-cilindico-in-gomma-o21x75/</t>
        </is>
      </c>
      <c r="P603" s="11" t="inlineStr">
        <is>
          <t>https://website-9ib.pages.dev/termek/552280-gumi-utkozogyuru-d21-5x7-5-mm/</t>
        </is>
      </c>
      <c r="Q603" s="12" t="inlineStr"/>
      <c r="R603" s="13" t="inlineStr"/>
      <c r="S603" s="6" t="inlineStr">
        <is>
          <t>552280-gumi-utkozogyuru-d21-5x7-5-mm</t>
        </is>
      </c>
    </row>
    <row r="604">
      <c r="A604" s="6" t="inlineStr">
        <is>
          <t>831245</t>
        </is>
      </c>
      <c r="B604" s="7" t="inlineStr">
        <is>
          <t>Gumis zsanér L:2500 mm</t>
        </is>
      </c>
      <c r="C604" s="6" t="inlineStr">
        <is>
          <t>Dobozos felépítmény alkatrészek</t>
        </is>
      </c>
      <c r="D604" s="6" t="inlineStr">
        <is>
          <t>Zsanérok</t>
        </is>
      </c>
      <c r="E604" s="6" t="inlineStr">
        <is>
          <t>FTS</t>
        </is>
      </c>
      <c r="F604" s="6" t="inlineStr">
        <is>
          <t>54631245</t>
        </is>
      </c>
      <c r="G604" s="6" t="inlineStr">
        <is>
          <t>Quadris Excel</t>
        </is>
      </c>
      <c r="H604" s="6" t="n">
        <v>1</v>
      </c>
      <c r="I604" s="6" t="n">
        <v>2</v>
      </c>
      <c r="J604" s="6" t="inlineStr">
        <is>
          <t>nincs</t>
        </is>
      </c>
      <c r="K604" s="6">
        <f>IF(AND(H604&gt;0,I604&gt;0),"Rendben",IF(AND(H604=0,I604=0),"Nincs kép és adat",IF(H604=0,"Nincs kép","Nincs adat")))</f>
        <v/>
      </c>
      <c r="L604" s="6" t="inlineStr">
        <is>
          <t>Igen</t>
        </is>
      </c>
      <c r="M604" s="7" t="inlineStr">
        <is>
          <t>fts-farina.it webáruház (WooCommerce API); FTS 2024 katalógus (PDF)</t>
        </is>
      </c>
      <c r="N604" s="7" t="inlineStr">
        <is>
          <t>Megtalálva: Cerniera TILA (kód: 54631245)</t>
        </is>
      </c>
      <c r="O604" s="11" t="inlineStr">
        <is>
          <t>https://www.fts-farina.it/prodotto/cerniera-tila/</t>
        </is>
      </c>
      <c r="P604" s="11" t="inlineStr">
        <is>
          <t>https://website-9ib.pages.dev/termek/831245-gumis-zsaner-l-2500-mm/</t>
        </is>
      </c>
      <c r="Q604" s="12" t="inlineStr"/>
      <c r="R604" s="13" t="inlineStr"/>
      <c r="S604" s="6" t="inlineStr">
        <is>
          <t>831245-gumis-zsaner-l-2500-mm</t>
        </is>
      </c>
    </row>
    <row r="605">
      <c r="A605" s="6" t="inlineStr">
        <is>
          <t>831230</t>
        </is>
      </c>
      <c r="B605" s="7" t="inlineStr">
        <is>
          <t>Gumis zsanér L:3000 mm</t>
        </is>
      </c>
      <c r="C605" s="6" t="inlineStr">
        <is>
          <t>Dobozos felépítmény alkatrészek</t>
        </is>
      </c>
      <c r="D605" s="6" t="inlineStr">
        <is>
          <t>Zsanérok</t>
        </is>
      </c>
      <c r="E605" s="6" t="inlineStr">
        <is>
          <t>FTS</t>
        </is>
      </c>
      <c r="F605" s="6" t="inlineStr">
        <is>
          <t>54631430</t>
        </is>
      </c>
      <c r="G605" s="6" t="inlineStr">
        <is>
          <t>Quadris Excel</t>
        </is>
      </c>
      <c r="H605" s="6" t="n">
        <v>1</v>
      </c>
      <c r="I605" s="6" t="n">
        <v>2</v>
      </c>
      <c r="J605" s="6" t="inlineStr">
        <is>
          <t>nincs</t>
        </is>
      </c>
      <c r="K605" s="6">
        <f>IF(AND(H605&gt;0,I605&gt;0),"Rendben",IF(AND(H605=0,I605=0),"Nincs kép és adat",IF(H605=0,"Nincs kép","Nincs adat")))</f>
        <v/>
      </c>
      <c r="L605" s="6" t="inlineStr">
        <is>
          <t>Igen</t>
        </is>
      </c>
      <c r="M605" s="7" t="inlineStr">
        <is>
          <t>fts-farina.it webáruház (WooCommerce API); FTS 2024 katalógus (PDF)</t>
        </is>
      </c>
      <c r="N605" s="7" t="inlineStr">
        <is>
          <t>Megtalálva: Cerniera TILA (kód: 54631430)</t>
        </is>
      </c>
      <c r="O605" s="11" t="inlineStr">
        <is>
          <t>https://www.fts-farina.it/prodotto/cerniera-tila/</t>
        </is>
      </c>
      <c r="P605" s="11" t="inlineStr">
        <is>
          <t>https://website-9ib.pages.dev/termek/831230-gumis-zsaner-l-3000-mm/</t>
        </is>
      </c>
      <c r="Q605" s="12" t="inlineStr"/>
      <c r="R605" s="13" t="inlineStr"/>
      <c r="S605" s="6" t="inlineStr">
        <is>
          <t>831230-gumis-zsaner-l-3000-mm</t>
        </is>
      </c>
    </row>
    <row r="606">
      <c r="A606" s="6" t="inlineStr">
        <is>
          <t>831440</t>
        </is>
      </c>
      <c r="B606" s="7" t="inlineStr">
        <is>
          <t>Gumis zsanér L:4000 mm</t>
        </is>
      </c>
      <c r="C606" s="6" t="inlineStr">
        <is>
          <t>Dobozos felépítmény alkatrészek</t>
        </is>
      </c>
      <c r="D606" s="6" t="inlineStr">
        <is>
          <t>Zsanérok</t>
        </is>
      </c>
      <c r="E606" s="6" t="inlineStr">
        <is>
          <t>FTS</t>
        </is>
      </c>
      <c r="F606" s="6" t="inlineStr">
        <is>
          <t>54631440</t>
        </is>
      </c>
      <c r="G606" s="6" t="inlineStr">
        <is>
          <t>Quadris Excel</t>
        </is>
      </c>
      <c r="H606" s="6" t="n">
        <v>1</v>
      </c>
      <c r="I606" s="6" t="n">
        <v>2</v>
      </c>
      <c r="J606" s="6" t="inlineStr">
        <is>
          <t>nincs</t>
        </is>
      </c>
      <c r="K606" s="6">
        <f>IF(AND(H606&gt;0,I606&gt;0),"Rendben",IF(AND(H606=0,I606=0),"Nincs kép és adat",IF(H606=0,"Nincs kép","Nincs adat")))</f>
        <v/>
      </c>
      <c r="L606" s="6" t="inlineStr">
        <is>
          <t>Igen</t>
        </is>
      </c>
      <c r="M606" s="7" t="inlineStr">
        <is>
          <t>fts-farina.it webáruház (WooCommerce API); FTS 2024 katalógus (PDF)</t>
        </is>
      </c>
      <c r="N606" s="7" t="inlineStr">
        <is>
          <t>Megtalálva: Cerniera TILA (kód: 54631440)</t>
        </is>
      </c>
      <c r="O606" s="11" t="inlineStr">
        <is>
          <t>https://www.fts-farina.it/prodotto/cerniera-tila/</t>
        </is>
      </c>
      <c r="P606" s="11" t="inlineStr">
        <is>
          <t>https://website-9ib.pages.dev/termek/831440-gumis-zsaner-l-4000-mm/</t>
        </is>
      </c>
      <c r="Q606" s="12" t="inlineStr"/>
      <c r="R606" s="13" t="inlineStr"/>
      <c r="S606" s="6" t="inlineStr">
        <is>
          <t>831440-gumis-zsaner-l-4000-mm</t>
        </is>
      </c>
    </row>
    <row r="607">
      <c r="A607" s="6" t="inlineStr">
        <is>
          <t>806070</t>
        </is>
      </c>
      <c r="B607" s="7" t="inlineStr">
        <is>
          <t>Horg. konténerajó zsanér, lépcsős 130/61 mm</t>
        </is>
      </c>
      <c r="C607" s="6" t="inlineStr">
        <is>
          <t>Dobozos felépítmény alkatrészek</t>
        </is>
      </c>
      <c r="D607" s="6" t="inlineStr">
        <is>
          <t>Zsanérok</t>
        </is>
      </c>
      <c r="E607" s="6" t="inlineStr">
        <is>
          <t>FTS</t>
        </is>
      </c>
      <c r="F607" s="6" t="inlineStr">
        <is>
          <t>80600700</t>
        </is>
      </c>
      <c r="G607" s="6" t="inlineStr">
        <is>
          <t>Quadris Excel</t>
        </is>
      </c>
      <c r="H607" s="6" t="n">
        <v>2</v>
      </c>
      <c r="I607" s="6" t="n">
        <v>1</v>
      </c>
      <c r="J607" s="6" t="inlineStr">
        <is>
          <t>nincs</t>
        </is>
      </c>
      <c r="K607" s="6">
        <f>IF(AND(H607&gt;0,I607&gt;0),"Rendben",IF(AND(H607=0,I607=0),"Nincs kép és adat",IF(H607=0,"Nincs kép","Nincs adat")))</f>
        <v/>
      </c>
      <c r="L607" s="6" t="inlineStr">
        <is>
          <t>Igen</t>
        </is>
      </c>
      <c r="M607" s="7" t="inlineStr">
        <is>
          <t>fts-farina.it webáruház (WooCommerce API); FTS 2024 katalógus (PDF)</t>
        </is>
      </c>
      <c r="N607" s="7" t="inlineStr">
        <is>
          <t>Megtalálva: 80600700 – Cerniera per container zincato (kód: 80600700)</t>
        </is>
      </c>
      <c r="O607" s="11" t="inlineStr">
        <is>
          <t>https://www.fts-farina.it/prodotto/80600700-cerniera-per-container-zincato/</t>
        </is>
      </c>
      <c r="P607" s="11" t="inlineStr">
        <is>
          <t>https://website-9ib.pages.dev/termek/806070-horg-kontenerajo-zsaner-lepcsos-130-61-mm/</t>
        </is>
      </c>
      <c r="Q607" s="12" t="inlineStr"/>
      <c r="R607" s="13" t="inlineStr"/>
      <c r="S607" s="6" t="inlineStr">
        <is>
          <t>806070-horg-kontenerajo-zsaner-lepcsos-130-61-mm</t>
        </is>
      </c>
    </row>
    <row r="608">
      <c r="A608" s="6" t="inlineStr">
        <is>
          <t>831211</t>
        </is>
      </c>
      <c r="B608" s="7" t="inlineStr">
        <is>
          <t>Horganyzott lapos zsanér</t>
        </is>
      </c>
      <c r="C608" s="6" t="inlineStr">
        <is>
          <t>Dobozos felépítmény alkatrészek</t>
        </is>
      </c>
      <c r="D608" s="6" t="inlineStr">
        <is>
          <t>Zsanérok</t>
        </is>
      </c>
      <c r="E608" s="6" t="inlineStr">
        <is>
          <t>FTS</t>
        </is>
      </c>
      <c r="F608" s="6" t="inlineStr"/>
      <c r="G608" s="6" t="inlineStr">
        <is>
          <t>Quadris Excel</t>
        </is>
      </c>
      <c r="H608" s="6" t="n">
        <v>0</v>
      </c>
      <c r="I608" s="6" t="n">
        <v>0</v>
      </c>
      <c r="J608" s="6" t="inlineStr">
        <is>
          <t>nincs</t>
        </is>
      </c>
      <c r="K608" s="6">
        <f>IF(AND(H608&gt;0,I608&gt;0),"Rendben",IF(AND(H608=0,I608=0),"Nincs kép és adat",IF(H608=0,"Nincs kép","Nincs adat")))</f>
        <v/>
      </c>
      <c r="L608" s="6" t="inlineStr">
        <is>
          <t>Igen</t>
        </is>
      </c>
      <c r="M608" s="7" t="inlineStr">
        <is>
          <t>fts-farina.it webáruház (WooCommerce API); FTS 2024 katalógus (PDF)</t>
        </is>
      </c>
      <c r="N608" s="7" t="inlineStr">
        <is>
          <t>Nem találtuk: fts-farina.it webáruház (WooCommerce API); FTS 2024 katalógus (PDF)</t>
        </is>
      </c>
      <c r="O608" s="6" t="inlineStr"/>
      <c r="P608" s="11" t="inlineStr">
        <is>
          <t>https://website-9ib.pages.dev/termek/831211-horganyzott-lapos-zsaner/</t>
        </is>
      </c>
      <c r="Q608" s="12" t="inlineStr"/>
      <c r="R608" s="13" t="inlineStr"/>
      <c r="S608" s="6" t="inlineStr">
        <is>
          <t>831211-horganyzott-lapos-zsaner</t>
        </is>
      </c>
    </row>
    <row r="609">
      <c r="A609" s="6" t="inlineStr">
        <is>
          <t>806308</t>
        </is>
      </c>
      <c r="B609" s="7" t="inlineStr">
        <is>
          <t>Horganyzott oldalajtó zsanér 140/179 mm</t>
        </is>
      </c>
      <c r="C609" s="6" t="inlineStr">
        <is>
          <t>Dobozos felépítmény alkatrészek</t>
        </is>
      </c>
      <c r="D609" s="6" t="inlineStr">
        <is>
          <t>Zsanérok</t>
        </is>
      </c>
      <c r="E609" s="6" t="inlineStr">
        <is>
          <t>FTS</t>
        </is>
      </c>
      <c r="F609" s="6" t="inlineStr">
        <is>
          <t>80600300</t>
        </is>
      </c>
      <c r="G609" s="6" t="inlineStr">
        <is>
          <t>Quadris Excel</t>
        </is>
      </c>
      <c r="H609" s="6" t="n">
        <v>3</v>
      </c>
      <c r="I609" s="6" t="n">
        <v>2</v>
      </c>
      <c r="J609" s="6" t="inlineStr">
        <is>
          <t>nincs</t>
        </is>
      </c>
      <c r="K609" s="6">
        <f>IF(AND(H609&gt;0,I609&gt;0),"Rendben",IF(AND(H609=0,I609=0),"Nincs kép és adat",IF(H609=0,"Nincs kép","Nincs adat")))</f>
        <v/>
      </c>
      <c r="L609" s="6" t="inlineStr">
        <is>
          <t>Igen</t>
        </is>
      </c>
      <c r="M609" s="7" t="inlineStr">
        <is>
          <t>fts-farina.it webáruház (WooCommerce API); FTS 2024 katalógus (PDF)</t>
        </is>
      </c>
      <c r="N609" s="7" t="inlineStr">
        <is>
          <t>Megtalálva: Cerniera laterale salto gomma (kód: 80600300)</t>
        </is>
      </c>
      <c r="O609" s="11" t="inlineStr">
        <is>
          <t>https://www.fts-farina.it/prodotto/cerniera-laterale-salto-gomma/</t>
        </is>
      </c>
      <c r="P609" s="11" t="inlineStr">
        <is>
          <t>https://website-9ib.pages.dev/termek/806308-horganyzott-oldalajto-zsaner-140-179-mm/</t>
        </is>
      </c>
      <c r="Q609" s="12" t="inlineStr"/>
      <c r="R609" s="13" t="inlineStr"/>
      <c r="S609" s="6" t="inlineStr">
        <is>
          <t>806308-horganyzott-oldalajto-zsaner-140-179-mm</t>
        </is>
      </c>
    </row>
    <row r="610">
      <c r="A610" s="6" t="inlineStr">
        <is>
          <t>806408</t>
        </is>
      </c>
      <c r="B610" s="7" t="inlineStr">
        <is>
          <t>Horganyzott oldalajtó zsanér, lépcsős 183 mm</t>
        </is>
      </c>
      <c r="C610" s="6" t="inlineStr">
        <is>
          <t>Dobozos felépítmény alkatrészek</t>
        </is>
      </c>
      <c r="D610" s="6" t="inlineStr">
        <is>
          <t>Zsanérok</t>
        </is>
      </c>
      <c r="E610" s="6" t="inlineStr">
        <is>
          <t>FTS</t>
        </is>
      </c>
      <c r="F610" s="6" t="inlineStr"/>
      <c r="G610" s="6" t="inlineStr">
        <is>
          <t>Quadris Excel</t>
        </is>
      </c>
      <c r="H610" s="6" t="n">
        <v>0</v>
      </c>
      <c r="I610" s="6" t="n">
        <v>0</v>
      </c>
      <c r="J610" s="6" t="inlineStr">
        <is>
          <t>nincs</t>
        </is>
      </c>
      <c r="K610" s="6">
        <f>IF(AND(H610&gt;0,I610&gt;0),"Rendben",IF(AND(H610=0,I610=0),"Nincs kép és adat",IF(H610=0,"Nincs kép","Nincs adat")))</f>
        <v/>
      </c>
      <c r="L610" s="6" t="inlineStr">
        <is>
          <t>Igen</t>
        </is>
      </c>
      <c r="M610" s="7" t="inlineStr">
        <is>
          <t>fts-farina.it webáruház (WooCommerce API); FTS 2024 katalógus (PDF)</t>
        </is>
      </c>
      <c r="N610" s="7" t="inlineStr">
        <is>
          <t>Nem találtuk: fts-farina.it webáruház (WooCommerce API); FTS 2024 katalógus (PDF)</t>
        </is>
      </c>
      <c r="O610" s="6" t="inlineStr"/>
      <c r="P610" s="11" t="inlineStr">
        <is>
          <t>https://website-9ib.pages.dev/termek/806408-horganyzott-oldalajto-zsaner-lepcsos-183-mm/</t>
        </is>
      </c>
      <c r="Q610" s="12" t="inlineStr"/>
      <c r="R610" s="13" t="inlineStr"/>
      <c r="S610" s="6" t="inlineStr">
        <is>
          <t>806408-horganyzott-oldalajto-zsaner-lepcsos-183-mm</t>
        </is>
      </c>
    </row>
    <row r="611">
      <c r="A611" s="6" t="inlineStr">
        <is>
          <t>832410</t>
        </is>
      </c>
      <c r="B611" s="7" t="inlineStr">
        <is>
          <t>Horganyzott pillangó zsanér 60x60</t>
        </is>
      </c>
      <c r="C611" s="6" t="inlineStr">
        <is>
          <t>Dobozos felépítmény alkatrészek</t>
        </is>
      </c>
      <c r="D611" s="6" t="inlineStr">
        <is>
          <t>Zsanérok</t>
        </is>
      </c>
      <c r="E611" s="6" t="inlineStr">
        <is>
          <t>FTS</t>
        </is>
      </c>
      <c r="F611" s="6" t="inlineStr">
        <is>
          <t>80324100</t>
        </is>
      </c>
      <c r="G611" s="6" t="inlineStr">
        <is>
          <t>Quadris Excel</t>
        </is>
      </c>
      <c r="H611" s="6" t="n">
        <v>4</v>
      </c>
      <c r="I611" s="6" t="n">
        <v>2</v>
      </c>
      <c r="J611" s="6" t="inlineStr">
        <is>
          <t>nincs</t>
        </is>
      </c>
      <c r="K611" s="6">
        <f>IF(AND(H611&gt;0,I611&gt;0),"Rendben",IF(AND(H611=0,I611=0),"Nincs kép és adat",IF(H611=0,"Nincs kép","Nincs adat")))</f>
        <v/>
      </c>
      <c r="L611" s="6" t="inlineStr">
        <is>
          <t>Igen</t>
        </is>
      </c>
      <c r="M611" s="7" t="inlineStr">
        <is>
          <t>fts-farina.it webáruház (WooCommerce API); FTS 2024 katalógus (PDF)</t>
        </is>
      </c>
      <c r="N611" s="7" t="inlineStr">
        <is>
          <t>Megtalálva: Cerniera Farfalla (kód: 80324100)</t>
        </is>
      </c>
      <c r="O611" s="11" t="inlineStr">
        <is>
          <t>https://www.fts-farina.it/prodotto/cerniera-farfalla/</t>
        </is>
      </c>
      <c r="P611" s="11" t="inlineStr">
        <is>
          <t>https://website-9ib.pages.dev/termek/832410-horganyzott-pillango-zsaner-60x60/</t>
        </is>
      </c>
      <c r="Q611" s="12" t="inlineStr"/>
      <c r="R611" s="13" t="inlineStr"/>
      <c r="S611" s="6" t="inlineStr">
        <is>
          <t>832410-horganyzott-pillango-zsaner-60x60</t>
        </is>
      </c>
    </row>
    <row r="612">
      <c r="A612" s="6" t="inlineStr">
        <is>
          <t>728972</t>
        </is>
      </c>
      <c r="B612" s="7" t="inlineStr">
        <is>
          <t>Húskampó 60mm csőhöz</t>
        </is>
      </c>
      <c r="C612" s="6" t="inlineStr">
        <is>
          <t>Dobozos felépítmény alkatrészek</t>
        </is>
      </c>
      <c r="D612" s="6" t="inlineStr">
        <is>
          <t>Húspálya rendszer</t>
        </is>
      </c>
      <c r="E612" s="6" t="inlineStr">
        <is>
          <t>FTS</t>
        </is>
      </c>
      <c r="F612" s="6" t="inlineStr">
        <is>
          <t>75500445</t>
        </is>
      </c>
      <c r="G612" s="6" t="inlineStr">
        <is>
          <t>Quadris Excel</t>
        </is>
      </c>
      <c r="H612" s="6" t="n">
        <v>3</v>
      </c>
      <c r="I612" s="6" t="n">
        <v>1</v>
      </c>
      <c r="J612" s="6" t="inlineStr">
        <is>
          <t>nincs</t>
        </is>
      </c>
      <c r="K612" s="6">
        <f>IF(AND(H612&gt;0,I612&gt;0),"Rendben",IF(AND(H612=0,I612=0),"Nincs kép és adat",IF(H612=0,"Nincs kép","Nincs adat")))</f>
        <v/>
      </c>
      <c r="L612" s="6" t="inlineStr">
        <is>
          <t>Igen</t>
        </is>
      </c>
      <c r="M612" s="7" t="inlineStr">
        <is>
          <t>fts-farina.it webáruház (WooCommerce API); FTS 2024 katalógus (PDF)</t>
        </is>
      </c>
      <c r="N612" s="7" t="inlineStr">
        <is>
          <t>Megtalálva: 75500445 – Gancio carne Inox tipo europa (kód: 75500445)</t>
        </is>
      </c>
      <c r="O612" s="11" t="inlineStr">
        <is>
          <t>https://www.fts-farina.it/prodotto/75500445-gancio-carne-inox-tipo-europa/</t>
        </is>
      </c>
      <c r="P612" s="11" t="inlineStr">
        <is>
          <t>https://website-9ib.pages.dev/termek/728972-huskampo-60mm-csohoz/</t>
        </is>
      </c>
      <c r="Q612" s="12" t="inlineStr"/>
      <c r="R612" s="13" t="inlineStr"/>
      <c r="S612" s="6" t="inlineStr">
        <is>
          <t>728972-huskampo-60mm-csohoz</t>
        </is>
      </c>
    </row>
    <row r="613">
      <c r="A613" s="6" t="inlineStr">
        <is>
          <t>806287</t>
        </is>
      </c>
      <c r="B613" s="7" t="inlineStr">
        <is>
          <t>INOX oldalajtó zsanér 184/65 zsírzós</t>
        </is>
      </c>
      <c r="C613" s="6" t="inlineStr">
        <is>
          <t>Dobozos felépítmény alkatrészek</t>
        </is>
      </c>
      <c r="D613" s="6" t="inlineStr">
        <is>
          <t>Zsanérok</t>
        </is>
      </c>
      <c r="E613" s="6" t="inlineStr">
        <is>
          <t>FTS</t>
        </is>
      </c>
      <c r="F613" s="6" t="inlineStr">
        <is>
          <t>80600287</t>
        </is>
      </c>
      <c r="G613" s="6" t="inlineStr">
        <is>
          <t>Quadris Excel</t>
        </is>
      </c>
      <c r="H613" s="6" t="n">
        <v>2</v>
      </c>
      <c r="I613" s="6" t="n">
        <v>2</v>
      </c>
      <c r="J613" s="6" t="inlineStr">
        <is>
          <t>nincs</t>
        </is>
      </c>
      <c r="K613" s="6">
        <f>IF(AND(H613&gt;0,I613&gt;0),"Rendben",IF(AND(H613=0,I613=0),"Nincs kép és adat",IF(H613=0,"Nincs kép","Nincs adat")))</f>
        <v/>
      </c>
      <c r="L613" s="6" t="inlineStr">
        <is>
          <t>Igen</t>
        </is>
      </c>
      <c r="M613" s="7" t="inlineStr">
        <is>
          <t>fts-farina.it webáruház (WooCommerce API); FTS 2024 katalógus (PDF)</t>
        </is>
      </c>
      <c r="N613" s="7" t="inlineStr">
        <is>
          <t>Megtalálva: Cerniera laterale piana con ingrassatore (kód: 80600287)</t>
        </is>
      </c>
      <c r="O613" s="11" t="inlineStr">
        <is>
          <t>https://www.fts-farina.it/prodotto/cerniera-laterale-piana-con-ingrassatore/</t>
        </is>
      </c>
      <c r="P613" s="11" t="inlineStr">
        <is>
          <t>https://website-9ib.pages.dev/termek/806287-inox-oldalajto-zsaner-184-65-zsirzos/</t>
        </is>
      </c>
      <c r="Q613" s="12" t="inlineStr"/>
      <c r="R613" s="13" t="inlineStr"/>
      <c r="S613" s="6" t="inlineStr">
        <is>
          <t>806287-inox-oldalajto-zsaner-184-65-zsirzos</t>
        </is>
      </c>
    </row>
    <row r="614">
      <c r="A614" s="6" t="inlineStr">
        <is>
          <t>891200</t>
        </is>
      </c>
      <c r="B614" s="7" t="inlineStr">
        <is>
          <t>Kis kapaszkodó</t>
        </is>
      </c>
      <c r="C614" s="6" t="inlineStr">
        <is>
          <t>Dobozos felépítmény alkatrészek</t>
        </is>
      </c>
      <c r="D614" s="6" t="inlineStr">
        <is>
          <t>Egyéb dobozos felépítmény tartozékok</t>
        </is>
      </c>
      <c r="E614" s="6" t="inlineStr">
        <is>
          <t>FTS</t>
        </is>
      </c>
      <c r="F614" s="6" t="inlineStr">
        <is>
          <t>80901200</t>
        </is>
      </c>
      <c r="G614" s="6" t="inlineStr">
        <is>
          <t>Quadris Excel</t>
        </is>
      </c>
      <c r="H614" s="6" t="n">
        <v>2</v>
      </c>
      <c r="I614" s="6" t="n">
        <v>1</v>
      </c>
      <c r="J614" s="6" t="inlineStr">
        <is>
          <t>nincs</t>
        </is>
      </c>
      <c r="K614" s="6">
        <f>IF(AND(H614&gt;0,I614&gt;0),"Rendben",IF(AND(H614=0,I614=0),"Nincs kép és adat",IF(H614=0,"Nincs kép","Nincs adat")))</f>
        <v/>
      </c>
      <c r="L614" s="6" t="inlineStr">
        <is>
          <t>Igen</t>
        </is>
      </c>
      <c r="M614" s="7" t="inlineStr">
        <is>
          <t>fts-farina.it webáruház (WooCommerce API); FTS 2024 katalógus (PDF)</t>
        </is>
      </c>
      <c r="N614" s="7" t="inlineStr">
        <is>
          <t>Megtalálva: 80901200 – Maniglia di risalita in poliuretano nero tipo “Panda” (kód: 80901200)</t>
        </is>
      </c>
      <c r="O614" s="11" t="inlineStr">
        <is>
          <t>https://www.fts-farina.it/prodotto/80901200-maniglia-di-risalita-in-poliuretano-nero-tipo-panda/</t>
        </is>
      </c>
      <c r="P614" s="11" t="inlineStr">
        <is>
          <t>https://website-9ib.pages.dev/termek/891200-kis-kapaszkodo/</t>
        </is>
      </c>
      <c r="Q614" s="12" t="inlineStr"/>
      <c r="R614" s="13" t="inlineStr"/>
      <c r="S614" s="6" t="inlineStr">
        <is>
          <t>891200-kis-kapaszkodo</t>
        </is>
      </c>
    </row>
    <row r="615">
      <c r="A615" s="6" t="inlineStr">
        <is>
          <t>552825</t>
        </is>
      </c>
      <c r="B615" s="7" t="inlineStr">
        <is>
          <t>Kúpos ütközőgumi 27,5/25</t>
        </is>
      </c>
      <c r="C615" s="6" t="inlineStr">
        <is>
          <t>Dobozos felépítmény alkatrészek</t>
        </is>
      </c>
      <c r="D615" s="6" t="inlineStr">
        <is>
          <t>Gumiütközők</t>
        </is>
      </c>
      <c r="E615" s="6" t="inlineStr">
        <is>
          <t>FTS</t>
        </is>
      </c>
      <c r="F615" s="6" t="inlineStr">
        <is>
          <t>55282500</t>
        </is>
      </c>
      <c r="G615" s="6" t="inlineStr">
        <is>
          <t>Quadris Excel</t>
        </is>
      </c>
      <c r="H615" s="6" t="n">
        <v>2</v>
      </c>
      <c r="I615" s="6" t="n">
        <v>1</v>
      </c>
      <c r="J615" s="6" t="inlineStr">
        <is>
          <t>nincs</t>
        </is>
      </c>
      <c r="K615" s="6">
        <f>IF(AND(H615&gt;0,I615&gt;0),"Rendben",IF(AND(H615=0,I615=0),"Nincs kép és adat",IF(H615=0,"Nincs kép","Nincs adat")))</f>
        <v/>
      </c>
      <c r="L615" s="6" t="inlineStr">
        <is>
          <t>Igen</t>
        </is>
      </c>
      <c r="M615" s="7" t="inlineStr">
        <is>
          <t>fts-farina.it webáruház (WooCommerce API); FTS 2024 katalógus (PDF)</t>
        </is>
      </c>
      <c r="N615" s="7" t="inlineStr">
        <is>
          <t>Megtalálva: 55282500 – Tampone paracolpi cilindico in gomma Ø27×25 (kód: 55282500)</t>
        </is>
      </c>
      <c r="O615" s="11" t="inlineStr">
        <is>
          <t>https://www.fts-farina.it/prodotto/55282500-tampone-paracolpi-cilindico-in-gomma-o27x25/</t>
        </is>
      </c>
      <c r="P615" s="11" t="inlineStr">
        <is>
          <t>https://website-9ib.pages.dev/termek/552825-kupos-utkozogumi-27-5-25/</t>
        </is>
      </c>
      <c r="Q615" s="12" t="inlineStr"/>
      <c r="R615" s="13" t="inlineStr"/>
      <c r="S615" s="6" t="inlineStr">
        <is>
          <t>552825-kupos-utkozogumi-27-5-25</t>
        </is>
      </c>
    </row>
    <row r="616">
      <c r="A616" s="6" t="inlineStr">
        <is>
          <t>553541</t>
        </is>
      </c>
      <c r="B616" s="7" t="inlineStr">
        <is>
          <t>Kúpos ütközőgumi 45/60/35</t>
        </is>
      </c>
      <c r="C616" s="6" t="inlineStr">
        <is>
          <t>Dobozos felépítmény alkatrészek</t>
        </is>
      </c>
      <c r="D616" s="6" t="inlineStr">
        <is>
          <t>Gumiütközők</t>
        </is>
      </c>
      <c r="E616" s="6" t="inlineStr">
        <is>
          <t>FTS</t>
        </is>
      </c>
      <c r="F616" s="6" t="inlineStr">
        <is>
          <t>55003541</t>
        </is>
      </c>
      <c r="G616" s="6" t="inlineStr">
        <is>
          <t>Quadris Excel</t>
        </is>
      </c>
      <c r="H616" s="6" t="n">
        <v>2</v>
      </c>
      <c r="I616" s="6" t="n">
        <v>1</v>
      </c>
      <c r="J616" s="6" t="inlineStr">
        <is>
          <t>nincs</t>
        </is>
      </c>
      <c r="K616" s="6">
        <f>IF(AND(H616&gt;0,I616&gt;0),"Rendben",IF(AND(H616=0,I616=0),"Nincs kép és adat",IF(H616=0,"Nincs kép","Nincs adat")))</f>
        <v/>
      </c>
      <c r="L616" s="6" t="inlineStr">
        <is>
          <t>Igen</t>
        </is>
      </c>
      <c r="M616" s="7" t="inlineStr">
        <is>
          <t>fts-farina.it webáruház (WooCommerce API); FTS 2024 katalógus (PDF)</t>
        </is>
      </c>
      <c r="N616" s="7" t="inlineStr">
        <is>
          <t>Megtalálva: 55003541 – Tampone paracolpi conico con smussi in gomma (kód: 55003541)</t>
        </is>
      </c>
      <c r="O616" s="11" t="inlineStr">
        <is>
          <t>https://www.fts-farina.it/prodotto/55003541-tampone-paracolpi-conico-con-smussi-in-gomma/</t>
        </is>
      </c>
      <c r="P616" s="11" t="inlineStr">
        <is>
          <t>https://website-9ib.pages.dev/termek/553541-kupos-utkozogumi-45-60-35/</t>
        </is>
      </c>
      <c r="Q616" s="12" t="inlineStr"/>
      <c r="R616" s="13" t="inlineStr"/>
      <c r="S616" s="6" t="inlineStr">
        <is>
          <t>553541-kupos-utkozogumi-45-60-35</t>
        </is>
      </c>
    </row>
    <row r="617">
      <c r="A617" s="6" t="inlineStr">
        <is>
          <t>555575</t>
        </is>
      </c>
      <c r="B617" s="7" t="inlineStr">
        <is>
          <t>Kúpos ütközőgumi 55/75/40</t>
        </is>
      </c>
      <c r="C617" s="6" t="inlineStr">
        <is>
          <t>Dobozos felépítmény alkatrészek</t>
        </is>
      </c>
      <c r="D617" s="6" t="inlineStr">
        <is>
          <t>Gumiütközők</t>
        </is>
      </c>
      <c r="E617" s="6" t="inlineStr">
        <is>
          <t>FTS</t>
        </is>
      </c>
      <c r="F617" s="6" t="inlineStr">
        <is>
          <t>55005575</t>
        </is>
      </c>
      <c r="G617" s="6" t="inlineStr">
        <is>
          <t>Quadris Excel</t>
        </is>
      </c>
      <c r="H617" s="6" t="n">
        <v>2</v>
      </c>
      <c r="I617" s="6" t="n">
        <v>1</v>
      </c>
      <c r="J617" s="6" t="inlineStr">
        <is>
          <t>nincs</t>
        </is>
      </c>
      <c r="K617" s="6">
        <f>IF(AND(H617&gt;0,I617&gt;0),"Rendben",IF(AND(H617=0,I617=0),"Nincs kép és adat",IF(H617=0,"Nincs kép","Nincs adat")))</f>
        <v/>
      </c>
      <c r="L617" s="6" t="inlineStr">
        <is>
          <t>Igen</t>
        </is>
      </c>
      <c r="M617" s="7" t="inlineStr">
        <is>
          <t>fts-farina.it webáruház (WooCommerce API); FTS 2024 katalógus (PDF)</t>
        </is>
      </c>
      <c r="N617" s="7" t="inlineStr">
        <is>
          <t>Megtalálva: 55005575 – Tampone paracolpi conico in gomma (kód: 55005575)</t>
        </is>
      </c>
      <c r="O617" s="11" t="inlineStr">
        <is>
          <t>https://www.fts-farina.it/prodotto/55005575-tampone-paracolpi-conico-in-gomma/</t>
        </is>
      </c>
      <c r="P617" s="11" t="inlineStr">
        <is>
          <t>https://website-9ib.pages.dev/termek/555575-kupos-utkozogumi-55-75-40/</t>
        </is>
      </c>
      <c r="Q617" s="12" t="inlineStr"/>
      <c r="R617" s="13" t="inlineStr"/>
      <c r="S617" s="6" t="inlineStr">
        <is>
          <t>555575-kupos-utkozogumi-55-75-40</t>
        </is>
      </c>
    </row>
    <row r="618">
      <c r="A618" s="6" t="inlineStr">
        <is>
          <t>556575</t>
        </is>
      </c>
      <c r="B618" s="7" t="inlineStr">
        <is>
          <t>Kúpos ütközőgumi 65/75/50</t>
        </is>
      </c>
      <c r="C618" s="6" t="inlineStr">
        <is>
          <t>Dobozos felépítmény alkatrészek</t>
        </is>
      </c>
      <c r="D618" s="6" t="inlineStr">
        <is>
          <t>Gumiütközők</t>
        </is>
      </c>
      <c r="E618" s="6" t="inlineStr">
        <is>
          <t>FTS</t>
        </is>
      </c>
      <c r="F618" s="6" t="inlineStr">
        <is>
          <t>55006575</t>
        </is>
      </c>
      <c r="G618" s="6" t="inlineStr">
        <is>
          <t>Quadris Excel</t>
        </is>
      </c>
      <c r="H618" s="6" t="n">
        <v>2</v>
      </c>
      <c r="I618" s="6" t="n">
        <v>1</v>
      </c>
      <c r="J618" s="6" t="inlineStr">
        <is>
          <t>nincs</t>
        </is>
      </c>
      <c r="K618" s="6">
        <f>IF(AND(H618&gt;0,I618&gt;0),"Rendben",IF(AND(H618=0,I618=0),"Nincs kép és adat",IF(H618=0,"Nincs kép","Nincs adat")))</f>
        <v/>
      </c>
      <c r="L618" s="6" t="inlineStr">
        <is>
          <t>Igen</t>
        </is>
      </c>
      <c r="M618" s="7" t="inlineStr">
        <is>
          <t>fts-farina.it webáruház (WooCommerce API); FTS 2024 katalógus (PDF)</t>
        </is>
      </c>
      <c r="N618" s="7" t="inlineStr">
        <is>
          <t>Megtalálva: 55006575 – Tampone paracolpi conico in gomma (kód: 55006575)</t>
        </is>
      </c>
      <c r="O618" s="11" t="inlineStr">
        <is>
          <t>https://www.fts-farina.it/prodotto/55006575-tampone-paracolpi-conico-in-gomma/</t>
        </is>
      </c>
      <c r="P618" s="11" t="inlineStr">
        <is>
          <t>https://website-9ib.pages.dev/termek/556575-kupos-utkozogumi-65-75-50/</t>
        </is>
      </c>
      <c r="Q618" s="12" t="inlineStr"/>
      <c r="R618" s="13" t="inlineStr"/>
      <c r="S618" s="6" t="inlineStr">
        <is>
          <t>556575-kupos-utkozogumi-65-75-50</t>
        </is>
      </c>
    </row>
    <row r="619">
      <c r="A619" s="6" t="inlineStr">
        <is>
          <t>557575</t>
        </is>
      </c>
      <c r="B619" s="7" t="inlineStr">
        <is>
          <t>Kúpos ütközőgumi 75/75/50</t>
        </is>
      </c>
      <c r="C619" s="6" t="inlineStr">
        <is>
          <t>Dobozos felépítmény alkatrészek</t>
        </is>
      </c>
      <c r="D619" s="6" t="inlineStr">
        <is>
          <t>Gumiütközők</t>
        </is>
      </c>
      <c r="E619" s="6" t="inlineStr">
        <is>
          <t>FTS</t>
        </is>
      </c>
      <c r="F619" s="6" t="inlineStr">
        <is>
          <t>55007575</t>
        </is>
      </c>
      <c r="G619" s="6" t="inlineStr">
        <is>
          <t>Quadris Excel</t>
        </is>
      </c>
      <c r="H619" s="6" t="n">
        <v>2</v>
      </c>
      <c r="I619" s="6" t="n">
        <v>1</v>
      </c>
      <c r="J619" s="6" t="inlineStr">
        <is>
          <t>nincs</t>
        </is>
      </c>
      <c r="K619" s="6">
        <f>IF(AND(H619&gt;0,I619&gt;0),"Rendben",IF(AND(H619=0,I619=0),"Nincs kép és adat",IF(H619=0,"Nincs kép","Nincs adat")))</f>
        <v/>
      </c>
      <c r="L619" s="6" t="inlineStr">
        <is>
          <t>Igen</t>
        </is>
      </c>
      <c r="M619" s="7" t="inlineStr">
        <is>
          <t>fts-farina.it webáruház (WooCommerce API); FTS 2024 katalógus (PDF)</t>
        </is>
      </c>
      <c r="N619" s="7" t="inlineStr">
        <is>
          <t>Megtalálva: 55007575 – Tampone paracolpi conico in gomma (kód: 55007575)</t>
        </is>
      </c>
      <c r="O619" s="11" t="inlineStr">
        <is>
          <t>https://www.fts-farina.it/prodotto/55007575-tampone-paracolpi-conico-in-gomma/</t>
        </is>
      </c>
      <c r="P619" s="11" t="inlineStr">
        <is>
          <t>https://website-9ib.pages.dev/termek/557575-kupos-utkozogumi-75-75-50/</t>
        </is>
      </c>
      <c r="Q619" s="12" t="inlineStr"/>
      <c r="R619" s="13" t="inlineStr"/>
      <c r="S619" s="6" t="inlineStr">
        <is>
          <t>557575-kupos-utkozogumi-75-75-50</t>
        </is>
      </c>
    </row>
    <row r="620">
      <c r="A620" s="6" t="inlineStr">
        <is>
          <t>891235</t>
        </is>
      </c>
      <c r="B620" s="7" t="inlineStr">
        <is>
          <t>Nagy kapaszkodó</t>
        </is>
      </c>
      <c r="C620" s="6" t="inlineStr">
        <is>
          <t>Dobozos felépítmény alkatrészek</t>
        </is>
      </c>
      <c r="D620" s="6" t="inlineStr">
        <is>
          <t>Egyéb dobozos felépítmény tartozékok</t>
        </is>
      </c>
      <c r="E620" s="6" t="inlineStr">
        <is>
          <t>FTS</t>
        </is>
      </c>
      <c r="F620" s="6" t="inlineStr">
        <is>
          <t>80901235</t>
        </is>
      </c>
      <c r="G620" s="6" t="inlineStr">
        <is>
          <t>Quadris Excel</t>
        </is>
      </c>
      <c r="H620" s="6" t="n">
        <v>2</v>
      </c>
      <c r="I620" s="6" t="n">
        <v>1</v>
      </c>
      <c r="J620" s="6" t="inlineStr">
        <is>
          <t>nincs</t>
        </is>
      </c>
      <c r="K620" s="6">
        <f>IF(AND(H620&gt;0,I620&gt;0),"Rendben",IF(AND(H620=0,I620=0),"Nincs kép és adat",IF(H620=0,"Nincs kép","Nincs adat")))</f>
        <v/>
      </c>
      <c r="L620" s="6" t="inlineStr">
        <is>
          <t>Igen</t>
        </is>
      </c>
      <c r="M620" s="7" t="inlineStr">
        <is>
          <t>fts-farina.it webáruház (WooCommerce API); FTS 2024 katalógus (PDF)</t>
        </is>
      </c>
      <c r="N620" s="7" t="inlineStr">
        <is>
          <t>Megtalálva: 80901235 – Maniglia di risalita in poliuretano nero (kód: 80901235)</t>
        </is>
      </c>
      <c r="O620" s="11" t="inlineStr">
        <is>
          <t>https://www.fts-farina.it/prodotto/80901235-maniglia-di-risalita-in-poliuretano-nero/</t>
        </is>
      </c>
      <c r="P620" s="11" t="inlineStr">
        <is>
          <t>https://website-9ib.pages.dev/termek/891235-nagy-kapaszkodo/</t>
        </is>
      </c>
      <c r="Q620" s="12" t="inlineStr"/>
      <c r="R620" s="13" t="inlineStr"/>
      <c r="S620" s="6" t="inlineStr">
        <is>
          <t>891235-nagy-kapaszkodo</t>
        </is>
      </c>
    </row>
    <row r="621">
      <c r="A621" s="6" t="inlineStr">
        <is>
          <t>828010</t>
        </is>
      </c>
      <c r="B621" s="7" t="inlineStr">
        <is>
          <t>Nyers zsanér bak + csavar</t>
        </is>
      </c>
      <c r="C621" s="6" t="inlineStr">
        <is>
          <t>Dobozos felépítmény alkatrészek</t>
        </is>
      </c>
      <c r="D621" s="6" t="inlineStr">
        <is>
          <t>Zsanérok</t>
        </is>
      </c>
      <c r="E621" s="6" t="inlineStr">
        <is>
          <t>FTS</t>
        </is>
      </c>
      <c r="F621" s="6" t="inlineStr">
        <is>
          <t>80280100</t>
        </is>
      </c>
      <c r="G621" s="6" t="inlineStr">
        <is>
          <t>Quadris Excel</t>
        </is>
      </c>
      <c r="H621" s="6" t="n">
        <v>1</v>
      </c>
      <c r="I621" s="6" t="n">
        <v>0</v>
      </c>
      <c r="J621" s="6" t="inlineStr">
        <is>
          <t>nincs</t>
        </is>
      </c>
      <c r="K621" s="6">
        <f>IF(AND(H621&gt;0,I621&gt;0),"Rendben",IF(AND(H621=0,I621=0),"Nincs kép és adat",IF(H621=0,"Nincs kép","Nincs adat")))</f>
        <v/>
      </c>
      <c r="L621" s="6" t="inlineStr">
        <is>
          <t>Igen</t>
        </is>
      </c>
      <c r="M621" s="7" t="inlineStr">
        <is>
          <t>fts-farina.it webáruház (WooCommerce API); FTS 2024 katalógus (PDF)</t>
        </is>
      </c>
      <c r="N621" s="7" t="inlineStr">
        <is>
          <t>Megtalálva: FTS</t>
        </is>
      </c>
      <c r="O621" s="11" t="inlineStr">
        <is>
          <t>https://www.fts-farina.it/wp-content/uploads/2023/11/FTS_CATALOGO_2024_low_compressed_compressed.pdf</t>
        </is>
      </c>
      <c r="P621" s="11" t="inlineStr">
        <is>
          <t>https://website-9ib.pages.dev/termek/828010-nyers-zsaner-bak-csavar/</t>
        </is>
      </c>
      <c r="Q621" s="12" t="inlineStr"/>
      <c r="R621" s="13" t="inlineStr"/>
      <c r="S621" s="6" t="inlineStr">
        <is>
          <t>828010-nyers-zsaner-bak-csavar</t>
        </is>
      </c>
    </row>
    <row r="622">
      <c r="A622" s="6" t="inlineStr">
        <is>
          <t>831810</t>
        </is>
      </c>
      <c r="B622" s="7" t="inlineStr">
        <is>
          <t>RM Lapos lépcsős zsanér 140/4 mm</t>
        </is>
      </c>
      <c r="C622" s="6" t="inlineStr">
        <is>
          <t>Dobozos felépítmény alkatrészek</t>
        </is>
      </c>
      <c r="D622" s="6" t="inlineStr">
        <is>
          <t>Zsanérok</t>
        </is>
      </c>
      <c r="E622" s="6" t="inlineStr">
        <is>
          <t>FTS</t>
        </is>
      </c>
      <c r="F622" s="6" t="inlineStr"/>
      <c r="G622" s="6" t="inlineStr">
        <is>
          <t>Quadris Excel</t>
        </is>
      </c>
      <c r="H622" s="6" t="n">
        <v>0</v>
      </c>
      <c r="I622" s="6" t="n">
        <v>0</v>
      </c>
      <c r="J622" s="6" t="inlineStr">
        <is>
          <t>nincs</t>
        </is>
      </c>
      <c r="K622" s="6">
        <f>IF(AND(H622&gt;0,I622&gt;0),"Rendben",IF(AND(H622=0,I622=0),"Nincs kép és adat",IF(H622=0,"Nincs kép","Nincs adat")))</f>
        <v/>
      </c>
      <c r="L622" s="6" t="inlineStr">
        <is>
          <t>Igen</t>
        </is>
      </c>
      <c r="M622" s="7" t="inlineStr">
        <is>
          <t>fts-farina.it webáruház (WooCommerce API); FTS 2024 katalógus (PDF)</t>
        </is>
      </c>
      <c r="N622" s="7" t="inlineStr">
        <is>
          <t>Nem találtuk: fts-farina.it webáruház (WooCommerce API); FTS 2024 katalógus (PDF)</t>
        </is>
      </c>
      <c r="O622" s="6" t="inlineStr"/>
      <c r="P622" s="11" t="inlineStr">
        <is>
          <t>https://website-9ib.pages.dev/termek/831810-rm-lapos-lepcsos-zsaner-140-4-mm/</t>
        </is>
      </c>
      <c r="Q622" s="12" t="inlineStr"/>
      <c r="R622" s="13" t="inlineStr"/>
      <c r="S622" s="6" t="inlineStr">
        <is>
          <t>831810-rm-lapos-lepcsos-zsaner-140-4-mm</t>
        </is>
      </c>
    </row>
    <row r="623">
      <c r="A623" s="6" t="inlineStr">
        <is>
          <t>893154</t>
        </is>
      </c>
      <c r="B623" s="7" t="inlineStr">
        <is>
          <t>RM Nagy kapaszkodó IN</t>
        </is>
      </c>
      <c r="C623" s="6" t="inlineStr">
        <is>
          <t>Dobozos felépítmény alkatrészek</t>
        </is>
      </c>
      <c r="D623" s="6" t="inlineStr">
        <is>
          <t>Egyéb dobozos felépítmény tartozékok</t>
        </is>
      </c>
      <c r="E623" s="6" t="inlineStr">
        <is>
          <t>FTS</t>
        </is>
      </c>
      <c r="F623" s="6" t="inlineStr"/>
      <c r="G623" s="6" t="inlineStr">
        <is>
          <t>Quadris Excel</t>
        </is>
      </c>
      <c r="H623" s="6" t="n">
        <v>0</v>
      </c>
      <c r="I623" s="6" t="n">
        <v>0</v>
      </c>
      <c r="J623" s="6" t="inlineStr">
        <is>
          <t>nincs</t>
        </is>
      </c>
      <c r="K623" s="6">
        <f>IF(AND(H623&gt;0,I623&gt;0),"Rendben",IF(AND(H623=0,I623=0),"Nincs kép és adat",IF(H623=0,"Nincs kép","Nincs adat")))</f>
        <v/>
      </c>
      <c r="L623" s="6" t="inlineStr">
        <is>
          <t>Igen</t>
        </is>
      </c>
      <c r="M623" s="7" t="inlineStr">
        <is>
          <t>fts-farina.it webáruház (WooCommerce API); FTS 2024 katalógus (PDF)</t>
        </is>
      </c>
      <c r="N623" s="7" t="inlineStr">
        <is>
          <t>Nem találtuk: fts-farina.it webáruház (WooCommerce API); FTS 2024 katalógus (PDF)</t>
        </is>
      </c>
      <c r="O623" s="6" t="inlineStr"/>
      <c r="P623" s="11" t="inlineStr">
        <is>
          <t>https://website-9ib.pages.dev/termek/893154-rm-nagy-kapaszkodo-in/</t>
        </is>
      </c>
      <c r="Q623" s="12" t="inlineStr"/>
      <c r="R623" s="13" t="inlineStr"/>
      <c r="S623" s="6" t="inlineStr">
        <is>
          <t>893154-rm-nagy-kapaszkodo-in</t>
        </is>
      </c>
    </row>
    <row r="624">
      <c r="A624" s="6" t="inlineStr">
        <is>
          <t>899210/C</t>
        </is>
      </c>
      <c r="B624" s="7" t="inlineStr">
        <is>
          <t>RM hátsóajtó zsanérbak TS</t>
        </is>
      </c>
      <c r="C624" s="6" t="inlineStr">
        <is>
          <t>Dobozos felépítmény alkatrészek</t>
        </is>
      </c>
      <c r="D624" s="6" t="inlineStr">
        <is>
          <t>Zsanérok</t>
        </is>
      </c>
      <c r="E624" s="6" t="inlineStr">
        <is>
          <t>FTS</t>
        </is>
      </c>
      <c r="F624" s="6" t="inlineStr">
        <is>
          <t>80399210/C</t>
        </is>
      </c>
      <c r="G624" s="6" t="inlineStr">
        <is>
          <t>Quadris Excel</t>
        </is>
      </c>
      <c r="H624" s="6" t="n">
        <v>2</v>
      </c>
      <c r="I624" s="6" t="n">
        <v>2</v>
      </c>
      <c r="J624" s="6" t="inlineStr">
        <is>
          <t>nincs</t>
        </is>
      </c>
      <c r="K624" s="6">
        <f>IF(AND(H624&gt;0,I624&gt;0),"Rendben",IF(AND(H624=0,I624=0),"Nincs kép és adat",IF(H624=0,"Nincs kép","Nincs adat")))</f>
        <v/>
      </c>
      <c r="L624" s="6" t="inlineStr">
        <is>
          <t>Igen</t>
        </is>
      </c>
      <c r="M624" s="7" t="inlineStr">
        <is>
          <t>fts-farina.it webáruház (WooCommerce API); FTS 2024 katalógus (PDF)</t>
        </is>
      </c>
      <c r="N624" s="7" t="inlineStr">
        <is>
          <t>Megtalálva: 80399210 – Cerniera posteriore in Inox composto da cardine e perno (kód: 80399210)</t>
        </is>
      </c>
      <c r="O624" s="11" t="inlineStr">
        <is>
          <t>https://www.fts-farina.it/prodotto/80399210-cerniera-posteriore-in-inox-composto-da-cardine-e-perno/</t>
        </is>
      </c>
      <c r="P624" s="11" t="inlineStr">
        <is>
          <t>https://website-9ib.pages.dev/termek/899210-c-rm-hatsoajto-zsanerbak-ts/</t>
        </is>
      </c>
      <c r="Q624" s="12" t="inlineStr"/>
      <c r="R624" s="13" t="inlineStr"/>
      <c r="S624" s="6" t="inlineStr">
        <is>
          <t>899210-c-rm-hatsoajto-zsanerbak-ts</t>
        </is>
      </c>
    </row>
    <row r="625">
      <c r="A625" s="6" t="inlineStr">
        <is>
          <t>899210/S</t>
        </is>
      </c>
      <c r="B625" s="7" t="inlineStr">
        <is>
          <t>RM hátsóajtó zsanérlap 280/3 TS</t>
        </is>
      </c>
      <c r="C625" s="6" t="inlineStr">
        <is>
          <t>Dobozos felépítmény alkatrészek</t>
        </is>
      </c>
      <c r="D625" s="6" t="inlineStr">
        <is>
          <t>Zsanérok</t>
        </is>
      </c>
      <c r="E625" s="6" t="inlineStr">
        <is>
          <t>FTS</t>
        </is>
      </c>
      <c r="F625" s="6" t="inlineStr"/>
      <c r="G625" s="6" t="inlineStr">
        <is>
          <t>Quadris Excel</t>
        </is>
      </c>
      <c r="H625" s="6" t="n">
        <v>0</v>
      </c>
      <c r="I625" s="6" t="n">
        <v>0</v>
      </c>
      <c r="J625" s="6" t="inlineStr">
        <is>
          <t>nincs</t>
        </is>
      </c>
      <c r="K625" s="6">
        <f>IF(AND(H625&gt;0,I625&gt;0),"Rendben",IF(AND(H625=0,I625=0),"Nincs kép és adat",IF(H625=0,"Nincs kép","Nincs adat")))</f>
        <v/>
      </c>
      <c r="L625" s="6" t="inlineStr">
        <is>
          <t>Igen</t>
        </is>
      </c>
      <c r="M625" s="7" t="inlineStr">
        <is>
          <t>fts-farina.it webáruház (WooCommerce API); FTS 2024 katalógus (PDF)</t>
        </is>
      </c>
      <c r="N625" s="7" t="inlineStr">
        <is>
          <t>Nem találtuk: fts-farina.it webáruház (WooCommerce API); FTS 2024 katalógus (PDF)</t>
        </is>
      </c>
      <c r="O625" s="6" t="inlineStr"/>
      <c r="P625" s="11" t="inlineStr">
        <is>
          <t>https://website-9ib.pages.dev/termek/899210-s-rm-hatsoajto-zsanerlap-280-3-ts/</t>
        </is>
      </c>
      <c r="Q625" s="12" t="inlineStr"/>
      <c r="R625" s="13" t="inlineStr"/>
      <c r="S625" s="6" t="inlineStr">
        <is>
          <t>899210-s-rm-hatsoajto-zsanerlap-280-3-ts</t>
        </is>
      </c>
    </row>
    <row r="626">
      <c r="A626" s="6" t="inlineStr">
        <is>
          <t>899210</t>
        </is>
      </c>
      <c r="B626" s="7" t="inlineStr">
        <is>
          <t>RM hátsóajtó zsanérlap+bak 280/3 TS</t>
        </is>
      </c>
      <c r="C626" s="6" t="inlineStr">
        <is>
          <t>Dobozos felépítmény alkatrészek</t>
        </is>
      </c>
      <c r="D626" s="6" t="inlineStr">
        <is>
          <t>Zsanérok</t>
        </is>
      </c>
      <c r="E626" s="6" t="inlineStr">
        <is>
          <t>FTS</t>
        </is>
      </c>
      <c r="F626" s="6" t="inlineStr">
        <is>
          <t>80399210</t>
        </is>
      </c>
      <c r="G626" s="6" t="inlineStr">
        <is>
          <t>Quadris Excel</t>
        </is>
      </c>
      <c r="H626" s="6" t="n">
        <v>2</v>
      </c>
      <c r="I626" s="6" t="n">
        <v>2</v>
      </c>
      <c r="J626" s="6" t="inlineStr">
        <is>
          <t>nincs</t>
        </is>
      </c>
      <c r="K626" s="6">
        <f>IF(AND(H626&gt;0,I626&gt;0),"Rendben",IF(AND(H626=0,I626=0),"Nincs kép és adat",IF(H626=0,"Nincs kép","Nincs adat")))</f>
        <v/>
      </c>
      <c r="L626" s="6" t="inlineStr">
        <is>
          <t>Igen</t>
        </is>
      </c>
      <c r="M626" s="7" t="inlineStr">
        <is>
          <t>fts-farina.it webáruház (WooCommerce API); FTS 2024 katalógus (PDF)</t>
        </is>
      </c>
      <c r="N626" s="7" t="inlineStr">
        <is>
          <t>Megtalálva: 80399210 – Cerniera posteriore in Inox composto da cardine e perno (kód: 80399210)</t>
        </is>
      </c>
      <c r="O626" s="11" t="inlineStr">
        <is>
          <t>https://www.fts-farina.it/prodotto/80399210-cerniera-posteriore-in-inox-composto-da-cardine-e-perno/</t>
        </is>
      </c>
      <c r="P626" s="11" t="inlineStr">
        <is>
          <t>https://website-9ib.pages.dev/termek/899210-rm-hatsoajto-zsanerlap-bak-280-3-ts/</t>
        </is>
      </c>
      <c r="Q626" s="12" t="inlineStr"/>
      <c r="R626" s="13" t="inlineStr"/>
      <c r="S626" s="6" t="inlineStr">
        <is>
          <t>899210-rm-hatsoajto-zsanerlap-bak-280-3-ts</t>
        </is>
      </c>
    </row>
    <row r="627">
      <c r="A627" s="6" t="inlineStr">
        <is>
          <t>831410</t>
        </is>
      </c>
      <c r="B627" s="7" t="inlineStr">
        <is>
          <t>RM lapos zsanér 134/104</t>
        </is>
      </c>
      <c r="C627" s="6" t="inlineStr">
        <is>
          <t>Dobozos felépítmény alkatrészek</t>
        </is>
      </c>
      <c r="D627" s="6" t="inlineStr">
        <is>
          <t>Zsanérok</t>
        </is>
      </c>
      <c r="E627" s="6" t="inlineStr">
        <is>
          <t>FTS</t>
        </is>
      </c>
      <c r="F627" s="6" t="inlineStr"/>
      <c r="G627" s="6" t="inlineStr">
        <is>
          <t>Quadris Excel</t>
        </is>
      </c>
      <c r="H627" s="6" t="n">
        <v>0</v>
      </c>
      <c r="I627" s="6" t="n">
        <v>0</v>
      </c>
      <c r="J627" s="6" t="inlineStr">
        <is>
          <t>nincs</t>
        </is>
      </c>
      <c r="K627" s="6">
        <f>IF(AND(H627&gt;0,I627&gt;0),"Rendben",IF(AND(H627=0,I627=0),"Nincs kép és adat",IF(H627=0,"Nincs kép","Nincs adat")))</f>
        <v/>
      </c>
      <c r="L627" s="6" t="inlineStr">
        <is>
          <t>Igen</t>
        </is>
      </c>
      <c r="M627" s="7" t="inlineStr">
        <is>
          <t>fts-farina.it webáruház (WooCommerce API); FTS 2024 katalógus (PDF)</t>
        </is>
      </c>
      <c r="N627" s="7" t="inlineStr">
        <is>
          <t>Nem találtuk: fts-farina.it webáruház (WooCommerce API); FTS 2024 katalógus (PDF)</t>
        </is>
      </c>
      <c r="O627" s="6" t="inlineStr"/>
      <c r="P627" s="11" t="inlineStr">
        <is>
          <t>https://website-9ib.pages.dev/termek/831410-rm-lapos-zsaner-134-104/</t>
        </is>
      </c>
      <c r="Q627" s="12" t="inlineStr"/>
      <c r="R627" s="13" t="inlineStr"/>
      <c r="S627" s="6" t="inlineStr">
        <is>
          <t>831410-rm-lapos-zsaner-134-104</t>
        </is>
      </c>
    </row>
    <row r="628">
      <c r="A628" s="6" t="inlineStr">
        <is>
          <t>806307</t>
        </is>
      </c>
      <c r="B628" s="7" t="inlineStr">
        <is>
          <t>RM oldalajtó zsanér, lépcsős 140/179 mm</t>
        </is>
      </c>
      <c r="C628" s="6" t="inlineStr">
        <is>
          <t>Dobozos felépítmény alkatrészek</t>
        </is>
      </c>
      <c r="D628" s="6" t="inlineStr">
        <is>
          <t>Zsanérok</t>
        </is>
      </c>
      <c r="E628" s="6" t="inlineStr">
        <is>
          <t>FTS</t>
        </is>
      </c>
      <c r="F628" s="6" t="inlineStr">
        <is>
          <t>80600307</t>
        </is>
      </c>
      <c r="G628" s="6" t="inlineStr">
        <is>
          <t>Quadris Excel</t>
        </is>
      </c>
      <c r="H628" s="6" t="n">
        <v>3</v>
      </c>
      <c r="I628" s="6" t="n">
        <v>2</v>
      </c>
      <c r="J628" s="6" t="inlineStr">
        <is>
          <t>nincs</t>
        </is>
      </c>
      <c r="K628" s="6">
        <f>IF(AND(H628&gt;0,I628&gt;0),"Rendben",IF(AND(H628=0,I628=0),"Nincs kép és adat",IF(H628=0,"Nincs kép","Nincs adat")))</f>
        <v/>
      </c>
      <c r="L628" s="6" t="inlineStr">
        <is>
          <t>Igen</t>
        </is>
      </c>
      <c r="M628" s="7" t="inlineStr">
        <is>
          <t>fts-farina.it webáruház (WooCommerce API); FTS 2024 katalógus (PDF)</t>
        </is>
      </c>
      <c r="N628" s="7" t="inlineStr">
        <is>
          <t>Megtalálva: Cerniera laterale salto gomma (kód: 80600307)</t>
        </is>
      </c>
      <c r="O628" s="11" t="inlineStr">
        <is>
          <t>https://www.fts-farina.it/prodotto/cerniera-laterale-salto-gomma/</t>
        </is>
      </c>
      <c r="P628" s="11" t="inlineStr">
        <is>
          <t>https://website-9ib.pages.dev/termek/806307-rm-oldalajto-zsaner-lepcsos-140-179-mm/</t>
        </is>
      </c>
      <c r="Q628" s="12" t="inlineStr"/>
      <c r="R628" s="13" t="inlineStr"/>
      <c r="S628" s="6" t="inlineStr">
        <is>
          <t>806307-rm-oldalajto-zsaner-lepcsos-140-179-mm</t>
        </is>
      </c>
    </row>
    <row r="629">
      <c r="A629" s="6" t="inlineStr">
        <is>
          <t>806407</t>
        </is>
      </c>
      <c r="B629" s="7" t="inlineStr">
        <is>
          <t>RM oldalajtó zsanér, lépcsős 183 mm</t>
        </is>
      </c>
      <c r="C629" s="6" t="inlineStr">
        <is>
          <t>Dobozos felépítmény alkatrészek</t>
        </is>
      </c>
      <c r="D629" s="6" t="inlineStr">
        <is>
          <t>Zsanérok</t>
        </is>
      </c>
      <c r="E629" s="6" t="inlineStr">
        <is>
          <t>FTS</t>
        </is>
      </c>
      <c r="F629" s="6" t="inlineStr">
        <is>
          <t>80600407</t>
        </is>
      </c>
      <c r="G629" s="6" t="inlineStr">
        <is>
          <t>Quadris Excel</t>
        </is>
      </c>
      <c r="H629" s="6" t="n">
        <v>1</v>
      </c>
      <c r="I629" s="6" t="n">
        <v>2</v>
      </c>
      <c r="J629" s="6" t="inlineStr">
        <is>
          <t>nincs</t>
        </is>
      </c>
      <c r="K629" s="6">
        <f>IF(AND(H629&gt;0,I629&gt;0),"Rendben",IF(AND(H629=0,I629=0),"Nincs kép és adat",IF(H629=0,"Nincs kép","Nincs adat")))</f>
        <v/>
      </c>
      <c r="L629" s="6" t="inlineStr">
        <is>
          <t>Igen</t>
        </is>
      </c>
      <c r="M629" s="7" t="inlineStr">
        <is>
          <t>fts-farina.it webáruház (WooCommerce API); FTS 2024 katalógus (PDF)</t>
        </is>
      </c>
      <c r="N629" s="7" t="inlineStr">
        <is>
          <t>Megtalálva: Cerniera salto gomma work (kód: 80600407)</t>
        </is>
      </c>
      <c r="O629" s="11" t="inlineStr">
        <is>
          <t>https://www.fts-farina.it/prodotto/cerniera-salto-gomma-work/</t>
        </is>
      </c>
      <c r="P629" s="11" t="inlineStr">
        <is>
          <t>https://website-9ib.pages.dev/termek/806407-rm-oldalajto-zsaner-lepcsos-183-mm/</t>
        </is>
      </c>
      <c r="Q629" s="12" t="inlineStr"/>
      <c r="R629" s="13" t="inlineStr"/>
      <c r="S629" s="6" t="inlineStr">
        <is>
          <t>806407-rm-oldalajto-zsaner-lepcsos-183-mm</t>
        </is>
      </c>
    </row>
    <row r="630">
      <c r="A630" s="6" t="inlineStr">
        <is>
          <t>832420</t>
        </is>
      </c>
      <c r="B630" s="7" t="inlineStr">
        <is>
          <t>RM pillangó zsanér 60x60</t>
        </is>
      </c>
      <c r="C630" s="6" t="inlineStr">
        <is>
          <t>Dobozos felépítmény alkatrészek</t>
        </is>
      </c>
      <c r="D630" s="6" t="inlineStr">
        <is>
          <t>Zsanérok</t>
        </is>
      </c>
      <c r="E630" s="6" t="inlineStr">
        <is>
          <t>FTS</t>
        </is>
      </c>
      <c r="F630" s="6" t="inlineStr">
        <is>
          <t>80324200</t>
        </is>
      </c>
      <c r="G630" s="6" t="inlineStr">
        <is>
          <t>Quadris Excel</t>
        </is>
      </c>
      <c r="H630" s="6" t="n">
        <v>4</v>
      </c>
      <c r="I630" s="6" t="n">
        <v>2</v>
      </c>
      <c r="J630" s="6" t="inlineStr">
        <is>
          <t>nincs</t>
        </is>
      </c>
      <c r="K630" s="6">
        <f>IF(AND(H630&gt;0,I630&gt;0),"Rendben",IF(AND(H630=0,I630=0),"Nincs kép és adat",IF(H630=0,"Nincs kép","Nincs adat")))</f>
        <v/>
      </c>
      <c r="L630" s="6" t="inlineStr">
        <is>
          <t>Igen</t>
        </is>
      </c>
      <c r="M630" s="7" t="inlineStr">
        <is>
          <t>fts-farina.it webáruház (WooCommerce API); FTS 2024 katalógus (PDF)</t>
        </is>
      </c>
      <c r="N630" s="7" t="inlineStr">
        <is>
          <t>Megtalálva: Cerniera Farfalla (kód: 80324200)</t>
        </is>
      </c>
      <c r="O630" s="11" t="inlineStr">
        <is>
          <t>https://www.fts-farina.it/prodotto/cerniera-farfalla/</t>
        </is>
      </c>
      <c r="P630" s="11" t="inlineStr">
        <is>
          <t>https://website-9ib.pages.dev/termek/832420-rm-pillango-zsaner-60x60/</t>
        </is>
      </c>
      <c r="Q630" s="12" t="inlineStr"/>
      <c r="R630" s="13" t="inlineStr"/>
      <c r="S630" s="6" t="inlineStr">
        <is>
          <t>832420-rm-pillango-zsaner-60x60</t>
        </is>
      </c>
    </row>
    <row r="631">
      <c r="A631" s="6" t="inlineStr">
        <is>
          <t>808872</t>
        </is>
      </c>
      <c r="B631" s="7" t="inlineStr">
        <is>
          <t>RM zongora zsanér 40x1,5x1970 mm</t>
        </is>
      </c>
      <c r="C631" s="6" t="inlineStr">
        <is>
          <t>Dobozos felépítmény alkatrészek</t>
        </is>
      </c>
      <c r="D631" s="6" t="inlineStr">
        <is>
          <t>Zsanérok</t>
        </is>
      </c>
      <c r="E631" s="6" t="inlineStr">
        <is>
          <t>FTS</t>
        </is>
      </c>
      <c r="F631" s="6" t="inlineStr">
        <is>
          <t>80088720</t>
        </is>
      </c>
      <c r="G631" s="6" t="inlineStr">
        <is>
          <t>Quadris Excel</t>
        </is>
      </c>
      <c r="H631" s="6" t="n">
        <v>1</v>
      </c>
      <c r="I631" s="6" t="n">
        <v>1</v>
      </c>
      <c r="J631" s="6" t="inlineStr">
        <is>
          <t>nincs</t>
        </is>
      </c>
      <c r="K631" s="6">
        <f>IF(AND(H631&gt;0,I631&gt;0),"Rendben",IF(AND(H631=0,I631=0),"Nincs kép és adat",IF(H631=0,"Nincs kép","Nincs adat")))</f>
        <v/>
      </c>
      <c r="L631" s="6" t="inlineStr">
        <is>
          <t>Igen</t>
        </is>
      </c>
      <c r="M631" s="7" t="inlineStr">
        <is>
          <t>fts-farina.it webáruház (WooCommerce API); FTS 2024 katalógus (PDF)</t>
        </is>
      </c>
      <c r="N631" s="7" t="inlineStr">
        <is>
          <t>Megtalálva: Cerniera a libro in Inox senza fori con perno in Inox (kód: 80088720)</t>
        </is>
      </c>
      <c r="O631" s="11" t="inlineStr">
        <is>
          <t>https://www.fts-farina.it/prodotto/cerniera-a-libro-in-inox-senza-fori-con-perno-in-inox/</t>
        </is>
      </c>
      <c r="P631" s="11" t="inlineStr">
        <is>
          <t>https://website-9ib.pages.dev/termek/808872-rm-zongora-zsaner-40x1-5x1970-mm/</t>
        </is>
      </c>
      <c r="Q631" s="12" t="inlineStr"/>
      <c r="R631" s="13" t="inlineStr"/>
      <c r="S631" s="6" t="inlineStr">
        <is>
          <t>808872-rm-zongora-zsaner-40x1-5x1970-mm</t>
        </is>
      </c>
    </row>
    <row r="632">
      <c r="A632" s="6" t="inlineStr">
        <is>
          <t>820128</t>
        </is>
      </c>
      <c r="B632" s="7" t="inlineStr">
        <is>
          <t>Rugós Rigli RM</t>
        </is>
      </c>
      <c r="C632" s="6" t="inlineStr">
        <is>
          <t>Dobozos felépítmény alkatrészek</t>
        </is>
      </c>
      <c r="D632" s="6" t="inlineStr">
        <is>
          <t>Egyéb dobozos felépítmény tartozékok</t>
        </is>
      </c>
      <c r="E632" s="6" t="inlineStr">
        <is>
          <t>FTS</t>
        </is>
      </c>
      <c r="F632" s="6" t="inlineStr">
        <is>
          <t>20128210</t>
        </is>
      </c>
      <c r="G632" s="6" t="inlineStr">
        <is>
          <t>Quadris Excel</t>
        </is>
      </c>
      <c r="H632" s="6" t="n">
        <v>2</v>
      </c>
      <c r="I632" s="6" t="n">
        <v>2</v>
      </c>
      <c r="J632" s="6" t="inlineStr">
        <is>
          <t>nincs</t>
        </is>
      </c>
      <c r="K632" s="6">
        <f>IF(AND(H632&gt;0,I632&gt;0),"Rendben",IF(AND(H632=0,I632=0),"Nincs kép és adat",IF(H632=0,"Nincs kép","Nincs adat")))</f>
        <v/>
      </c>
      <c r="L632" s="6" t="inlineStr">
        <is>
          <t>Igen</t>
        </is>
      </c>
      <c r="M632" s="7" t="inlineStr">
        <is>
          <t>fts-farina.it webáruház (WooCommerce API); FTS 2024 katalógus (PDF)</t>
        </is>
      </c>
      <c r="N632" s="7" t="inlineStr">
        <is>
          <t>Megtalálva: 20128210 – Perno a molla piccolo in inox (kód: 20128210)</t>
        </is>
      </c>
      <c r="O632" s="11" t="inlineStr">
        <is>
          <t>https://www.fts-farina.it/prodotto/20128210-perno-a-molla-piccolo-in-inox/</t>
        </is>
      </c>
      <c r="P632" s="11" t="inlineStr">
        <is>
          <t>https://website-9ib.pages.dev/termek/820128-rugos-rigli-rm/</t>
        </is>
      </c>
      <c r="Q632" s="12" t="inlineStr"/>
      <c r="R632" s="13" t="inlineStr"/>
      <c r="S632" s="6" t="inlineStr">
        <is>
          <t>820128-rugos-rigli-rm</t>
        </is>
      </c>
    </row>
    <row r="633">
      <c r="A633" s="6" t="inlineStr">
        <is>
          <t>820129</t>
        </is>
      </c>
      <c r="B633" s="7" t="inlineStr">
        <is>
          <t>Rugós Rigli horg</t>
        </is>
      </c>
      <c r="C633" s="6" t="inlineStr">
        <is>
          <t>Dobozos felépítmény alkatrészek</t>
        </is>
      </c>
      <c r="D633" s="6" t="inlineStr">
        <is>
          <t>Egyéb dobozos felépítmény tartozékok</t>
        </is>
      </c>
      <c r="E633" s="6" t="inlineStr">
        <is>
          <t>FTS</t>
        </is>
      </c>
      <c r="F633" s="6" t="inlineStr">
        <is>
          <t>20128110</t>
        </is>
      </c>
      <c r="G633" s="6" t="inlineStr">
        <is>
          <t>Quadris Excel</t>
        </is>
      </c>
      <c r="H633" s="6" t="n">
        <v>4</v>
      </c>
      <c r="I633" s="6" t="n">
        <v>2</v>
      </c>
      <c r="J633" s="6" t="inlineStr">
        <is>
          <t>nincs</t>
        </is>
      </c>
      <c r="K633" s="6">
        <f>IF(AND(H633&gt;0,I633&gt;0),"Rendben",IF(AND(H633=0,I633=0),"Nincs kép és adat",IF(H633=0,"Nincs kép","Nincs adat")))</f>
        <v/>
      </c>
      <c r="L633" s="6" t="inlineStr">
        <is>
          <t>Igen</t>
        </is>
      </c>
      <c r="M633" s="7" t="inlineStr">
        <is>
          <t>fts-farina.it webáruház (WooCommerce API); FTS 2024 katalógus (PDF)</t>
        </is>
      </c>
      <c r="N633" s="7" t="inlineStr">
        <is>
          <t>Megtalálva: 20128110 – Perno a molla piccolo zincato (kód: 20128110)</t>
        </is>
      </c>
      <c r="O633" s="11" t="inlineStr">
        <is>
          <t>https://www.fts-farina.it/prodotto/20128110-perno-a-molla-piccolo-zincato/</t>
        </is>
      </c>
      <c r="P633" s="11" t="inlineStr">
        <is>
          <t>https://website-9ib.pages.dev/termek/820129-rugos-rigli-horg/</t>
        </is>
      </c>
      <c r="Q633" s="12" t="inlineStr"/>
      <c r="R633" s="13" t="inlineStr"/>
      <c r="S633" s="6" t="inlineStr">
        <is>
          <t>820129-rugos-rigli-horg</t>
        </is>
      </c>
    </row>
    <row r="634">
      <c r="A634" s="6" t="inlineStr">
        <is>
          <t>829611</t>
        </is>
      </c>
      <c r="B634" s="7" t="inlineStr">
        <is>
          <t>Rugós ajtókitámasztó 500/270mm TS</t>
        </is>
      </c>
      <c r="C634" s="6" t="inlineStr">
        <is>
          <t>Dobozos felépítmény alkatrészek</t>
        </is>
      </c>
      <c r="D634" s="6" t="inlineStr">
        <is>
          <t>Ajtórögzítők</t>
        </is>
      </c>
      <c r="E634" s="6" t="inlineStr">
        <is>
          <t>FTS</t>
        </is>
      </c>
      <c r="F634" s="6" t="inlineStr">
        <is>
          <t>80296110</t>
        </is>
      </c>
      <c r="G634" s="6" t="inlineStr">
        <is>
          <t>Quadris Excel</t>
        </is>
      </c>
      <c r="H634" s="6" t="n">
        <v>3</v>
      </c>
      <c r="I634" s="6" t="n">
        <v>2</v>
      </c>
      <c r="J634" s="6" t="inlineStr">
        <is>
          <t>nincs</t>
        </is>
      </c>
      <c r="K634" s="6">
        <f>IF(AND(H634&gt;0,I634&gt;0),"Rendben",IF(AND(H634=0,I634=0),"Nincs kép és adat",IF(H634=0,"Nincs kép","Nincs adat")))</f>
        <v/>
      </c>
      <c r="L634" s="6" t="inlineStr">
        <is>
          <t>Igen</t>
        </is>
      </c>
      <c r="M634" s="7" t="inlineStr">
        <is>
          <t>fts-farina.it webáruház (WooCommerce API); FTS 2024 katalógus (PDF)</t>
        </is>
      </c>
      <c r="N634" s="7" t="inlineStr">
        <is>
          <t>Megtalálva: 80296110 – Ferma porta sottotelaio con attacco piatto zincato (kód: 80296110)</t>
        </is>
      </c>
      <c r="O634" s="11" t="inlineStr">
        <is>
          <t>https://www.fts-farina.it/prodotto/80296110-ferma-porta-sottotelaio-con-attacco-in-piano-zincato/</t>
        </is>
      </c>
      <c r="P634" s="11" t="inlineStr">
        <is>
          <t>https://website-9ib.pages.dev/termek/829611-rugos-ajtokitamaszto-500-270mm-ts/</t>
        </is>
      </c>
      <c r="Q634" s="12" t="inlineStr"/>
      <c r="R634" s="13" t="inlineStr"/>
      <c r="S634" s="6" t="inlineStr">
        <is>
          <t>829611-rugos-ajtokitamaszto-500-270mm-ts</t>
        </is>
      </c>
    </row>
    <row r="635">
      <c r="A635" s="6" t="inlineStr">
        <is>
          <t>829691</t>
        </is>
      </c>
      <c r="B635" s="7" t="inlineStr">
        <is>
          <t>Rugós ajtókitámasztó 500/280 Inox TS</t>
        </is>
      </c>
      <c r="C635" s="6" t="inlineStr">
        <is>
          <t>Dobozos felépítmény alkatrészek</t>
        </is>
      </c>
      <c r="D635" s="6" t="inlineStr">
        <is>
          <t>Ajtórögzítők</t>
        </is>
      </c>
      <c r="E635" s="6" t="inlineStr">
        <is>
          <t>FTS</t>
        </is>
      </c>
      <c r="F635" s="6" t="inlineStr">
        <is>
          <t>80296910</t>
        </is>
      </c>
      <c r="G635" s="6" t="inlineStr">
        <is>
          <t>Quadris Excel</t>
        </is>
      </c>
      <c r="H635" s="6" t="n">
        <v>3</v>
      </c>
      <c r="I635" s="6" t="n">
        <v>2</v>
      </c>
      <c r="J635" s="6" t="inlineStr">
        <is>
          <t>nincs</t>
        </is>
      </c>
      <c r="K635" s="6">
        <f>IF(AND(H635&gt;0,I635&gt;0),"Rendben",IF(AND(H635=0,I635=0),"Nincs kép és adat",IF(H635=0,"Nincs kép","Nincs adat")))</f>
        <v/>
      </c>
      <c r="L635" s="6" t="inlineStr">
        <is>
          <t>Igen</t>
        </is>
      </c>
      <c r="M635" s="7" t="inlineStr">
        <is>
          <t>fts-farina.it webáruház (WooCommerce API); FTS 2024 katalógus (PDF)</t>
        </is>
      </c>
      <c r="N635" s="7" t="inlineStr">
        <is>
          <t>Megtalálva: 80296910 – Fermaporta sottotelaio con attacco sagomato Inox (kód: 80296910)</t>
        </is>
      </c>
      <c r="O635" s="11" t="inlineStr">
        <is>
          <t>https://www.fts-farina.it/prodotto/80296910-fermaporta-sottotelaio-con-attacco-sagomato-inox/</t>
        </is>
      </c>
      <c r="P635" s="11" t="inlineStr">
        <is>
          <t>https://website-9ib.pages.dev/termek/829691-rugos-ajtokitamaszto-500-280-inox-ts/</t>
        </is>
      </c>
      <c r="Q635" s="12" t="inlineStr"/>
      <c r="R635" s="13" t="inlineStr"/>
      <c r="S635" s="6" t="inlineStr">
        <is>
          <t>829691-rugos-ajtokitamaszto-500-280-inox-ts</t>
        </is>
      </c>
    </row>
    <row r="636">
      <c r="A636" s="6" t="inlineStr">
        <is>
          <t>829631</t>
        </is>
      </c>
      <c r="B636" s="7" t="inlineStr">
        <is>
          <t>Rugós ajtórögzítő horg 440/270mm TS</t>
        </is>
      </c>
      <c r="C636" s="6" t="inlineStr">
        <is>
          <t>Dobozos felépítmény alkatrészek</t>
        </is>
      </c>
      <c r="D636" s="6" t="inlineStr">
        <is>
          <t>Ajtórögzítők</t>
        </is>
      </c>
      <c r="E636" s="6" t="inlineStr">
        <is>
          <t>FTS</t>
        </is>
      </c>
      <c r="F636" s="6" t="inlineStr">
        <is>
          <t>80296310</t>
        </is>
      </c>
      <c r="G636" s="6" t="inlineStr">
        <is>
          <t>Quadris Excel</t>
        </is>
      </c>
      <c r="H636" s="6" t="n">
        <v>3</v>
      </c>
      <c r="I636" s="6" t="n">
        <v>1</v>
      </c>
      <c r="J636" s="6" t="inlineStr">
        <is>
          <t>nincs</t>
        </is>
      </c>
      <c r="K636" s="6">
        <f>IF(AND(H636&gt;0,I636&gt;0),"Rendben",IF(AND(H636=0,I636=0),"Nincs kép és adat",IF(H636=0,"Nincs kép","Nincs adat")))</f>
        <v/>
      </c>
      <c r="L636" s="6" t="inlineStr">
        <is>
          <t>Igen</t>
        </is>
      </c>
      <c r="M636" s="7" t="inlineStr">
        <is>
          <t>fts-farina.it webáruház (WooCommerce API); FTS 2024 katalógus (PDF)</t>
        </is>
      </c>
      <c r="N636" s="7" t="inlineStr">
        <is>
          <t>Megtalálva: 80296310 – Fermaporta sottotelaio con attacco a squadro zincato (kód: 80296310)</t>
        </is>
      </c>
      <c r="O636" s="11" t="inlineStr">
        <is>
          <t>https://www.fts-farina.it/prodotto/80296310-fermaporta-sottotelaio-con-attacco-a-squadro-zincato/</t>
        </is>
      </c>
      <c r="P636" s="11" t="inlineStr">
        <is>
          <t>https://website-9ib.pages.dev/termek/829631-rugos-ajtorogzito-horg-440-270mm-ts/</t>
        </is>
      </c>
      <c r="Q636" s="12" t="inlineStr"/>
      <c r="R636" s="13" t="inlineStr"/>
      <c r="S636" s="6" t="inlineStr">
        <is>
          <t>829631-rugos-ajtorogzito-horg-440-270mm-ts</t>
        </is>
      </c>
    </row>
    <row r="637">
      <c r="A637" s="6" t="inlineStr">
        <is>
          <t>829681</t>
        </is>
      </c>
      <c r="B637" s="7" t="inlineStr">
        <is>
          <t>Rugós ajtórögzítő horg 545/410mm TS</t>
        </is>
      </c>
      <c r="C637" s="6" t="inlineStr">
        <is>
          <t>Dobozos felépítmény alkatrészek</t>
        </is>
      </c>
      <c r="D637" s="6" t="inlineStr">
        <is>
          <t>Ajtórögzítők</t>
        </is>
      </c>
      <c r="E637" s="6" t="inlineStr">
        <is>
          <t>FTS</t>
        </is>
      </c>
      <c r="F637" s="6" t="inlineStr">
        <is>
          <t>80296810</t>
        </is>
      </c>
      <c r="G637" s="6" t="inlineStr">
        <is>
          <t>Quadris Excel</t>
        </is>
      </c>
      <c r="H637" s="6" t="n">
        <v>3</v>
      </c>
      <c r="I637" s="6" t="n">
        <v>1</v>
      </c>
      <c r="J637" s="6" t="inlineStr">
        <is>
          <t>nincs</t>
        </is>
      </c>
      <c r="K637" s="6">
        <f>IF(AND(H637&gt;0,I637&gt;0),"Rendben",IF(AND(H637=0,I637=0),"Nincs kép és adat",IF(H637=0,"Nincs kép","Nincs adat")))</f>
        <v/>
      </c>
      <c r="L637" s="6" t="inlineStr">
        <is>
          <t>Igen</t>
        </is>
      </c>
      <c r="M637" s="7" t="inlineStr">
        <is>
          <t>fts-farina.it webáruház (WooCommerce API); FTS 2024 katalógus (PDF)</t>
        </is>
      </c>
      <c r="N637" s="7" t="inlineStr">
        <is>
          <t>Megtalálva: 80296810 – Fermaporta sottototelaio con attac. a squadro tipo francese zincato (kód: 80296810)</t>
        </is>
      </c>
      <c r="O637" s="11" t="inlineStr">
        <is>
          <t>https://www.fts-farina.it/prodotto/80296810-fermaporta-sottototelaio-con-attac-a-squadro-tipo-francese-zincato/</t>
        </is>
      </c>
      <c r="P637" s="11" t="inlineStr">
        <is>
          <t>https://website-9ib.pages.dev/termek/829681-rugos-ajtorogzito-horg-545-410mm-ts/</t>
        </is>
      </c>
      <c r="Q637" s="12" t="inlineStr"/>
      <c r="R637" s="13" t="inlineStr"/>
      <c r="S637" s="6" t="inlineStr">
        <is>
          <t>829681-rugos-ajtorogzito-horg-545-410mm-ts</t>
        </is>
      </c>
    </row>
    <row r="638">
      <c r="A638" s="6" t="inlineStr">
        <is>
          <t>729143</t>
        </is>
      </c>
      <c r="B638" s="7" t="inlineStr">
        <is>
          <t>Sínrőgzítő láncal húspályasínhez RM</t>
        </is>
      </c>
      <c r="C638" s="6" t="inlineStr">
        <is>
          <t>Dobozos felépítmény alkatrészek</t>
        </is>
      </c>
      <c r="D638" s="6" t="inlineStr">
        <is>
          <t>Húspálya rendszer</t>
        </is>
      </c>
      <c r="E638" s="6" t="inlineStr">
        <is>
          <t>FTS</t>
        </is>
      </c>
      <c r="F638" s="6" t="inlineStr">
        <is>
          <t>75539143</t>
        </is>
      </c>
      <c r="G638" s="6" t="inlineStr">
        <is>
          <t>Quadris Excel</t>
        </is>
      </c>
      <c r="H638" s="6" t="n">
        <v>4</v>
      </c>
      <c r="I638" s="6" t="n">
        <v>1</v>
      </c>
      <c r="J638" s="6" t="inlineStr">
        <is>
          <t>nincs</t>
        </is>
      </c>
      <c r="K638" s="6">
        <f>IF(AND(H638&gt;0,I638&gt;0),"Rendben",IF(AND(H638=0,I638=0),"Nincs kép és adat",IF(H638=0,"Nincs kép","Nincs adat")))</f>
        <v/>
      </c>
      <c r="L638" s="6" t="inlineStr">
        <is>
          <t>Igen</t>
        </is>
      </c>
      <c r="M638" s="7" t="inlineStr">
        <is>
          <t>fts-farina.it webáruház (WooCommerce API); FTS 2024 katalógus (PDF)</t>
        </is>
      </c>
      <c r="N638" s="7" t="inlineStr">
        <is>
          <t>Megtalálva: 75539143 – Coppia supporti Inox per fissaggio per bloccaggio guidovia con catena (kód: 75539143)</t>
        </is>
      </c>
      <c r="O638" s="11" t="inlineStr">
        <is>
          <t>https://www.fts-farina.it/prodotto/75539143-coppia-supporti-inox-per-fissaggio-per-bloccaggio-guidovia-con-catena/</t>
        </is>
      </c>
      <c r="P638" s="11" t="inlineStr">
        <is>
          <t>https://website-9ib.pages.dev/termek/729143-sinrogzito-lancal-huspalyasinhez-rm/</t>
        </is>
      </c>
      <c r="Q638" s="12" t="inlineStr"/>
      <c r="R638" s="13" t="inlineStr"/>
      <c r="S638" s="6" t="inlineStr">
        <is>
          <t>729143-sinrogzito-lancal-huspalyasinhez-rm</t>
        </is>
      </c>
    </row>
    <row r="639">
      <c r="A639" s="6" t="inlineStr">
        <is>
          <t>552118</t>
        </is>
      </c>
      <c r="B639" s="7" t="inlineStr">
        <is>
          <t>Ütközőgumi 150x60x60</t>
        </is>
      </c>
      <c r="C639" s="6" t="inlineStr">
        <is>
          <t>Dobozos felépítmény alkatrészek</t>
        </is>
      </c>
      <c r="D639" s="6" t="inlineStr">
        <is>
          <t>Gumiütközők</t>
        </is>
      </c>
      <c r="E639" s="6" t="inlineStr">
        <is>
          <t>FTS</t>
        </is>
      </c>
      <c r="F639" s="6" t="inlineStr">
        <is>
          <t>55200118</t>
        </is>
      </c>
      <c r="G639" s="6" t="inlineStr">
        <is>
          <t>Quadris Excel</t>
        </is>
      </c>
      <c r="H639" s="6" t="n">
        <v>2</v>
      </c>
      <c r="I639" s="6" t="n">
        <v>1</v>
      </c>
      <c r="J639" s="6" t="inlineStr">
        <is>
          <t>nincs</t>
        </is>
      </c>
      <c r="K639" s="6">
        <f>IF(AND(H639&gt;0,I639&gt;0),"Rendben",IF(AND(H639=0,I639=0),"Nincs kép és adat",IF(H639=0,"Nincs kép","Nincs adat")))</f>
        <v/>
      </c>
      <c r="L639" s="6" t="inlineStr">
        <is>
          <t>Igen</t>
        </is>
      </c>
      <c r="M639" s="7" t="inlineStr">
        <is>
          <t>fts-farina.it webáruház (WooCommerce API); FTS 2024 katalógus (PDF)</t>
        </is>
      </c>
      <c r="N639" s="7" t="inlineStr">
        <is>
          <t>Megtalálva: 55200118 – Tampone paracolpi in gomma 150x60x60 (kód: 55200118)</t>
        </is>
      </c>
      <c r="O639" s="11" t="inlineStr">
        <is>
          <t>https://www.fts-farina.it/prodotto/55200118-tampone-paracolpi-in-gomma-150x60x60/</t>
        </is>
      </c>
      <c r="P639" s="11" t="inlineStr">
        <is>
          <t>https://website-9ib.pages.dev/termek/552118-utkozogumi-150x60x60/</t>
        </is>
      </c>
      <c r="Q639" s="12" t="inlineStr"/>
      <c r="R639" s="13" t="inlineStr"/>
      <c r="S639" s="6" t="inlineStr">
        <is>
          <t>552118-utkozogumi-150x60x60</t>
        </is>
      </c>
    </row>
    <row r="640">
      <c r="A640" s="6" t="inlineStr">
        <is>
          <t>552080</t>
        </is>
      </c>
      <c r="B640" s="7" t="inlineStr">
        <is>
          <t>Ütközőgumi 200x80x80</t>
        </is>
      </c>
      <c r="C640" s="6" t="inlineStr">
        <is>
          <t>Dobozos felépítmény alkatrészek</t>
        </is>
      </c>
      <c r="D640" s="6" t="inlineStr">
        <is>
          <t>Gumiütközők</t>
        </is>
      </c>
      <c r="E640" s="6" t="inlineStr">
        <is>
          <t>FTS</t>
        </is>
      </c>
      <c r="F640" s="6" t="inlineStr">
        <is>
          <t>55200800</t>
        </is>
      </c>
      <c r="G640" s="6" t="inlineStr">
        <is>
          <t>Quadris Excel</t>
        </is>
      </c>
      <c r="H640" s="6" t="n">
        <v>2</v>
      </c>
      <c r="I640" s="6" t="n">
        <v>1</v>
      </c>
      <c r="J640" s="6" t="inlineStr">
        <is>
          <t>nincs</t>
        </is>
      </c>
      <c r="K640" s="6">
        <f>IF(AND(H640&gt;0,I640&gt;0),"Rendben",IF(AND(H640=0,I640=0),"Nincs kép és adat",IF(H640=0,"Nincs kép","Nincs adat")))</f>
        <v/>
      </c>
      <c r="L640" s="6" t="inlineStr">
        <is>
          <t>Igen</t>
        </is>
      </c>
      <c r="M640" s="7" t="inlineStr">
        <is>
          <t>fts-farina.it webáruház (WooCommerce API); FTS 2024 katalógus (PDF)</t>
        </is>
      </c>
      <c r="N640" s="7" t="inlineStr">
        <is>
          <t>Megtalálva: 55200800 – Tampone paracolpi in gomma 200x80x80 (kód: 55200800)</t>
        </is>
      </c>
      <c r="O640" s="11" t="inlineStr">
        <is>
          <t>https://www.fts-farina.it/prodotto/55200800-tampone-paracolpi-in-gomma-200x80x80/</t>
        </is>
      </c>
      <c r="P640" s="11" t="inlineStr">
        <is>
          <t>https://website-9ib.pages.dev/termek/552080-utkozogumi-200x80x80/</t>
        </is>
      </c>
      <c r="Q640" s="12" t="inlineStr"/>
      <c r="R640" s="13" t="inlineStr"/>
      <c r="S640" s="6" t="inlineStr">
        <is>
          <t>552080-utkozogumi-200x80x80</t>
        </is>
      </c>
    </row>
    <row r="641">
      <c r="A641" s="6" t="inlineStr">
        <is>
          <t>552155</t>
        </is>
      </c>
      <c r="B641" s="7" t="inlineStr">
        <is>
          <t>Ütközőgumi 215x50x55</t>
        </is>
      </c>
      <c r="C641" s="6" t="inlineStr">
        <is>
          <t>Dobozos felépítmény alkatrészek</t>
        </is>
      </c>
      <c r="D641" s="6" t="inlineStr">
        <is>
          <t>Gumiütközők</t>
        </is>
      </c>
      <c r="E641" s="6" t="inlineStr">
        <is>
          <t>FTS</t>
        </is>
      </c>
      <c r="F641" s="6" t="inlineStr">
        <is>
          <t>55215505</t>
        </is>
      </c>
      <c r="G641" s="6" t="inlineStr">
        <is>
          <t>Quadris Excel</t>
        </is>
      </c>
      <c r="H641" s="6" t="n">
        <v>2</v>
      </c>
      <c r="I641" s="6" t="n">
        <v>1</v>
      </c>
      <c r="J641" s="6" t="inlineStr">
        <is>
          <t>nincs</t>
        </is>
      </c>
      <c r="K641" s="6">
        <f>IF(AND(H641&gt;0,I641&gt;0),"Rendben",IF(AND(H641=0,I641=0),"Nincs kép és adat",IF(H641=0,"Nincs kép","Nincs adat")))</f>
        <v/>
      </c>
      <c r="L641" s="6" t="inlineStr">
        <is>
          <t>Igen</t>
        </is>
      </c>
      <c r="M641" s="7" t="inlineStr">
        <is>
          <t>fts-farina.it webáruház (WooCommerce API); FTS 2024 katalógus (PDF)</t>
        </is>
      </c>
      <c r="N641" s="7" t="inlineStr">
        <is>
          <t>Megtalálva: 55215505 – Tampone paracolpi in gomma 215x50x55 (kód: 55215505)</t>
        </is>
      </c>
      <c r="O641" s="11" t="inlineStr">
        <is>
          <t>https://www.fts-farina.it/prodotto/55215505-tampone-paracolpi-in-gomma-215x50x55/</t>
        </is>
      </c>
      <c r="P641" s="11" t="inlineStr">
        <is>
          <t>https://website-9ib.pages.dev/termek/552155-utkozogumi-215x50x55/</t>
        </is>
      </c>
      <c r="Q641" s="12" t="inlineStr"/>
      <c r="R641" s="13" t="inlineStr"/>
      <c r="S641" s="6" t="inlineStr">
        <is>
          <t>552155-utkozogumi-215x50x55</t>
        </is>
      </c>
    </row>
    <row r="642">
      <c r="A642" s="6" t="inlineStr">
        <is>
          <t>553065</t>
        </is>
      </c>
      <c r="B642" s="7" t="inlineStr">
        <is>
          <t>Ütközőgumi 300x65x70</t>
        </is>
      </c>
      <c r="C642" s="6" t="inlineStr">
        <is>
          <t>Dobozos felépítmény alkatrészek</t>
        </is>
      </c>
      <c r="D642" s="6" t="inlineStr">
        <is>
          <t>Gumiütközők</t>
        </is>
      </c>
      <c r="E642" s="6" t="inlineStr">
        <is>
          <t>FTS</t>
        </is>
      </c>
      <c r="F642" s="6" t="inlineStr">
        <is>
          <t>55307065</t>
        </is>
      </c>
      <c r="G642" s="6" t="inlineStr">
        <is>
          <t>Quadris Excel</t>
        </is>
      </c>
      <c r="H642" s="6" t="n">
        <v>2</v>
      </c>
      <c r="I642" s="6" t="n">
        <v>1</v>
      </c>
      <c r="J642" s="6" t="inlineStr">
        <is>
          <t>nincs</t>
        </is>
      </c>
      <c r="K642" s="6">
        <f>IF(AND(H642&gt;0,I642&gt;0),"Rendben",IF(AND(H642=0,I642=0),"Nincs kép és adat",IF(H642=0,"Nincs kép","Nincs adat")))</f>
        <v/>
      </c>
      <c r="L642" s="6" t="inlineStr">
        <is>
          <t>Igen</t>
        </is>
      </c>
      <c r="M642" s="7" t="inlineStr">
        <is>
          <t>fts-farina.it webáruház (WooCommerce API); FTS 2024 katalógus (PDF)</t>
        </is>
      </c>
      <c r="N642" s="7" t="inlineStr">
        <is>
          <t>Megtalálva: 55307065 – Tampone paracolpi in gomma 300x65x70 (kód: 55307065)</t>
        </is>
      </c>
      <c r="O642" s="11" t="inlineStr">
        <is>
          <t>https://www.fts-farina.it/prodotto/55307065-tampone-paracolpi-in-gomma-300x65x70/</t>
        </is>
      </c>
      <c r="P642" s="11" t="inlineStr">
        <is>
          <t>https://website-9ib.pages.dev/termek/553065-utkozogumi-300x65x70/</t>
        </is>
      </c>
      <c r="Q642" s="12" t="inlineStr"/>
      <c r="R642" s="13" t="inlineStr"/>
      <c r="S642" s="6" t="inlineStr">
        <is>
          <t>553065-utkozogumi-300x65x70</t>
        </is>
      </c>
    </row>
    <row r="643">
      <c r="A643" s="6" t="inlineStr">
        <is>
          <t>552594</t>
        </is>
      </c>
      <c r="B643" s="7" t="inlineStr">
        <is>
          <t>Ütközőgumi 400x65x70</t>
        </is>
      </c>
      <c r="C643" s="6" t="inlineStr">
        <is>
          <t>Dobozos felépítmény alkatrészek</t>
        </is>
      </c>
      <c r="D643" s="6" t="inlineStr">
        <is>
          <t>Gumiütközők</t>
        </is>
      </c>
      <c r="E643" s="6" t="inlineStr">
        <is>
          <t>FTS</t>
        </is>
      </c>
      <c r="F643" s="6" t="inlineStr">
        <is>
          <t>55200594</t>
        </is>
      </c>
      <c r="G643" s="6" t="inlineStr">
        <is>
          <t>Quadris Excel</t>
        </is>
      </c>
      <c r="H643" s="6" t="n">
        <v>2</v>
      </c>
      <c r="I643" s="6" t="n">
        <v>1</v>
      </c>
      <c r="J643" s="6" t="inlineStr">
        <is>
          <t>nincs</t>
        </is>
      </c>
      <c r="K643" s="6">
        <f>IF(AND(H643&gt;0,I643&gt;0),"Rendben",IF(AND(H643=0,I643=0),"Nincs kép és adat",IF(H643=0,"Nincs kép","Nincs adat")))</f>
        <v/>
      </c>
      <c r="L643" s="6" t="inlineStr">
        <is>
          <t>Igen</t>
        </is>
      </c>
      <c r="M643" s="7" t="inlineStr">
        <is>
          <t>fts-farina.it webáruház (WooCommerce API); FTS 2024 katalógus (PDF)</t>
        </is>
      </c>
      <c r="N643" s="7" t="inlineStr">
        <is>
          <t>Megtalálva: 55200594 – Tampone paracolpi in gomma 400x65x70 (kód: 55200594)</t>
        </is>
      </c>
      <c r="O643" s="11" t="inlineStr">
        <is>
          <t>https://www.fts-farina.it/prodotto/55200594-tampone-paracolpi-in-gomma-400x65x70/</t>
        </is>
      </c>
      <c r="P643" s="11" t="inlineStr">
        <is>
          <t>https://website-9ib.pages.dev/termek/552594-utkozogumi-400x65x70/</t>
        </is>
      </c>
      <c r="Q643" s="12" t="inlineStr"/>
      <c r="R643" s="13" t="inlineStr"/>
      <c r="S643" s="6" t="inlineStr">
        <is>
          <t>552594-utkozogumi-400x65x70</t>
        </is>
      </c>
    </row>
    <row r="644">
      <c r="A644" s="6" t="inlineStr">
        <is>
          <t>554540</t>
        </is>
      </c>
      <c r="B644" s="7" t="inlineStr">
        <is>
          <t>Ütközőgumi 450x40x60</t>
        </is>
      </c>
      <c r="C644" s="6" t="inlineStr">
        <is>
          <t>Dobozos felépítmény alkatrészek</t>
        </is>
      </c>
      <c r="D644" s="6" t="inlineStr">
        <is>
          <t>Gumiütközők</t>
        </is>
      </c>
      <c r="E644" s="6" t="inlineStr">
        <is>
          <t>FTS</t>
        </is>
      </c>
      <c r="F644" s="6" t="inlineStr">
        <is>
          <t>55045040</t>
        </is>
      </c>
      <c r="G644" s="6" t="inlineStr">
        <is>
          <t>Quadris Excel</t>
        </is>
      </c>
      <c r="H644" s="6" t="n">
        <v>2</v>
      </c>
      <c r="I644" s="6" t="n">
        <v>1</v>
      </c>
      <c r="J644" s="6" t="inlineStr">
        <is>
          <t>nincs</t>
        </is>
      </c>
      <c r="K644" s="6">
        <f>IF(AND(H644&gt;0,I644&gt;0),"Rendben",IF(AND(H644=0,I644=0),"Nincs kép és adat",IF(H644=0,"Nincs kép","Nincs adat")))</f>
        <v/>
      </c>
      <c r="L644" s="6" t="inlineStr">
        <is>
          <t>Igen</t>
        </is>
      </c>
      <c r="M644" s="7" t="inlineStr">
        <is>
          <t>fts-farina.it webáruház (WooCommerce API); FTS 2024 katalógus (PDF)</t>
        </is>
      </c>
      <c r="N644" s="7" t="inlineStr">
        <is>
          <t>Megtalálva: 55045040 – Tampone paracolpi in gomma 450x40x60 (kód: 55045040)</t>
        </is>
      </c>
      <c r="O644" s="11" t="inlineStr">
        <is>
          <t>https://www.fts-farina.it/prodotto/55045040-tampone-paracolpi-in-gomma-450x40x60/</t>
        </is>
      </c>
      <c r="P644" s="11" t="inlineStr">
        <is>
          <t>https://website-9ib.pages.dev/termek/554540-utkozogumi-450x40x60/</t>
        </is>
      </c>
      <c r="Q644" s="12" t="inlineStr"/>
      <c r="R644" s="13" t="inlineStr"/>
      <c r="S644" s="6" t="inlineStr">
        <is>
          <t>554540-utkozogumi-450x40x60</t>
        </is>
      </c>
    </row>
    <row r="645">
      <c r="A645" s="6" t="inlineStr">
        <is>
          <t>555455</t>
        </is>
      </c>
      <c r="B645" s="7" t="inlineStr">
        <is>
          <t>Ütközőgumi 455x38x48</t>
        </is>
      </c>
      <c r="C645" s="6" t="inlineStr">
        <is>
          <t>Dobozos felépítmény alkatrészek</t>
        </is>
      </c>
      <c r="D645" s="6" t="inlineStr">
        <is>
          <t>Gumiütközők</t>
        </is>
      </c>
      <c r="E645" s="6" t="inlineStr">
        <is>
          <t>FTS</t>
        </is>
      </c>
      <c r="F645" s="6" t="inlineStr">
        <is>
          <t>335100</t>
        </is>
      </c>
      <c r="G645" s="6" t="inlineStr">
        <is>
          <t>Quadris Excel</t>
        </is>
      </c>
      <c r="H645" s="6" t="n">
        <v>0</v>
      </c>
      <c r="I645" s="6" t="n">
        <v>0</v>
      </c>
      <c r="J645" s="6" t="inlineStr">
        <is>
          <t>nincs</t>
        </is>
      </c>
      <c r="K645" s="6">
        <f>IF(AND(H645&gt;0,I645&gt;0),"Rendben",IF(AND(H645=0,I645=0),"Nincs kép és adat",IF(H645=0,"Nincs kép","Nincs adat")))</f>
        <v/>
      </c>
      <c r="L645" s="6" t="inlineStr">
        <is>
          <t>Igen</t>
        </is>
      </c>
      <c r="M645" s="7" t="inlineStr">
        <is>
          <t>fts-farina.it webáruház (WooCommerce API); FTS 2024 katalógus (PDF)</t>
        </is>
      </c>
      <c r="N645" s="7" t="inlineStr">
        <is>
          <t>Nem találtuk: fts-farina.it webáruház (WooCommerce API); FTS 2024 katalógus (PDF)</t>
        </is>
      </c>
      <c r="O645" s="6" t="inlineStr"/>
      <c r="P645" s="11" t="inlineStr">
        <is>
          <t>https://website-9ib.pages.dev/termek/555455-utkozogumi-455x38x48/</t>
        </is>
      </c>
      <c r="Q645" s="12" t="inlineStr"/>
      <c r="R645" s="13" t="inlineStr"/>
      <c r="S645" s="6" t="inlineStr">
        <is>
          <t>555455-utkozogumi-455x38x48</t>
        </is>
      </c>
    </row>
    <row r="646">
      <c r="A646" s="6" t="inlineStr">
        <is>
          <t>555490</t>
        </is>
      </c>
      <c r="B646" s="7" t="inlineStr">
        <is>
          <t>Ütközőgumi 490x45x40</t>
        </is>
      </c>
      <c r="C646" s="6" t="inlineStr">
        <is>
          <t>Dobozos felépítmény alkatrészek</t>
        </is>
      </c>
      <c r="D646" s="6" t="inlineStr">
        <is>
          <t>Gumiütközők</t>
        </is>
      </c>
      <c r="E646" s="6" t="inlineStr">
        <is>
          <t>FTS</t>
        </is>
      </c>
      <c r="F646" s="6" t="inlineStr">
        <is>
          <t>55500490</t>
        </is>
      </c>
      <c r="G646" s="6" t="inlineStr">
        <is>
          <t>Quadris Excel</t>
        </is>
      </c>
      <c r="H646" s="6" t="n">
        <v>2</v>
      </c>
      <c r="I646" s="6" t="n">
        <v>1</v>
      </c>
      <c r="J646" s="6" t="inlineStr">
        <is>
          <t>nincs</t>
        </is>
      </c>
      <c r="K646" s="6">
        <f>IF(AND(H646&gt;0,I646&gt;0),"Rendben",IF(AND(H646=0,I646=0),"Nincs kép és adat",IF(H646=0,"Nincs kép","Nincs adat")))</f>
        <v/>
      </c>
      <c r="L646" s="6" t="inlineStr">
        <is>
          <t>Igen</t>
        </is>
      </c>
      <c r="M646" s="7" t="inlineStr">
        <is>
          <t>fts-farina.it webáruház (WooCommerce API); FTS 2024 katalógus (PDF)</t>
        </is>
      </c>
      <c r="N646" s="7" t="inlineStr">
        <is>
          <t>Megtalálva: 55500490 – PROFILO PARASPONDE NERO L.490 (kód: 55500490)</t>
        </is>
      </c>
      <c r="O646" s="11" t="inlineStr">
        <is>
          <t>https://www.fts-farina.it/prodotto/55500490-profilo-parasponde-nero-l-490/</t>
        </is>
      </c>
      <c r="P646" s="11" t="inlineStr">
        <is>
          <t>https://website-9ib.pages.dev/termek/555490-utkozogumi-490x45x40/</t>
        </is>
      </c>
      <c r="Q646" s="12" t="inlineStr"/>
      <c r="R646" s="13" t="inlineStr"/>
      <c r="S646" s="6" t="inlineStr">
        <is>
          <t>555490-utkozogumi-490x45x40</t>
        </is>
      </c>
    </row>
    <row r="647">
      <c r="A647" s="6" t="inlineStr">
        <is>
          <t>211210</t>
        </is>
      </c>
      <c r="B647" s="7" t="inlineStr">
        <is>
          <t>Ponyvagörgő ALU sínhez</t>
        </is>
      </c>
      <c r="C647" s="6" t="inlineStr">
        <is>
          <t>Elhúzható rolóponyvás rendszer</t>
        </is>
      </c>
      <c r="D647" s="6" t="inlineStr">
        <is>
          <t>ADAICO "C" sín acél</t>
        </is>
      </c>
      <c r="E647" s="6" t="inlineStr">
        <is>
          <t>FTS</t>
        </is>
      </c>
      <c r="F647" s="6" t="inlineStr">
        <is>
          <t>36200110</t>
        </is>
      </c>
      <c r="G647" s="6" t="inlineStr">
        <is>
          <t>Quadris Excel</t>
        </is>
      </c>
      <c r="H647" s="6" t="n">
        <v>2</v>
      </c>
      <c r="I647" s="6" t="n">
        <v>1</v>
      </c>
      <c r="J647" s="6" t="inlineStr">
        <is>
          <t>nincs</t>
        </is>
      </c>
      <c r="K647" s="6">
        <f>IF(AND(H647&gt;0,I647&gt;0),"Rendben",IF(AND(H647=0,I647=0),"Nincs kép és adat",IF(H647=0,"Nincs kép","Nincs adat")))</f>
        <v/>
      </c>
      <c r="L647" s="6" t="inlineStr">
        <is>
          <t>Igen</t>
        </is>
      </c>
      <c r="M647" s="7" t="inlineStr">
        <is>
          <t>fts-farina.it webáruház (WooCommerce API); FTS 2024 katalógus (PDF)</t>
        </is>
      </c>
      <c r="N647" s="7" t="inlineStr">
        <is>
          <t>Megtalálva: 36200110 – Carrucola ruote in nylon Ø30 (kód: 36200110)</t>
        </is>
      </c>
      <c r="O647" s="11" t="inlineStr">
        <is>
          <t>https://www.fts-farina.it/prodotto/36200110-carrucola-ruote-in-nylon-o30/</t>
        </is>
      </c>
      <c r="P647" s="11" t="inlineStr">
        <is>
          <t>https://website-9ib.pages.dev/termek/211210-ponyvagorgo-alu-sinhez/</t>
        </is>
      </c>
      <c r="Q647" s="12" t="inlineStr"/>
      <c r="R647" s="13" t="inlineStr"/>
      <c r="S647" s="6" t="inlineStr">
        <is>
          <t>211210-ponyvagorgo-alu-sinhez</t>
        </is>
      </c>
    </row>
    <row r="648">
      <c r="A648" s="6" t="inlineStr">
        <is>
          <t>451871</t>
        </is>
      </c>
      <c r="B648" s="7" t="inlineStr">
        <is>
          <t>Alváz rögzítő konzol 10/12-14/16</t>
        </is>
      </c>
      <c r="C648" s="6" t="inlineStr">
        <is>
          <t>Platós alkatrészek és kiegészítők</t>
        </is>
      </c>
      <c r="D648" s="6" t="inlineStr">
        <is>
          <t>Alváz konzolok</t>
        </is>
      </c>
      <c r="E648" s="6" t="inlineStr">
        <is>
          <t>FTS</t>
        </is>
      </c>
      <c r="F648" s="6" t="inlineStr">
        <is>
          <t>45187110</t>
        </is>
      </c>
      <c r="G648" s="6" t="inlineStr">
        <is>
          <t>Quadris Excel</t>
        </is>
      </c>
      <c r="H648" s="6" t="n">
        <v>2</v>
      </c>
      <c r="I648" s="6" t="n">
        <v>1</v>
      </c>
      <c r="J648" s="6" t="inlineStr">
        <is>
          <t>nincs</t>
        </is>
      </c>
      <c r="K648" s="6">
        <f>IF(AND(H648&gt;0,I648&gt;0),"Rendben",IF(AND(H648=0,I648=0),"Nincs kép és adat",IF(H648=0,"Nincs kép","Nincs adat")))</f>
        <v/>
      </c>
      <c r="L648" s="6" t="inlineStr">
        <is>
          <t>Igen</t>
        </is>
      </c>
      <c r="M648" s="7" t="inlineStr">
        <is>
          <t>fts-farina.it webáruház (WooCommerce API); FTS 2024 katalógus (PDF)</t>
        </is>
      </c>
      <c r="N648" s="7" t="inlineStr">
        <is>
          <t>Megtalálva: 45187110 – Supporto fissaggio chassis zincato spessori 10/12-14/16 (kód: 45187110)</t>
        </is>
      </c>
      <c r="O648" s="11" t="inlineStr">
        <is>
          <t>https://www.fts-farina.it/prodotto/45187110-supporto-fissaggio-chassis-zincato-spessori-10-12-14-16/</t>
        </is>
      </c>
      <c r="P648" s="11" t="inlineStr">
        <is>
          <t>https://website-9ib.pages.dev/termek/451871-alvaz-rogzito-konzol-10-12-14-16/</t>
        </is>
      </c>
      <c r="Q648" s="12" t="inlineStr"/>
      <c r="R648" s="13" t="inlineStr"/>
      <c r="S648" s="6" t="inlineStr">
        <is>
          <t>451871-alvaz-rogzito-konzol-10-12-14-16</t>
        </is>
      </c>
    </row>
    <row r="649">
      <c r="A649" s="6" t="inlineStr">
        <is>
          <t>452871</t>
        </is>
      </c>
      <c r="B649" s="7" t="inlineStr">
        <is>
          <t>Alváz rögzítő konzol 4/5-5/6</t>
        </is>
      </c>
      <c r="C649" s="6" t="inlineStr">
        <is>
          <t>Platós alkatrészek és kiegészítők</t>
        </is>
      </c>
      <c r="D649" s="6" t="inlineStr">
        <is>
          <t>Alváz konzolok</t>
        </is>
      </c>
      <c r="E649" s="6" t="inlineStr">
        <is>
          <t>FTS</t>
        </is>
      </c>
      <c r="F649" s="6" t="inlineStr">
        <is>
          <t>45287110</t>
        </is>
      </c>
      <c r="G649" s="6" t="inlineStr">
        <is>
          <t>Quadris Excel</t>
        </is>
      </c>
      <c r="H649" s="6" t="n">
        <v>2</v>
      </c>
      <c r="I649" s="6" t="n">
        <v>1</v>
      </c>
      <c r="J649" s="6" t="inlineStr">
        <is>
          <t>nincs</t>
        </is>
      </c>
      <c r="K649" s="6">
        <f>IF(AND(H649&gt;0,I649&gt;0),"Rendben",IF(AND(H649=0,I649=0),"Nincs kép és adat",IF(H649=0,"Nincs kép","Nincs adat")))</f>
        <v/>
      </c>
      <c r="L649" s="6" t="inlineStr">
        <is>
          <t>Igen</t>
        </is>
      </c>
      <c r="M649" s="7" t="inlineStr">
        <is>
          <t>fts-farina.it webáruház (WooCommerce API); FTS 2024 katalógus (PDF)</t>
        </is>
      </c>
      <c r="N649" s="7" t="inlineStr">
        <is>
          <t>Megtalálva: 45287110 – Supporto fissaggio chassis zincato spessori 4/5-5/6 (kód: 45287110)</t>
        </is>
      </c>
      <c r="O649" s="11" t="inlineStr">
        <is>
          <t>https://www.fts-farina.it/prodotto/45287110-supporto-fissaggio-chassis-zincato-spessori-4-5-5-6/</t>
        </is>
      </c>
      <c r="P649" s="11" t="inlineStr">
        <is>
          <t>https://website-9ib.pages.dev/termek/452871-alvaz-rogzito-konzol-4-5-5-6/</t>
        </is>
      </c>
      <c r="Q649" s="12" t="inlineStr"/>
      <c r="R649" s="13" t="inlineStr"/>
      <c r="S649" s="6" t="inlineStr">
        <is>
          <t>452871-alvaz-rogzito-konzol-4-5-5-6</t>
        </is>
      </c>
    </row>
    <row r="650">
      <c r="A650" s="6" t="inlineStr">
        <is>
          <t>452921</t>
        </is>
      </c>
      <c r="B650" s="7" t="inlineStr">
        <is>
          <t>Alváz rögzítő konzol 7/8-10/12</t>
        </is>
      </c>
      <c r="C650" s="6" t="inlineStr">
        <is>
          <t>Platós alkatrészek és kiegészítők</t>
        </is>
      </c>
      <c r="D650" s="6" t="inlineStr">
        <is>
          <t>Alváz konzolok</t>
        </is>
      </c>
      <c r="E650" s="6" t="inlineStr">
        <is>
          <t>FTS</t>
        </is>
      </c>
      <c r="F650" s="6" t="inlineStr">
        <is>
          <t>45292110</t>
        </is>
      </c>
      <c r="G650" s="6" t="inlineStr">
        <is>
          <t>Quadris Excel</t>
        </is>
      </c>
      <c r="H650" s="6" t="n">
        <v>2</v>
      </c>
      <c r="I650" s="6" t="n">
        <v>1</v>
      </c>
      <c r="J650" s="6" t="inlineStr">
        <is>
          <t>nincs</t>
        </is>
      </c>
      <c r="K650" s="6">
        <f>IF(AND(H650&gt;0,I650&gt;0),"Rendben",IF(AND(H650=0,I650=0),"Nincs kép és adat",IF(H650=0,"Nincs kép","Nincs adat")))</f>
        <v/>
      </c>
      <c r="L650" s="6" t="inlineStr">
        <is>
          <t>Igen</t>
        </is>
      </c>
      <c r="M650" s="7" t="inlineStr">
        <is>
          <t>fts-farina.it webáruház (WooCommerce API); FTS 2024 katalógus (PDF)</t>
        </is>
      </c>
      <c r="N650" s="7" t="inlineStr">
        <is>
          <t>Megtalálva: 45292110 – Supporto fissaggio chassis zincato spessori 7/8-10/12 (kód: 45292110)</t>
        </is>
      </c>
      <c r="O650" s="11" t="inlineStr">
        <is>
          <t>https://www.fts-farina.it/prodotto/45292110-supporto-fissaggio-chassis-zincato-spessori-7-8-10-12/</t>
        </is>
      </c>
      <c r="P650" s="11" t="inlineStr">
        <is>
          <t>https://website-9ib.pages.dev/termek/452921-alvaz-rogzito-konzol-7-8-10-12/</t>
        </is>
      </c>
      <c r="Q650" s="12" t="inlineStr"/>
      <c r="R650" s="13" t="inlineStr"/>
      <c r="S650" s="6" t="inlineStr">
        <is>
          <t>452921-alvaz-rogzito-konzol-7-8-10-12</t>
        </is>
      </c>
    </row>
    <row r="651">
      <c r="A651" s="6" t="inlineStr">
        <is>
          <t>307955/TH</t>
        </is>
      </c>
      <c r="B651" s="7" t="inlineStr">
        <is>
          <t>Aláfutásgátló konzol 550 mm</t>
        </is>
      </c>
      <c r="C651" s="6" t="inlineStr">
        <is>
          <t>Platós alkatrészek és kiegészítők</t>
        </is>
      </c>
      <c r="D651" s="6" t="inlineStr">
        <is>
          <t>Aláfutásgátló konzolok</t>
        </is>
      </c>
      <c r="E651" s="6" t="inlineStr">
        <is>
          <t>FTS</t>
        </is>
      </c>
      <c r="F651" s="6" t="inlineStr">
        <is>
          <t>57900155</t>
        </is>
      </c>
      <c r="G651" s="6" t="inlineStr">
        <is>
          <t>Quadris Excel</t>
        </is>
      </c>
      <c r="H651" s="6" t="n">
        <v>2</v>
      </c>
      <c r="I651" s="6" t="n">
        <v>2</v>
      </c>
      <c r="J651" s="6" t="inlineStr">
        <is>
          <t>nincs</t>
        </is>
      </c>
      <c r="K651" s="6">
        <f>IF(AND(H651&gt;0,I651&gt;0),"Rendben",IF(AND(H651=0,I651=0),"Nincs kép és adat",IF(H651=0,"Nincs kép","Nincs adat")))</f>
        <v/>
      </c>
      <c r="L651" s="6" t="inlineStr">
        <is>
          <t>Igen</t>
        </is>
      </c>
      <c r="M651" s="7" t="inlineStr">
        <is>
          <t>fts-farina.it webáruház (WooCommerce API); FTS 2024 katalógus (PDF)</t>
        </is>
      </c>
      <c r="N651" s="7" t="inlineStr">
        <is>
          <t>Megtalálva: Parabiciclette ribaltabile H.550 (kód: 57900155)</t>
        </is>
      </c>
      <c r="O651" s="11" t="inlineStr">
        <is>
          <t>https://www.fts-farina.it/prodotto/parabiciclette-ribaltabile-h-550/</t>
        </is>
      </c>
      <c r="P651" s="11" t="inlineStr">
        <is>
          <t>https://website-9ib.pages.dev/termek/307955-th-alafutasgatlo-konzol-550-mm/</t>
        </is>
      </c>
      <c r="Q651" s="12" t="inlineStr"/>
      <c r="R651" s="13" t="inlineStr"/>
      <c r="S651" s="6" t="inlineStr">
        <is>
          <t>307955-th-alafutasgatlo-konzol-550-mm</t>
        </is>
      </c>
    </row>
    <row r="652">
      <c r="A652" s="6" t="inlineStr">
        <is>
          <t>307955</t>
        </is>
      </c>
      <c r="B652" s="7" t="inlineStr">
        <is>
          <t>Aláfutásgátló konzol 550 mm horg.</t>
        </is>
      </c>
      <c r="C652" s="6" t="inlineStr">
        <is>
          <t>Platós alkatrészek és kiegészítők</t>
        </is>
      </c>
      <c r="D652" s="6" t="inlineStr">
        <is>
          <t>Aláfutásgátló konzolok</t>
        </is>
      </c>
      <c r="E652" s="6" t="inlineStr">
        <is>
          <t>FTS</t>
        </is>
      </c>
      <c r="F652" s="6" t="inlineStr">
        <is>
          <t>57900055</t>
        </is>
      </c>
      <c r="G652" s="6" t="inlineStr">
        <is>
          <t>Quadris Excel</t>
        </is>
      </c>
      <c r="H652" s="6" t="n">
        <v>2</v>
      </c>
      <c r="I652" s="6" t="n">
        <v>2</v>
      </c>
      <c r="J652" s="6" t="inlineStr">
        <is>
          <t>nincs</t>
        </is>
      </c>
      <c r="K652" s="6">
        <f>IF(AND(H652&gt;0,I652&gt;0),"Rendben",IF(AND(H652=0,I652=0),"Nincs kép és adat",IF(H652=0,"Nincs kép","Nincs adat")))</f>
        <v/>
      </c>
      <c r="L652" s="6" t="inlineStr">
        <is>
          <t>Igen</t>
        </is>
      </c>
      <c r="M652" s="7" t="inlineStr">
        <is>
          <t>fts-farina.it webáruház (WooCommerce API); FTS 2024 katalógus (PDF)</t>
        </is>
      </c>
      <c r="N652" s="7" t="inlineStr">
        <is>
          <t>Megtalálva: Parabiciclette ribaltabile H.550 (kód: 57900055)</t>
        </is>
      </c>
      <c r="O652" s="11" t="inlineStr">
        <is>
          <t>https://www.fts-farina.it/prodotto/parabiciclette-ribaltabile-h-550/</t>
        </is>
      </c>
      <c r="P652" s="11" t="inlineStr">
        <is>
          <t>https://website-9ib.pages.dev/termek/307955-alafutasgatlo-konzol-550-mm-horg/</t>
        </is>
      </c>
      <c r="Q652" s="12" t="inlineStr"/>
      <c r="R652" s="13" t="inlineStr"/>
      <c r="S652" s="6" t="inlineStr">
        <is>
          <t>307955-alafutasgatlo-konzol-550-mm-horg</t>
        </is>
      </c>
    </row>
    <row r="653">
      <c r="A653" s="6" t="inlineStr">
        <is>
          <t>307155</t>
        </is>
      </c>
      <c r="B653" s="7" t="inlineStr">
        <is>
          <t>Aláfutásgátló konzol 572 mm</t>
        </is>
      </c>
      <c r="C653" s="6" t="inlineStr">
        <is>
          <t>Platós alkatrészek és kiegészítők</t>
        </is>
      </c>
      <c r="D653" s="6" t="inlineStr">
        <is>
          <t>Aláfutásgátló konzolok</t>
        </is>
      </c>
      <c r="E653" s="6" t="inlineStr">
        <is>
          <t>FTS</t>
        </is>
      </c>
      <c r="F653" s="6" t="inlineStr">
        <is>
          <t>57700155</t>
        </is>
      </c>
      <c r="G653" s="6" t="inlineStr">
        <is>
          <t>Quadris Excel</t>
        </is>
      </c>
      <c r="H653" s="6" t="n">
        <v>2</v>
      </c>
      <c r="I653" s="6" t="n">
        <v>0</v>
      </c>
      <c r="J653" s="6" t="inlineStr">
        <is>
          <t>nincs</t>
        </is>
      </c>
      <c r="K653" s="6">
        <f>IF(AND(H653&gt;0,I653&gt;0),"Rendben",IF(AND(H653=0,I653=0),"Nincs kép és adat",IF(H653=0,"Nincs kép","Nincs adat")))</f>
        <v/>
      </c>
      <c r="L653" s="6" t="inlineStr">
        <is>
          <t>Igen</t>
        </is>
      </c>
      <c r="M653" s="7" t="inlineStr">
        <is>
          <t>fts-farina.it webáruház (WooCommerce API); FTS 2024 katalógus (PDF)</t>
        </is>
      </c>
      <c r="N653" s="7" t="inlineStr">
        <is>
          <t>Megtalálva: FTS</t>
        </is>
      </c>
      <c r="O653" s="11" t="inlineStr">
        <is>
          <t>https://www.fts-farina.it/wp-content/uploads/2023/11/FTS_CATALOGO_2024_low_compressed_compressed.pdf</t>
        </is>
      </c>
      <c r="P653" s="11" t="inlineStr">
        <is>
          <t>https://website-9ib.pages.dev/termek/307155-alafutasgatlo-konzol-572-mm/</t>
        </is>
      </c>
      <c r="Q653" s="12" t="inlineStr"/>
      <c r="R653" s="13" t="inlineStr"/>
      <c r="S653" s="6" t="inlineStr">
        <is>
          <t>307155-alafutasgatlo-konzol-572-mm</t>
        </is>
      </c>
    </row>
    <row r="654">
      <c r="A654" s="6" t="inlineStr">
        <is>
          <t>309055</t>
        </is>
      </c>
      <c r="B654" s="7" t="inlineStr">
        <is>
          <t>Aláfutásgátló konzol 700 mm horg.</t>
        </is>
      </c>
      <c r="C654" s="6" t="inlineStr">
        <is>
          <t>Platós alkatrészek és kiegészítők</t>
        </is>
      </c>
      <c r="D654" s="6" t="inlineStr">
        <is>
          <t>Aláfutásgátló konzolok</t>
        </is>
      </c>
      <c r="E654" s="6" t="inlineStr">
        <is>
          <t>FTS</t>
        </is>
      </c>
      <c r="F654" s="6" t="inlineStr">
        <is>
          <t>58900055</t>
        </is>
      </c>
      <c r="G654" s="6" t="inlineStr">
        <is>
          <t>Quadris Excel</t>
        </is>
      </c>
      <c r="H654" s="6" t="n">
        <v>2</v>
      </c>
      <c r="I654" s="6" t="n">
        <v>2</v>
      </c>
      <c r="J654" s="6" t="inlineStr">
        <is>
          <t>nincs</t>
        </is>
      </c>
      <c r="K654" s="6">
        <f>IF(AND(H654&gt;0,I654&gt;0),"Rendben",IF(AND(H654=0,I654=0),"Nincs kép és adat",IF(H654=0,"Nincs kép","Nincs adat")))</f>
        <v/>
      </c>
      <c r="L654" s="6" t="inlineStr">
        <is>
          <t>Igen</t>
        </is>
      </c>
      <c r="M654" s="7" t="inlineStr">
        <is>
          <t>fts-farina.it webáruház (WooCommerce API); FTS 2024 katalógus (PDF)</t>
        </is>
      </c>
      <c r="N654" s="7" t="inlineStr">
        <is>
          <t>Megtalálva: Parabiciclette ribaltabile H.700 (kód: 58900055)</t>
        </is>
      </c>
      <c r="O654" s="11" t="inlineStr">
        <is>
          <t>https://www.fts-farina.it/prodotto/parabiciclette-ribaltabile-h-700/</t>
        </is>
      </c>
      <c r="P654" s="11" t="inlineStr">
        <is>
          <t>https://website-9ib.pages.dev/termek/309055-alafutasgatlo-konzol-700-mm-horg/</t>
        </is>
      </c>
      <c r="Q654" s="12" t="inlineStr"/>
      <c r="R654" s="13" t="inlineStr"/>
      <c r="S654" s="6" t="inlineStr">
        <is>
          <t>309055-alafutasgatlo-konzol-700-mm-horg</t>
        </is>
      </c>
    </row>
    <row r="655">
      <c r="A655" s="6" t="inlineStr">
        <is>
          <t>308155/TH</t>
        </is>
      </c>
      <c r="B655" s="7" t="inlineStr">
        <is>
          <t>Aláfutásgátló konzol 710 mm</t>
        </is>
      </c>
      <c r="C655" s="6" t="inlineStr">
        <is>
          <t>Platós alkatrészek és kiegészítők</t>
        </is>
      </c>
      <c r="D655" s="6" t="inlineStr">
        <is>
          <t>Aláfutásgátló konzolok</t>
        </is>
      </c>
      <c r="E655" s="6" t="inlineStr">
        <is>
          <t>FTS</t>
        </is>
      </c>
      <c r="F655" s="6" t="inlineStr">
        <is>
          <t>58800155</t>
        </is>
      </c>
      <c r="G655" s="6" t="inlineStr">
        <is>
          <t>Quadris Excel</t>
        </is>
      </c>
      <c r="H655" s="6" t="n">
        <v>1</v>
      </c>
      <c r="I655" s="6" t="n">
        <v>0</v>
      </c>
      <c r="J655" s="6" t="inlineStr">
        <is>
          <t>nincs</t>
        </is>
      </c>
      <c r="K655" s="6">
        <f>IF(AND(H655&gt;0,I655&gt;0),"Rendben",IF(AND(H655=0,I655=0),"Nincs kép és adat",IF(H655=0,"Nincs kép","Nincs adat")))</f>
        <v/>
      </c>
      <c r="L655" s="6" t="inlineStr">
        <is>
          <t>Igen</t>
        </is>
      </c>
      <c r="M655" s="7" t="inlineStr">
        <is>
          <t>fts-farina.it webáruház (WooCommerce API); FTS 2024 katalógus (PDF)</t>
        </is>
      </c>
      <c r="N655" s="7" t="inlineStr">
        <is>
          <t>Megtalálva: FTS</t>
        </is>
      </c>
      <c r="O655" s="11" t="inlineStr">
        <is>
          <t>https://www.fts-farina.it/wp-content/uploads/2023/11/FTS_CATALOGO_2024_low_compressed_compressed.pdf</t>
        </is>
      </c>
      <c r="P655" s="11" t="inlineStr">
        <is>
          <t>https://website-9ib.pages.dev/termek/308155-th-alafutasgatlo-konzol-710-mm/</t>
        </is>
      </c>
      <c r="Q655" s="12" t="inlineStr"/>
      <c r="R655" s="13" t="inlineStr"/>
      <c r="S655" s="6" t="inlineStr">
        <is>
          <t>308155-th-alafutasgatlo-konzol-710-mm</t>
        </is>
      </c>
    </row>
    <row r="656">
      <c r="A656" s="6" t="inlineStr">
        <is>
          <t>156560</t>
        </is>
      </c>
      <c r="B656" s="7" t="inlineStr">
        <is>
          <t>Billencs zsanér garnitúra</t>
        </is>
      </c>
      <c r="C656" s="6" t="inlineStr">
        <is>
          <t>Platós alkatrészek és kiegészítők</t>
        </is>
      </c>
      <c r="D656" s="6" t="inlineStr">
        <is>
          <t>TIR zsanérok</t>
        </is>
      </c>
      <c r="E656" s="6" t="inlineStr">
        <is>
          <t>FTS</t>
        </is>
      </c>
      <c r="F656" s="6" t="inlineStr">
        <is>
          <t>156560</t>
        </is>
      </c>
      <c r="G656" s="6" t="inlineStr">
        <is>
          <t>Quadris Excel</t>
        </is>
      </c>
      <c r="H656" s="6" t="n">
        <v>0</v>
      </c>
      <c r="I656" s="6" t="n">
        <v>0</v>
      </c>
      <c r="J656" s="6" t="inlineStr">
        <is>
          <t>nincs</t>
        </is>
      </c>
      <c r="K656" s="6">
        <f>IF(AND(H656&gt;0,I656&gt;0),"Rendben",IF(AND(H656=0,I656=0),"Nincs kép és adat",IF(H656=0,"Nincs kép","Nincs adat")))</f>
        <v/>
      </c>
      <c r="L656" s="6" t="inlineStr">
        <is>
          <t>Igen</t>
        </is>
      </c>
      <c r="M656" s="7" t="inlineStr">
        <is>
          <t>fts-farina.it webáruház (WooCommerce API); FTS 2024 katalógus (PDF)</t>
        </is>
      </c>
      <c r="N656" s="7" t="inlineStr">
        <is>
          <t>Nem találtuk: fts-farina.it webáruház (WooCommerce API); FTS 2024 katalógus (PDF)</t>
        </is>
      </c>
      <c r="O656" s="6" t="inlineStr"/>
      <c r="P656" s="11" t="inlineStr">
        <is>
          <t>https://website-9ib.pages.dev/termek/156560-billencs-zsaner-garnitura/</t>
        </is>
      </c>
      <c r="Q656" s="12" t="inlineStr"/>
      <c r="R656" s="13" t="inlineStr"/>
      <c r="S656" s="6" t="inlineStr">
        <is>
          <t>156560-billencs-zsaner-garnitura</t>
        </is>
      </c>
    </row>
    <row r="657">
      <c r="A657" s="6" t="inlineStr">
        <is>
          <t>152531</t>
        </is>
      </c>
      <c r="B657" s="7" t="inlineStr">
        <is>
          <t>Billencs zsanér lap</t>
        </is>
      </c>
      <c r="C657" s="6" t="inlineStr">
        <is>
          <t>Platós alkatrészek és kiegészítők</t>
        </is>
      </c>
      <c r="D657" s="6" t="inlineStr">
        <is>
          <t>TIR zsanérok</t>
        </is>
      </c>
      <c r="E657" s="6" t="inlineStr">
        <is>
          <t>FTS</t>
        </is>
      </c>
      <c r="F657" s="6" t="inlineStr">
        <is>
          <t>322531</t>
        </is>
      </c>
      <c r="G657" s="6" t="inlineStr">
        <is>
          <t>Quadris Excel</t>
        </is>
      </c>
      <c r="H657" s="6" t="n">
        <v>0</v>
      </c>
      <c r="I657" s="6" t="n">
        <v>0</v>
      </c>
      <c r="J657" s="6" t="inlineStr">
        <is>
          <t>nincs</t>
        </is>
      </c>
      <c r="K657" s="6">
        <f>IF(AND(H657&gt;0,I657&gt;0),"Rendben",IF(AND(H657=0,I657=0),"Nincs kép és adat",IF(H657=0,"Nincs kép","Nincs adat")))</f>
        <v/>
      </c>
      <c r="L657" s="6" t="inlineStr">
        <is>
          <t>Igen</t>
        </is>
      </c>
      <c r="M657" s="7" t="inlineStr">
        <is>
          <t>fts-farina.it webáruház (WooCommerce API); FTS 2024 katalógus (PDF)</t>
        </is>
      </c>
      <c r="N657" s="7" t="inlineStr">
        <is>
          <t>Nem találtuk: fts-farina.it webáruház (WooCommerce API); FTS 2024 katalógus (PDF)</t>
        </is>
      </c>
      <c r="O657" s="6" t="inlineStr"/>
      <c r="P657" s="11" t="inlineStr">
        <is>
          <t>https://website-9ib.pages.dev/termek/152531-billencs-zsaner-lap/</t>
        </is>
      </c>
      <c r="Q657" s="12" t="inlineStr"/>
      <c r="R657" s="13" t="inlineStr"/>
      <c r="S657" s="6" t="inlineStr">
        <is>
          <t>152531-billencs-zsaner-lap</t>
        </is>
      </c>
    </row>
    <row r="658">
      <c r="A658" s="6" t="inlineStr">
        <is>
          <t>5032110</t>
        </is>
      </c>
      <c r="B658" s="7" t="inlineStr">
        <is>
          <t>Békazár 140 mm + ellendarab</t>
        </is>
      </c>
      <c r="C658" s="6" t="inlineStr">
        <is>
          <t>Platós alkatrészek és kiegészítők</t>
        </is>
      </c>
      <c r="D658" s="6" t="inlineStr">
        <is>
          <t>Z-Zárak</t>
        </is>
      </c>
      <c r="E658" s="6" t="inlineStr">
        <is>
          <t>FTS</t>
        </is>
      </c>
      <c r="F658" s="6" t="inlineStr">
        <is>
          <t>10352110</t>
        </is>
      </c>
      <c r="G658" s="6" t="inlineStr">
        <is>
          <t>Quadris Excel</t>
        </is>
      </c>
      <c r="H658" s="6" t="n">
        <v>3</v>
      </c>
      <c r="I658" s="6" t="n">
        <v>2</v>
      </c>
      <c r="J658" s="6" t="inlineStr">
        <is>
          <t>nincs</t>
        </is>
      </c>
      <c r="K658" s="6">
        <f>IF(AND(H658&gt;0,I658&gt;0),"Rendben",IF(AND(H658=0,I658=0),"Nincs kép és adat",IF(H658=0,"Nincs kép","Nincs adat")))</f>
        <v/>
      </c>
      <c r="L658" s="6" t="inlineStr">
        <is>
          <t>Igen</t>
        </is>
      </c>
      <c r="M658" s="7" t="inlineStr">
        <is>
          <t>fts-farina.it webáruház (WooCommerce API); FTS 2024 katalógus (PDF)</t>
        </is>
      </c>
      <c r="N658" s="7" t="inlineStr">
        <is>
          <t>Megtalálva: Chiusura a laccio (kód: 10352110)</t>
        </is>
      </c>
      <c r="O658" s="11" t="inlineStr">
        <is>
          <t>https://www.fts-farina.it/prodotto/chiusura-a-laccio/</t>
        </is>
      </c>
      <c r="P658" s="11" t="inlineStr">
        <is>
          <t>https://website-9ib.pages.dev/termek/5032110-bekazar-140-mm-ellendarab/</t>
        </is>
      </c>
      <c r="Q658" s="12" t="inlineStr"/>
      <c r="R658" s="13" t="inlineStr"/>
      <c r="S658" s="6" t="inlineStr">
        <is>
          <t>5032110-bekazar-140-mm-ellendarab</t>
        </is>
      </c>
    </row>
    <row r="659">
      <c r="A659" s="6" t="inlineStr">
        <is>
          <t>352540</t>
        </is>
      </c>
      <c r="B659" s="7" t="inlineStr">
        <is>
          <t>Egymásba záródó Z-zár 400</t>
        </is>
      </c>
      <c r="C659" s="6" t="inlineStr">
        <is>
          <t>Platós alkatrészek és kiegészítők</t>
        </is>
      </c>
      <c r="D659" s="6" t="inlineStr">
        <is>
          <t>Z-Zárak</t>
        </is>
      </c>
      <c r="E659" s="6" t="inlineStr">
        <is>
          <t>FTS</t>
        </is>
      </c>
      <c r="F659" s="6" t="inlineStr">
        <is>
          <t>35250400</t>
        </is>
      </c>
      <c r="G659" s="6" t="inlineStr">
        <is>
          <t>Quadris Excel</t>
        </is>
      </c>
      <c r="H659" s="6" t="n">
        <v>1</v>
      </c>
      <c r="I659" s="6" t="n">
        <v>0</v>
      </c>
      <c r="J659" s="6" t="inlineStr">
        <is>
          <t>nincs</t>
        </is>
      </c>
      <c r="K659" s="6">
        <f>IF(AND(H659&gt;0,I659&gt;0),"Rendben",IF(AND(H659=0,I659=0),"Nincs kép és adat",IF(H659=0,"Nincs kép","Nincs adat")))</f>
        <v/>
      </c>
      <c r="L659" s="6" t="inlineStr">
        <is>
          <t>Igen</t>
        </is>
      </c>
      <c r="M659" s="7" t="inlineStr">
        <is>
          <t>fts-farina.it webáruház (WooCommerce API); FTS 2024 katalógus (PDF)</t>
        </is>
      </c>
      <c r="N659" s="7" t="inlineStr">
        <is>
          <t>Megtalálva: 35100500 – Montante Centrale per Piantone TL35 – 35250400 (kód: 35250400)</t>
        </is>
      </c>
      <c r="O659" s="11" t="inlineStr">
        <is>
          <t>https://www.fts-farina.it/prodotto/35100500-montante-centrale-per-piantone-tl35-35250400/</t>
        </is>
      </c>
      <c r="P659" s="11" t="inlineStr">
        <is>
          <t>https://website-9ib.pages.dev/termek/352540-egymasba-zarodo-z-zar-400/</t>
        </is>
      </c>
      <c r="Q659" s="12" t="inlineStr"/>
      <c r="R659" s="13" t="inlineStr"/>
      <c r="S659" s="6" t="inlineStr">
        <is>
          <t>352540-egymasba-zarodo-z-zar-400</t>
        </is>
      </c>
    </row>
    <row r="660">
      <c r="A660" s="6" t="inlineStr">
        <is>
          <t>352202</t>
        </is>
      </c>
      <c r="B660" s="7" t="inlineStr">
        <is>
          <t>Egymásbazáródó zár ellendarab</t>
        </is>
      </c>
      <c r="C660" s="6" t="inlineStr">
        <is>
          <t>Platós alkatrészek és kiegészítők</t>
        </is>
      </c>
      <c r="D660" s="6" t="inlineStr">
        <is>
          <t>Z-Zárak</t>
        </is>
      </c>
      <c r="E660" s="6" t="inlineStr">
        <is>
          <t>FTS</t>
        </is>
      </c>
      <c r="F660" s="6" t="inlineStr">
        <is>
          <t>35220002</t>
        </is>
      </c>
      <c r="G660" s="6" t="inlineStr">
        <is>
          <t>Quadris Excel</t>
        </is>
      </c>
      <c r="H660" s="6" t="n">
        <v>1</v>
      </c>
      <c r="I660" s="6" t="n">
        <v>0</v>
      </c>
      <c r="J660" s="6" t="inlineStr">
        <is>
          <t>nincs</t>
        </is>
      </c>
      <c r="K660" s="6">
        <f>IF(AND(H660&gt;0,I660&gt;0),"Rendben",IF(AND(H660=0,I660=0),"Nincs kép és adat",IF(H660=0,"Nincs kép","Nincs adat")))</f>
        <v/>
      </c>
      <c r="L660" s="6" t="inlineStr">
        <is>
          <t>Igen</t>
        </is>
      </c>
      <c r="M660" s="7" t="inlineStr">
        <is>
          <t>fts-farina.it webáruház (WooCommerce API); FTS 2024 katalógus (PDF)</t>
        </is>
      </c>
      <c r="N660" s="7" t="inlineStr">
        <is>
          <t>Megtalálva: FTS</t>
        </is>
      </c>
      <c r="O660" s="11" t="inlineStr">
        <is>
          <t>https://www.fts-farina.it/wp-content/uploads/2023/11/FTS_CATALOGO_2024_low_compressed_compressed.pdf</t>
        </is>
      </c>
      <c r="P660" s="11" t="inlineStr">
        <is>
          <t>https://website-9ib.pages.dev/termek/352202-egymasbazarodo-zar-ellendarab/</t>
        </is>
      </c>
      <c r="Q660" s="12" t="inlineStr"/>
      <c r="R660" s="13" t="inlineStr"/>
      <c r="S660" s="6" t="inlineStr">
        <is>
          <t>352202-egymasbazarodo-zar-ellendarab</t>
        </is>
      </c>
    </row>
    <row r="661">
      <c r="A661" s="6" t="inlineStr">
        <is>
          <t>456511</t>
        </is>
      </c>
      <c r="B661" s="7" t="inlineStr">
        <is>
          <t>Horganyzott EUROCARGO konzol</t>
        </is>
      </c>
      <c r="C661" s="6" t="inlineStr">
        <is>
          <t>Platós alkatrészek és kiegészítők</t>
        </is>
      </c>
      <c r="D661" s="6" t="inlineStr">
        <is>
          <t>Alváz konzolok</t>
        </is>
      </c>
      <c r="E661" s="6" t="inlineStr">
        <is>
          <t>FTS</t>
        </is>
      </c>
      <c r="F661" s="6" t="inlineStr">
        <is>
          <t>45165110</t>
        </is>
      </c>
      <c r="G661" s="6" t="inlineStr">
        <is>
          <t>Quadris Excel</t>
        </is>
      </c>
      <c r="H661" s="6" t="n">
        <v>2</v>
      </c>
      <c r="I661" s="6" t="n">
        <v>2</v>
      </c>
      <c r="J661" s="6" t="inlineStr">
        <is>
          <t>nincs</t>
        </is>
      </c>
      <c r="K661" s="6">
        <f>IF(AND(H661&gt;0,I661&gt;0),"Rendben",IF(AND(H661=0,I661=0),"Nincs kép és adat",IF(H661=0,"Nincs kép","Nincs adat")))</f>
        <v/>
      </c>
      <c r="L661" s="6" t="inlineStr">
        <is>
          <t>Igen</t>
        </is>
      </c>
      <c r="M661" s="7" t="inlineStr">
        <is>
          <t>fts-farina.it webáruház (WooCommerce API); FTS 2024 katalógus (PDF)</t>
        </is>
      </c>
      <c r="N661" s="7" t="inlineStr">
        <is>
          <t>Megtalálva: Supporto falso telaio EUROCARGO (kód: 45165110)</t>
        </is>
      </c>
      <c r="O661" s="11" t="inlineStr">
        <is>
          <t>https://www.fts-farina.it/prodotto/supporto-falso-telaio-eurocargo/</t>
        </is>
      </c>
      <c r="P661" s="11" t="inlineStr">
        <is>
          <t>https://website-9ib.pages.dev/termek/456511-horganyzott-eurocargo-konzol/</t>
        </is>
      </c>
      <c r="Q661" s="12" t="inlineStr"/>
      <c r="R661" s="13" t="inlineStr"/>
      <c r="S661" s="6" t="inlineStr">
        <is>
          <t>456511-horganyzott-eurocargo-konzol</t>
        </is>
      </c>
    </row>
    <row r="662">
      <c r="A662" s="6" t="inlineStr">
        <is>
          <t>507110</t>
        </is>
      </c>
      <c r="B662" s="7" t="inlineStr">
        <is>
          <t>Horganyzott fellépő</t>
        </is>
      </c>
      <c r="C662" s="6" t="inlineStr">
        <is>
          <t>Platós alkatrészek és kiegészítők</t>
        </is>
      </c>
      <c r="D662" s="6" t="inlineStr">
        <is>
          <t>Fellépő</t>
        </is>
      </c>
      <c r="E662" s="6" t="inlineStr">
        <is>
          <t>FTS</t>
        </is>
      </c>
      <c r="F662" s="6" t="inlineStr">
        <is>
          <t>50170110</t>
        </is>
      </c>
      <c r="G662" s="6" t="inlineStr">
        <is>
          <t>Quadris Excel</t>
        </is>
      </c>
      <c r="H662" s="6" t="n">
        <v>2</v>
      </c>
      <c r="I662" s="6" t="n">
        <v>2</v>
      </c>
      <c r="J662" s="6" t="inlineStr">
        <is>
          <t>nincs</t>
        </is>
      </c>
      <c r="K662" s="6">
        <f>IF(AND(H662&gt;0,I662&gt;0),"Rendben",IF(AND(H662=0,I662=0),"Nincs kép és adat",IF(H662=0,"Nincs kép","Nincs adat")))</f>
        <v/>
      </c>
      <c r="L662" s="6" t="inlineStr">
        <is>
          <t>Igen</t>
        </is>
      </c>
      <c r="M662" s="7" t="inlineStr">
        <is>
          <t>fts-farina.it webáruház (WooCommerce API); FTS 2024 katalógus (PDF)</t>
        </is>
      </c>
      <c r="N662" s="7" t="inlineStr">
        <is>
          <t>Megtalálva: Pedana salita con fermo (kód: 50170110)</t>
        </is>
      </c>
      <c r="O662" s="11" t="inlineStr">
        <is>
          <t>https://www.fts-farina.it/prodotto/pedana-salita-con-fermo/</t>
        </is>
      </c>
      <c r="P662" s="11" t="inlineStr">
        <is>
          <t>https://website-9ib.pages.dev/termek/507110-horganyzott-fellepo/</t>
        </is>
      </c>
      <c r="Q662" s="12" t="inlineStr"/>
      <c r="R662" s="13" t="inlineStr"/>
      <c r="S662" s="6" t="inlineStr">
        <is>
          <t>507110-horganyzott-fellepo</t>
        </is>
      </c>
    </row>
    <row r="663">
      <c r="A663" s="6" t="inlineStr">
        <is>
          <t>456320</t>
        </is>
      </c>
      <c r="B663" s="7" t="inlineStr">
        <is>
          <t>Horganyzott kiskonzol DAILY L.50-H.70</t>
        </is>
      </c>
      <c r="C663" s="6" t="inlineStr">
        <is>
          <t>Platós alkatrészek és kiegészítők</t>
        </is>
      </c>
      <c r="D663" s="6" t="inlineStr">
        <is>
          <t>Alváz konzolok</t>
        </is>
      </c>
      <c r="E663" s="6" t="inlineStr">
        <is>
          <t>FTS</t>
        </is>
      </c>
      <c r="F663" s="6" t="inlineStr">
        <is>
          <t>45163200</t>
        </is>
      </c>
      <c r="G663" s="6" t="inlineStr">
        <is>
          <t>Quadris Excel</t>
        </is>
      </c>
      <c r="H663" s="6" t="n">
        <v>2</v>
      </c>
      <c r="I663" s="6" t="n">
        <v>2</v>
      </c>
      <c r="J663" s="6" t="inlineStr">
        <is>
          <t>nincs</t>
        </is>
      </c>
      <c r="K663" s="6">
        <f>IF(AND(H663&gt;0,I663&gt;0),"Rendben",IF(AND(H663=0,I663=0),"Nincs kép és adat",IF(H663=0,"Nincs kép","Nincs adat")))</f>
        <v/>
      </c>
      <c r="L663" s="6" t="inlineStr">
        <is>
          <t>Igen</t>
        </is>
      </c>
      <c r="M663" s="7" t="inlineStr">
        <is>
          <t>fts-farina.it webáruház (WooCommerce API); FTS 2024 katalógus (PDF)</t>
        </is>
      </c>
      <c r="N663" s="7" t="inlineStr">
        <is>
          <t>Megtalálva: Supporto falso telaio DAILY L.50 H.70 (kód: 45163200)</t>
        </is>
      </c>
      <c r="O663" s="11" t="inlineStr">
        <is>
          <t>https://www.fts-farina.it/prodotto/supporto-falso-telaio-daily-l-50-h-70/</t>
        </is>
      </c>
      <c r="P663" s="11" t="inlineStr">
        <is>
          <t>https://website-9ib.pages.dev/termek/456320-horganyzott-kiskonzol-daily-l-50-h-70/</t>
        </is>
      </c>
      <c r="Q663" s="12" t="inlineStr"/>
      <c r="R663" s="13" t="inlineStr"/>
      <c r="S663" s="6" t="inlineStr">
        <is>
          <t>456320-horganyzott-kiskonzol-daily-l-50-h-70</t>
        </is>
      </c>
    </row>
    <row r="664">
      <c r="A664" s="6" t="inlineStr">
        <is>
          <t>456610</t>
        </is>
      </c>
      <c r="B664" s="7" t="inlineStr">
        <is>
          <t>Horganyzott kiskonzol IVECO</t>
        </is>
      </c>
      <c r="C664" s="6" t="inlineStr">
        <is>
          <t>Platós alkatrészek és kiegészítők</t>
        </is>
      </c>
      <c r="D664" s="6" t="inlineStr">
        <is>
          <t>Alváz konzolok</t>
        </is>
      </c>
      <c r="E664" s="6" t="inlineStr">
        <is>
          <t>FTS</t>
        </is>
      </c>
      <c r="F664" s="6" t="inlineStr">
        <is>
          <t>45163100</t>
        </is>
      </c>
      <c r="G664" s="6" t="inlineStr">
        <is>
          <t>Quadris Excel</t>
        </is>
      </c>
      <c r="H664" s="6" t="n">
        <v>2</v>
      </c>
      <c r="I664" s="6" t="n">
        <v>2</v>
      </c>
      <c r="J664" s="6" t="inlineStr">
        <is>
          <t>nincs</t>
        </is>
      </c>
      <c r="K664" s="6">
        <f>IF(AND(H664&gt;0,I664&gt;0),"Rendben",IF(AND(H664=0,I664=0),"Nincs kép és adat",IF(H664=0,"Nincs kép","Nincs adat")))</f>
        <v/>
      </c>
      <c r="L664" s="6" t="inlineStr">
        <is>
          <t>Igen</t>
        </is>
      </c>
      <c r="M664" s="7" t="inlineStr">
        <is>
          <t>fts-farina.it webáruház (WooCommerce API); FTS 2024 katalógus (PDF)</t>
        </is>
      </c>
      <c r="N664" s="7" t="inlineStr">
        <is>
          <t>Megtalálva: Supporto falso telaio leggero DAILY L.50 H.90 (kód: 45163100)</t>
        </is>
      </c>
      <c r="O664" s="11" t="inlineStr">
        <is>
          <t>https://www.fts-farina.it/prodotto/supporto-falso-telaio-leggero-daily-l-50-h-90/</t>
        </is>
      </c>
      <c r="P664" s="11" t="inlineStr">
        <is>
          <t>https://website-9ib.pages.dev/termek/456610-horganyzott-kiskonzol-iveco/</t>
        </is>
      </c>
      <c r="Q664" s="12" t="inlineStr"/>
      <c r="R664" s="13" t="inlineStr"/>
      <c r="S664" s="6" t="inlineStr">
        <is>
          <t>456610-horganyzott-kiskonzol-iveco</t>
        </is>
      </c>
    </row>
    <row r="665">
      <c r="A665" s="6" t="inlineStr">
        <is>
          <t>456330</t>
        </is>
      </c>
      <c r="B665" s="7" t="inlineStr">
        <is>
          <t>Horganyzott kiskonzol IVECO Új</t>
        </is>
      </c>
      <c r="C665" s="6" t="inlineStr">
        <is>
          <t>Platós alkatrészek és kiegészítők</t>
        </is>
      </c>
      <c r="D665" s="6" t="inlineStr">
        <is>
          <t>Alváz konzolok</t>
        </is>
      </c>
      <c r="E665" s="6" t="inlineStr">
        <is>
          <t>FTS</t>
        </is>
      </c>
      <c r="F665" s="6" t="inlineStr">
        <is>
          <t>45163300</t>
        </is>
      </c>
      <c r="G665" s="6" t="inlineStr">
        <is>
          <t>Quadris Excel</t>
        </is>
      </c>
      <c r="H665" s="6" t="n">
        <v>2</v>
      </c>
      <c r="I665" s="6" t="n">
        <v>2</v>
      </c>
      <c r="J665" s="6" t="inlineStr">
        <is>
          <t>nincs</t>
        </is>
      </c>
      <c r="K665" s="6">
        <f>IF(AND(H665&gt;0,I665&gt;0),"Rendben",IF(AND(H665=0,I665=0),"Nincs kép és adat",IF(H665=0,"Nincs kép","Nincs adat")))</f>
        <v/>
      </c>
      <c r="L665" s="6" t="inlineStr">
        <is>
          <t>Igen</t>
        </is>
      </c>
      <c r="M665" s="7" t="inlineStr">
        <is>
          <t>fts-farina.it webáruház (WooCommerce API); FTS 2024 katalógus (PDF)</t>
        </is>
      </c>
      <c r="N665" s="7" t="inlineStr">
        <is>
          <t>Megtalálva: Supporto falso telaio DAILY L.70 H.90 (kód: 45163300)</t>
        </is>
      </c>
      <c r="O665" s="11" t="inlineStr">
        <is>
          <t>https://www.fts-farina.it/prodotto/supporto-falso-telaio-daily-l-70-h-90/</t>
        </is>
      </c>
      <c r="P665" s="11" t="inlineStr">
        <is>
          <t>https://website-9ib.pages.dev/termek/456330-horganyzott-kiskonzol-iveco-uj/</t>
        </is>
      </c>
      <c r="Q665" s="12" t="inlineStr"/>
      <c r="R665" s="13" t="inlineStr"/>
      <c r="S665" s="6" t="inlineStr">
        <is>
          <t>456330-horganyzott-kiskonzol-iveco-uj</t>
        </is>
      </c>
    </row>
    <row r="666">
      <c r="A666" s="6" t="inlineStr">
        <is>
          <t>451771</t>
        </is>
      </c>
      <c r="B666" s="7" t="inlineStr">
        <is>
          <t>Horganyzott nagykonzol IVECO 45 mm</t>
        </is>
      </c>
      <c r="C666" s="6" t="inlineStr">
        <is>
          <t>Platós alkatrészek és kiegészítők</t>
        </is>
      </c>
      <c r="D666" s="6" t="inlineStr">
        <is>
          <t>Alváz konzolok</t>
        </is>
      </c>
      <c r="E666" s="6" t="inlineStr">
        <is>
          <t>FTS</t>
        </is>
      </c>
      <c r="F666" s="6" t="inlineStr">
        <is>
          <t>45177100</t>
        </is>
      </c>
      <c r="G666" s="6" t="inlineStr">
        <is>
          <t>Quadris Excel</t>
        </is>
      </c>
      <c r="H666" s="6" t="n">
        <v>2</v>
      </c>
      <c r="I666" s="6" t="n">
        <v>2</v>
      </c>
      <c r="J666" s="6" t="inlineStr">
        <is>
          <t>nincs</t>
        </is>
      </c>
      <c r="K666" s="6">
        <f>IF(AND(H666&gt;0,I666&gt;0),"Rendben",IF(AND(H666=0,I666=0),"Nincs kép és adat",IF(H666=0,"Nincs kép","Nincs adat")))</f>
        <v/>
      </c>
      <c r="L666" s="6" t="inlineStr">
        <is>
          <t>Igen</t>
        </is>
      </c>
      <c r="M666" s="7" t="inlineStr">
        <is>
          <t>fts-farina.it webáruház (WooCommerce API); FTS 2024 katalógus (PDF)</t>
        </is>
      </c>
      <c r="N666" s="7" t="inlineStr">
        <is>
          <t>Megtalálva: Supporto falso telaio (kód: 45177100)</t>
        </is>
      </c>
      <c r="O666" s="11" t="inlineStr">
        <is>
          <t>https://www.fts-farina.it/prodotto/supporto-falso-telaio/</t>
        </is>
      </c>
      <c r="P666" s="11" t="inlineStr">
        <is>
          <t>https://website-9ib.pages.dev/termek/451771-horganyzott-nagykonzol-iveco-45-mm/</t>
        </is>
      </c>
      <c r="Q666" s="12" t="inlineStr"/>
      <c r="R666" s="13" t="inlineStr"/>
      <c r="S666" s="6" t="inlineStr">
        <is>
          <t>451771-horganyzott-nagykonzol-iveco-45-mm</t>
        </is>
      </c>
    </row>
    <row r="667">
      <c r="A667" s="6" t="inlineStr">
        <is>
          <t>451721</t>
        </is>
      </c>
      <c r="B667" s="7" t="inlineStr">
        <is>
          <t>Horganyzott nagykonzol MAN 50 mm</t>
        </is>
      </c>
      <c r="C667" s="6" t="inlineStr">
        <is>
          <t>Platós alkatrészek és kiegészítők</t>
        </is>
      </c>
      <c r="D667" s="6" t="inlineStr">
        <is>
          <t>Alváz konzolok</t>
        </is>
      </c>
      <c r="E667" s="6" t="inlineStr">
        <is>
          <t>FTS</t>
        </is>
      </c>
      <c r="F667" s="6" t="inlineStr">
        <is>
          <t>45172110</t>
        </is>
      </c>
      <c r="G667" s="6" t="inlineStr">
        <is>
          <t>Quadris Excel</t>
        </is>
      </c>
      <c r="H667" s="6" t="n">
        <v>2</v>
      </c>
      <c r="I667" s="6" t="n">
        <v>2</v>
      </c>
      <c r="J667" s="6" t="inlineStr">
        <is>
          <t>nincs</t>
        </is>
      </c>
      <c r="K667" s="6">
        <f>IF(AND(H667&gt;0,I667&gt;0),"Rendben",IF(AND(H667=0,I667=0),"Nincs kép és adat",IF(H667=0,"Nincs kép","Nincs adat")))</f>
        <v/>
      </c>
      <c r="L667" s="6" t="inlineStr">
        <is>
          <t>Igen</t>
        </is>
      </c>
      <c r="M667" s="7" t="inlineStr">
        <is>
          <t>fts-farina.it webáruház (WooCommerce API); FTS 2024 katalógus (PDF)</t>
        </is>
      </c>
      <c r="N667" s="7" t="inlineStr">
        <is>
          <t>Megtalálva: Supporto falso telaio pesante (kód: 45172110)</t>
        </is>
      </c>
      <c r="O667" s="11" t="inlineStr">
        <is>
          <t>https://www.fts-farina.it/prodotto/supporto-falso-telaio-pesante/</t>
        </is>
      </c>
      <c r="P667" s="11" t="inlineStr">
        <is>
          <t>https://website-9ib.pages.dev/termek/451721-horganyzott-nagykonzol-man-50-mm/</t>
        </is>
      </c>
      <c r="Q667" s="12" t="inlineStr"/>
      <c r="R667" s="13" t="inlineStr"/>
      <c r="S667" s="6" t="inlineStr">
        <is>
          <t>451721-horganyzott-nagykonzol-man-50-mm</t>
        </is>
      </c>
    </row>
    <row r="668">
      <c r="A668" s="6" t="inlineStr">
        <is>
          <t>451030/TH</t>
        </is>
      </c>
      <c r="B668" s="7" t="inlineStr">
        <is>
          <t>Kiskonzol IVECO</t>
        </is>
      </c>
      <c r="C668" s="6" t="inlineStr">
        <is>
          <t>Platós alkatrészek és kiegészítők</t>
        </is>
      </c>
      <c r="D668" s="6" t="inlineStr">
        <is>
          <t>Alváz konzolok</t>
        </is>
      </c>
      <c r="E668" s="6" t="inlineStr">
        <is>
          <t>FTS</t>
        </is>
      </c>
      <c r="F668" s="6" t="inlineStr">
        <is>
          <t>2001030</t>
        </is>
      </c>
      <c r="G668" s="6" t="inlineStr">
        <is>
          <t>Quadris Excel</t>
        </is>
      </c>
      <c r="H668" s="6" t="n">
        <v>0</v>
      </c>
      <c r="I668" s="6" t="n">
        <v>0</v>
      </c>
      <c r="J668" s="6" t="inlineStr">
        <is>
          <t>nincs</t>
        </is>
      </c>
      <c r="K668" s="6">
        <f>IF(AND(H668&gt;0,I668&gt;0),"Rendben",IF(AND(H668=0,I668=0),"Nincs kép és adat",IF(H668=0,"Nincs kép","Nincs adat")))</f>
        <v/>
      </c>
      <c r="L668" s="6" t="inlineStr">
        <is>
          <t>Igen</t>
        </is>
      </c>
      <c r="M668" s="7" t="inlineStr">
        <is>
          <t>fts-farina.it webáruház (WooCommerce API); FTS 2024 katalógus (PDF)</t>
        </is>
      </c>
      <c r="N668" s="7" t="inlineStr">
        <is>
          <t>Nem találtuk: fts-farina.it webáruház (WooCommerce API); FTS 2024 katalógus (PDF)</t>
        </is>
      </c>
      <c r="O668" s="6" t="inlineStr"/>
      <c r="P668" s="11" t="inlineStr">
        <is>
          <t>https://website-9ib.pages.dev/termek/451030-th-kiskonzol-iveco/</t>
        </is>
      </c>
      <c r="Q668" s="12" t="inlineStr"/>
      <c r="R668" s="13" t="inlineStr"/>
      <c r="S668" s="6" t="inlineStr">
        <is>
          <t>451030-th-kiskonzol-iveco</t>
        </is>
      </c>
    </row>
    <row r="669">
      <c r="A669" s="6" t="inlineStr"/>
      <c r="B669" s="7" t="inlineStr">
        <is>
          <t>M12x140 Rugós felfüggesztés</t>
        </is>
      </c>
      <c r="C669" s="6" t="inlineStr">
        <is>
          <t>Platós alkatrészek és kiegészítők</t>
        </is>
      </c>
      <c r="D669" s="6" t="inlineStr">
        <is>
          <t>Alváz konzolok</t>
        </is>
      </c>
      <c r="E669" s="6" t="inlineStr">
        <is>
          <t>FTS</t>
        </is>
      </c>
      <c r="F669" s="6" t="inlineStr">
        <is>
          <t>25800100</t>
        </is>
      </c>
      <c r="G669" s="6" t="inlineStr">
        <is>
          <t>Quadris Excel</t>
        </is>
      </c>
      <c r="H669" s="6" t="n">
        <v>3</v>
      </c>
      <c r="I669" s="6" t="n">
        <v>1</v>
      </c>
      <c r="J669" s="6" t="inlineStr">
        <is>
          <t>nincs</t>
        </is>
      </c>
      <c r="K669" s="6">
        <f>IF(AND(H669&gt;0,I669&gt;0),"Rendben",IF(AND(H669=0,I669=0),"Nincs kép és adat",IF(H669=0,"Nincs kép","Nincs adat")))</f>
        <v/>
      </c>
      <c r="L669" s="6" t="inlineStr">
        <is>
          <t>Igen</t>
        </is>
      </c>
      <c r="M669" s="7" t="inlineStr">
        <is>
          <t>fts-farina.it webáruház (WooCommerce API); FTS 2024 katalógus (PDF)</t>
        </is>
      </c>
      <c r="N669" s="7" t="inlineStr">
        <is>
          <t>Megtalálva: 25800100 – Sistema di fissaggio elastico M12x140 (kód: 25800100)</t>
        </is>
      </c>
      <c r="O669" s="11" t="inlineStr">
        <is>
          <t>https://www.fts-farina.it/prodotto/25800100-sistema-di-fissaggio-elastico-m12x140/</t>
        </is>
      </c>
      <c r="P669" s="11" t="inlineStr">
        <is>
          <t>https://website-9ib.pages.dev/termek/m12x140-rugos-felfuggesztes/</t>
        </is>
      </c>
      <c r="Q669" s="12" t="inlineStr"/>
      <c r="R669" s="13" t="inlineStr"/>
      <c r="S669" s="6" t="inlineStr">
        <is>
          <t>m12x140-rugos-felfuggesztes</t>
        </is>
      </c>
    </row>
    <row r="670">
      <c r="A670" s="6" t="inlineStr"/>
      <c r="B670" s="7" t="inlineStr">
        <is>
          <t>M18x140 Rugós felfüggesztés</t>
        </is>
      </c>
      <c r="C670" s="6" t="inlineStr">
        <is>
          <t>Platós alkatrészek és kiegészítők</t>
        </is>
      </c>
      <c r="D670" s="6" t="inlineStr">
        <is>
          <t>Alváz konzolok</t>
        </is>
      </c>
      <c r="E670" s="6" t="inlineStr">
        <is>
          <t>FTS</t>
        </is>
      </c>
      <c r="F670" s="6" t="inlineStr">
        <is>
          <t>25850100</t>
        </is>
      </c>
      <c r="G670" s="6" t="inlineStr">
        <is>
          <t>Quadris Excel</t>
        </is>
      </c>
      <c r="H670" s="6" t="n">
        <v>2</v>
      </c>
      <c r="I670" s="6" t="n">
        <v>1</v>
      </c>
      <c r="J670" s="6" t="inlineStr">
        <is>
          <t>nincs</t>
        </is>
      </c>
      <c r="K670" s="6">
        <f>IF(AND(H670&gt;0,I670&gt;0),"Rendben",IF(AND(H670=0,I670=0),"Nincs kép és adat",IF(H670=0,"Nincs kép","Nincs adat")))</f>
        <v/>
      </c>
      <c r="L670" s="6" t="inlineStr">
        <is>
          <t>Igen</t>
        </is>
      </c>
      <c r="M670" s="7" t="inlineStr">
        <is>
          <t>fts-farina.it webáruház (WooCommerce API); FTS 2024 katalógus (PDF)</t>
        </is>
      </c>
      <c r="N670" s="7" t="inlineStr">
        <is>
          <t>Megtalálva: 25850100 – Sistema di fissaggio elastico pesante M18x140 (kód: 25850100)</t>
        </is>
      </c>
      <c r="O670" s="11" t="inlineStr">
        <is>
          <t>https://www.fts-farina.it/prodotto/25850100-sistema-di-fissaggio-elastico-pesante-m18x140/</t>
        </is>
      </c>
      <c r="P670" s="11" t="inlineStr">
        <is>
          <t>https://website-9ib.pages.dev/termek/m18x140-rugos-felfuggesztes/</t>
        </is>
      </c>
      <c r="Q670" s="12" t="inlineStr"/>
      <c r="R670" s="13" t="inlineStr"/>
      <c r="S670" s="6" t="inlineStr">
        <is>
          <t>m18x140-rugos-felfuggesztes</t>
        </is>
      </c>
    </row>
    <row r="671">
      <c r="A671" s="6" t="inlineStr">
        <is>
          <t>152711</t>
        </is>
      </c>
      <c r="B671" s="7" t="inlineStr">
        <is>
          <t>Menetes lapka 30mm</t>
        </is>
      </c>
      <c r="C671" s="6" t="inlineStr">
        <is>
          <t>Platós alkatrészek és kiegészítők</t>
        </is>
      </c>
      <c r="D671" s="6" t="inlineStr">
        <is>
          <t>TIR zsanérok</t>
        </is>
      </c>
      <c r="E671" s="6" t="inlineStr">
        <is>
          <t>FTS</t>
        </is>
      </c>
      <c r="F671" s="6" t="inlineStr">
        <is>
          <t>15270110</t>
        </is>
      </c>
      <c r="G671" s="6" t="inlineStr">
        <is>
          <t>Quadris Excel</t>
        </is>
      </c>
      <c r="H671" s="6" t="n">
        <v>1</v>
      </c>
      <c r="I671" s="6" t="n">
        <v>1</v>
      </c>
      <c r="J671" s="6" t="inlineStr">
        <is>
          <t>nincs</t>
        </is>
      </c>
      <c r="K671" s="6">
        <f>IF(AND(H671&gt;0,I671&gt;0),"Rendben",IF(AND(H671=0,I671=0),"Nincs kép és adat",IF(H671=0,"Nincs kép","Nincs adat")))</f>
        <v/>
      </c>
      <c r="L671" s="6" t="inlineStr">
        <is>
          <t>Igen</t>
        </is>
      </c>
      <c r="M671" s="7" t="inlineStr">
        <is>
          <t>fts-farina.it webáruház (WooCommerce API); FTS 2024 katalógus (PDF)</t>
        </is>
      </c>
      <c r="N671" s="7" t="inlineStr">
        <is>
          <t>Megtalálva: FTS (kód: 15270110)</t>
        </is>
      </c>
      <c r="O671" s="11" t="inlineStr">
        <is>
          <t>https://www.fts-farina.it/wp-content/uploads/2023/11/FTS_CATALOGO_2024_low_compressed_compressed.pdf#page=72</t>
        </is>
      </c>
      <c r="P671" s="11" t="inlineStr">
        <is>
          <t>https://website-9ib.pages.dev/termek/152711-menetes-lapka-30mm/</t>
        </is>
      </c>
      <c r="Q671" s="12" t="inlineStr"/>
      <c r="R671" s="13" t="inlineStr"/>
      <c r="S671" s="6" t="inlineStr">
        <is>
          <t>152711-menetes-lapka-30mm</t>
        </is>
      </c>
    </row>
    <row r="672">
      <c r="A672" s="6" t="inlineStr">
        <is>
          <t>354400</t>
        </is>
      </c>
      <c r="B672" s="7" t="inlineStr">
        <is>
          <t>Nem peremes 400 Z-zár R+L</t>
        </is>
      </c>
      <c r="C672" s="6" t="inlineStr">
        <is>
          <t>Platós alkatrészek és kiegészítők</t>
        </is>
      </c>
      <c r="D672" s="6" t="inlineStr">
        <is>
          <t>Z-Zárak</t>
        </is>
      </c>
      <c r="E672" s="6" t="inlineStr">
        <is>
          <t>FTS</t>
        </is>
      </c>
      <c r="F672" s="6" t="inlineStr">
        <is>
          <t>35140400</t>
        </is>
      </c>
      <c r="G672" s="6" t="inlineStr">
        <is>
          <t>Quadris Excel</t>
        </is>
      </c>
      <c r="H672" s="6" t="n">
        <v>1</v>
      </c>
      <c r="I672" s="6" t="n">
        <v>1</v>
      </c>
      <c r="J672" s="6" t="inlineStr">
        <is>
          <t>nincs</t>
        </is>
      </c>
      <c r="K672" s="6">
        <f>IF(AND(H672&gt;0,I672&gt;0),"Rendben",IF(AND(H672=0,I672=0),"Nincs kép és adat",IF(H672=0,"Nincs kép","Nincs adat")))</f>
        <v/>
      </c>
      <c r="L672" s="6" t="inlineStr">
        <is>
          <t>Igen</t>
        </is>
      </c>
      <c r="M672" s="7" t="inlineStr">
        <is>
          <t>fts-farina.it webáruház (WooCommerce API); FTS 2024 katalógus (PDF)</t>
        </is>
      </c>
      <c r="N672" s="7" t="inlineStr">
        <is>
          <t>Megtalálva: Piantone PLANAE in alluminio Senza Battuta maniglia Zincata (kód: 35140400)</t>
        </is>
      </c>
      <c r="O672" s="11" t="inlineStr">
        <is>
          <t>https://www.fts-farina.it/prodotto/piantone-planae-in-alluminio-senza-battuta-maniglia-zincata/</t>
        </is>
      </c>
      <c r="P672" s="11" t="inlineStr">
        <is>
          <t>https://website-9ib.pages.dev/termek/354400-nem-peremes-400-z-zar-r-l/</t>
        </is>
      </c>
      <c r="Q672" s="12" t="inlineStr"/>
      <c r="R672" s="13" t="inlineStr"/>
      <c r="S672" s="6" t="inlineStr">
        <is>
          <t>354400-nem-peremes-400-z-zar-r-l</t>
        </is>
      </c>
    </row>
    <row r="673">
      <c r="A673" s="6" t="inlineStr">
        <is>
          <t>354500</t>
        </is>
      </c>
      <c r="B673" s="7" t="inlineStr">
        <is>
          <t>Nem peremes 500 mm Z-zár R+L</t>
        </is>
      </c>
      <c r="C673" s="6" t="inlineStr">
        <is>
          <t>Platós alkatrészek és kiegészítők</t>
        </is>
      </c>
      <c r="D673" s="6" t="inlineStr">
        <is>
          <t>Z-Zárak</t>
        </is>
      </c>
      <c r="E673" s="6" t="inlineStr">
        <is>
          <t>FTS</t>
        </is>
      </c>
      <c r="F673" s="6" t="inlineStr">
        <is>
          <t>35140500</t>
        </is>
      </c>
      <c r="G673" s="6" t="inlineStr">
        <is>
          <t>Quadris Excel</t>
        </is>
      </c>
      <c r="H673" s="6" t="n">
        <v>1</v>
      </c>
      <c r="I673" s="6" t="n">
        <v>1</v>
      </c>
      <c r="J673" s="6" t="inlineStr">
        <is>
          <t>nincs</t>
        </is>
      </c>
      <c r="K673" s="6">
        <f>IF(AND(H673&gt;0,I673&gt;0),"Rendben",IF(AND(H673=0,I673=0),"Nincs kép és adat",IF(H673=0,"Nincs kép","Nincs adat")))</f>
        <v/>
      </c>
      <c r="L673" s="6" t="inlineStr">
        <is>
          <t>Igen</t>
        </is>
      </c>
      <c r="M673" s="7" t="inlineStr">
        <is>
          <t>fts-farina.it webáruház (WooCommerce API); FTS 2024 katalógus (PDF)</t>
        </is>
      </c>
      <c r="N673" s="7" t="inlineStr">
        <is>
          <t>Megtalálva: Piantone PLANAE in alluminio Senza Battuta maniglia Zincata (kód: 35140500)</t>
        </is>
      </c>
      <c r="O673" s="11" t="inlineStr">
        <is>
          <t>https://www.fts-farina.it/prodotto/piantone-planae-in-alluminio-senza-battuta-maniglia-zincata/</t>
        </is>
      </c>
      <c r="P673" s="11" t="inlineStr">
        <is>
          <t>https://website-9ib.pages.dev/termek/354500-nem-peremes-500-mm-z-zar-r-l/</t>
        </is>
      </c>
      <c r="Q673" s="12" t="inlineStr"/>
      <c r="R673" s="13" t="inlineStr"/>
      <c r="S673" s="6" t="inlineStr">
        <is>
          <t>354500-nem-peremes-500-mm-z-zar-r-l</t>
        </is>
      </c>
    </row>
    <row r="674">
      <c r="A674" s="6" t="inlineStr">
        <is>
          <t>354600</t>
        </is>
      </c>
      <c r="B674" s="7" t="inlineStr">
        <is>
          <t>Nem peremes 600 mm Z-zár R+L</t>
        </is>
      </c>
      <c r="C674" s="6" t="inlineStr">
        <is>
          <t>Platós alkatrészek és kiegészítők</t>
        </is>
      </c>
      <c r="D674" s="6" t="inlineStr">
        <is>
          <t>Z-Zárak</t>
        </is>
      </c>
      <c r="E674" s="6" t="inlineStr">
        <is>
          <t>FTS</t>
        </is>
      </c>
      <c r="F674" s="6" t="inlineStr">
        <is>
          <t>35140600</t>
        </is>
      </c>
      <c r="G674" s="6" t="inlineStr">
        <is>
          <t>Quadris Excel</t>
        </is>
      </c>
      <c r="H674" s="6" t="n">
        <v>1</v>
      </c>
      <c r="I674" s="6" t="n">
        <v>1</v>
      </c>
      <c r="J674" s="6" t="inlineStr">
        <is>
          <t>nincs</t>
        </is>
      </c>
      <c r="K674" s="6">
        <f>IF(AND(H674&gt;0,I674&gt;0),"Rendben",IF(AND(H674=0,I674=0),"Nincs kép és adat",IF(H674=0,"Nincs kép","Nincs adat")))</f>
        <v/>
      </c>
      <c r="L674" s="6" t="inlineStr">
        <is>
          <t>Igen</t>
        </is>
      </c>
      <c r="M674" s="7" t="inlineStr">
        <is>
          <t>fts-farina.it webáruház (WooCommerce API); FTS 2024 katalógus (PDF)</t>
        </is>
      </c>
      <c r="N674" s="7" t="inlineStr">
        <is>
          <t>Megtalálva: Piantone PLANAE in alluminio Senza Battuta maniglia Zincata (kód: 35140600)</t>
        </is>
      </c>
      <c r="O674" s="11" t="inlineStr">
        <is>
          <t>https://www.fts-farina.it/prodotto/piantone-planae-in-alluminio-senza-battuta-maniglia-zincata/</t>
        </is>
      </c>
      <c r="P674" s="11" t="inlineStr">
        <is>
          <t>https://website-9ib.pages.dev/termek/354600-nem-peremes-600-mm-z-zar-r-l/</t>
        </is>
      </c>
      <c r="Q674" s="12" t="inlineStr"/>
      <c r="R674" s="13" t="inlineStr"/>
      <c r="S674" s="6" t="inlineStr">
        <is>
          <t>354600-nem-peremes-600-mm-z-zar-r-l</t>
        </is>
      </c>
    </row>
    <row r="675">
      <c r="A675" s="6" t="inlineStr">
        <is>
          <t>354800</t>
        </is>
      </c>
      <c r="B675" s="7" t="inlineStr">
        <is>
          <t>Nem peremes 800 mm Z-zár R+L</t>
        </is>
      </c>
      <c r="C675" s="6" t="inlineStr">
        <is>
          <t>Platós alkatrészek és kiegészítők</t>
        </is>
      </c>
      <c r="D675" s="6" t="inlineStr">
        <is>
          <t>Z-Zárak</t>
        </is>
      </c>
      <c r="E675" s="6" t="inlineStr">
        <is>
          <t>FTS</t>
        </is>
      </c>
      <c r="F675" s="6" t="inlineStr">
        <is>
          <t>35140800</t>
        </is>
      </c>
      <c r="G675" s="6" t="inlineStr">
        <is>
          <t>Quadris Excel</t>
        </is>
      </c>
      <c r="H675" s="6" t="n">
        <v>1</v>
      </c>
      <c r="I675" s="6" t="n">
        <v>1</v>
      </c>
      <c r="J675" s="6" t="inlineStr">
        <is>
          <t>nincs</t>
        </is>
      </c>
      <c r="K675" s="6">
        <f>IF(AND(H675&gt;0,I675&gt;0),"Rendben",IF(AND(H675=0,I675=0),"Nincs kép és adat",IF(H675=0,"Nincs kép","Nincs adat")))</f>
        <v/>
      </c>
      <c r="L675" s="6" t="inlineStr">
        <is>
          <t>Igen</t>
        </is>
      </c>
      <c r="M675" s="7" t="inlineStr">
        <is>
          <t>fts-farina.it webáruház (WooCommerce API); FTS 2024 katalógus (PDF)</t>
        </is>
      </c>
      <c r="N675" s="7" t="inlineStr">
        <is>
          <t>Megtalálva: Piantone PLANAE in alluminio Senza Battuta maniglia Zincata (kód: 35140800)</t>
        </is>
      </c>
      <c r="O675" s="11" t="inlineStr">
        <is>
          <t>https://www.fts-farina.it/prodotto/piantone-planae-in-alluminio-senza-battuta-maniglia-zincata/</t>
        </is>
      </c>
      <c r="P675" s="11" t="inlineStr">
        <is>
          <t>https://website-9ib.pages.dev/termek/354800-nem-peremes-800-mm-z-zar-r-l/</t>
        </is>
      </c>
      <c r="Q675" s="12" t="inlineStr"/>
      <c r="R675" s="13" t="inlineStr"/>
      <c r="S675" s="6" t="inlineStr">
        <is>
          <t>354800-nem-peremes-800-mm-z-zar-r-l</t>
        </is>
      </c>
    </row>
    <row r="676">
      <c r="A676" s="6" t="inlineStr">
        <is>
          <t>453881</t>
        </is>
      </c>
      <c r="B676" s="7" t="inlineStr">
        <is>
          <t>Nyers alváz konzol /5 mm</t>
        </is>
      </c>
      <c r="C676" s="6" t="inlineStr">
        <is>
          <t>Platós alkatrészek és kiegészítők</t>
        </is>
      </c>
      <c r="D676" s="6" t="inlineStr">
        <is>
          <t>Alváz konzolok</t>
        </is>
      </c>
      <c r="E676" s="6" t="inlineStr">
        <is>
          <t>FTS</t>
        </is>
      </c>
      <c r="F676" s="6" t="inlineStr">
        <is>
          <t>45388100</t>
        </is>
      </c>
      <c r="G676" s="6" t="inlineStr">
        <is>
          <t>Quadris Excel</t>
        </is>
      </c>
      <c r="H676" s="6" t="n">
        <v>2</v>
      </c>
      <c r="I676" s="6" t="n">
        <v>1</v>
      </c>
      <c r="J676" s="6" t="inlineStr">
        <is>
          <t>nincs</t>
        </is>
      </c>
      <c r="K676" s="6">
        <f>IF(AND(H676&gt;0,I676&gt;0),"Rendben",IF(AND(H676=0,I676=0),"Nincs kép és adat",IF(H676=0,"Nincs kép","Nincs adat")))</f>
        <v/>
      </c>
      <c r="L676" s="6" t="inlineStr">
        <is>
          <t>Igen</t>
        </is>
      </c>
      <c r="M676" s="7" t="inlineStr">
        <is>
          <t>fts-farina.it webáruház (WooCommerce API); FTS 2024 katalógus (PDF)</t>
        </is>
      </c>
      <c r="N676" s="7" t="inlineStr">
        <is>
          <t>Megtalálva: 45388100 – Supporto falso di telaio grezzo (kód: 45388100)</t>
        </is>
      </c>
      <c r="O676" s="11" t="inlineStr">
        <is>
          <t>https://www.fts-farina.it/prodotto/45388100-supporto-falso-di-telaio-grezzo/</t>
        </is>
      </c>
      <c r="P676" s="11" t="inlineStr">
        <is>
          <t>https://website-9ib.pages.dev/termek/453881-nyers-alvaz-konzol-5-mm/</t>
        </is>
      </c>
      <c r="Q676" s="12" t="inlineStr"/>
      <c r="R676" s="13" t="inlineStr"/>
      <c r="S676" s="6" t="inlineStr">
        <is>
          <t>453881-nyers-alvaz-konzol-5-mm</t>
        </is>
      </c>
    </row>
    <row r="677">
      <c r="A677" s="6" t="inlineStr">
        <is>
          <t>453991</t>
        </is>
      </c>
      <c r="B677" s="7" t="inlineStr">
        <is>
          <t>Nyers alváz konzol /6 mm</t>
        </is>
      </c>
      <c r="C677" s="6" t="inlineStr">
        <is>
          <t>Platós alkatrészek és kiegészítők</t>
        </is>
      </c>
      <c r="D677" s="6" t="inlineStr">
        <is>
          <t>Alváz konzolok</t>
        </is>
      </c>
      <c r="E677" s="6" t="inlineStr">
        <is>
          <t>FTS</t>
        </is>
      </c>
      <c r="F677" s="6" t="inlineStr">
        <is>
          <t>45399100</t>
        </is>
      </c>
      <c r="G677" s="6" t="inlineStr">
        <is>
          <t>Quadris Excel</t>
        </is>
      </c>
      <c r="H677" s="6" t="n">
        <v>2</v>
      </c>
      <c r="I677" s="6" t="n">
        <v>1</v>
      </c>
      <c r="J677" s="6" t="inlineStr">
        <is>
          <t>nincs</t>
        </is>
      </c>
      <c r="K677" s="6">
        <f>IF(AND(H677&gt;0,I677&gt;0),"Rendben",IF(AND(H677=0,I677=0),"Nincs kép és adat",IF(H677=0,"Nincs kép","Nincs adat")))</f>
        <v/>
      </c>
      <c r="L677" s="6" t="inlineStr">
        <is>
          <t>Igen</t>
        </is>
      </c>
      <c r="M677" s="7" t="inlineStr">
        <is>
          <t>fts-farina.it webáruház (WooCommerce API); FTS 2024 katalógus (PDF)</t>
        </is>
      </c>
      <c r="N677" s="7" t="inlineStr">
        <is>
          <t>Megtalálva: 45399100 – Supporto falso di telaio pesante grezzo (kód: 45399100)</t>
        </is>
      </c>
      <c r="O677" s="11" t="inlineStr">
        <is>
          <t>https://www.fts-farina.it/prodotto/45399100-supporto-falso-di-telaio-pesante-grezzo/</t>
        </is>
      </c>
      <c r="P677" s="11" t="inlineStr">
        <is>
          <t>https://website-9ib.pages.dev/termek/453991-nyers-alvaz-konzol-6-mm/</t>
        </is>
      </c>
      <c r="Q677" s="12" t="inlineStr"/>
      <c r="R677" s="13" t="inlineStr"/>
      <c r="S677" s="6" t="inlineStr">
        <is>
          <t>453991-nyers-alvaz-konzol-6-mm</t>
        </is>
      </c>
    </row>
    <row r="678">
      <c r="A678" s="6" t="inlineStr">
        <is>
          <t>456610/R</t>
        </is>
      </c>
      <c r="B678" s="7" t="inlineStr">
        <is>
          <t>Nyers kiskonzol IVECO</t>
        </is>
      </c>
      <c r="C678" s="6" t="inlineStr">
        <is>
          <t>Platós alkatrészek és kiegészítők</t>
        </is>
      </c>
      <c r="D678" s="6" t="inlineStr">
        <is>
          <t>Alváz konzolok</t>
        </is>
      </c>
      <c r="E678" s="6" t="inlineStr">
        <is>
          <t>FTS</t>
        </is>
      </c>
      <c r="F678" s="6" t="inlineStr">
        <is>
          <t>45166100</t>
        </is>
      </c>
      <c r="G678" s="6" t="inlineStr">
        <is>
          <t>Quadris Excel</t>
        </is>
      </c>
      <c r="H678" s="6" t="n">
        <v>2</v>
      </c>
      <c r="I678" s="6" t="n">
        <v>2</v>
      </c>
      <c r="J678" s="6" t="inlineStr">
        <is>
          <t>nincs</t>
        </is>
      </c>
      <c r="K678" s="6">
        <f>IF(AND(H678&gt;0,I678&gt;0),"Rendben",IF(AND(H678=0,I678=0),"Nincs kép és adat",IF(H678=0,"Nincs kép","Nincs adat")))</f>
        <v/>
      </c>
      <c r="L678" s="6" t="inlineStr">
        <is>
          <t>Igen</t>
        </is>
      </c>
      <c r="M678" s="7" t="inlineStr">
        <is>
          <t>fts-farina.it webáruház (WooCommerce API); FTS 2024 katalógus (PDF)</t>
        </is>
      </c>
      <c r="N678" s="7" t="inlineStr">
        <is>
          <t>Megtalálva: Supporto falso telaio leggero DAILY L.50 H.90 (kód: 45166100)</t>
        </is>
      </c>
      <c r="O678" s="11" t="inlineStr">
        <is>
          <t>https://www.fts-farina.it/prodotto/supporto-falso-telaio-leggero-daily-l-50-h-90/</t>
        </is>
      </c>
      <c r="P678" s="11" t="inlineStr">
        <is>
          <t>https://website-9ib.pages.dev/termek/456610-r-nyers-kiskonzol-iveco/</t>
        </is>
      </c>
      <c r="Q678" s="12" t="inlineStr"/>
      <c r="R678" s="13" t="inlineStr"/>
      <c r="S678" s="6" t="inlineStr">
        <is>
          <t>456610-r-nyers-kiskonzol-iveco</t>
        </is>
      </c>
    </row>
    <row r="679">
      <c r="A679" s="6" t="inlineStr">
        <is>
          <t>357400</t>
        </is>
      </c>
      <c r="B679" s="7" t="inlineStr">
        <is>
          <t>Peremes Z-zár 400 mm R+L</t>
        </is>
      </c>
      <c r="C679" s="6" t="inlineStr">
        <is>
          <t>Platós alkatrészek és kiegészítők</t>
        </is>
      </c>
      <c r="D679" s="6" t="inlineStr">
        <is>
          <t>Z-Zárak</t>
        </is>
      </c>
      <c r="E679" s="6" t="inlineStr">
        <is>
          <t>FTS</t>
        </is>
      </c>
      <c r="F679" s="6" t="inlineStr">
        <is>
          <t>35160400</t>
        </is>
      </c>
      <c r="G679" s="6" t="inlineStr">
        <is>
          <t>Quadris Excel</t>
        </is>
      </c>
      <c r="H679" s="6" t="n">
        <v>2</v>
      </c>
      <c r="I679" s="6" t="n">
        <v>1</v>
      </c>
      <c r="J679" s="6" t="inlineStr">
        <is>
          <t>nincs</t>
        </is>
      </c>
      <c r="K679" s="6">
        <f>IF(AND(H679&gt;0,I679&gt;0),"Rendben",IF(AND(H679=0,I679=0),"Nincs kép és adat",IF(H679=0,"Nincs kép","Nincs adat")))</f>
        <v/>
      </c>
      <c r="L679" s="6" t="inlineStr">
        <is>
          <t>Igen</t>
        </is>
      </c>
      <c r="M679" s="7" t="inlineStr">
        <is>
          <t>fts-farina.it webáruház (WooCommerce API); FTS 2024 katalógus (PDF)</t>
        </is>
      </c>
      <c r="N679" s="7" t="inlineStr">
        <is>
          <t>Megtalálva: Piantone PLANAE in alluminio Con Battuta maniglia Zincata con Sicura (kód: 35160400)</t>
        </is>
      </c>
      <c r="O679" s="11" t="inlineStr">
        <is>
          <t>https://www.fts-farina.it/prodotto/piantone-planae-in-alluminio-con-battuta-maniglia-zincata-con-sicura/</t>
        </is>
      </c>
      <c r="P679" s="11" t="inlineStr">
        <is>
          <t>https://website-9ib.pages.dev/termek/357400-peremes-z-zar-400-mm-r-l/</t>
        </is>
      </c>
      <c r="Q679" s="12" t="inlineStr"/>
      <c r="R679" s="13" t="inlineStr"/>
      <c r="S679" s="6" t="inlineStr">
        <is>
          <t>357400-peremes-z-zar-400-mm-r-l</t>
        </is>
      </c>
    </row>
    <row r="680">
      <c r="A680" s="6" t="inlineStr">
        <is>
          <t>357500</t>
        </is>
      </c>
      <c r="B680" s="7" t="inlineStr">
        <is>
          <t>Peremes Z-zár 500 mm R+L</t>
        </is>
      </c>
      <c r="C680" s="6" t="inlineStr">
        <is>
          <t>Platós alkatrészek és kiegészítők</t>
        </is>
      </c>
      <c r="D680" s="6" t="inlineStr">
        <is>
          <t>Z-Zárak</t>
        </is>
      </c>
      <c r="E680" s="6" t="inlineStr">
        <is>
          <t>FTS</t>
        </is>
      </c>
      <c r="F680" s="6" t="inlineStr">
        <is>
          <t>35170500</t>
        </is>
      </c>
      <c r="G680" s="6" t="inlineStr">
        <is>
          <t>Quadris Excel</t>
        </is>
      </c>
      <c r="H680" s="6" t="n">
        <v>1</v>
      </c>
      <c r="I680" s="6" t="n">
        <v>1</v>
      </c>
      <c r="J680" s="6" t="inlineStr">
        <is>
          <t>nincs</t>
        </is>
      </c>
      <c r="K680" s="6">
        <f>IF(AND(H680&gt;0,I680&gt;0),"Rendben",IF(AND(H680=0,I680=0),"Nincs kép és adat",IF(H680=0,"Nincs kép","Nincs adat")))</f>
        <v/>
      </c>
      <c r="L680" s="6" t="inlineStr">
        <is>
          <t>Igen</t>
        </is>
      </c>
      <c r="M680" s="7" t="inlineStr">
        <is>
          <t>fts-farina.it webáruház (WooCommerce API); FTS 2024 katalógus (PDF)</t>
        </is>
      </c>
      <c r="N680" s="7" t="inlineStr">
        <is>
          <t>Megtalálva: Piantone PLANAE in alluminio Con Battuta maniglia Zincata (kód: 35170500)</t>
        </is>
      </c>
      <c r="O680" s="11" t="inlineStr">
        <is>
          <t>https://www.fts-farina.it/prodotto/piantone-planae-in-alluminio-con-battuta-maniglia-zincata/</t>
        </is>
      </c>
      <c r="P680" s="11" t="inlineStr">
        <is>
          <t>https://website-9ib.pages.dev/termek/357500-peremes-z-zar-500-mm-r-l/</t>
        </is>
      </c>
      <c r="Q680" s="12" t="inlineStr"/>
      <c r="R680" s="13" t="inlineStr"/>
      <c r="S680" s="6" t="inlineStr">
        <is>
          <t>357500-peremes-z-zar-500-mm-r-l</t>
        </is>
      </c>
    </row>
    <row r="681">
      <c r="A681" s="6" t="inlineStr">
        <is>
          <t>357401</t>
        </is>
      </c>
      <c r="B681" s="7" t="inlineStr">
        <is>
          <t>Peremes Z-zár 600 mm R+L</t>
        </is>
      </c>
      <c r="C681" s="6" t="inlineStr">
        <is>
          <t>Platós alkatrészek és kiegészítők</t>
        </is>
      </c>
      <c r="D681" s="6" t="inlineStr">
        <is>
          <t>Z-Zárak</t>
        </is>
      </c>
      <c r="E681" s="6" t="inlineStr">
        <is>
          <t>FTS</t>
        </is>
      </c>
      <c r="F681" s="6" t="inlineStr">
        <is>
          <t>35170600</t>
        </is>
      </c>
      <c r="G681" s="6" t="inlineStr">
        <is>
          <t>Quadris Excel</t>
        </is>
      </c>
      <c r="H681" s="6" t="n">
        <v>1</v>
      </c>
      <c r="I681" s="6" t="n">
        <v>1</v>
      </c>
      <c r="J681" s="6" t="inlineStr">
        <is>
          <t>nincs</t>
        </is>
      </c>
      <c r="K681" s="6">
        <f>IF(AND(H681&gt;0,I681&gt;0),"Rendben",IF(AND(H681=0,I681=0),"Nincs kép és adat",IF(H681=0,"Nincs kép","Nincs adat")))</f>
        <v/>
      </c>
      <c r="L681" s="6" t="inlineStr">
        <is>
          <t>Igen</t>
        </is>
      </c>
      <c r="M681" s="7" t="inlineStr">
        <is>
          <t>fts-farina.it webáruház (WooCommerce API); FTS 2024 katalógus (PDF)</t>
        </is>
      </c>
      <c r="N681" s="7" t="inlineStr">
        <is>
          <t>Megtalálva: Piantone PLANAE in alluminio Con Battuta maniglia Zincata (kód: 35170600)</t>
        </is>
      </c>
      <c r="O681" s="11" t="inlineStr">
        <is>
          <t>https://www.fts-farina.it/prodotto/piantone-planae-in-alluminio-con-battuta-maniglia-zincata/</t>
        </is>
      </c>
      <c r="P681" s="11" t="inlineStr">
        <is>
          <t>https://website-9ib.pages.dev/termek/357401-peremes-z-zar-600-mm-r-l/</t>
        </is>
      </c>
      <c r="Q681" s="12" t="inlineStr"/>
      <c r="R681" s="13" t="inlineStr"/>
      <c r="S681" s="6" t="inlineStr">
        <is>
          <t>357401-peremes-z-zar-600-mm-r-l</t>
        </is>
      </c>
    </row>
    <row r="682">
      <c r="A682" s="6" t="inlineStr">
        <is>
          <t>501029</t>
        </is>
      </c>
      <c r="B682" s="7" t="inlineStr">
        <is>
          <t>TH Pótkeréktartó 1235x450 mm TS</t>
        </is>
      </c>
      <c r="C682" s="6" t="inlineStr">
        <is>
          <t>Platós alkatrészek és kiegészítők</t>
        </is>
      </c>
      <c r="D682" s="6" t="inlineStr">
        <is>
          <t>Pótkerék tartók</t>
        </is>
      </c>
      <c r="E682" s="6" t="inlineStr">
        <is>
          <t>FTS</t>
        </is>
      </c>
      <c r="F682" s="6" t="inlineStr">
        <is>
          <t>50102900</t>
        </is>
      </c>
      <c r="G682" s="6" t="inlineStr">
        <is>
          <t>Quadris Excel</t>
        </is>
      </c>
      <c r="H682" s="6" t="n">
        <v>2</v>
      </c>
      <c r="I682" s="6" t="n">
        <v>2</v>
      </c>
      <c r="J682" s="6" t="inlineStr">
        <is>
          <t>nincs</t>
        </is>
      </c>
      <c r="K682" s="6">
        <f>IF(AND(H682&gt;0,I682&gt;0),"Rendben",IF(AND(H682=0,I682=0),"Nincs kép és adat",IF(H682=0,"Nincs kép","Nincs adat")))</f>
        <v/>
      </c>
      <c r="L682" s="6" t="inlineStr">
        <is>
          <t>Igen</t>
        </is>
      </c>
      <c r="M682" s="7" t="inlineStr">
        <is>
          <t>fts-farina.it webáruház (WooCommerce API); FTS 2024 katalógus (PDF)</t>
        </is>
      </c>
      <c r="N682" s="7" t="inlineStr">
        <is>
          <t>Megtalálva: 50102900 – Porta ruota zincato a caldo 385/65 R22,5 con rulli (kód: 50102900)</t>
        </is>
      </c>
      <c r="O682" s="11" t="inlineStr">
        <is>
          <t>https://www.fts-farina.it/prodotto/50102900-porta-ruota-zincato-a-caldo-385-65-r225-con-rulli/</t>
        </is>
      </c>
      <c r="P682" s="11" t="inlineStr">
        <is>
          <t>https://website-9ib.pages.dev/termek/501029-th-potkerektarto-1235x450-mm-ts/</t>
        </is>
      </c>
      <c r="Q682" s="12" t="inlineStr"/>
      <c r="R682" s="13" t="inlineStr"/>
      <c r="S682" s="6" t="inlineStr">
        <is>
          <t>501029-th-potkerektarto-1235x450-mm-ts</t>
        </is>
      </c>
    </row>
    <row r="683">
      <c r="A683" s="6" t="inlineStr">
        <is>
          <t>152815/1</t>
        </is>
      </c>
      <c r="B683" s="7" t="inlineStr">
        <is>
          <t>TIR-zsanér anya</t>
        </is>
      </c>
      <c r="C683" s="6" t="inlineStr">
        <is>
          <t>Platós alkatrészek és kiegészítők</t>
        </is>
      </c>
      <c r="D683" s="6" t="inlineStr">
        <is>
          <t>TIR zsanérok</t>
        </is>
      </c>
      <c r="E683" s="6" t="inlineStr">
        <is>
          <t>FTS</t>
        </is>
      </c>
      <c r="F683" s="6" t="inlineStr">
        <is>
          <t>15281510</t>
        </is>
      </c>
      <c r="G683" s="6" t="inlineStr">
        <is>
          <t>Quadris Excel</t>
        </is>
      </c>
      <c r="H683" s="6" t="n">
        <v>1</v>
      </c>
      <c r="I683" s="6" t="n">
        <v>2</v>
      </c>
      <c r="J683" s="6" t="inlineStr">
        <is>
          <t>nincs</t>
        </is>
      </c>
      <c r="K683" s="6">
        <f>IF(AND(H683&gt;0,I683&gt;0),"Rendben",IF(AND(H683=0,I683=0),"Nincs kép és adat",IF(H683=0,"Nincs kép","Nincs adat")))</f>
        <v/>
      </c>
      <c r="L683" s="6" t="inlineStr">
        <is>
          <t>Igen</t>
        </is>
      </c>
      <c r="M683" s="7" t="inlineStr">
        <is>
          <t>fts-farina.it webáruház (WooCommerce API); FTS 2024 katalógus (PDF)</t>
        </is>
      </c>
      <c r="N683" s="7" t="inlineStr">
        <is>
          <t>Megtalálva: Cerniera Tir leggera BM (kód: 15281510)</t>
        </is>
      </c>
      <c r="O683" s="11" t="inlineStr">
        <is>
          <t>https://www.fts-farina.it/prodotto/cerniera-tir-leggera-bm/</t>
        </is>
      </c>
      <c r="P683" s="11" t="inlineStr">
        <is>
          <t>https://website-9ib.pages.dev/termek/152815-1-tir-zsaner-anya/</t>
        </is>
      </c>
      <c r="Q683" s="12" t="inlineStr"/>
      <c r="R683" s="13" t="inlineStr"/>
      <c r="S683" s="6" t="inlineStr">
        <is>
          <t>152815-1-tir-zsaner-anya</t>
        </is>
      </c>
    </row>
    <row r="684">
      <c r="A684" s="6" t="inlineStr">
        <is>
          <t>152815/2</t>
        </is>
      </c>
      <c r="B684" s="7" t="inlineStr">
        <is>
          <t>TIR-zsanér apa</t>
        </is>
      </c>
      <c r="C684" s="6" t="inlineStr">
        <is>
          <t>Platós alkatrészek és kiegészítők</t>
        </is>
      </c>
      <c r="D684" s="6" t="inlineStr">
        <is>
          <t>TIR zsanérok</t>
        </is>
      </c>
      <c r="E684" s="6" t="inlineStr">
        <is>
          <t>FTS</t>
        </is>
      </c>
      <c r="F684" s="6" t="inlineStr">
        <is>
          <t>15280510</t>
        </is>
      </c>
      <c r="G684" s="6" t="inlineStr">
        <is>
          <t>Quadris Excel</t>
        </is>
      </c>
      <c r="H684" s="6" t="n">
        <v>1</v>
      </c>
      <c r="I684" s="6" t="n">
        <v>2</v>
      </c>
      <c r="J684" s="6" t="inlineStr">
        <is>
          <t>nincs</t>
        </is>
      </c>
      <c r="K684" s="6">
        <f>IF(AND(H684&gt;0,I684&gt;0),"Rendben",IF(AND(H684=0,I684=0),"Nincs kép és adat",IF(H684=0,"Nincs kép","Nincs adat")))</f>
        <v/>
      </c>
      <c r="L684" s="6" t="inlineStr">
        <is>
          <t>Igen</t>
        </is>
      </c>
      <c r="M684" s="7" t="inlineStr">
        <is>
          <t>fts-farina.it webáruház (WooCommerce API); FTS 2024 katalógus (PDF)</t>
        </is>
      </c>
      <c r="N684" s="7" t="inlineStr">
        <is>
          <t>Megtalálva: Perno Tir leggero BM (kód: 15280510)</t>
        </is>
      </c>
      <c r="O684" s="11" t="inlineStr">
        <is>
          <t>https://www.fts-farina.it/prodotto/perno-tir-leggero-bm/</t>
        </is>
      </c>
      <c r="P684" s="11" t="inlineStr">
        <is>
          <t>https://website-9ib.pages.dev/termek/152815-2-tir-zsaner-apa/</t>
        </is>
      </c>
      <c r="Q684" s="12" t="inlineStr"/>
      <c r="R684" s="13" t="inlineStr"/>
      <c r="S684" s="6" t="inlineStr">
        <is>
          <t>152815-2-tir-zsaner-apa</t>
        </is>
      </c>
    </row>
    <row r="685">
      <c r="A685" s="6" t="inlineStr">
        <is>
          <t>152760</t>
        </is>
      </c>
      <c r="B685" s="7" t="inlineStr">
        <is>
          <t>TIR-zsanér apa rész alu-hoz</t>
        </is>
      </c>
      <c r="C685" s="6" t="inlineStr">
        <is>
          <t>Platós alkatrészek és kiegészítők</t>
        </is>
      </c>
      <c r="D685" s="6" t="inlineStr">
        <is>
          <t>TIR zsanérok</t>
        </is>
      </c>
      <c r="E685" s="6" t="inlineStr">
        <is>
          <t>FTS</t>
        </is>
      </c>
      <c r="F685" s="6" t="inlineStr">
        <is>
          <t>15276110</t>
        </is>
      </c>
      <c r="G685" s="6" t="inlineStr">
        <is>
          <t>Quadris Excel</t>
        </is>
      </c>
      <c r="H685" s="6" t="n">
        <v>3</v>
      </c>
      <c r="I685" s="6" t="n">
        <v>1</v>
      </c>
      <c r="J685" s="6" t="inlineStr">
        <is>
          <t>nincs</t>
        </is>
      </c>
      <c r="K685" s="6">
        <f>IF(AND(H685&gt;0,I685&gt;0),"Rendben",IF(AND(H685=0,I685=0),"Nincs kép és adat",IF(H685=0,"Nincs kép","Nincs adat")))</f>
        <v/>
      </c>
      <c r="L685" s="6" t="inlineStr">
        <is>
          <t>Igen</t>
        </is>
      </c>
      <c r="M685" s="7" t="inlineStr">
        <is>
          <t>fts-farina.it webáruház (WooCommerce API); FTS 2024 katalógus (PDF)</t>
        </is>
      </c>
      <c r="N685" s="7" t="inlineStr">
        <is>
          <t>Megtalálva: 15276110 – Perno in Lamiera Stampata Zincato Ø12 (kód: 15276110)</t>
        </is>
      </c>
      <c r="O685" s="11" t="inlineStr">
        <is>
          <t>https://www.fts-farina.it/prodotto/15276110-perno-in-lamiera-stampata-zincato-o12/</t>
        </is>
      </c>
      <c r="P685" s="11" t="inlineStr">
        <is>
          <t>https://website-9ib.pages.dev/termek/152760-tir-zsaner-apa-resz-alu-hoz/</t>
        </is>
      </c>
      <c r="Q685" s="12" t="inlineStr"/>
      <c r="R685" s="13" t="inlineStr"/>
      <c r="S685" s="6" t="inlineStr">
        <is>
          <t>152760-tir-zsaner-apa-resz-alu-hoz</t>
        </is>
      </c>
    </row>
    <row r="686">
      <c r="A686" s="6" t="inlineStr">
        <is>
          <t>152815</t>
        </is>
      </c>
      <c r="B686" s="7" t="inlineStr">
        <is>
          <t>TIR-zsanér garnitúra DC</t>
        </is>
      </c>
      <c r="C686" s="6" t="inlineStr">
        <is>
          <t>Platós alkatrészek és kiegészítők</t>
        </is>
      </c>
      <c r="D686" s="6" t="inlineStr">
        <is>
          <t>TIR zsanérok</t>
        </is>
      </c>
      <c r="E686" s="6" t="inlineStr">
        <is>
          <t>FTS</t>
        </is>
      </c>
      <c r="F686" s="6" t="inlineStr">
        <is>
          <t>152815</t>
        </is>
      </c>
      <c r="G686" s="6" t="inlineStr">
        <is>
          <t>Quadris Excel</t>
        </is>
      </c>
      <c r="H686" s="6" t="n">
        <v>0</v>
      </c>
      <c r="I686" s="6" t="n">
        <v>0</v>
      </c>
      <c r="J686" s="6" t="inlineStr">
        <is>
          <t>nincs</t>
        </is>
      </c>
      <c r="K686" s="6">
        <f>IF(AND(H686&gt;0,I686&gt;0),"Rendben",IF(AND(H686=0,I686=0),"Nincs kép és adat",IF(H686=0,"Nincs kép","Nincs adat")))</f>
        <v/>
      </c>
      <c r="L686" s="6" t="inlineStr">
        <is>
          <t>Igen</t>
        </is>
      </c>
      <c r="M686" s="7" t="inlineStr">
        <is>
          <t>fts-farina.it webáruház (WooCommerce API); FTS 2024 katalógus (PDF)</t>
        </is>
      </c>
      <c r="N686" s="7" t="inlineStr">
        <is>
          <t>Nem találtuk: fts-farina.it webáruház (WooCommerce API); FTS 2024 katalógus (PDF)</t>
        </is>
      </c>
      <c r="O686" s="6" t="inlineStr"/>
      <c r="P686" s="11" t="inlineStr">
        <is>
          <t>https://website-9ib.pages.dev/termek/152815-tir-zsaner-garnitura-dc/</t>
        </is>
      </c>
      <c r="Q686" s="12" t="inlineStr"/>
      <c r="R686" s="13" t="inlineStr"/>
      <c r="S686" s="6" t="inlineStr">
        <is>
          <t>152815-tir-zsaner-garnitura-dc</t>
        </is>
      </c>
    </row>
    <row r="687">
      <c r="A687" s="6" t="inlineStr">
        <is>
          <t>152901</t>
        </is>
      </c>
      <c r="B687" s="7" t="inlineStr">
        <is>
          <t>TIR-zsanér garnitúra NAGY horg.</t>
        </is>
      </c>
      <c r="C687" s="6" t="inlineStr">
        <is>
          <t>Platós alkatrészek és kiegészítők</t>
        </is>
      </c>
      <c r="D687" s="6" t="inlineStr">
        <is>
          <t>TIR zsanérok</t>
        </is>
      </c>
      <c r="E687" s="6" t="inlineStr">
        <is>
          <t>FTS</t>
        </is>
      </c>
      <c r="F687" s="6" t="inlineStr">
        <is>
          <t>152901</t>
        </is>
      </c>
      <c r="G687" s="6" t="inlineStr">
        <is>
          <t>Quadris Excel</t>
        </is>
      </c>
      <c r="H687" s="6" t="n">
        <v>0</v>
      </c>
      <c r="I687" s="6" t="n">
        <v>0</v>
      </c>
      <c r="J687" s="6" t="inlineStr">
        <is>
          <t>nincs</t>
        </is>
      </c>
      <c r="K687" s="6">
        <f>IF(AND(H687&gt;0,I687&gt;0),"Rendben",IF(AND(H687=0,I687=0),"Nincs kép és adat",IF(H687=0,"Nincs kép","Nincs adat")))</f>
        <v/>
      </c>
      <c r="L687" s="6" t="inlineStr">
        <is>
          <t>Igen</t>
        </is>
      </c>
      <c r="M687" s="7" t="inlineStr">
        <is>
          <t>fts-farina.it webáruház (WooCommerce API); FTS 2024 katalógus (PDF)</t>
        </is>
      </c>
      <c r="N687" s="7" t="inlineStr">
        <is>
          <t>Nem találtuk: fts-farina.it webáruház (WooCommerce API); FTS 2024 katalógus (PDF)</t>
        </is>
      </c>
      <c r="O687" s="6" t="inlineStr"/>
      <c r="P687" s="11" t="inlineStr">
        <is>
          <t>https://website-9ib.pages.dev/termek/152901-tir-zsaner-garnitura-nagy-horg/</t>
        </is>
      </c>
      <c r="Q687" s="12" t="inlineStr"/>
      <c r="R687" s="13" t="inlineStr"/>
      <c r="S687" s="6" t="inlineStr">
        <is>
          <t>152901-tir-zsaner-garnitura-nagy-horg</t>
        </is>
      </c>
    </row>
    <row r="688">
      <c r="A688" s="6" t="inlineStr">
        <is>
          <t>152823</t>
        </is>
      </c>
      <c r="B688" s="7" t="inlineStr">
        <is>
          <t>TIR-zsanér garnitúra RM</t>
        </is>
      </c>
      <c r="C688" s="6" t="inlineStr">
        <is>
          <t>Platós alkatrészek és kiegészítők</t>
        </is>
      </c>
      <c r="D688" s="6" t="inlineStr">
        <is>
          <t>TIR zsanérok</t>
        </is>
      </c>
      <c r="E688" s="6" t="inlineStr">
        <is>
          <t>FTS</t>
        </is>
      </c>
      <c r="F688" s="6" t="inlineStr">
        <is>
          <t>15282310/15280310</t>
        </is>
      </c>
      <c r="G688" s="6" t="inlineStr">
        <is>
          <t>Quadris Excel</t>
        </is>
      </c>
      <c r="H688" s="6" t="n">
        <v>1</v>
      </c>
      <c r="I688" s="6" t="n">
        <v>2</v>
      </c>
      <c r="J688" s="6" t="inlineStr">
        <is>
          <t>nincs</t>
        </is>
      </c>
      <c r="K688" s="6">
        <f>IF(AND(H688&gt;0,I688&gt;0),"Rendben",IF(AND(H688=0,I688=0),"Nincs kép és adat",IF(H688=0,"Nincs kép","Nincs adat")))</f>
        <v/>
      </c>
      <c r="L688" s="6" t="inlineStr">
        <is>
          <t>Igen</t>
        </is>
      </c>
      <c r="M688" s="7" t="inlineStr">
        <is>
          <t>fts-farina.it webáruház (WooCommerce API); FTS 2024 katalógus (PDF)</t>
        </is>
      </c>
      <c r="N688" s="7" t="inlineStr">
        <is>
          <t>Megtalálva: Cerniera Tir leggera BM (kód: 15282310)</t>
        </is>
      </c>
      <c r="O688" s="11" t="inlineStr">
        <is>
          <t>https://www.fts-farina.it/prodotto/cerniera-tir-leggera-bm/</t>
        </is>
      </c>
      <c r="P688" s="11" t="inlineStr">
        <is>
          <t>https://website-9ib.pages.dev/termek/152823-tir-zsaner-garnitura-rm/</t>
        </is>
      </c>
      <c r="Q688" s="12" t="inlineStr"/>
      <c r="R688" s="13" t="inlineStr"/>
      <c r="S688" s="6" t="inlineStr">
        <is>
          <t>152823-tir-zsaner-garnitura-rm</t>
        </is>
      </c>
    </row>
    <row r="689">
      <c r="A689" s="6" t="inlineStr">
        <is>
          <t>152814</t>
        </is>
      </c>
      <c r="B689" s="7" t="inlineStr">
        <is>
          <t>TIR-zsanér garnitúra TH</t>
        </is>
      </c>
      <c r="C689" s="6" t="inlineStr">
        <is>
          <t>Platós alkatrészek és kiegészítők</t>
        </is>
      </c>
      <c r="D689" s="6" t="inlineStr">
        <is>
          <t>TIR zsanérok</t>
        </is>
      </c>
      <c r="E689" s="6" t="inlineStr">
        <is>
          <t>FTS</t>
        </is>
      </c>
      <c r="F689" s="6" t="inlineStr">
        <is>
          <t>15281410/15280410</t>
        </is>
      </c>
      <c r="G689" s="6" t="inlineStr">
        <is>
          <t>Quadris Excel</t>
        </is>
      </c>
      <c r="H689" s="6" t="n">
        <v>1</v>
      </c>
      <c r="I689" s="6" t="n">
        <v>2</v>
      </c>
      <c r="J689" s="6" t="inlineStr">
        <is>
          <t>nincs</t>
        </is>
      </c>
      <c r="K689" s="6">
        <f>IF(AND(H689&gt;0,I689&gt;0),"Rendben",IF(AND(H689=0,I689=0),"Nincs kép és adat",IF(H689=0,"Nincs kép","Nincs adat")))</f>
        <v/>
      </c>
      <c r="L689" s="6" t="inlineStr">
        <is>
          <t>Igen</t>
        </is>
      </c>
      <c r="M689" s="7" t="inlineStr">
        <is>
          <t>fts-farina.it webáruház (WooCommerce API); FTS 2024 katalógus (PDF)</t>
        </is>
      </c>
      <c r="N689" s="7" t="inlineStr">
        <is>
          <t>Megtalálva: Cerniera Tir leggera BM (kód: 15281410)</t>
        </is>
      </c>
      <c r="O689" s="11" t="inlineStr">
        <is>
          <t>https://www.fts-farina.it/prodotto/cerniera-tir-leggera-bm/</t>
        </is>
      </c>
      <c r="P689" s="11" t="inlineStr">
        <is>
          <t>https://website-9ib.pages.dev/termek/152814-tir-zsaner-garnitura-th/</t>
        </is>
      </c>
      <c r="Q689" s="12" t="inlineStr"/>
      <c r="R689" s="13" t="inlineStr"/>
      <c r="S689" s="6" t="inlineStr">
        <is>
          <t>152814-tir-zsaner-garnitura-th</t>
        </is>
      </c>
    </row>
    <row r="690">
      <c r="A690" s="6" t="inlineStr">
        <is>
          <t>152811</t>
        </is>
      </c>
      <c r="B690" s="7" t="inlineStr">
        <is>
          <t>TIR-zsanér garnitúra horg.</t>
        </is>
      </c>
      <c r="C690" s="6" t="inlineStr">
        <is>
          <t>Platós alkatrészek és kiegészítők</t>
        </is>
      </c>
      <c r="D690" s="6" t="inlineStr">
        <is>
          <t>TIR zsanérok</t>
        </is>
      </c>
      <c r="E690" s="6" t="inlineStr">
        <is>
          <t>FTS</t>
        </is>
      </c>
      <c r="F690" s="6" t="inlineStr">
        <is>
          <t>15279110</t>
        </is>
      </c>
      <c r="G690" s="6" t="inlineStr">
        <is>
          <t>Quadris Excel</t>
        </is>
      </c>
      <c r="H690" s="6" t="n">
        <v>0</v>
      </c>
      <c r="I690" s="6" t="n">
        <v>0</v>
      </c>
      <c r="J690" s="6" t="inlineStr">
        <is>
          <t>nincs</t>
        </is>
      </c>
      <c r="K690" s="6">
        <f>IF(AND(H690&gt;0,I690&gt;0),"Rendben",IF(AND(H690=0,I690=0),"Nincs kép és adat",IF(H690=0,"Nincs kép","Nincs adat")))</f>
        <v/>
      </c>
      <c r="L690" s="6" t="inlineStr">
        <is>
          <t>Igen</t>
        </is>
      </c>
      <c r="M690" s="7" t="inlineStr">
        <is>
          <t>fts-farina.it webáruház (WooCommerce API); FTS 2024 katalógus (PDF)</t>
        </is>
      </c>
      <c r="N690" s="7" t="inlineStr">
        <is>
          <t>Nem találtuk: fts-farina.it webáruház (WooCommerce API); FTS 2024 katalógus (PDF)</t>
        </is>
      </c>
      <c r="O690" s="6" t="inlineStr"/>
      <c r="P690" s="11" t="inlineStr">
        <is>
          <t>https://website-9ib.pages.dev/termek/152811-tir-zsaner-garnitura-horg/</t>
        </is>
      </c>
      <c r="Q690" s="12" t="inlineStr"/>
      <c r="R690" s="13" t="inlineStr"/>
      <c r="S690" s="6" t="inlineStr">
        <is>
          <t>152811-tir-zsaner-garnitura-horg</t>
        </is>
      </c>
    </row>
    <row r="691">
      <c r="A691" s="6" t="inlineStr">
        <is>
          <t>152791</t>
        </is>
      </c>
      <c r="B691" s="7" t="inlineStr">
        <is>
          <t>TIR-zsanér lapka 50mm</t>
        </is>
      </c>
      <c r="C691" s="6" t="inlineStr">
        <is>
          <t>Platós alkatrészek és kiegészítők</t>
        </is>
      </c>
      <c r="D691" s="6" t="inlineStr">
        <is>
          <t>TIR zsanérok</t>
        </is>
      </c>
      <c r="E691" s="6" t="inlineStr">
        <is>
          <t>FTS</t>
        </is>
      </c>
      <c r="F691" s="6" t="inlineStr">
        <is>
          <t>15279110</t>
        </is>
      </c>
      <c r="G691" s="6" t="inlineStr">
        <is>
          <t>Quadris Excel</t>
        </is>
      </c>
      <c r="H691" s="6" t="n">
        <v>2</v>
      </c>
      <c r="I691" s="6" t="n">
        <v>1</v>
      </c>
      <c r="J691" s="6" t="inlineStr">
        <is>
          <t>nincs</t>
        </is>
      </c>
      <c r="K691" s="6">
        <f>IF(AND(H691&gt;0,I691&gt;0),"Rendben",IF(AND(H691=0,I691=0),"Nincs kép és adat",IF(H691=0,"Nincs kép","Nincs adat")))</f>
        <v/>
      </c>
      <c r="L691" s="6" t="inlineStr">
        <is>
          <t>Igen</t>
        </is>
      </c>
      <c r="M691" s="7" t="inlineStr">
        <is>
          <t>fts-farina.it webáruház (WooCommerce API); FTS 2024 katalógus (PDF)</t>
        </is>
      </c>
      <c r="N691" s="7" t="inlineStr">
        <is>
          <t>Megtalálva: 15279110 – Piastrina zincata Int.50 (kód: 15279110)</t>
        </is>
      </c>
      <c r="O691" s="11" t="inlineStr">
        <is>
          <t>https://www.fts-farina.it/prodotto/15279110-piastrina-zincata-int-50/</t>
        </is>
      </c>
      <c r="P691" s="11" t="inlineStr">
        <is>
          <t>https://website-9ib.pages.dev/termek/152791-tir-zsaner-lapka-50mm/</t>
        </is>
      </c>
      <c r="Q691" s="12" t="inlineStr"/>
      <c r="R691" s="13" t="inlineStr"/>
      <c r="S691" s="6" t="inlineStr">
        <is>
          <t>152791-tir-zsaner-lapka-50mm</t>
        </is>
      </c>
    </row>
    <row r="692">
      <c r="A692" s="6" t="inlineStr">
        <is>
          <t>152781</t>
        </is>
      </c>
      <c r="B692" s="7" t="inlineStr">
        <is>
          <t>TIR-zsanér lapka 70mm</t>
        </is>
      </c>
      <c r="C692" s="6" t="inlineStr">
        <is>
          <t>Platós alkatrészek és kiegészítők</t>
        </is>
      </c>
      <c r="D692" s="6" t="inlineStr">
        <is>
          <t>TIR zsanérok</t>
        </is>
      </c>
      <c r="E692" s="6" t="inlineStr">
        <is>
          <t>FTS</t>
        </is>
      </c>
      <c r="F692" s="6" t="inlineStr">
        <is>
          <t>15278110</t>
        </is>
      </c>
      <c r="G692" s="6" t="inlineStr">
        <is>
          <t>Quadris Excel</t>
        </is>
      </c>
      <c r="H692" s="6" t="n">
        <v>2</v>
      </c>
      <c r="I692" s="6" t="n">
        <v>1</v>
      </c>
      <c r="J692" s="6" t="inlineStr">
        <is>
          <t>nincs</t>
        </is>
      </c>
      <c r="K692" s="6">
        <f>IF(AND(H692&gt;0,I692&gt;0),"Rendben",IF(AND(H692=0,I692=0),"Nincs kép és adat",IF(H692=0,"Nincs kép","Nincs adat")))</f>
        <v/>
      </c>
      <c r="L692" s="6" t="inlineStr">
        <is>
          <t>Igen</t>
        </is>
      </c>
      <c r="M692" s="7" t="inlineStr">
        <is>
          <t>fts-farina.it webáruház (WooCommerce API); FTS 2024 katalógus (PDF)</t>
        </is>
      </c>
      <c r="N692" s="7" t="inlineStr">
        <is>
          <t>Megtalálva: 15278110 – Piastrina zincata Int.70 (kód: 15278110)</t>
        </is>
      </c>
      <c r="O692" s="11" t="inlineStr">
        <is>
          <t>https://www.fts-farina.it/prodotto/15278110-piastrina-zincata-int-70/</t>
        </is>
      </c>
      <c r="P692" s="11" t="inlineStr">
        <is>
          <t>https://website-9ib.pages.dev/termek/152781-tir-zsaner-lapka-70mm/</t>
        </is>
      </c>
      <c r="Q692" s="12" t="inlineStr"/>
      <c r="R692" s="13" t="inlineStr"/>
      <c r="S692" s="6" t="inlineStr">
        <is>
          <t>152781-tir-zsaner-lapka-70mm</t>
        </is>
      </c>
    </row>
    <row r="693">
      <c r="A693" s="6" t="inlineStr">
        <is>
          <t>351503</t>
        </is>
      </c>
      <c r="B693" s="7" t="inlineStr">
        <is>
          <t>Z-zár ellendarab hegeszthető kicsi 20</t>
        </is>
      </c>
      <c r="C693" s="6" t="inlineStr">
        <is>
          <t>Platós alkatrészek és kiegészítők</t>
        </is>
      </c>
      <c r="D693" s="6" t="inlineStr">
        <is>
          <t>Z-Zárak</t>
        </is>
      </c>
      <c r="E693" s="6" t="inlineStr">
        <is>
          <t>FTS</t>
        </is>
      </c>
      <c r="F693" s="6" t="inlineStr">
        <is>
          <t>35150250</t>
        </is>
      </c>
      <c r="G693" s="6" t="inlineStr">
        <is>
          <t>Quadris Excel</t>
        </is>
      </c>
      <c r="H693" s="6" t="n">
        <v>1</v>
      </c>
      <c r="I693" s="6" t="n">
        <v>0</v>
      </c>
      <c r="J693" s="6" t="inlineStr">
        <is>
          <t>nincs</t>
        </is>
      </c>
      <c r="K693" s="6">
        <f>IF(AND(H693&gt;0,I693&gt;0),"Rendben",IF(AND(H693=0,I693=0),"Nincs kép és adat",IF(H693=0,"Nincs kép","Nincs adat")))</f>
        <v/>
      </c>
      <c r="L693" s="6" t="inlineStr">
        <is>
          <t>Igen</t>
        </is>
      </c>
      <c r="M693" s="7" t="inlineStr">
        <is>
          <t>fts-farina.it webáruház (WooCommerce API); FTS 2024 katalógus (PDF)</t>
        </is>
      </c>
      <c r="N693" s="7" t="inlineStr">
        <is>
          <t>Megtalálva: FTS</t>
        </is>
      </c>
      <c r="O693" s="11" t="inlineStr">
        <is>
          <t>https://www.fts-farina.it/wp-content/uploads/2023/11/FTS_CATALOGO_2024_low_compressed_compressed.pdf</t>
        </is>
      </c>
      <c r="P693" s="11" t="inlineStr">
        <is>
          <t>https://website-9ib.pages.dev/termek/351503-z-zar-ellendarab-hegesztheto-kicsi-20/</t>
        </is>
      </c>
      <c r="Q693" s="12" t="inlineStr"/>
      <c r="R693" s="13" t="inlineStr"/>
      <c r="S693" s="6" t="inlineStr">
        <is>
          <t>351503-z-zar-ellendarab-hegesztheto-kicsi-20</t>
        </is>
      </c>
    </row>
    <row r="694">
      <c r="A694" s="6" t="inlineStr">
        <is>
          <t>351502</t>
        </is>
      </c>
      <c r="B694" s="7" t="inlineStr">
        <is>
          <t>Z-zár ellendarab hegeszthető nagy 30</t>
        </is>
      </c>
      <c r="C694" s="6" t="inlineStr">
        <is>
          <t>Platós alkatrészek és kiegészítők</t>
        </is>
      </c>
      <c r="D694" s="6" t="inlineStr">
        <is>
          <t>Z-Zárak</t>
        </is>
      </c>
      <c r="E694" s="6" t="inlineStr">
        <is>
          <t>FTS</t>
        </is>
      </c>
      <c r="F694" s="6" t="inlineStr">
        <is>
          <t>35150200</t>
        </is>
      </c>
      <c r="G694" s="6" t="inlineStr">
        <is>
          <t>Quadris Excel</t>
        </is>
      </c>
      <c r="H694" s="6" t="n">
        <v>1</v>
      </c>
      <c r="I694" s="6" t="n">
        <v>0</v>
      </c>
      <c r="J694" s="6" t="inlineStr">
        <is>
          <t>nincs</t>
        </is>
      </c>
      <c r="K694" s="6">
        <f>IF(AND(H694&gt;0,I694&gt;0),"Rendben",IF(AND(H694=0,I694=0),"Nincs kép és adat",IF(H694=0,"Nincs kép","Nincs adat")))</f>
        <v/>
      </c>
      <c r="L694" s="6" t="inlineStr">
        <is>
          <t>Igen</t>
        </is>
      </c>
      <c r="M694" s="7" t="inlineStr">
        <is>
          <t>fts-farina.it webáruház (WooCommerce API); FTS 2024 katalógus (PDF)</t>
        </is>
      </c>
      <c r="N694" s="7" t="inlineStr">
        <is>
          <t>Megtalálva: FTS</t>
        </is>
      </c>
      <c r="O694" s="11" t="inlineStr">
        <is>
          <t>https://www.fts-farina.it/wp-content/uploads/2023/11/FTS_CATALOGO_2024_low_compressed_compressed.pdf</t>
        </is>
      </c>
      <c r="P694" s="11" t="inlineStr">
        <is>
          <t>https://website-9ib.pages.dev/termek/351502-z-zar-ellendarab-hegesztheto-nagy-30/</t>
        </is>
      </c>
      <c r="Q694" s="12" t="inlineStr"/>
      <c r="R694" s="13" t="inlineStr"/>
      <c r="S694" s="6" t="inlineStr">
        <is>
          <t>351502-z-zar-ellendarab-hegesztheto-nagy-30</t>
        </is>
      </c>
    </row>
    <row r="695">
      <c r="A695" s="6" t="inlineStr">
        <is>
          <t>351501</t>
        </is>
      </c>
      <c r="B695" s="7" t="inlineStr">
        <is>
          <t>Z-zár ellendarab, csavarozható</t>
        </is>
      </c>
      <c r="C695" s="6" t="inlineStr">
        <is>
          <t>Platós alkatrészek és kiegészítők</t>
        </is>
      </c>
      <c r="D695" s="6" t="inlineStr">
        <is>
          <t>Z-Zárak</t>
        </is>
      </c>
      <c r="E695" s="6" t="inlineStr">
        <is>
          <t>FTS</t>
        </is>
      </c>
      <c r="F695" s="6" t="inlineStr">
        <is>
          <t>35150100</t>
        </is>
      </c>
      <c r="G695" s="6" t="inlineStr">
        <is>
          <t>Quadris Excel</t>
        </is>
      </c>
      <c r="H695" s="6" t="n">
        <v>1</v>
      </c>
      <c r="I695" s="6" t="n">
        <v>0</v>
      </c>
      <c r="J695" s="6" t="inlineStr">
        <is>
          <t>nincs</t>
        </is>
      </c>
      <c r="K695" s="6">
        <f>IF(AND(H695&gt;0,I695&gt;0),"Rendben",IF(AND(H695=0,I695=0),"Nincs kép és adat",IF(H695=0,"Nincs kép","Nincs adat")))</f>
        <v/>
      </c>
      <c r="L695" s="6" t="inlineStr">
        <is>
          <t>Igen</t>
        </is>
      </c>
      <c r="M695" s="7" t="inlineStr">
        <is>
          <t>fts-farina.it webáruház (WooCommerce API); FTS 2024 katalógus (PDF)</t>
        </is>
      </c>
      <c r="N695" s="7" t="inlineStr">
        <is>
          <t>Megtalálva: FTS</t>
        </is>
      </c>
      <c r="O695" s="11" t="inlineStr">
        <is>
          <t>https://www.fts-farina.it/wp-content/uploads/2023/11/FTS_CATALOGO_2024_low_compressed_compressed.pdf</t>
        </is>
      </c>
      <c r="P695" s="11" t="inlineStr">
        <is>
          <t>https://website-9ib.pages.dev/termek/351501-z-zar-ellendarab-csavarozhato/</t>
        </is>
      </c>
      <c r="Q695" s="12" t="inlineStr"/>
      <c r="R695" s="13" t="inlineStr"/>
      <c r="S695" s="6" t="inlineStr">
        <is>
          <t>351501-z-zar-ellendarab-csavarozhato</t>
        </is>
      </c>
    </row>
    <row r="696">
      <c r="A696" s="6" t="inlineStr">
        <is>
          <t>103055</t>
        </is>
      </c>
      <c r="B696" s="7" t="inlineStr">
        <is>
          <t>100 x 30 mm Dugó aláfutásgátlóhoz</t>
        </is>
      </c>
      <c r="C696" s="6" t="inlineStr">
        <is>
          <t>Ponyvarendszer kiegészítők</t>
        </is>
      </c>
      <c r="D696" s="6" t="inlineStr">
        <is>
          <t>Ponyvatartó alkatrészek</t>
        </is>
      </c>
      <c r="E696" s="6" t="inlineStr">
        <is>
          <t>FTS</t>
        </is>
      </c>
      <c r="F696" s="6" t="inlineStr">
        <is>
          <t>58923055</t>
        </is>
      </c>
      <c r="G696" s="6" t="inlineStr">
        <is>
          <t>Quadris Excel</t>
        </is>
      </c>
      <c r="H696" s="6" t="n">
        <v>3</v>
      </c>
      <c r="I696" s="6" t="n">
        <v>1</v>
      </c>
      <c r="J696" s="6" t="inlineStr">
        <is>
          <t>nincs</t>
        </is>
      </c>
      <c r="K696" s="6">
        <f>IF(AND(H696&gt;0,I696&gt;0),"Rendben",IF(AND(H696=0,I696=0),"Nincs kép és adat",IF(H696=0,"Nincs kép","Nincs adat")))</f>
        <v/>
      </c>
      <c r="L696" s="6" t="inlineStr">
        <is>
          <t>Igen</t>
        </is>
      </c>
      <c r="M696" s="7" t="inlineStr">
        <is>
          <t>fts-farina.it webáruház (WooCommerce API); FTS 2024 katalógus (PDF)</t>
        </is>
      </c>
      <c r="N696" s="7" t="inlineStr">
        <is>
          <t>Megtalálva: 58923055 – Tappo in pcv per profilo diritto (kód: 58923055)</t>
        </is>
      </c>
      <c r="O696" s="11" t="inlineStr">
        <is>
          <t>https://www.fts-farina.it/prodotto/58923055-tappo-in-pcv-per-profilo-diritto/</t>
        </is>
      </c>
      <c r="P696" s="11" t="inlineStr">
        <is>
          <t>https://website-9ib.pages.dev/termek/103055-100-x-30-mm-dugo-alafutasgatlohoz/</t>
        </is>
      </c>
      <c r="Q696" s="12" t="inlineStr"/>
      <c r="R696" s="13" t="inlineStr"/>
      <c r="S696" s="6" t="inlineStr">
        <is>
          <t>103055-100-x-30-mm-dugo-alafutasgatlohoz</t>
        </is>
      </c>
    </row>
    <row r="697">
      <c r="A697" s="6" t="inlineStr">
        <is>
          <t>100516</t>
        </is>
      </c>
      <c r="B697" s="7" t="inlineStr">
        <is>
          <t>100x25 Dugó zártszelvényhez</t>
        </is>
      </c>
      <c r="C697" s="6" t="inlineStr">
        <is>
          <t>Ponyvarendszer kiegészítők</t>
        </is>
      </c>
      <c r="D697" s="6" t="inlineStr">
        <is>
          <t>Ponyvatartó alkatrészek</t>
        </is>
      </c>
      <c r="E697" s="6" t="inlineStr">
        <is>
          <t>FTS</t>
        </is>
      </c>
      <c r="F697" s="6" t="inlineStr">
        <is>
          <t>55160100</t>
        </is>
      </c>
      <c r="G697" s="6" t="inlineStr">
        <is>
          <t>Quadris Excel</t>
        </is>
      </c>
      <c r="H697" s="6" t="n">
        <v>2</v>
      </c>
      <c r="I697" s="6" t="n">
        <v>1</v>
      </c>
      <c r="J697" s="6" t="inlineStr">
        <is>
          <t>nincs</t>
        </is>
      </c>
      <c r="K697" s="6">
        <f>IF(AND(H697&gt;0,I697&gt;0),"Rendben",IF(AND(H697=0,I697=0),"Nincs kép és adat",IF(H697=0,"Nincs kép","Nincs adat")))</f>
        <v/>
      </c>
      <c r="L697" s="6" t="inlineStr">
        <is>
          <t>Igen</t>
        </is>
      </c>
      <c r="M697" s="7" t="inlineStr">
        <is>
          <t>fts-farina.it webáruház (WooCommerce API); FTS 2024 katalógus (PDF)</t>
        </is>
      </c>
      <c r="N697" s="7" t="inlineStr">
        <is>
          <t>Megtalálva: 55160100 – Tappo asta centina in gomma (kód: 55160100)</t>
        </is>
      </c>
      <c r="O697" s="11" t="inlineStr">
        <is>
          <t>https://www.fts-farina.it/prodotto/55160100-tappo-asta-centina-in-gomma/</t>
        </is>
      </c>
      <c r="P697" s="11" t="inlineStr">
        <is>
          <t>https://website-9ib.pages.dev/termek/100516-100x25-dugo-zartszelvenyhez/</t>
        </is>
      </c>
      <c r="Q697" s="12" t="inlineStr"/>
      <c r="R697" s="13" t="inlineStr"/>
      <c r="S697" s="6" t="inlineStr">
        <is>
          <t>100516-100x25-dugo-zartszelvenyhez</t>
        </is>
      </c>
    </row>
    <row r="698">
      <c r="A698" s="6" t="inlineStr">
        <is>
          <t>104130</t>
        </is>
      </c>
      <c r="B698" s="7" t="inlineStr">
        <is>
          <t>100x25 mm horganyzott szegecselhető deszkatartó zseb</t>
        </is>
      </c>
      <c r="C698" s="6" t="inlineStr">
        <is>
          <t>Ponyvarendszer kiegészítők</t>
        </is>
      </c>
      <c r="D698" s="6" t="inlineStr">
        <is>
          <t>Ponyvatartó alkatrészek</t>
        </is>
      </c>
      <c r="E698" s="6" t="inlineStr">
        <is>
          <t>FTS</t>
        </is>
      </c>
      <c r="F698" s="6" t="inlineStr">
        <is>
          <t>45104135</t>
        </is>
      </c>
      <c r="G698" s="6" t="inlineStr">
        <is>
          <t>Quadris Excel</t>
        </is>
      </c>
      <c r="H698" s="6" t="n">
        <v>2</v>
      </c>
      <c r="I698" s="6" t="n">
        <v>1</v>
      </c>
      <c r="J698" s="6" t="inlineStr">
        <is>
          <t>nincs</t>
        </is>
      </c>
      <c r="K698" s="6">
        <f>IF(AND(H698&gt;0,I698&gt;0),"Rendben",IF(AND(H698=0,I698=0),"Nincs kép és adat",IF(H698=0,"Nincs kép","Nincs adat")))</f>
        <v/>
      </c>
      <c r="L698" s="6" t="inlineStr">
        <is>
          <t>Igen</t>
        </is>
      </c>
      <c r="M698" s="7" t="inlineStr">
        <is>
          <t>fts-farina.it webáruház (WooCommerce API); FTS 2024 katalógus (PDF)</t>
        </is>
      </c>
      <c r="N698" s="7" t="inlineStr">
        <is>
          <t>Megtalálva: 45104135 – Supporto asta centina zincata L.25 con fori (kód: 45104135)</t>
        </is>
      </c>
      <c r="O698" s="11" t="inlineStr">
        <is>
          <t>https://www.fts-farina.it/prodotto/45104135-supporto-asta-centina-zincata-l-25-con-fori/</t>
        </is>
      </c>
      <c r="P698" s="11" t="inlineStr">
        <is>
          <t>https://website-9ib.pages.dev/termek/104130-100x25-mm-horganyzott-szegecselheto-deszkatarto-zseb/</t>
        </is>
      </c>
      <c r="Q698" s="12" t="inlineStr"/>
      <c r="R698" s="13" t="inlineStr"/>
      <c r="S698" s="6" t="inlineStr">
        <is>
          <t>104130-100x25-mm-horganyzott-szegecselheto-deszkatarto-zseb</t>
        </is>
      </c>
    </row>
    <row r="699">
      <c r="A699" s="6" t="inlineStr">
        <is>
          <t>380021/SS</t>
        </is>
      </c>
      <c r="B699" s="7" t="inlineStr">
        <is>
          <t>Alsó adapter 27-es csőhöz</t>
        </is>
      </c>
      <c r="C699" s="6" t="inlineStr">
        <is>
          <t>Ponyvarendszer kiegészítők</t>
        </is>
      </c>
      <c r="D699" s="6" t="inlineStr">
        <is>
          <t>Ponyvafeszítő profilok és alkatrészei</t>
        </is>
      </c>
      <c r="E699" s="6" t="inlineStr">
        <is>
          <t>FTS</t>
        </is>
      </c>
      <c r="F699" s="6" t="inlineStr">
        <is>
          <t>34480021/ss</t>
        </is>
      </c>
      <c r="G699" s="6" t="inlineStr">
        <is>
          <t>Quadris Excel</t>
        </is>
      </c>
      <c r="H699" s="6" t="n">
        <v>3</v>
      </c>
      <c r="I699" s="6" t="n">
        <v>1</v>
      </c>
      <c r="J699" s="6" t="inlineStr">
        <is>
          <t>nincs</t>
        </is>
      </c>
      <c r="K699" s="6">
        <f>IF(AND(H699&gt;0,I699&gt;0),"Rendben",IF(AND(H699=0,I699=0),"Nincs kép és adat",IF(H699=0,"Nincs kép","Nincs adat")))</f>
        <v/>
      </c>
      <c r="L699" s="6" t="inlineStr">
        <is>
          <t>Igen</t>
        </is>
      </c>
      <c r="M699" s="7" t="inlineStr">
        <is>
          <t>fts-farina.it webáruház (WooCommerce API); FTS 2024 katalógus (PDF)</t>
        </is>
      </c>
      <c r="N699" s="7" t="inlineStr">
        <is>
          <t>Megtalálva: 34480021/SS – Innesto a Taglio in Inox per profilo Ø27 (kód: 34480021)</t>
        </is>
      </c>
      <c r="O699" s="11" t="inlineStr">
        <is>
          <t>https://www.fts-farina.it/prodotto/34480021-ss-innesto-a-taglio-in-inox-per-profilo-o27/</t>
        </is>
      </c>
      <c r="P699" s="11" t="inlineStr">
        <is>
          <t>https://website-9ib.pages.dev/termek/380021-ss-also-adapter-27-es-csohoz/</t>
        </is>
      </c>
      <c r="Q699" s="12" t="inlineStr"/>
      <c r="R699" s="13" t="inlineStr"/>
      <c r="S699" s="6" t="inlineStr">
        <is>
          <t>380021-ss-also-adapter-27-es-csohoz</t>
        </is>
      </c>
    </row>
    <row r="700">
      <c r="A700" s="6" t="inlineStr">
        <is>
          <t>380020/SS</t>
        </is>
      </c>
      <c r="B700" s="7" t="inlineStr">
        <is>
          <t>Alsó adapter 27-es csőhöz szögletes</t>
        </is>
      </c>
      <c r="C700" s="6" t="inlineStr">
        <is>
          <t>Ponyvarendszer kiegészítők</t>
        </is>
      </c>
      <c r="D700" s="6" t="inlineStr">
        <is>
          <t>Ponyvafeszítő profilok és alkatrészei</t>
        </is>
      </c>
      <c r="E700" s="6" t="inlineStr">
        <is>
          <t>FTS</t>
        </is>
      </c>
      <c r="F700" s="6" t="inlineStr">
        <is>
          <t>34480020/ss</t>
        </is>
      </c>
      <c r="G700" s="6" t="inlineStr">
        <is>
          <t>Quadris Excel</t>
        </is>
      </c>
      <c r="H700" s="6" t="n">
        <v>3</v>
      </c>
      <c r="I700" s="6" t="n">
        <v>1</v>
      </c>
      <c r="J700" s="6" t="inlineStr">
        <is>
          <t>nincs</t>
        </is>
      </c>
      <c r="K700" s="6">
        <f>IF(AND(H700&gt;0,I700&gt;0),"Rendben",IF(AND(H700=0,I700=0),"Nincs kép és adat",IF(H700=0,"Nincs kép","Nincs adat")))</f>
        <v/>
      </c>
      <c r="L700" s="6" t="inlineStr">
        <is>
          <t>Igen</t>
        </is>
      </c>
      <c r="M700" s="7" t="inlineStr">
        <is>
          <t>fts-farina.it webáruház (WooCommerce API); FTS 2024 katalógus (PDF)</t>
        </is>
      </c>
      <c r="N700" s="7" t="inlineStr">
        <is>
          <t>Megtalálva: 34480020/SS – Innesto a quadro in inox per profilo Ø27 (kód: 34480020)</t>
        </is>
      </c>
      <c r="O700" s="11" t="inlineStr">
        <is>
          <t>https://www.fts-farina.it/prodotto/34480020-ss-innesto-a-quadro-in-inox-per-profilo-o27/</t>
        </is>
      </c>
      <c r="P700" s="11" t="inlineStr">
        <is>
          <t>https://website-9ib.pages.dev/termek/380020-ss-also-adapter-27-es-csohoz-szogletes/</t>
        </is>
      </c>
      <c r="Q700" s="12" t="inlineStr"/>
      <c r="R700" s="13" t="inlineStr"/>
      <c r="S700" s="6" t="inlineStr">
        <is>
          <t>380020-ss-also-adapter-27-es-csohoz-szogletes</t>
        </is>
      </c>
    </row>
    <row r="701">
      <c r="A701" s="6" t="inlineStr">
        <is>
          <t>380022</t>
        </is>
      </c>
      <c r="B701" s="7" t="inlineStr">
        <is>
          <t>Alsó adapter 27-es csőhöz, PWP kocka</t>
        </is>
      </c>
      <c r="C701" s="6" t="inlineStr">
        <is>
          <t>Ponyvarendszer kiegészítők</t>
        </is>
      </c>
      <c r="D701" s="6" t="inlineStr">
        <is>
          <t>Ponyvafeszítő profilok és alkatrészei</t>
        </is>
      </c>
      <c r="E701" s="6" t="inlineStr">
        <is>
          <t>FTS</t>
        </is>
      </c>
      <c r="F701" s="6" t="inlineStr">
        <is>
          <t>736022</t>
        </is>
      </c>
      <c r="G701" s="6" t="inlineStr">
        <is>
          <t>Quadris Excel</t>
        </is>
      </c>
      <c r="H701" s="6" t="n">
        <v>0</v>
      </c>
      <c r="I701" s="6" t="n">
        <v>0</v>
      </c>
      <c r="J701" s="6" t="inlineStr">
        <is>
          <t>nincs</t>
        </is>
      </c>
      <c r="K701" s="6">
        <f>IF(AND(H701&gt;0,I701&gt;0),"Rendben",IF(AND(H701=0,I701=0),"Nincs kép és adat",IF(H701=0,"Nincs kép","Nincs adat")))</f>
        <v/>
      </c>
      <c r="L701" s="6" t="inlineStr">
        <is>
          <t>Igen</t>
        </is>
      </c>
      <c r="M701" s="7" t="inlineStr">
        <is>
          <t>fts-farina.it webáruház (WooCommerce API); FTS 2024 katalógus (PDF)</t>
        </is>
      </c>
      <c r="N701" s="7" t="inlineStr">
        <is>
          <t>Nem találtuk: fts-farina.it webáruház (WooCommerce API); FTS 2024 katalógus (PDF)</t>
        </is>
      </c>
      <c r="O701" s="6" t="inlineStr"/>
      <c r="P701" s="11" t="inlineStr">
        <is>
          <t>https://website-9ib.pages.dev/termek/380022-also-adapter-27-es-csohoz-pwp-kocka/</t>
        </is>
      </c>
      <c r="Q701" s="12" t="inlineStr"/>
      <c r="R701" s="13" t="inlineStr"/>
      <c r="S701" s="6" t="inlineStr">
        <is>
          <t>380022-also-adapter-27-es-csohoz-pwp-kocka</t>
        </is>
      </c>
    </row>
    <row r="702">
      <c r="A702" s="6" t="inlineStr">
        <is>
          <t>380018/SS</t>
        </is>
      </c>
      <c r="B702" s="7" t="inlineStr">
        <is>
          <t>Alsó adapter 27-es csőhöz, kocka</t>
        </is>
      </c>
      <c r="C702" s="6" t="inlineStr">
        <is>
          <t>Ponyvarendszer kiegészítők</t>
        </is>
      </c>
      <c r="D702" s="6" t="inlineStr">
        <is>
          <t>Ponyvafeszítő profilok és alkatrészei</t>
        </is>
      </c>
      <c r="E702" s="6" t="inlineStr">
        <is>
          <t>FTS</t>
        </is>
      </c>
      <c r="F702" s="6" t="inlineStr">
        <is>
          <t>34480018/ss</t>
        </is>
      </c>
      <c r="G702" s="6" t="inlineStr">
        <is>
          <t>Quadris Excel</t>
        </is>
      </c>
      <c r="H702" s="6" t="n">
        <v>1</v>
      </c>
      <c r="I702" s="6" t="n">
        <v>1</v>
      </c>
      <c r="J702" s="6" t="inlineStr">
        <is>
          <t>nincs</t>
        </is>
      </c>
      <c r="K702" s="6">
        <f>IF(AND(H702&gt;0,I702&gt;0),"Rendben",IF(AND(H702=0,I702=0),"Nincs kép és adat",IF(H702=0,"Nincs kép","Nincs adat")))</f>
        <v/>
      </c>
      <c r="L702" s="6" t="inlineStr">
        <is>
          <t>Igen</t>
        </is>
      </c>
      <c r="M702" s="7" t="inlineStr">
        <is>
          <t>fts-farina.it webáruház (WooCommerce API); FTS 2024 katalógus (PDF)</t>
        </is>
      </c>
      <c r="N702" s="7" t="inlineStr">
        <is>
          <t>Megtalálva: 34480018/SS – Innesto Inferiore Inox attacco quadro (kód: 34480018)</t>
        </is>
      </c>
      <c r="O702" s="11" t="inlineStr">
        <is>
          <t>https://www.fts-farina.it/prodotto/34480018-ss-innesto-inferiore-inox-attacco-quadro/</t>
        </is>
      </c>
      <c r="P702" s="11" t="inlineStr">
        <is>
          <t>https://website-9ib.pages.dev/termek/380018-ss-also-adapter-27-es-csohoz-kocka/</t>
        </is>
      </c>
      <c r="Q702" s="12" t="inlineStr"/>
      <c r="R702" s="13" t="inlineStr"/>
      <c r="S702" s="6" t="inlineStr">
        <is>
          <t>380018-ss-also-adapter-27-es-csohoz-kocka</t>
        </is>
      </c>
    </row>
    <row r="703">
      <c r="A703" s="6" t="inlineStr">
        <is>
          <t>380017</t>
        </is>
      </c>
      <c r="B703" s="7" t="inlineStr">
        <is>
          <t>Alsó adapter 34-es csőhöz</t>
        </is>
      </c>
      <c r="C703" s="6" t="inlineStr">
        <is>
          <t>Ponyvarendszer kiegészítők</t>
        </is>
      </c>
      <c r="D703" s="6" t="inlineStr">
        <is>
          <t>Ponyvafeszítő profilok és alkatrészei</t>
        </is>
      </c>
      <c r="E703" s="6" t="inlineStr">
        <is>
          <t>FTS</t>
        </is>
      </c>
      <c r="F703" s="6" t="inlineStr">
        <is>
          <t>34480017</t>
        </is>
      </c>
      <c r="G703" s="6" t="inlineStr">
        <is>
          <t>Quadris Excel</t>
        </is>
      </c>
      <c r="H703" s="6" t="n">
        <v>2</v>
      </c>
      <c r="I703" s="6" t="n">
        <v>1</v>
      </c>
      <c r="J703" s="6" t="inlineStr">
        <is>
          <t>nincs</t>
        </is>
      </c>
      <c r="K703" s="6">
        <f>IF(AND(H703&gt;0,I703&gt;0),"Rendben",IF(AND(H703=0,I703=0),"Nincs kép és adat",IF(H703=0,"Nincs kép","Nincs adat")))</f>
        <v/>
      </c>
      <c r="L703" s="6" t="inlineStr">
        <is>
          <t>Igen</t>
        </is>
      </c>
      <c r="M703" s="7" t="inlineStr">
        <is>
          <t>fts-farina.it webáruház (WooCommerce API); FTS 2024 katalógus (PDF)</t>
        </is>
      </c>
      <c r="N703" s="7" t="inlineStr">
        <is>
          <t>Megtalálva: 34480017 – Innesto a taglio per profilo Ø34 (kód: 34480017)</t>
        </is>
      </c>
      <c r="O703" s="11" t="inlineStr">
        <is>
          <t>https://www.fts-farina.it/prodotto/34480017-innesto-a-taglio-per-profilo-o34/</t>
        </is>
      </c>
      <c r="P703" s="11" t="inlineStr">
        <is>
          <t>https://website-9ib.pages.dev/termek/380017-also-adapter-34-es-csohoz/</t>
        </is>
      </c>
      <c r="Q703" s="12" t="inlineStr"/>
      <c r="R703" s="13" t="inlineStr"/>
      <c r="S703" s="6" t="inlineStr">
        <is>
          <t>380017-also-adapter-34-es-csohoz</t>
        </is>
      </c>
    </row>
    <row r="704">
      <c r="A704" s="6" t="inlineStr">
        <is>
          <t>105510</t>
        </is>
      </c>
      <c r="B704" s="7" t="inlineStr">
        <is>
          <t>D35 mm Gumiágy</t>
        </is>
      </c>
      <c r="C704" s="6" t="inlineStr">
        <is>
          <t>Ponyvarendszer kiegészítők</t>
        </is>
      </c>
      <c r="D704" s="6" t="inlineStr">
        <is>
          <t>Ponyvatartó alkatrészek</t>
        </is>
      </c>
      <c r="E704" s="6" t="inlineStr">
        <is>
          <t>FTS</t>
        </is>
      </c>
      <c r="F704" s="6" t="inlineStr">
        <is>
          <t>45155101</t>
        </is>
      </c>
      <c r="G704" s="6" t="inlineStr">
        <is>
          <t>Quadris Excel</t>
        </is>
      </c>
      <c r="H704" s="6" t="n">
        <v>2</v>
      </c>
      <c r="I704" s="6" t="n">
        <v>1</v>
      </c>
      <c r="J704" s="6" t="inlineStr">
        <is>
          <t>nincs</t>
        </is>
      </c>
      <c r="K704" s="6">
        <f>IF(AND(H704&gt;0,I704&gt;0),"Rendben",IF(AND(H704=0,I704=0),"Nincs kép és adat",IF(H704=0,"Nincs kép","Nincs adat")))</f>
        <v/>
      </c>
      <c r="L704" s="6" t="inlineStr">
        <is>
          <t>Igen</t>
        </is>
      </c>
      <c r="M704" s="7" t="inlineStr">
        <is>
          <t>fts-farina.it webáruház (WooCommerce API); FTS 2024 katalógus (PDF)</t>
        </is>
      </c>
      <c r="N704" s="7" t="inlineStr">
        <is>
          <t>Megtalálva: 45155101 – Solo gomma Ø35 (kód: 45155101)</t>
        </is>
      </c>
      <c r="O704" s="11" t="inlineStr">
        <is>
          <t>https://www.fts-farina.it/prodotto/45155101-solo-gomma-o35/</t>
        </is>
      </c>
      <c r="P704" s="11" t="inlineStr">
        <is>
          <t>https://website-9ib.pages.dev/termek/105510-d35-mm-gumiagy/</t>
        </is>
      </c>
      <c r="Q704" s="12" t="inlineStr"/>
      <c r="R704" s="13" t="inlineStr"/>
      <c r="S704" s="6" t="inlineStr">
        <is>
          <t>105510-d35-mm-gumiagy</t>
        </is>
      </c>
    </row>
    <row r="705">
      <c r="A705" s="6" t="inlineStr">
        <is>
          <t>106220</t>
        </is>
      </c>
      <c r="B705" s="7" t="inlineStr">
        <is>
          <t>D35 mm acél tartó</t>
        </is>
      </c>
      <c r="C705" s="6" t="inlineStr">
        <is>
          <t>Ponyvarendszer kiegészítők</t>
        </is>
      </c>
      <c r="D705" s="6" t="inlineStr">
        <is>
          <t>Ponyvatartó alkatrészek</t>
        </is>
      </c>
      <c r="E705" s="6" t="inlineStr">
        <is>
          <t>FTS</t>
        </is>
      </c>
      <c r="F705" s="6" t="inlineStr">
        <is>
          <t>45155102</t>
        </is>
      </c>
      <c r="G705" s="6" t="inlineStr">
        <is>
          <t>Quadris Excel</t>
        </is>
      </c>
      <c r="H705" s="6" t="n">
        <v>2</v>
      </c>
      <c r="I705" s="6" t="n">
        <v>1</v>
      </c>
      <c r="J705" s="6" t="inlineStr">
        <is>
          <t>nincs</t>
        </is>
      </c>
      <c r="K705" s="6">
        <f>IF(AND(H705&gt;0,I705&gt;0),"Rendben",IF(AND(H705=0,I705=0),"Nincs kép és adat",IF(H705=0,"Nincs kép","Nincs adat")))</f>
        <v/>
      </c>
      <c r="L705" s="6" t="inlineStr">
        <is>
          <t>Igen</t>
        </is>
      </c>
      <c r="M705" s="7" t="inlineStr">
        <is>
          <t>fts-farina.it webáruház (WooCommerce API); FTS 2024 katalógus (PDF)</t>
        </is>
      </c>
      <c r="N705" s="7" t="inlineStr">
        <is>
          <t>Megtalálva: 45155102 – Solo piastrina Ø35 (kód: 45155102)</t>
        </is>
      </c>
      <c r="O705" s="11" t="inlineStr">
        <is>
          <t>https://www.fts-farina.it/prodotto/45155102-solo-piastrina-o35/</t>
        </is>
      </c>
      <c r="P705" s="11" t="inlineStr">
        <is>
          <t>https://website-9ib.pages.dev/termek/106220-d35-mm-acel-tarto/</t>
        </is>
      </c>
      <c r="Q705" s="12" t="inlineStr"/>
      <c r="R705" s="13" t="inlineStr"/>
      <c r="S705" s="6" t="inlineStr">
        <is>
          <t>106220-d35-mm-acel-tarto</t>
        </is>
      </c>
    </row>
    <row r="706">
      <c r="A706" s="6" t="inlineStr">
        <is>
          <t>101100</t>
        </is>
      </c>
      <c r="B706" s="7" t="inlineStr">
        <is>
          <t>D50 mm gumiágy+ acél tartó</t>
        </is>
      </c>
      <c r="C706" s="6" t="inlineStr">
        <is>
          <t>Ponyvarendszer kiegészítők</t>
        </is>
      </c>
      <c r="D706" s="6" t="inlineStr">
        <is>
          <t>Ponyvatartó alkatrészek</t>
        </is>
      </c>
      <c r="E706" s="6" t="inlineStr">
        <is>
          <t>FTS</t>
        </is>
      </c>
      <c r="F706" s="6" t="inlineStr">
        <is>
          <t>45151100</t>
        </is>
      </c>
      <c r="G706" s="6" t="inlineStr">
        <is>
          <t>Quadris Excel</t>
        </is>
      </c>
      <c r="H706" s="6" t="n">
        <v>2</v>
      </c>
      <c r="I706" s="6" t="n">
        <v>1</v>
      </c>
      <c r="J706" s="6" t="inlineStr">
        <is>
          <t>nincs</t>
        </is>
      </c>
      <c r="K706" s="6">
        <f>IF(AND(H706&gt;0,I706&gt;0),"Rendben",IF(AND(H706=0,I706=0),"Nincs kép és adat",IF(H706=0,"Nincs kép","Nincs adat")))</f>
        <v/>
      </c>
      <c r="L706" s="6" t="inlineStr">
        <is>
          <t>Igen</t>
        </is>
      </c>
      <c r="M706" s="7" t="inlineStr">
        <is>
          <t>fts-farina.it webáruház (WooCommerce API); FTS 2024 katalógus (PDF)</t>
        </is>
      </c>
      <c r="N706" s="7" t="inlineStr">
        <is>
          <t>Megtalálva: 45151100 – Supporto tubo centina PVC Ø50 (kód: 45151100)</t>
        </is>
      </c>
      <c r="O706" s="11" t="inlineStr">
        <is>
          <t>https://www.fts-farina.it/prodotto/45151100-supporto-tubo-centina-pvc-o50/</t>
        </is>
      </c>
      <c r="P706" s="11" t="inlineStr">
        <is>
          <t>https://website-9ib.pages.dev/termek/101100-d50-mm-gumiagy-acel-tarto/</t>
        </is>
      </c>
      <c r="Q706" s="12" t="inlineStr"/>
      <c r="R706" s="13" t="inlineStr"/>
      <c r="S706" s="6" t="inlineStr">
        <is>
          <t>101100-d50-mm-gumiagy-acel-tarto</t>
        </is>
      </c>
    </row>
    <row r="707">
      <c r="A707" s="6" t="inlineStr">
        <is>
          <t>104285</t>
        </is>
      </c>
      <c r="B707" s="7" t="inlineStr">
        <is>
          <t>D60 Csődugó</t>
        </is>
      </c>
      <c r="C707" s="6" t="inlineStr">
        <is>
          <t>Ponyvarendszer kiegészítők</t>
        </is>
      </c>
      <c r="D707" s="6" t="inlineStr">
        <is>
          <t>Ponyvatartó alkatrészek</t>
        </is>
      </c>
      <c r="E707" s="6" t="inlineStr">
        <is>
          <t>FTS</t>
        </is>
      </c>
      <c r="F707" s="6" t="inlineStr">
        <is>
          <t>50154285</t>
        </is>
      </c>
      <c r="G707" s="6" t="inlineStr">
        <is>
          <t>Quadris Excel</t>
        </is>
      </c>
      <c r="H707" s="6" t="n">
        <v>2</v>
      </c>
      <c r="I707" s="6" t="n">
        <v>1</v>
      </c>
      <c r="J707" s="6" t="inlineStr">
        <is>
          <t>nincs</t>
        </is>
      </c>
      <c r="K707" s="6">
        <f>IF(AND(H707&gt;0,I707&gt;0),"Rendben",IF(AND(H707=0,I707=0),"Nincs kép és adat",IF(H707=0,"Nincs kép","Nincs adat")))</f>
        <v/>
      </c>
      <c r="L707" s="6" t="inlineStr">
        <is>
          <t>Igen</t>
        </is>
      </c>
      <c r="M707" s="7" t="inlineStr">
        <is>
          <t>fts-farina.it webáruház (WooCommerce API); FTS 2024 katalógus (PDF)</t>
        </is>
      </c>
      <c r="N707" s="7" t="inlineStr">
        <is>
          <t>Megtalálva: 50154285 – Supporto tubo centina PVC Ø60 (kód: 50154285)</t>
        </is>
      </c>
      <c r="O707" s="11" t="inlineStr">
        <is>
          <t>https://www.fts-farina.it/prodotto/50154285-supporto-tubo-centina-pvc-o60/</t>
        </is>
      </c>
      <c r="P707" s="11" t="inlineStr">
        <is>
          <t>https://website-9ib.pages.dev/termek/104285-d60-csodugo/</t>
        </is>
      </c>
      <c r="Q707" s="12" t="inlineStr"/>
      <c r="R707" s="13" t="inlineStr"/>
      <c r="S707" s="6" t="inlineStr">
        <is>
          <t>104285-d60-csodugo</t>
        </is>
      </c>
    </row>
    <row r="708">
      <c r="A708" s="6" t="inlineStr">
        <is>
          <t>100451</t>
        </is>
      </c>
      <c r="B708" s="7" t="inlineStr">
        <is>
          <t>Deszkatartó zseb</t>
        </is>
      </c>
      <c r="C708" s="6" t="inlineStr">
        <is>
          <t>Ponyvarendszer kiegészítők</t>
        </is>
      </c>
      <c r="D708" s="6" t="inlineStr">
        <is>
          <t>Ponyvatartó alkatrészek</t>
        </is>
      </c>
      <c r="E708" s="6" t="inlineStr">
        <is>
          <t>FTS</t>
        </is>
      </c>
      <c r="F708" s="6" t="inlineStr">
        <is>
          <t>45150100</t>
        </is>
      </c>
      <c r="G708" s="6" t="inlineStr">
        <is>
          <t>Quadris Excel</t>
        </is>
      </c>
      <c r="H708" s="6" t="n">
        <v>2</v>
      </c>
      <c r="I708" s="6" t="n">
        <v>1</v>
      </c>
      <c r="J708" s="6" t="inlineStr">
        <is>
          <t>nincs</t>
        </is>
      </c>
      <c r="K708" s="6">
        <f>IF(AND(H708&gt;0,I708&gt;0),"Rendben",IF(AND(H708=0,I708=0),"Nincs kép és adat",IF(H708=0,"Nincs kép","Nincs adat")))</f>
        <v/>
      </c>
      <c r="L708" s="6" t="inlineStr">
        <is>
          <t>Igen</t>
        </is>
      </c>
      <c r="M708" s="7" t="inlineStr">
        <is>
          <t>fts-farina.it webáruház (WooCommerce API); FTS 2024 katalógus (PDF)</t>
        </is>
      </c>
      <c r="N708" s="7" t="inlineStr">
        <is>
          <t>Megtalálva: 45150100 – Supporto asta centina grezza L=25 (kód: 45150100)</t>
        </is>
      </c>
      <c r="O708" s="11" t="inlineStr">
        <is>
          <t>https://www.fts-farina.it/prodotto/45150100-supporto-asta-centina-grezza-l25/</t>
        </is>
      </c>
      <c r="P708" s="11" t="inlineStr">
        <is>
          <t>https://website-9ib.pages.dev/termek/100451-deszkatarto-zseb/</t>
        </is>
      </c>
      <c r="Q708" s="12" t="inlineStr"/>
      <c r="R708" s="13" t="inlineStr"/>
      <c r="S708" s="6" t="inlineStr">
        <is>
          <t>100451-deszkatarto-zseb</t>
        </is>
      </c>
    </row>
    <row r="709">
      <c r="A709" s="6" t="inlineStr">
        <is>
          <t>380019</t>
        </is>
      </c>
      <c r="B709" s="7" t="inlineStr">
        <is>
          <t>Felső adapter 27-es csőhöz</t>
        </is>
      </c>
      <c r="C709" s="6" t="inlineStr">
        <is>
          <t>Ponyvarendszer kiegészítők</t>
        </is>
      </c>
      <c r="D709" s="6" t="inlineStr">
        <is>
          <t>Ponyvafeszítő profilok és alkatrészei</t>
        </is>
      </c>
      <c r="E709" s="6" t="inlineStr">
        <is>
          <t>FTS</t>
        </is>
      </c>
      <c r="F709" s="6" t="inlineStr">
        <is>
          <t>34480019</t>
        </is>
      </c>
      <c r="G709" s="6" t="inlineStr">
        <is>
          <t>Quadris Excel</t>
        </is>
      </c>
      <c r="H709" s="6" t="n">
        <v>2</v>
      </c>
      <c r="I709" s="6" t="n">
        <v>1</v>
      </c>
      <c r="J709" s="6" t="inlineStr">
        <is>
          <t>nincs</t>
        </is>
      </c>
      <c r="K709" s="6">
        <f>IF(AND(H709&gt;0,I709&gt;0),"Rendben",IF(AND(H709=0,I709=0),"Nincs kép és adat",IF(H709=0,"Nincs kép","Nincs adat")))</f>
        <v/>
      </c>
      <c r="L709" s="6" t="inlineStr">
        <is>
          <t>Igen</t>
        </is>
      </c>
      <c r="M709" s="7" t="inlineStr">
        <is>
          <t>fts-farina.it webáruház (WooCommerce API); FTS 2024 katalógus (PDF)</t>
        </is>
      </c>
      <c r="N709" s="7" t="inlineStr">
        <is>
          <t>Megtalálva: 34480019/SS – Tappo in Inox per profilo Ø27 (kód: 34480019)</t>
        </is>
      </c>
      <c r="O709" s="11" t="inlineStr">
        <is>
          <t>https://www.fts-farina.it/prodotto/34480019-ss-tappo-in-inox-per-profilo-o27/</t>
        </is>
      </c>
      <c r="P709" s="11" t="inlineStr">
        <is>
          <t>https://website-9ib.pages.dev/termek/380019-felso-adapter-27-es-csohoz/</t>
        </is>
      </c>
      <c r="Q709" s="12" t="inlineStr"/>
      <c r="R709" s="13" t="inlineStr"/>
      <c r="S709" s="6" t="inlineStr">
        <is>
          <t>380019-felso-adapter-27-es-csohoz</t>
        </is>
      </c>
    </row>
    <row r="710">
      <c r="A710" s="6" t="inlineStr">
        <is>
          <t>380011</t>
        </is>
      </c>
      <c r="B710" s="7" t="inlineStr">
        <is>
          <t>Felső adapter 34-es csőhöz</t>
        </is>
      </c>
      <c r="C710" s="6" t="inlineStr">
        <is>
          <t>Ponyvarendszer kiegészítők</t>
        </is>
      </c>
      <c r="D710" s="6" t="inlineStr">
        <is>
          <t>Ponyvafeszítő profilok és alkatrészei</t>
        </is>
      </c>
      <c r="E710" s="6" t="inlineStr">
        <is>
          <t>FTS</t>
        </is>
      </c>
      <c r="F710" s="6" t="inlineStr">
        <is>
          <t>34480011</t>
        </is>
      </c>
      <c r="G710" s="6" t="inlineStr">
        <is>
          <t>Quadris Excel</t>
        </is>
      </c>
      <c r="H710" s="6" t="n">
        <v>2</v>
      </c>
      <c r="I710" s="6" t="n">
        <v>1</v>
      </c>
      <c r="J710" s="6" t="inlineStr">
        <is>
          <t>nincs</t>
        </is>
      </c>
      <c r="K710" s="6">
        <f>IF(AND(H710&gt;0,I710&gt;0),"Rendben",IF(AND(H710=0,I710=0),"Nincs kép és adat",IF(H710=0,"Nincs kép","Nincs adat")))</f>
        <v/>
      </c>
      <c r="L710" s="6" t="inlineStr">
        <is>
          <t>Igen</t>
        </is>
      </c>
      <c r="M710" s="7" t="inlineStr">
        <is>
          <t>fts-farina.it webáruház (WooCommerce API); FTS 2024 katalógus (PDF)</t>
        </is>
      </c>
      <c r="N710" s="7" t="inlineStr">
        <is>
          <t>Megtalálva: 34480011 – Tappo superiore per profilo Ø34 (kód: 34480011)</t>
        </is>
      </c>
      <c r="O710" s="11" t="inlineStr">
        <is>
          <t>https://www.fts-farina.it/prodotto/34480011-tappo-superiore-per-profilo-o34/</t>
        </is>
      </c>
      <c r="P710" s="11" t="inlineStr">
        <is>
          <t>https://website-9ib.pages.dev/termek/380011-felso-adapter-34-es-csohoz/</t>
        </is>
      </c>
      <c r="Q710" s="12" t="inlineStr"/>
      <c r="R710" s="13" t="inlineStr"/>
      <c r="S710" s="6" t="inlineStr">
        <is>
          <t>380011-felso-adapter-34-es-csohoz</t>
        </is>
      </c>
    </row>
    <row r="711">
      <c r="A711" s="6" t="inlineStr">
        <is>
          <t>381071</t>
        </is>
      </c>
      <c r="B711" s="7" t="inlineStr">
        <is>
          <t>Feszítő kocka sliccelt adapterhez TS</t>
        </is>
      </c>
      <c r="C711" s="6" t="inlineStr">
        <is>
          <t>Ponyvarendszer kiegészítők</t>
        </is>
      </c>
      <c r="D711" s="6" t="inlineStr">
        <is>
          <t>Ponyvafeszítő profilok és alkatrészei</t>
        </is>
      </c>
      <c r="E711" s="6" t="inlineStr">
        <is>
          <t>FTS</t>
        </is>
      </c>
      <c r="F711" s="6" t="inlineStr">
        <is>
          <t>34480045/R/L</t>
        </is>
      </c>
      <c r="G711" s="6" t="inlineStr">
        <is>
          <t>Quadris Excel</t>
        </is>
      </c>
      <c r="H711" s="6" t="n">
        <v>3</v>
      </c>
      <c r="I711" s="6" t="n">
        <v>1</v>
      </c>
      <c r="J711" s="6" t="inlineStr">
        <is>
          <t>nincs</t>
        </is>
      </c>
      <c r="K711" s="6">
        <f>IF(AND(H711&gt;0,I711&gt;0),"Rendben",IF(AND(H711=0,I711=0),"Nincs kép és adat",IF(H711=0,"Nincs kép","Nincs adat")))</f>
        <v/>
      </c>
      <c r="L711" s="6" t="inlineStr">
        <is>
          <t>Igen</t>
        </is>
      </c>
      <c r="M711" s="7" t="inlineStr">
        <is>
          <t>fts-farina.it webáruház (WooCommerce API); FTS 2024 katalógus (PDF)</t>
        </is>
      </c>
      <c r="N711" s="7" t="inlineStr">
        <is>
          <t>Megtalálva: 34480045/R – Tenditore destro zincato attacco a taglio Ø25 (kód: 34480045)</t>
        </is>
      </c>
      <c r="O711" s="11" t="inlineStr">
        <is>
          <t>https://www.fts-farina.it/prodotto/34480045-r-tenditore-destro-zincato-attacco-a-taglio-o25/</t>
        </is>
      </c>
      <c r="P711" s="11" t="inlineStr">
        <is>
          <t>https://website-9ib.pages.dev/termek/381071-feszito-kocka-sliccelt-adapterhez-ts/</t>
        </is>
      </c>
      <c r="Q711" s="12" t="inlineStr"/>
      <c r="R711" s="13" t="inlineStr"/>
      <c r="S711" s="6" t="inlineStr">
        <is>
          <t>381071-feszito-kocka-sliccelt-adapterhez-ts</t>
        </is>
      </c>
    </row>
    <row r="712">
      <c r="A712" s="6" t="inlineStr">
        <is>
          <t>381073</t>
        </is>
      </c>
      <c r="B712" s="7" t="inlineStr">
        <is>
          <t>Feszítő kocka szögletes adapterhez</t>
        </is>
      </c>
      <c r="C712" s="6" t="inlineStr">
        <is>
          <t>Ponyvarendszer kiegészítők</t>
        </is>
      </c>
      <c r="D712" s="6" t="inlineStr">
        <is>
          <t>Ponyvafeszítő profilok és alkatrészei</t>
        </is>
      </c>
      <c r="E712" s="6" t="inlineStr">
        <is>
          <t>FTS</t>
        </is>
      </c>
      <c r="F712" s="6" t="inlineStr">
        <is>
          <t>34480055/R/L</t>
        </is>
      </c>
      <c r="G712" s="6" t="inlineStr">
        <is>
          <t>Quadris Excel</t>
        </is>
      </c>
      <c r="H712" s="6" t="n">
        <v>3</v>
      </c>
      <c r="I712" s="6" t="n">
        <v>1</v>
      </c>
      <c r="J712" s="6" t="inlineStr">
        <is>
          <t>nincs</t>
        </is>
      </c>
      <c r="K712" s="6">
        <f>IF(AND(H712&gt;0,I712&gt;0),"Rendben",IF(AND(H712=0,I712=0),"Nincs kép és adat",IF(H712=0,"Nincs kép","Nincs adat")))</f>
        <v/>
      </c>
      <c r="L712" s="6" t="inlineStr">
        <is>
          <t>Igen</t>
        </is>
      </c>
      <c r="M712" s="7" t="inlineStr">
        <is>
          <t>fts-farina.it webáruház (WooCommerce API); FTS 2024 katalógus (PDF)</t>
        </is>
      </c>
      <c r="N712" s="7" t="inlineStr">
        <is>
          <t>Megtalálva: 34480055/R – Tenditore destro zincato attacco a squadro 12×12 (kód: 34480055)</t>
        </is>
      </c>
      <c r="O712" s="11" t="inlineStr">
        <is>
          <t>https://www.fts-farina.it/prodotto/34480055-r-tenditore-destro-zincato-attacco-a-squadro-12x12/</t>
        </is>
      </c>
      <c r="P712" s="11" t="inlineStr">
        <is>
          <t>https://website-9ib.pages.dev/termek/381073-feszito-kocka-szogletes-adapterhez/</t>
        </is>
      </c>
      <c r="Q712" s="12" t="inlineStr"/>
      <c r="R712" s="13" t="inlineStr"/>
      <c r="S712" s="6" t="inlineStr">
        <is>
          <t>381073-feszito-kocka-szogletes-adapterhez</t>
        </is>
      </c>
    </row>
    <row r="713">
      <c r="A713" s="6" t="inlineStr">
        <is>
          <t>380081</t>
        </is>
      </c>
      <c r="B713" s="7" t="inlineStr">
        <is>
          <t>PWP Racsnis feszítő sliccelt L</t>
        </is>
      </c>
      <c r="C713" s="6" t="inlineStr">
        <is>
          <t>Ponyvarendszer kiegészítők</t>
        </is>
      </c>
      <c r="D713" s="6" t="inlineStr">
        <is>
          <t>Ponyvafeszítő profilok és alkatrészei</t>
        </is>
      </c>
      <c r="E713" s="6" t="inlineStr">
        <is>
          <t>FTS</t>
        </is>
      </c>
      <c r="F713" s="6" t="inlineStr">
        <is>
          <t>34480081</t>
        </is>
      </c>
      <c r="G713" s="6" t="inlineStr">
        <is>
          <t>Quadris Excel</t>
        </is>
      </c>
      <c r="H713" s="6" t="n">
        <v>0</v>
      </c>
      <c r="I713" s="6" t="n">
        <v>0</v>
      </c>
      <c r="J713" s="6" t="inlineStr">
        <is>
          <t>nincs</t>
        </is>
      </c>
      <c r="K713" s="6">
        <f>IF(AND(H713&gt;0,I713&gt;0),"Rendben",IF(AND(H713=0,I713=0),"Nincs kép és adat",IF(H713=0,"Nincs kép","Nincs adat")))</f>
        <v/>
      </c>
      <c r="L713" s="6" t="inlineStr">
        <is>
          <t>Igen</t>
        </is>
      </c>
      <c r="M713" s="7" t="inlineStr">
        <is>
          <t>fts-farina.it webáruház (WooCommerce API); FTS 2024 katalógus (PDF)</t>
        </is>
      </c>
      <c r="N713" s="7" t="inlineStr">
        <is>
          <t>Nem találtuk: fts-farina.it webáruház (WooCommerce API); FTS 2024 katalógus (PDF)</t>
        </is>
      </c>
      <c r="O713" s="6" t="inlineStr"/>
      <c r="P713" s="11" t="inlineStr">
        <is>
          <t>https://website-9ib.pages.dev/termek/380081-pwp-racsnis-feszito-sliccelt-l/</t>
        </is>
      </c>
      <c r="Q713" s="12" t="inlineStr"/>
      <c r="R713" s="13" t="inlineStr"/>
      <c r="S713" s="6" t="inlineStr">
        <is>
          <t>380081-pwp-racsnis-feszito-sliccelt-l</t>
        </is>
      </c>
    </row>
    <row r="714">
      <c r="A714" s="6" t="inlineStr">
        <is>
          <t>380080</t>
        </is>
      </c>
      <c r="B714" s="7" t="inlineStr">
        <is>
          <t>PWP Racsnis feszítő sliccelt R</t>
        </is>
      </c>
      <c r="C714" s="6" t="inlineStr">
        <is>
          <t>Ponyvarendszer kiegészítők</t>
        </is>
      </c>
      <c r="D714" s="6" t="inlineStr">
        <is>
          <t>Ponyvafeszítő profilok és alkatrészei</t>
        </is>
      </c>
      <c r="E714" s="6" t="inlineStr">
        <is>
          <t>FTS</t>
        </is>
      </c>
      <c r="F714" s="6" t="inlineStr">
        <is>
          <t>34480080</t>
        </is>
      </c>
      <c r="G714" s="6" t="inlineStr">
        <is>
          <t>Quadris Excel</t>
        </is>
      </c>
      <c r="H714" s="6" t="n">
        <v>0</v>
      </c>
      <c r="I714" s="6" t="n">
        <v>0</v>
      </c>
      <c r="J714" s="6" t="inlineStr">
        <is>
          <t>nincs</t>
        </is>
      </c>
      <c r="K714" s="6">
        <f>IF(AND(H714&gt;0,I714&gt;0),"Rendben",IF(AND(H714=0,I714=0),"Nincs kép és adat",IF(H714=0,"Nincs kép","Nincs adat")))</f>
        <v/>
      </c>
      <c r="L714" s="6" t="inlineStr">
        <is>
          <t>Igen</t>
        </is>
      </c>
      <c r="M714" s="7" t="inlineStr">
        <is>
          <t>fts-farina.it webáruház (WooCommerce API); FTS 2024 katalógus (PDF)</t>
        </is>
      </c>
      <c r="N714" s="7" t="inlineStr">
        <is>
          <t>Nem találtuk: fts-farina.it webáruház (WooCommerce API); FTS 2024 katalógus (PDF)</t>
        </is>
      </c>
      <c r="O714" s="6" t="inlineStr"/>
      <c r="P714" s="11" t="inlineStr">
        <is>
          <t>https://website-9ib.pages.dev/termek/380080-pwp-racsnis-feszito-sliccelt-r/</t>
        </is>
      </c>
      <c r="Q714" s="12" t="inlineStr"/>
      <c r="R714" s="13" t="inlineStr"/>
      <c r="S714" s="6" t="inlineStr">
        <is>
          <t>380080-pwp-racsnis-feszito-sliccelt-r</t>
        </is>
      </c>
    </row>
    <row r="715">
      <c r="A715" s="6" t="inlineStr">
        <is>
          <t>380024</t>
        </is>
      </c>
      <c r="B715" s="7" t="inlineStr">
        <is>
          <t>PWP Racsnis feszítő, kocka adapter L</t>
        </is>
      </c>
      <c r="C715" s="6" t="inlineStr">
        <is>
          <t>Ponyvarendszer kiegészítők</t>
        </is>
      </c>
      <c r="D715" s="6" t="inlineStr">
        <is>
          <t>Ponyvafeszítő profilok és alkatrészei</t>
        </is>
      </c>
      <c r="E715" s="6" t="inlineStr">
        <is>
          <t>FTS</t>
        </is>
      </c>
      <c r="F715" s="6" t="inlineStr">
        <is>
          <t>736024</t>
        </is>
      </c>
      <c r="G715" s="6" t="inlineStr">
        <is>
          <t>Quadris Excel</t>
        </is>
      </c>
      <c r="H715" s="6" t="n">
        <v>0</v>
      </c>
      <c r="I715" s="6" t="n">
        <v>0</v>
      </c>
      <c r="J715" s="6" t="inlineStr">
        <is>
          <t>nincs</t>
        </is>
      </c>
      <c r="K715" s="6">
        <f>IF(AND(H715&gt;0,I715&gt;0),"Rendben",IF(AND(H715=0,I715=0),"Nincs kép és adat",IF(H715=0,"Nincs kép","Nincs adat")))</f>
        <v/>
      </c>
      <c r="L715" s="6" t="inlineStr">
        <is>
          <t>Igen</t>
        </is>
      </c>
      <c r="M715" s="7" t="inlineStr">
        <is>
          <t>fts-farina.it webáruház (WooCommerce API); FTS 2024 katalógus (PDF)</t>
        </is>
      </c>
      <c r="N715" s="7" t="inlineStr">
        <is>
          <t>Nem találtuk: fts-farina.it webáruház (WooCommerce API); FTS 2024 katalógus (PDF)</t>
        </is>
      </c>
      <c r="O715" s="6" t="inlineStr"/>
      <c r="P715" s="11" t="inlineStr">
        <is>
          <t>https://website-9ib.pages.dev/termek/380024-pwp-racsnis-feszito-kocka-adapter-l/</t>
        </is>
      </c>
      <c r="Q715" s="12" t="inlineStr"/>
      <c r="R715" s="13" t="inlineStr"/>
      <c r="S715" s="6" t="inlineStr">
        <is>
          <t>380024-pwp-racsnis-feszito-kocka-adapter-l</t>
        </is>
      </c>
    </row>
    <row r="716">
      <c r="A716" s="6" t="inlineStr">
        <is>
          <t>380025</t>
        </is>
      </c>
      <c r="B716" s="7" t="inlineStr">
        <is>
          <t>PWP Racsnis feszítő, kocka adapter R</t>
        </is>
      </c>
      <c r="C716" s="6" t="inlineStr">
        <is>
          <t>Ponyvarendszer kiegészítők</t>
        </is>
      </c>
      <c r="D716" s="6" t="inlineStr">
        <is>
          <t>Ponyvafeszítő profilok és alkatrészei</t>
        </is>
      </c>
      <c r="E716" s="6" t="inlineStr">
        <is>
          <t>FTS</t>
        </is>
      </c>
      <c r="F716" s="6" t="inlineStr">
        <is>
          <t>736025</t>
        </is>
      </c>
      <c r="G716" s="6" t="inlineStr">
        <is>
          <t>Quadris Excel</t>
        </is>
      </c>
      <c r="H716" s="6" t="n">
        <v>0</v>
      </c>
      <c r="I716" s="6" t="n">
        <v>0</v>
      </c>
      <c r="J716" s="6" t="inlineStr">
        <is>
          <t>nincs</t>
        </is>
      </c>
      <c r="K716" s="6">
        <f>IF(AND(H716&gt;0,I716&gt;0),"Rendben",IF(AND(H716=0,I716=0),"Nincs kép és adat",IF(H716=0,"Nincs kép","Nincs adat")))</f>
        <v/>
      </c>
      <c r="L716" s="6" t="inlineStr">
        <is>
          <t>Igen</t>
        </is>
      </c>
      <c r="M716" s="7" t="inlineStr">
        <is>
          <t>fts-farina.it webáruház (WooCommerce API); FTS 2024 katalógus (PDF)</t>
        </is>
      </c>
      <c r="N716" s="7" t="inlineStr">
        <is>
          <t>Nem találtuk: fts-farina.it webáruház (WooCommerce API); FTS 2024 katalógus (PDF)</t>
        </is>
      </c>
      <c r="O716" s="6" t="inlineStr"/>
      <c r="P716" s="11" t="inlineStr">
        <is>
          <t>https://website-9ib.pages.dev/termek/380025-pwp-racsnis-feszito-kocka-adapter-r/</t>
        </is>
      </c>
      <c r="Q716" s="12" t="inlineStr"/>
      <c r="R716" s="13" t="inlineStr"/>
      <c r="S716" s="6" t="inlineStr">
        <is>
          <t>380025-pwp-racsnis-feszito-kocka-adapter-r</t>
        </is>
      </c>
    </row>
    <row r="717">
      <c r="A717" s="6" t="inlineStr">
        <is>
          <t>380061</t>
        </is>
      </c>
      <c r="B717" s="7" t="inlineStr">
        <is>
          <t>Racsnis feszítő L</t>
        </is>
      </c>
      <c r="C717" s="6" t="inlineStr">
        <is>
          <t>Ponyvarendszer kiegészítők</t>
        </is>
      </c>
      <c r="D717" s="6" t="inlineStr">
        <is>
          <t>Ponyvafeszítő profilok és alkatrészei</t>
        </is>
      </c>
      <c r="E717" s="6" t="inlineStr">
        <is>
          <t>FTS</t>
        </is>
      </c>
      <c r="F717" s="6" t="inlineStr">
        <is>
          <t>34480061</t>
        </is>
      </c>
      <c r="G717" s="6" t="inlineStr">
        <is>
          <t>Quadris Excel</t>
        </is>
      </c>
      <c r="H717" s="6" t="n">
        <v>2</v>
      </c>
      <c r="I717" s="6" t="n">
        <v>1</v>
      </c>
      <c r="J717" s="6" t="inlineStr">
        <is>
          <t>nincs</t>
        </is>
      </c>
      <c r="K717" s="6">
        <f>IF(AND(H717&gt;0,I717&gt;0),"Rendben",IF(AND(H717=0,I717=0),"Nincs kép és adat",IF(H717=0,"Nincs kép","Nincs adat")))</f>
        <v/>
      </c>
      <c r="L717" s="6" t="inlineStr">
        <is>
          <t>Igen</t>
        </is>
      </c>
      <c r="M717" s="7" t="inlineStr">
        <is>
          <t>fts-farina.it webáruház (WooCommerce API); FTS 2024 katalógus (PDF)</t>
        </is>
      </c>
      <c r="N717" s="7" t="inlineStr">
        <is>
          <t>Megtalálva: 34480061 – Tenditore TR sinistro in dacromet attac. a taglio Ø25 (kód: 34480061)</t>
        </is>
      </c>
      <c r="O717" s="11" t="inlineStr">
        <is>
          <t>https://www.fts-farina.it/prodotto/34480061-tenditore-tr-sinistro-in-dacromet-attac-a-taglio-o25/</t>
        </is>
      </c>
      <c r="P717" s="11" t="inlineStr">
        <is>
          <t>https://website-9ib.pages.dev/termek/380061-racsnis-feszito-l/</t>
        </is>
      </c>
      <c r="Q717" s="12" t="inlineStr"/>
      <c r="R717" s="13" t="inlineStr"/>
      <c r="S717" s="6" t="inlineStr">
        <is>
          <t>380061-racsnis-feszito-l</t>
        </is>
      </c>
    </row>
    <row r="718">
      <c r="A718" s="6" t="inlineStr">
        <is>
          <t>380060</t>
        </is>
      </c>
      <c r="B718" s="7" t="inlineStr">
        <is>
          <t>Racsnis feszítő R</t>
        </is>
      </c>
      <c r="C718" s="6" t="inlineStr">
        <is>
          <t>Ponyvarendszer kiegészítők</t>
        </is>
      </c>
      <c r="D718" s="6" t="inlineStr">
        <is>
          <t>Ponyvafeszítő profilok és alkatrészei</t>
        </is>
      </c>
      <c r="E718" s="6" t="inlineStr">
        <is>
          <t>FTS</t>
        </is>
      </c>
      <c r="F718" s="6" t="inlineStr">
        <is>
          <t>34480060</t>
        </is>
      </c>
      <c r="G718" s="6" t="inlineStr">
        <is>
          <t>Quadris Excel</t>
        </is>
      </c>
      <c r="H718" s="6" t="n">
        <v>2</v>
      </c>
      <c r="I718" s="6" t="n">
        <v>1</v>
      </c>
      <c r="J718" s="6" t="inlineStr">
        <is>
          <t>nincs</t>
        </is>
      </c>
      <c r="K718" s="6">
        <f>IF(AND(H718&gt;0,I718&gt;0),"Rendben",IF(AND(H718=0,I718=0),"Nincs kép és adat",IF(H718=0,"Nincs kép","Nincs adat")))</f>
        <v/>
      </c>
      <c r="L718" s="6" t="inlineStr">
        <is>
          <t>Igen</t>
        </is>
      </c>
      <c r="M718" s="7" t="inlineStr">
        <is>
          <t>fts-farina.it webáruház (WooCommerce API); FTS 2024 katalógus (PDF)</t>
        </is>
      </c>
      <c r="N718" s="7" t="inlineStr">
        <is>
          <t>Megtalálva: 34480060 – Tenditore TR destro in dacromet attac. a taglio Ø25 (kód: 34480060)</t>
        </is>
      </c>
      <c r="O718" s="11" t="inlineStr">
        <is>
          <t>https://www.fts-farina.it/prodotto/34480060-tenditore-tr-destro-in-dacromet-attac-a-taglio-o25/</t>
        </is>
      </c>
      <c r="P718" s="11" t="inlineStr">
        <is>
          <t>https://website-9ib.pages.dev/termek/380060-racsnis-feszito-r/</t>
        </is>
      </c>
      <c r="Q718" s="12" t="inlineStr"/>
      <c r="R718" s="13" t="inlineStr"/>
      <c r="S718" s="6" t="inlineStr">
        <is>
          <t>380060-racsnis-feszito-r</t>
        </is>
      </c>
    </row>
    <row r="719">
      <c r="A719" s="6" t="inlineStr">
        <is>
          <t>380070/71</t>
        </is>
      </c>
      <c r="B719" s="7" t="inlineStr">
        <is>
          <t>Racsnis feszítő kocka adapterhez J-B H</t>
        </is>
      </c>
      <c r="C719" s="6" t="inlineStr">
        <is>
          <t>Ponyvarendszer kiegészítők</t>
        </is>
      </c>
      <c r="D719" s="6" t="inlineStr">
        <is>
          <t>Ponyvafeszítő profilok és alkatrészei</t>
        </is>
      </c>
      <c r="E719" s="6" t="inlineStr">
        <is>
          <t>FTS</t>
        </is>
      </c>
      <c r="F719" s="6" t="inlineStr">
        <is>
          <t>HESTAL</t>
        </is>
      </c>
      <c r="G719" s="6" t="inlineStr">
        <is>
          <t>Quadris Excel</t>
        </is>
      </c>
      <c r="H719" s="6" t="n">
        <v>0</v>
      </c>
      <c r="I719" s="6" t="n">
        <v>0</v>
      </c>
      <c r="J719" s="6" t="inlineStr">
        <is>
          <t>nincs</t>
        </is>
      </c>
      <c r="K719" s="6">
        <f>IF(AND(H719&gt;0,I719&gt;0),"Rendben",IF(AND(H719=0,I719=0),"Nincs kép és adat",IF(H719=0,"Nincs kép","Nincs adat")))</f>
        <v/>
      </c>
      <c r="L719" s="6" t="inlineStr">
        <is>
          <t>Igen</t>
        </is>
      </c>
      <c r="M719" s="7" t="inlineStr">
        <is>
          <t>fts-farina.it webáruház (WooCommerce API); FTS 2024 katalógus (PDF)</t>
        </is>
      </c>
      <c r="N719" s="7" t="inlineStr">
        <is>
          <t>Nem találtuk: fts-farina.it webáruház (WooCommerce API); FTS 2024 katalógus (PDF)</t>
        </is>
      </c>
      <c r="O719" s="6" t="inlineStr"/>
      <c r="P719" s="11" t="inlineStr">
        <is>
          <t>https://website-9ib.pages.dev/termek/380070-71-racsnis-feszito-kocka-adapterhez-j-b-h/</t>
        </is>
      </c>
      <c r="Q719" s="12" t="inlineStr"/>
      <c r="R719" s="13" t="inlineStr"/>
      <c r="S719" s="6" t="inlineStr">
        <is>
          <t>380070-71-racsnis-feszito-kocka-adapterhez-j-b-h</t>
        </is>
      </c>
    </row>
    <row r="720">
      <c r="A720" s="6" t="inlineStr">
        <is>
          <t>100110</t>
        </is>
      </c>
      <c r="B720" s="7" t="inlineStr">
        <is>
          <t>Seprűtartó 80 mm</t>
        </is>
      </c>
      <c r="C720" s="6" t="inlineStr">
        <is>
          <t>Ponyvarendszer kiegészítők</t>
        </is>
      </c>
      <c r="D720" s="6" t="inlineStr">
        <is>
          <t>Ponyvatartó alkatrészek</t>
        </is>
      </c>
      <c r="E720" s="6" t="inlineStr">
        <is>
          <t>FTS</t>
        </is>
      </c>
      <c r="F720" s="6" t="inlineStr">
        <is>
          <t>45070110</t>
        </is>
      </c>
      <c r="G720" s="6" t="inlineStr">
        <is>
          <t>Quadris Excel</t>
        </is>
      </c>
      <c r="H720" s="6" t="n">
        <v>2</v>
      </c>
      <c r="I720" s="6" t="n">
        <v>1</v>
      </c>
      <c r="J720" s="6" t="inlineStr">
        <is>
          <t>nincs</t>
        </is>
      </c>
      <c r="K720" s="6">
        <f>IF(AND(H720&gt;0,I720&gt;0),"Rendben",IF(AND(H720=0,I720=0),"Nincs kép és adat",IF(H720=0,"Nincs kép","Nincs adat")))</f>
        <v/>
      </c>
      <c r="L720" s="6" t="inlineStr">
        <is>
          <t>Igen</t>
        </is>
      </c>
      <c r="M720" s="7" t="inlineStr">
        <is>
          <t>fts-farina.it webáruház (WooCommerce API); FTS 2024 katalógus (PDF)</t>
        </is>
      </c>
      <c r="N720" s="7" t="inlineStr">
        <is>
          <t>Megtalálva: 45070110 – Supporto porta utensili zincato da Ø28÷Ø40 (kód: 45070110)</t>
        </is>
      </c>
      <c r="O720" s="11" t="inlineStr">
        <is>
          <t>https://www.fts-farina.it/prodotto/45070110-supporto-porta-utensili-zincato-da-o28%c3%b7o40/</t>
        </is>
      </c>
      <c r="P720" s="11" t="inlineStr">
        <is>
          <t>https://website-9ib.pages.dev/termek/100110-seprutarto-80-mm/</t>
        </is>
      </c>
      <c r="Q720" s="12" t="inlineStr"/>
      <c r="R720" s="13" t="inlineStr"/>
      <c r="S720" s="6" t="inlineStr">
        <is>
          <t>100110-seprutarto-80-mm</t>
        </is>
      </c>
    </row>
    <row r="721">
      <c r="A721" s="6" t="inlineStr">
        <is>
          <t>380810</t>
        </is>
      </c>
      <c r="B721" s="7" t="inlineStr">
        <is>
          <t>TTS racsnis feszítő, kétoldalas</t>
        </is>
      </c>
      <c r="C721" s="6" t="inlineStr">
        <is>
          <t>Ponyvarendszer kiegészítők</t>
        </is>
      </c>
      <c r="D721" s="6" t="inlineStr">
        <is>
          <t>Ponyvafeszítő profilok és alkatrészei</t>
        </is>
      </c>
      <c r="E721" s="6" t="inlineStr">
        <is>
          <t>FTS</t>
        </is>
      </c>
      <c r="F721" s="6" t="inlineStr">
        <is>
          <t>34480010</t>
        </is>
      </c>
      <c r="G721" s="6" t="inlineStr">
        <is>
          <t>Quadris Excel</t>
        </is>
      </c>
      <c r="H721" s="6" t="n">
        <v>2</v>
      </c>
      <c r="I721" s="6" t="n">
        <v>1</v>
      </c>
      <c r="J721" s="6" t="inlineStr">
        <is>
          <t>nincs</t>
        </is>
      </c>
      <c r="K721" s="6">
        <f>IF(AND(H721&gt;0,I721&gt;0),"Rendben",IF(AND(H721=0,I721=0),"Nincs kép és adat",IF(H721=0,"Nincs kép","Nincs adat")))</f>
        <v/>
      </c>
      <c r="L721" s="6" t="inlineStr">
        <is>
          <t>Igen</t>
        </is>
      </c>
      <c r="M721" s="7" t="inlineStr">
        <is>
          <t>fts-farina.it webáruház (WooCommerce API); FTS 2024 katalógus (PDF)</t>
        </is>
      </c>
      <c r="N721" s="7" t="inlineStr">
        <is>
          <t>Megtalálva: 34480010 – Tenditore zincato doppio attacco a taglio Ø25 (kód: 34480010)</t>
        </is>
      </c>
      <c r="O721" s="11" t="inlineStr">
        <is>
          <t>https://www.fts-farina.it/prodotto/34480010-tenditore-zincato-doppio-attacco-a-taglio-o25/</t>
        </is>
      </c>
      <c r="P721" s="11" t="inlineStr">
        <is>
          <t>https://website-9ib.pages.dev/termek/380810-tts-racsnis-feszito-ketoldalas/</t>
        </is>
      </c>
      <c r="Q721" s="12" t="inlineStr"/>
      <c r="R721" s="13" t="inlineStr"/>
      <c r="S721" s="6" t="inlineStr">
        <is>
          <t>380810-tts-racsnis-feszito-ketoldalas</t>
        </is>
      </c>
    </row>
    <row r="722">
      <c r="A722" s="6" t="inlineStr">
        <is>
          <t>381420</t>
        </is>
      </c>
      <c r="B722" s="7" t="inlineStr">
        <is>
          <t>Tekerő kurbli</t>
        </is>
      </c>
      <c r="C722" s="6" t="inlineStr">
        <is>
          <t>Ponyvarendszer kiegészítők</t>
        </is>
      </c>
      <c r="D722" s="6" t="inlineStr">
        <is>
          <t>Ponyvafeszítő profilok és alkatrészei</t>
        </is>
      </c>
      <c r="E722" s="6" t="inlineStr">
        <is>
          <t>FTS</t>
        </is>
      </c>
      <c r="F722" s="6" t="inlineStr">
        <is>
          <t>34480041</t>
        </is>
      </c>
      <c r="G722" s="6" t="inlineStr">
        <is>
          <t>Quadris Excel</t>
        </is>
      </c>
      <c r="H722" s="6" t="n">
        <v>2</v>
      </c>
      <c r="I722" s="6" t="n">
        <v>1</v>
      </c>
      <c r="J722" s="6" t="inlineStr">
        <is>
          <t>nincs</t>
        </is>
      </c>
      <c r="K722" s="6">
        <f>IF(AND(H722&gt;0,I722&gt;0),"Rendben",IF(AND(H722=0,I722=0),"Nincs kép és adat",IF(H722=0,"Nincs kép","Nincs adat")))</f>
        <v/>
      </c>
      <c r="L722" s="6" t="inlineStr">
        <is>
          <t>Igen</t>
        </is>
      </c>
      <c r="M722" s="7" t="inlineStr">
        <is>
          <t>fts-farina.it webáruház (WooCommerce API); FTS 2024 katalógus (PDF)</t>
        </is>
      </c>
      <c r="N722" s="7" t="inlineStr">
        <is>
          <t>Megtalálva: 34480041 – Maniglia zincata per tenditore (kód: 34480041)</t>
        </is>
      </c>
      <c r="O722" s="11" t="inlineStr">
        <is>
          <t>https://www.fts-farina.it/prodotto/34480041-maniglia-zincata-per-tenditore/</t>
        </is>
      </c>
      <c r="P722" s="11" t="inlineStr">
        <is>
          <t>https://website-9ib.pages.dev/termek/381420-tekero-kurbli/</t>
        </is>
      </c>
      <c r="Q722" s="12" t="inlineStr"/>
      <c r="R722" s="13" t="inlineStr"/>
      <c r="S722" s="6" t="inlineStr">
        <is>
          <t>381420-tekero-kurbli</t>
        </is>
      </c>
    </row>
    <row r="723">
      <c r="A723" s="6" t="inlineStr">
        <is>
          <t>380091</t>
        </is>
      </c>
      <c r="B723" s="7" t="inlineStr">
        <is>
          <t>W Racsnis feszítő quadrat L</t>
        </is>
      </c>
      <c r="C723" s="6" t="inlineStr">
        <is>
          <t>Ponyvarendszer kiegészítők</t>
        </is>
      </c>
      <c r="D723" s="6" t="inlineStr">
        <is>
          <t>Ponyvafeszítő profilok és alkatrészei</t>
        </is>
      </c>
      <c r="E723" s="6" t="inlineStr">
        <is>
          <t>FTS</t>
        </is>
      </c>
      <c r="F723" s="6" t="inlineStr">
        <is>
          <t>34480091</t>
        </is>
      </c>
      <c r="G723" s="6" t="inlineStr">
        <is>
          <t>Quadris Excel</t>
        </is>
      </c>
      <c r="H723" s="6" t="n">
        <v>0</v>
      </c>
      <c r="I723" s="6" t="n">
        <v>0</v>
      </c>
      <c r="J723" s="6" t="inlineStr">
        <is>
          <t>nincs</t>
        </is>
      </c>
      <c r="K723" s="6">
        <f>IF(AND(H723&gt;0,I723&gt;0),"Rendben",IF(AND(H723=0,I723=0),"Nincs kép és adat",IF(H723=0,"Nincs kép","Nincs adat")))</f>
        <v/>
      </c>
      <c r="L723" s="6" t="inlineStr">
        <is>
          <t>Igen</t>
        </is>
      </c>
      <c r="M723" s="7" t="inlineStr">
        <is>
          <t>fts-farina.it webáruház (WooCommerce API); FTS 2024 katalógus (PDF)</t>
        </is>
      </c>
      <c r="N723" s="7" t="inlineStr">
        <is>
          <t>Nem találtuk: fts-farina.it webáruház (WooCommerce API); FTS 2024 katalógus (PDF)</t>
        </is>
      </c>
      <c r="O723" s="6" t="inlineStr"/>
      <c r="P723" s="11" t="inlineStr">
        <is>
          <t>https://website-9ib.pages.dev/termek/380091-w-racsnis-feszito-quadrat-l/</t>
        </is>
      </c>
      <c r="Q723" s="12" t="inlineStr"/>
      <c r="R723" s="13" t="inlineStr"/>
      <c r="S723" s="6" t="inlineStr">
        <is>
          <t>380091-w-racsnis-feszito-quadrat-l</t>
        </is>
      </c>
    </row>
    <row r="724">
      <c r="A724" s="6" t="inlineStr">
        <is>
          <t>380090</t>
        </is>
      </c>
      <c r="B724" s="7" t="inlineStr">
        <is>
          <t>W Racsnis feszítő quadrat R</t>
        </is>
      </c>
      <c r="C724" s="6" t="inlineStr">
        <is>
          <t>Ponyvarendszer kiegészítők</t>
        </is>
      </c>
      <c r="D724" s="6" t="inlineStr">
        <is>
          <t>Ponyvafeszítő profilok és alkatrészei</t>
        </is>
      </c>
      <c r="E724" s="6" t="inlineStr">
        <is>
          <t>FTS</t>
        </is>
      </c>
      <c r="F724" s="6" t="inlineStr">
        <is>
          <t>34480090</t>
        </is>
      </c>
      <c r="G724" s="6" t="inlineStr">
        <is>
          <t>Quadris Excel</t>
        </is>
      </c>
      <c r="H724" s="6" t="n">
        <v>0</v>
      </c>
      <c r="I724" s="6" t="n">
        <v>0</v>
      </c>
      <c r="J724" s="6" t="inlineStr">
        <is>
          <t>nincs</t>
        </is>
      </c>
      <c r="K724" s="6">
        <f>IF(AND(H724&gt;0,I724&gt;0),"Rendben",IF(AND(H724=0,I724=0),"Nincs kép és adat",IF(H724=0,"Nincs kép","Nincs adat")))</f>
        <v/>
      </c>
      <c r="L724" s="6" t="inlineStr">
        <is>
          <t>Igen</t>
        </is>
      </c>
      <c r="M724" s="7" t="inlineStr">
        <is>
          <t>fts-farina.it webáruház (WooCommerce API); FTS 2024 katalógus (PDF)</t>
        </is>
      </c>
      <c r="N724" s="7" t="inlineStr">
        <is>
          <t>Nem találtuk: fts-farina.it webáruház (WooCommerce API); FTS 2024 katalógus (PDF)</t>
        </is>
      </c>
      <c r="O724" s="6" t="inlineStr"/>
      <c r="P724" s="11" t="inlineStr">
        <is>
          <t>https://website-9ib.pages.dev/termek/380090-w-racsnis-feszito-quadrat-r/</t>
        </is>
      </c>
      <c r="Q724" s="12" t="inlineStr"/>
      <c r="R724" s="13" t="inlineStr"/>
      <c r="S724" s="6" t="inlineStr">
        <is>
          <t>380090-w-racsnis-feszito-quadrat-r</t>
        </is>
      </c>
    </row>
    <row r="725">
      <c r="A725" s="6" t="inlineStr">
        <is>
          <t>100591</t>
        </is>
      </c>
      <c r="B725" s="7" t="inlineStr">
        <is>
          <t>Íves aláfutásgátló végzáró PVC</t>
        </is>
      </c>
      <c r="C725" s="6" t="inlineStr">
        <is>
          <t>Ponyvarendszer kiegészítők</t>
        </is>
      </c>
      <c r="D725" s="6" t="inlineStr">
        <is>
          <t>Ponyvatartó alkatrészek</t>
        </is>
      </c>
      <c r="E725" s="6" t="inlineStr">
        <is>
          <t>FTS</t>
        </is>
      </c>
      <c r="F725" s="6" t="inlineStr">
        <is>
          <t>58924056</t>
        </is>
      </c>
      <c r="G725" s="6" t="inlineStr">
        <is>
          <t>Quadris Excel</t>
        </is>
      </c>
      <c r="H725" s="6" t="n">
        <v>2</v>
      </c>
      <c r="I725" s="6" t="n">
        <v>1</v>
      </c>
      <c r="J725" s="6" t="inlineStr">
        <is>
          <t>nincs</t>
        </is>
      </c>
      <c r="K725" s="6">
        <f>IF(AND(H725&gt;0,I725&gt;0),"Rendben",IF(AND(H725=0,I725=0),"Nincs kép és adat",IF(H725=0,"Nincs kép","Nincs adat")))</f>
        <v/>
      </c>
      <c r="L725" s="6" t="inlineStr">
        <is>
          <t>Igen</t>
        </is>
      </c>
      <c r="M725" s="7" t="inlineStr">
        <is>
          <t>fts-farina.it webáruház (WooCommerce API); FTS 2024 katalógus (PDF)</t>
        </is>
      </c>
      <c r="N725" s="7" t="inlineStr">
        <is>
          <t>Megtalálva: 58924056 – Tappo d’angolo in pvc con perni (kód: 58924056)</t>
        </is>
      </c>
      <c r="O725" s="11" t="inlineStr">
        <is>
          <t>https://www.fts-farina.it/prodotto/58924056-tappo-dangolo-in-pvc-con-perni/</t>
        </is>
      </c>
      <c r="P725" s="11" t="inlineStr">
        <is>
          <t>https://website-9ib.pages.dev/termek/100591-ives-alafutasgatlo-vegzaro-pvc/</t>
        </is>
      </c>
      <c r="Q725" s="12" t="inlineStr"/>
      <c r="R725" s="13" t="inlineStr"/>
      <c r="S725" s="6" t="inlineStr">
        <is>
          <t>100591-ives-alafutasgatlo-vegzaro-pvc</t>
        </is>
      </c>
    </row>
    <row r="726">
      <c r="A726" s="6" t="inlineStr">
        <is>
          <t>125310</t>
        </is>
      </c>
      <c r="B726" s="7" t="inlineStr">
        <is>
          <t>3-részes rakományrögzítő ovál tányér 800 kg</t>
        </is>
      </c>
      <c r="C726" s="6" t="inlineStr">
        <is>
          <t>Rakományrögzítés</t>
        </is>
      </c>
      <c r="D726" s="6" t="inlineStr">
        <is>
          <t>Rakományrögzítés</t>
        </is>
      </c>
      <c r="E726" s="6" t="inlineStr">
        <is>
          <t>FTS</t>
        </is>
      </c>
      <c r="F726" s="6" t="inlineStr">
        <is>
          <t>45095310</t>
        </is>
      </c>
      <c r="G726" s="6" t="inlineStr">
        <is>
          <t>Quadris Excel</t>
        </is>
      </c>
      <c r="H726" s="6" t="n">
        <v>4</v>
      </c>
      <c r="I726" s="6" t="n">
        <v>1</v>
      </c>
      <c r="J726" s="6" t="inlineStr">
        <is>
          <t>nincs</t>
        </is>
      </c>
      <c r="K726" s="6">
        <f>IF(AND(H726&gt;0,I726&gt;0),"Rendben",IF(AND(H726=0,I726=0),"Nincs kép és adat",IF(H726=0,"Nincs kép","Nincs adat")))</f>
        <v/>
      </c>
      <c r="L726" s="6" t="inlineStr">
        <is>
          <t>Igen</t>
        </is>
      </c>
      <c r="M726" s="7" t="inlineStr">
        <is>
          <t>fts-farina.it webáruház (WooCommerce API); FTS 2024 katalógus (PDF)</t>
        </is>
      </c>
      <c r="N726" s="7" t="inlineStr">
        <is>
          <t>Megtalálva: 45095310 – Anello fermacarico zincato con base ovale (kód: 45095310)</t>
        </is>
      </c>
      <c r="O726" s="11" t="inlineStr">
        <is>
          <t>https://www.fts-farina.it/prodotto/45095310-anello-fermacarico-zincato-con-base-ovale/</t>
        </is>
      </c>
      <c r="P726" s="11" t="inlineStr">
        <is>
          <t>https://website-9ib.pages.dev/termek/125310-3-reszes-rakomanyrogzito-oval-tanyer-800-kg/</t>
        </is>
      </c>
      <c r="Q726" s="12" t="inlineStr"/>
      <c r="R726" s="13" t="inlineStr"/>
      <c r="S726" s="6" t="inlineStr">
        <is>
          <t>125310-3-reszes-rakomanyrogzito-oval-tanyer-800-kg</t>
        </is>
      </c>
    </row>
    <row r="727">
      <c r="A727" s="6" t="inlineStr">
        <is>
          <t>127914</t>
        </is>
      </c>
      <c r="B727" s="7" t="inlineStr">
        <is>
          <t>3M/750daN/ Gurtni, két oldalon csatos</t>
        </is>
      </c>
      <c r="C727" s="6" t="inlineStr">
        <is>
          <t>Rakományrögzítés</t>
        </is>
      </c>
      <c r="D727" s="6" t="inlineStr">
        <is>
          <t>Rakományrögzítés</t>
        </is>
      </c>
      <c r="E727" s="6" t="inlineStr">
        <is>
          <t>FTS</t>
        </is>
      </c>
      <c r="F727" s="6" t="inlineStr"/>
      <c r="G727" s="6" t="inlineStr">
        <is>
          <t>Quadris Excel</t>
        </is>
      </c>
      <c r="H727" s="6" t="n">
        <v>0</v>
      </c>
      <c r="I727" s="6" t="n">
        <v>0</v>
      </c>
      <c r="J727" s="6" t="inlineStr">
        <is>
          <t>nincs</t>
        </is>
      </c>
      <c r="K727" s="6">
        <f>IF(AND(H727&gt;0,I727&gt;0),"Rendben",IF(AND(H727=0,I727=0),"Nincs kép és adat",IF(H727=0,"Nincs kép","Nincs adat")))</f>
        <v/>
      </c>
      <c r="L727" s="6" t="inlineStr">
        <is>
          <t>Igen</t>
        </is>
      </c>
      <c r="M727" s="7" t="inlineStr">
        <is>
          <t>fts-farina.it webáruház (WooCommerce API); FTS 2024 katalógus (PDF)</t>
        </is>
      </c>
      <c r="N727" s="7" t="inlineStr">
        <is>
          <t>Nem találtuk: fts-farina.it webáruház (WooCommerce API); FTS 2024 katalógus (PDF)</t>
        </is>
      </c>
      <c r="O727" s="6" t="inlineStr"/>
      <c r="P727" s="11" t="inlineStr">
        <is>
          <t>https://website-9ib.pages.dev/termek/127914-3m-750dan-gurtni-ket-oldalon-csatos/</t>
        </is>
      </c>
      <c r="Q727" s="12" t="inlineStr"/>
      <c r="R727" s="13" t="inlineStr"/>
      <c r="S727" s="6" t="inlineStr">
        <is>
          <t>127914-3m-750dan-gurtni-ket-oldalon-csatos</t>
        </is>
      </c>
    </row>
    <row r="728">
      <c r="A728" s="6" t="inlineStr">
        <is>
          <t>123210</t>
        </is>
      </c>
      <c r="B728" s="7" t="inlineStr">
        <is>
          <t>INOX rakomány rögz. tányér</t>
        </is>
      </c>
      <c r="C728" s="6" t="inlineStr">
        <is>
          <t>Rakományrögzítés</t>
        </is>
      </c>
      <c r="D728" s="6" t="inlineStr">
        <is>
          <t>Rakományrögzítés</t>
        </is>
      </c>
      <c r="E728" s="6" t="inlineStr">
        <is>
          <t>FTS</t>
        </is>
      </c>
      <c r="F728" s="6" t="inlineStr">
        <is>
          <t>4509321</t>
        </is>
      </c>
      <c r="G728" s="6" t="inlineStr">
        <is>
          <t>Quadris Excel</t>
        </is>
      </c>
      <c r="H728" s="6" t="n">
        <v>0</v>
      </c>
      <c r="I728" s="6" t="n">
        <v>0</v>
      </c>
      <c r="J728" s="6" t="inlineStr">
        <is>
          <t>nincs</t>
        </is>
      </c>
      <c r="K728" s="6">
        <f>IF(AND(H728&gt;0,I728&gt;0),"Rendben",IF(AND(H728=0,I728=0),"Nincs kép és adat",IF(H728=0,"Nincs kép","Nincs adat")))</f>
        <v/>
      </c>
      <c r="L728" s="6" t="inlineStr">
        <is>
          <t>Igen</t>
        </is>
      </c>
      <c r="M728" s="7" t="inlineStr">
        <is>
          <t>fts-farina.it webáruház (WooCommerce API); FTS 2024 katalógus (PDF)</t>
        </is>
      </c>
      <c r="N728" s="7" t="inlineStr">
        <is>
          <t>Nem találtuk: fts-farina.it webáruház (WooCommerce API); FTS 2024 katalógus (PDF)</t>
        </is>
      </c>
      <c r="O728" s="6" t="inlineStr"/>
      <c r="P728" s="11" t="inlineStr">
        <is>
          <t>https://website-9ib.pages.dev/termek/123210-inox-rakomany-rogz-tanyer/</t>
        </is>
      </c>
      <c r="Q728" s="12" t="inlineStr"/>
      <c r="R728" s="13" t="inlineStr"/>
      <c r="S728" s="6" t="inlineStr">
        <is>
          <t>123210-inox-rakomany-rogz-tanyer</t>
        </is>
      </c>
    </row>
    <row r="729">
      <c r="A729" s="6" t="inlineStr">
        <is>
          <t>121127</t>
        </is>
      </c>
      <c r="B729" s="7" t="inlineStr">
        <is>
          <t>Kombi rakományrögzítő sín - acél MAGNELIS</t>
        </is>
      </c>
      <c r="C729" s="6" t="inlineStr">
        <is>
          <t>Rakományrögzítés</t>
        </is>
      </c>
      <c r="D729" s="6" t="inlineStr">
        <is>
          <t>Rakományrögzítés</t>
        </is>
      </c>
      <c r="E729" s="6" t="inlineStr">
        <is>
          <t>FTS</t>
        </is>
      </c>
      <c r="F729" s="6" t="inlineStr">
        <is>
          <t>50033111</t>
        </is>
      </c>
      <c r="G729" s="6" t="inlineStr">
        <is>
          <t>Quadris Excel</t>
        </is>
      </c>
      <c r="H729" s="6" t="n">
        <v>2</v>
      </c>
      <c r="I729" s="6" t="n">
        <v>2</v>
      </c>
      <c r="J729" s="6" t="inlineStr">
        <is>
          <t>nincs</t>
        </is>
      </c>
      <c r="K729" s="6">
        <f>IF(AND(H729&gt;0,I729&gt;0),"Rendben",IF(AND(H729=0,I729=0),"Nincs kép és adat",IF(H729=0,"Nincs kép","Nincs adat")))</f>
        <v/>
      </c>
      <c r="L729" s="6" t="inlineStr">
        <is>
          <t>Igen</t>
        </is>
      </c>
      <c r="M729" s="7" t="inlineStr">
        <is>
          <t>fts-farina.it webáruház (WooCommerce API); FTS 2024 katalógus (PDF)</t>
        </is>
      </c>
      <c r="N729" s="7" t="inlineStr">
        <is>
          <t>Megtalálva: Profili Fermacarico orizzontale F-TRACK (kód: 50033111)</t>
        </is>
      </c>
      <c r="O729" s="11" t="inlineStr">
        <is>
          <t>https://www.fts-farina.it/prodotto/profili-fermacarico-orizzontale-f-track/</t>
        </is>
      </c>
      <c r="P729" s="11" t="inlineStr">
        <is>
          <t>https://website-9ib.pages.dev/termek/121127-kombi-rakomanyrogzito-sin-acel-magnelis/</t>
        </is>
      </c>
      <c r="Q729" s="12" t="inlineStr"/>
      <c r="R729" s="13" t="inlineStr"/>
      <c r="S729" s="6" t="inlineStr">
        <is>
          <t>121127-kombi-rakomanyrogzito-sin-acel-magnelis</t>
        </is>
      </c>
    </row>
    <row r="730">
      <c r="A730" s="6" t="inlineStr">
        <is>
          <t>123320</t>
        </is>
      </c>
      <c r="B730" s="7" t="inlineStr">
        <is>
          <t>Kombi rakományrögzítő sín - alumínium</t>
        </is>
      </c>
      <c r="C730" s="6" t="inlineStr">
        <is>
          <t>Rakományrögzítés</t>
        </is>
      </c>
      <c r="D730" s="6" t="inlineStr">
        <is>
          <t>Rakományrögzítés</t>
        </is>
      </c>
      <c r="E730" s="6" t="inlineStr">
        <is>
          <t>FTS</t>
        </is>
      </c>
      <c r="F730" s="6" t="inlineStr">
        <is>
          <t>50033320</t>
        </is>
      </c>
      <c r="G730" s="6" t="inlineStr">
        <is>
          <t>Quadris Excel</t>
        </is>
      </c>
      <c r="H730" s="6" t="n">
        <v>2</v>
      </c>
      <c r="I730" s="6" t="n">
        <v>2</v>
      </c>
      <c r="J730" s="6" t="inlineStr">
        <is>
          <t>nincs</t>
        </is>
      </c>
      <c r="K730" s="6">
        <f>IF(AND(H730&gt;0,I730&gt;0),"Rendben",IF(AND(H730=0,I730=0),"Nincs kép és adat",IF(H730=0,"Nincs kép","Nincs adat")))</f>
        <v/>
      </c>
      <c r="L730" s="6" t="inlineStr">
        <is>
          <t>Igen</t>
        </is>
      </c>
      <c r="M730" s="7" t="inlineStr">
        <is>
          <t>fts-farina.it webáruház (WooCommerce API); FTS 2024 katalógus (PDF)</t>
        </is>
      </c>
      <c r="N730" s="7" t="inlineStr">
        <is>
          <t>Megtalálva: Profili Fermacarico orizzontale F-TRACK (kód: 50033320)</t>
        </is>
      </c>
      <c r="O730" s="11" t="inlineStr">
        <is>
          <t>https://www.fts-farina.it/prodotto/profili-fermacarico-orizzontale-f-track/</t>
        </is>
      </c>
      <c r="P730" s="11" t="inlineStr">
        <is>
          <t>https://website-9ib.pages.dev/termek/123320-kombi-rakomanyrogzito-sin-aluminium/</t>
        </is>
      </c>
      <c r="Q730" s="12" t="inlineStr"/>
      <c r="R730" s="13" t="inlineStr"/>
      <c r="S730" s="6" t="inlineStr">
        <is>
          <t>123320-kombi-rakomanyrogzito-sin-aluminium</t>
        </is>
      </c>
    </row>
    <row r="731">
      <c r="A731" s="6" t="inlineStr">
        <is>
          <t>121129</t>
        </is>
      </c>
      <c r="B731" s="7" t="inlineStr">
        <is>
          <t>Kombi rakományrögzítő sín - inox</t>
        </is>
      </c>
      <c r="C731" s="6" t="inlineStr">
        <is>
          <t>Rakományrögzítés</t>
        </is>
      </c>
      <c r="D731" s="6" t="inlineStr">
        <is>
          <t>Rakományrögzítés</t>
        </is>
      </c>
      <c r="E731" s="6" t="inlineStr">
        <is>
          <t>FTS</t>
        </is>
      </c>
      <c r="F731" s="6" t="inlineStr">
        <is>
          <t>50033210</t>
        </is>
      </c>
      <c r="G731" s="6" t="inlineStr">
        <is>
          <t>Quadris Excel</t>
        </is>
      </c>
      <c r="H731" s="6" t="n">
        <v>2</v>
      </c>
      <c r="I731" s="6" t="n">
        <v>2</v>
      </c>
      <c r="J731" s="6" t="inlineStr">
        <is>
          <t>nincs</t>
        </is>
      </c>
      <c r="K731" s="6">
        <f>IF(AND(H731&gt;0,I731&gt;0),"Rendben",IF(AND(H731=0,I731=0),"Nincs kép és adat",IF(H731=0,"Nincs kép","Nincs adat")))</f>
        <v/>
      </c>
      <c r="L731" s="6" t="inlineStr">
        <is>
          <t>Igen</t>
        </is>
      </c>
      <c r="M731" s="7" t="inlineStr">
        <is>
          <t>fts-farina.it webáruház (WooCommerce API); FTS 2024 katalógus (PDF)</t>
        </is>
      </c>
      <c r="N731" s="7" t="inlineStr">
        <is>
          <t>Megtalálva: Profili Fermacarico orizzontale F-TRACK (kód: 50033210)</t>
        </is>
      </c>
      <c r="O731" s="11" t="inlineStr">
        <is>
          <t>https://www.fts-farina.it/prodotto/profili-fermacarico-orizzontale-f-track/</t>
        </is>
      </c>
      <c r="P731" s="11" t="inlineStr">
        <is>
          <t>https://website-9ib.pages.dev/termek/121129-kombi-rakomanyrogzito-sin-inox/</t>
        </is>
      </c>
      <c r="Q731" s="12" t="inlineStr"/>
      <c r="R731" s="13" t="inlineStr"/>
      <c r="S731" s="6" t="inlineStr">
        <is>
          <t>121129-kombi-rakomanyrogzito-sin-inox</t>
        </is>
      </c>
    </row>
    <row r="732">
      <c r="A732" s="6" t="inlineStr">
        <is>
          <t>123350</t>
        </is>
      </c>
      <c r="B732" s="7" t="inlineStr">
        <is>
          <t>Műanyag végzár kombi sínhez</t>
        </is>
      </c>
      <c r="C732" s="6" t="inlineStr">
        <is>
          <t>Rakományrögzítés</t>
        </is>
      </c>
      <c r="D732" s="6" t="inlineStr">
        <is>
          <t>Rakományrögzítés</t>
        </is>
      </c>
      <c r="E732" s="6" t="inlineStr">
        <is>
          <t>FTS</t>
        </is>
      </c>
      <c r="F732" s="6" t="inlineStr">
        <is>
          <t>50033500</t>
        </is>
      </c>
      <c r="G732" s="6" t="inlineStr">
        <is>
          <t>Quadris Excel</t>
        </is>
      </c>
      <c r="H732" s="6" t="n">
        <v>2</v>
      </c>
      <c r="I732" s="6" t="n">
        <v>0</v>
      </c>
      <c r="J732" s="6" t="inlineStr">
        <is>
          <t>nincs</t>
        </is>
      </c>
      <c r="K732" s="6">
        <f>IF(AND(H732&gt;0,I732&gt;0),"Rendben",IF(AND(H732=0,I732=0),"Nincs kép és adat",IF(H732=0,"Nincs kép","Nincs adat")))</f>
        <v/>
      </c>
      <c r="L732" s="6" t="inlineStr">
        <is>
          <t>Igen</t>
        </is>
      </c>
      <c r="M732" s="7" t="inlineStr">
        <is>
          <t>fts-farina.it webáruház (WooCommerce API); FTS 2024 katalógus (PDF)</t>
        </is>
      </c>
      <c r="N732" s="7" t="inlineStr">
        <is>
          <t>Megtalálva: 50033500 – Tappo in pvc per profili orizzontali (kód: 50033500)</t>
        </is>
      </c>
      <c r="O732" s="11" t="inlineStr">
        <is>
          <t>https://www.fts-farina.it/prodotto/50033500-tappo-in-pvc-per-profili-orizzontali/</t>
        </is>
      </c>
      <c r="P732" s="11" t="inlineStr">
        <is>
          <t>https://website-9ib.pages.dev/termek/123350-muanyag-vegzar-kombi-sinhez/</t>
        </is>
      </c>
      <c r="Q732" s="12" t="inlineStr"/>
      <c r="R732" s="13" t="inlineStr"/>
      <c r="S732" s="6" t="inlineStr">
        <is>
          <t>123350-muanyag-vegzar-kombi-sinhez</t>
        </is>
      </c>
    </row>
    <row r="733">
      <c r="A733" s="6" t="inlineStr">
        <is>
          <t>128510</t>
        </is>
      </c>
      <c r="B733" s="7" t="inlineStr">
        <is>
          <t>PVC-talpas rakományrögzítő 500 kg</t>
        </is>
      </c>
      <c r="C733" s="6" t="inlineStr">
        <is>
          <t>Rakományrögzítés</t>
        </is>
      </c>
      <c r="D733" s="6" t="inlineStr">
        <is>
          <t>Rakományrögzítés</t>
        </is>
      </c>
      <c r="E733" s="6" t="inlineStr">
        <is>
          <t>FTS</t>
        </is>
      </c>
      <c r="F733" s="6" t="inlineStr">
        <is>
          <t>45098510</t>
        </is>
      </c>
      <c r="G733" s="6" t="inlineStr">
        <is>
          <t>Quadris Excel</t>
        </is>
      </c>
      <c r="H733" s="6" t="n">
        <v>2</v>
      </c>
      <c r="I733" s="6" t="n">
        <v>2</v>
      </c>
      <c r="J733" s="6" t="inlineStr">
        <is>
          <t>nincs</t>
        </is>
      </c>
      <c r="K733" s="6">
        <f>IF(AND(H733&gt;0,I733&gt;0),"Rendben",IF(AND(H733=0,I733=0),"Nincs kép és adat",IF(H733=0,"Nincs kép","Nincs adat")))</f>
        <v/>
      </c>
      <c r="L733" s="6" t="inlineStr">
        <is>
          <t>Igen</t>
        </is>
      </c>
      <c r="M733" s="7" t="inlineStr">
        <is>
          <t>fts-farina.it webáruház (WooCommerce API); FTS 2024 katalógus (PDF)</t>
        </is>
      </c>
      <c r="N733" s="7" t="inlineStr">
        <is>
          <t>Megtalálva: 45098510 – Anello fermacarico zincato con base in pvc (kód: 45098510)</t>
        </is>
      </c>
      <c r="O733" s="11" t="inlineStr">
        <is>
          <t>https://www.fts-farina.it/prodotto/45098510-anello-fermacarico-zincato-con-base-in-pvc/</t>
        </is>
      </c>
      <c r="P733" s="11" t="inlineStr">
        <is>
          <t>https://website-9ib.pages.dev/termek/128510-pvc-talpas-rakomanyrogzito-500-kg/</t>
        </is>
      </c>
      <c r="Q733" s="12" t="inlineStr"/>
      <c r="R733" s="13" t="inlineStr"/>
      <c r="S733" s="6" t="inlineStr">
        <is>
          <t>128510-pvc-talpas-rakomanyrogzito-500-kg</t>
        </is>
      </c>
    </row>
    <row r="734">
      <c r="A734" s="6" t="inlineStr">
        <is>
          <t>128110</t>
        </is>
      </c>
      <c r="B734" s="7" t="inlineStr">
        <is>
          <t>Padlóba heg. rak. rögz. 2500 daN</t>
        </is>
      </c>
      <c r="C734" s="6" t="inlineStr">
        <is>
          <t>Rakományrögzítés</t>
        </is>
      </c>
      <c r="D734" s="6" t="inlineStr">
        <is>
          <t>Rakományrögzítés</t>
        </is>
      </c>
      <c r="E734" s="6" t="inlineStr">
        <is>
          <t>FTS</t>
        </is>
      </c>
      <c r="F734" s="6" t="inlineStr">
        <is>
          <t>45098110</t>
        </is>
      </c>
      <c r="G734" s="6" t="inlineStr">
        <is>
          <t>Quadris Excel</t>
        </is>
      </c>
      <c r="H734" s="6" t="n">
        <v>3</v>
      </c>
      <c r="I734" s="6" t="n">
        <v>1</v>
      </c>
      <c r="J734" s="6" t="inlineStr">
        <is>
          <t>nincs</t>
        </is>
      </c>
      <c r="K734" s="6">
        <f>IF(AND(H734&gt;0,I734&gt;0),"Rendben",IF(AND(H734=0,I734=0),"Nincs kép és adat",IF(H734=0,"Nincs kép","Nincs adat")))</f>
        <v/>
      </c>
      <c r="L734" s="6" t="inlineStr">
        <is>
          <t>Igen</t>
        </is>
      </c>
      <c r="M734" s="7" t="inlineStr">
        <is>
          <t>fts-farina.it webáruház (WooCommerce API); FTS 2024 katalógus (PDF)</t>
        </is>
      </c>
      <c r="N734" s="7" t="inlineStr">
        <is>
          <t>Megtalálva: Anello fermacarico incassato (kód: 45098110)</t>
        </is>
      </c>
      <c r="O734" s="11" t="inlineStr">
        <is>
          <t>https://www.fts-farina.it/prodotto/anello-fermacarico-incassato/</t>
        </is>
      </c>
      <c r="P734" s="11" t="inlineStr">
        <is>
          <t>https://website-9ib.pages.dev/termek/128110-padloba-heg-rak-rogz-2500-dan/</t>
        </is>
      </c>
      <c r="Q734" s="12" t="inlineStr"/>
      <c r="R734" s="13" t="inlineStr"/>
      <c r="S734" s="6" t="inlineStr">
        <is>
          <t>128110-padloba-heg-rak-rogz-2500-dan</t>
        </is>
      </c>
    </row>
    <row r="735">
      <c r="A735" s="6" t="inlineStr">
        <is>
          <t>122303</t>
        </is>
      </c>
      <c r="B735" s="7" t="inlineStr">
        <is>
          <t>Padlóba süllyesztehtő INOX rak. rögzítő tányér</t>
        </is>
      </c>
      <c r="C735" s="6" t="inlineStr">
        <is>
          <t>Rakományrögzítés</t>
        </is>
      </c>
      <c r="D735" s="6" t="inlineStr">
        <is>
          <t>Rakományrögzítés</t>
        </is>
      </c>
      <c r="E735" s="6" t="inlineStr">
        <is>
          <t>FTS</t>
        </is>
      </c>
      <c r="F735" s="6" t="inlineStr">
        <is>
          <t>45020303</t>
        </is>
      </c>
      <c r="G735" s="6" t="inlineStr">
        <is>
          <t>Quadris Excel</t>
        </is>
      </c>
      <c r="H735" s="6" t="n">
        <v>2</v>
      </c>
      <c r="I735" s="6" t="n">
        <v>1</v>
      </c>
      <c r="J735" s="6" t="inlineStr">
        <is>
          <t>nincs</t>
        </is>
      </c>
      <c r="K735" s="6">
        <f>IF(AND(H735&gt;0,I735&gt;0),"Rendben",IF(AND(H735=0,I735=0),"Nincs kép és adat",IF(H735=0,"Nincs kép","Nincs adat")))</f>
        <v/>
      </c>
      <c r="L735" s="6" t="inlineStr">
        <is>
          <t>Igen</t>
        </is>
      </c>
      <c r="M735" s="7" t="inlineStr">
        <is>
          <t>fts-farina.it webáruház (WooCommerce API); FTS 2024 katalógus (PDF)</t>
        </is>
      </c>
      <c r="N735" s="7" t="inlineStr">
        <is>
          <t>Megtalálva: Anello fermacarico leggero senza molla (kód: 45020303)</t>
        </is>
      </c>
      <c r="O735" s="11" t="inlineStr">
        <is>
          <t>https://www.fts-farina.it/prodotto/anello-fermacarico-leggero-senza-molla/</t>
        </is>
      </c>
      <c r="P735" s="11" t="inlineStr">
        <is>
          <t>https://website-9ib.pages.dev/termek/122303-padloba-sullyesztehto-inox-rak-rogzito-tanyer/</t>
        </is>
      </c>
      <c r="Q735" s="12" t="inlineStr"/>
      <c r="R735" s="13" t="inlineStr"/>
      <c r="S735" s="6" t="inlineStr">
        <is>
          <t>122303-padloba-sullyesztehto-inox-rak-rogzito-tanyer</t>
        </is>
      </c>
    </row>
    <row r="736">
      <c r="A736" s="6" t="inlineStr">
        <is>
          <t>129310</t>
        </is>
      </c>
      <c r="B736" s="7" t="inlineStr">
        <is>
          <t>Padlóba süllyesztehtő. horg.rak. rögzítő tányér 1000 daN</t>
        </is>
      </c>
      <c r="C736" s="6" t="inlineStr">
        <is>
          <t>Rakományrögzítés</t>
        </is>
      </c>
      <c r="D736" s="6" t="inlineStr">
        <is>
          <t>Rakományrögzítés</t>
        </is>
      </c>
      <c r="E736" s="6" t="inlineStr">
        <is>
          <t>FTS</t>
        </is>
      </c>
      <c r="F736" s="6" t="inlineStr">
        <is>
          <t>45093110</t>
        </is>
      </c>
      <c r="G736" s="6" t="inlineStr">
        <is>
          <t>Quadris Excel</t>
        </is>
      </c>
      <c r="H736" s="6" t="n">
        <v>4</v>
      </c>
      <c r="I736" s="6" t="n">
        <v>2</v>
      </c>
      <c r="J736" s="6" t="inlineStr">
        <is>
          <t>nincs</t>
        </is>
      </c>
      <c r="K736" s="6">
        <f>IF(AND(H736&gt;0,I736&gt;0),"Rendben",IF(AND(H736=0,I736=0),"Nincs kép és adat",IF(H736=0,"Nincs kép","Nincs adat")))</f>
        <v/>
      </c>
      <c r="L736" s="6" t="inlineStr">
        <is>
          <t>Igen</t>
        </is>
      </c>
      <c r="M736" s="7" t="inlineStr">
        <is>
          <t>fts-farina.it webáruház (WooCommerce API); FTS 2024 katalógus (PDF)</t>
        </is>
      </c>
      <c r="N736" s="7" t="inlineStr">
        <is>
          <t>Megtalálva: Anello fermacarico pesante con molla (kód: 45093110)</t>
        </is>
      </c>
      <c r="O736" s="11" t="inlineStr">
        <is>
          <t>https://www.fts-farina.it/prodotto/anello-fermacarico-pesante-con-molla/</t>
        </is>
      </c>
      <c r="P736" s="11" t="inlineStr">
        <is>
          <t>https://website-9ib.pages.dev/termek/129310-padloba-sullyesztehto-horg-rak-rogzito-tanyer-1000-dan/</t>
        </is>
      </c>
      <c r="Q736" s="12" t="inlineStr"/>
      <c r="R736" s="13" t="inlineStr"/>
      <c r="S736" s="6" t="inlineStr">
        <is>
          <t>129310-padloba-sullyesztehto-horg-rak-rogzito-tanyer-1000-dan</t>
        </is>
      </c>
    </row>
    <row r="737">
      <c r="A737" s="6" t="inlineStr">
        <is>
          <t>127199</t>
        </is>
      </c>
      <c r="B737" s="7" t="inlineStr">
        <is>
          <t>Pálcás rakományrögzítő sín sülly.- alu/PVC 3m</t>
        </is>
      </c>
      <c r="C737" s="6" t="inlineStr">
        <is>
          <t>Rakományrögzítés</t>
        </is>
      </c>
      <c r="D737" s="6" t="inlineStr">
        <is>
          <t>Rakományrögzítés</t>
        </is>
      </c>
      <c r="E737" s="6" t="inlineStr">
        <is>
          <t>FTS</t>
        </is>
      </c>
      <c r="F737" s="6" t="inlineStr">
        <is>
          <t>50071099</t>
        </is>
      </c>
      <c r="G737" s="6" t="inlineStr">
        <is>
          <t>Quadris Excel</t>
        </is>
      </c>
      <c r="H737" s="6" t="n">
        <v>2</v>
      </c>
      <c r="I737" s="6" t="n">
        <v>0</v>
      </c>
      <c r="J737" s="6" t="inlineStr">
        <is>
          <t>nincs</t>
        </is>
      </c>
      <c r="K737" s="6">
        <f>IF(AND(H737&gt;0,I737&gt;0),"Rendben",IF(AND(H737=0,I737=0),"Nincs kép és adat",IF(H737=0,"Nincs kép","Nincs adat")))</f>
        <v/>
      </c>
      <c r="L737" s="6" t="inlineStr">
        <is>
          <t>Igen</t>
        </is>
      </c>
      <c r="M737" s="7" t="inlineStr">
        <is>
          <t>fts-farina.it webáruház (WooCommerce API); FTS 2024 katalógus (PDF)</t>
        </is>
      </c>
      <c r="N737" s="7" t="inlineStr">
        <is>
          <t>Megtalálva: 50071099 – Profilo in alluminio con protezione in pvc (kód: 50071099)</t>
        </is>
      </c>
      <c r="O737" s="11" t="inlineStr">
        <is>
          <t>https://www.fts-farina.it/prodotto/50071099-profilo-in-alluminio-con-protezione-in-pvc/</t>
        </is>
      </c>
      <c r="P737" s="11" t="inlineStr">
        <is>
          <t>https://website-9ib.pages.dev/termek/127199-palcas-rakomanyrogzito-sin-sully-alu-pvc-3m/</t>
        </is>
      </c>
      <c r="Q737" s="12" t="inlineStr"/>
      <c r="R737" s="13" t="inlineStr"/>
      <c r="S737" s="6" t="inlineStr">
        <is>
          <t>127199-palcas-rakomanyrogzito-sin-sully-alu-pvc-3m</t>
        </is>
      </c>
    </row>
    <row r="738">
      <c r="A738" s="6" t="inlineStr">
        <is>
          <t>129111</t>
        </is>
      </c>
      <c r="B738" s="7" t="inlineStr">
        <is>
          <t>Rak.rögz. kengyel+lapka 2500 daN TS</t>
        </is>
      </c>
      <c r="C738" s="6" t="inlineStr">
        <is>
          <t>Rakományrögzítés</t>
        </is>
      </c>
      <c r="D738" s="6" t="inlineStr">
        <is>
          <t>Rakományrögzítés</t>
        </is>
      </c>
      <c r="E738" s="6" t="inlineStr">
        <is>
          <t>FTS</t>
        </is>
      </c>
      <c r="F738" s="6" t="inlineStr">
        <is>
          <t>45091110</t>
        </is>
      </c>
      <c r="G738" s="6" t="inlineStr">
        <is>
          <t>Quadris Excel</t>
        </is>
      </c>
      <c r="H738" s="6" t="n">
        <v>0</v>
      </c>
      <c r="I738" s="6" t="n">
        <v>0</v>
      </c>
      <c r="J738" s="6" t="inlineStr">
        <is>
          <t>nincs</t>
        </is>
      </c>
      <c r="K738" s="6">
        <f>IF(AND(H738&gt;0,I738&gt;0),"Rendben",IF(AND(H738=0,I738=0),"Nincs kép és adat",IF(H738=0,"Nincs kép","Nincs adat")))</f>
        <v/>
      </c>
      <c r="L738" s="6" t="inlineStr">
        <is>
          <t>Igen</t>
        </is>
      </c>
      <c r="M738" s="7" t="inlineStr">
        <is>
          <t>fts-farina.it webáruház (WooCommerce API); FTS 2024 katalógus (PDF)</t>
        </is>
      </c>
      <c r="N738" s="7" t="inlineStr">
        <is>
          <t>Nem találtuk: fts-farina.it webáruház (WooCommerce API); FTS 2024 katalógus (PDF)</t>
        </is>
      </c>
      <c r="O738" s="6" t="inlineStr"/>
      <c r="P738" s="11" t="inlineStr">
        <is>
          <t>https://website-9ib.pages.dev/termek/129111-rak-rogz-kengyel-lapka-2500-dan-ts/</t>
        </is>
      </c>
      <c r="Q738" s="12" t="inlineStr"/>
      <c r="R738" s="13" t="inlineStr"/>
      <c r="S738" s="6" t="inlineStr">
        <is>
          <t>129111-rak-rogz-kengyel-lapka-2500-dan-ts</t>
        </is>
      </c>
    </row>
    <row r="739">
      <c r="A739" s="6" t="inlineStr">
        <is>
          <t>127515</t>
        </is>
      </c>
      <c r="B739" s="7" t="inlineStr">
        <is>
          <t>Rakományrögzítő kengyel 2000 kg TS</t>
        </is>
      </c>
      <c r="C739" s="6" t="inlineStr">
        <is>
          <t>Rakományrögzítés</t>
        </is>
      </c>
      <c r="D739" s="6" t="inlineStr">
        <is>
          <t>Rakományrögzítés</t>
        </is>
      </c>
      <c r="E739" s="6" t="inlineStr">
        <is>
          <t>FTS</t>
        </is>
      </c>
      <c r="F739" s="6" t="inlineStr">
        <is>
          <t>45097515</t>
        </is>
      </c>
      <c r="G739" s="6" t="inlineStr">
        <is>
          <t>Quadris Excel</t>
        </is>
      </c>
      <c r="H739" s="6" t="n">
        <v>4</v>
      </c>
      <c r="I739" s="6" t="n">
        <v>2</v>
      </c>
      <c r="J739" s="6" t="inlineStr">
        <is>
          <t>nincs</t>
        </is>
      </c>
      <c r="K739" s="6">
        <f>IF(AND(H739&gt;0,I739&gt;0),"Rendben",IF(AND(H739=0,I739=0),"Nincs kép és adat",IF(H739=0,"Nincs kép","Nincs adat")))</f>
        <v/>
      </c>
      <c r="L739" s="6" t="inlineStr">
        <is>
          <t>Igen</t>
        </is>
      </c>
      <c r="M739" s="7" t="inlineStr">
        <is>
          <t>fts-farina.it webáruház (WooCommerce API); FTS 2024 katalógus (PDF)</t>
        </is>
      </c>
      <c r="N739" s="7" t="inlineStr">
        <is>
          <t>Megtalálva: 45097515 – Anello fermacarico Reus zincato (kód: 45097515)</t>
        </is>
      </c>
      <c r="O739" s="11" t="inlineStr">
        <is>
          <t>https://www.fts-farina.it/prodotto/45097515-anello-fermacarico-reus-zincato/</t>
        </is>
      </c>
      <c r="P739" s="11" t="inlineStr">
        <is>
          <t>https://website-9ib.pages.dev/termek/127515-rakomanyrogzito-kengyel-2000-kg-ts/</t>
        </is>
      </c>
      <c r="Q739" s="12" t="inlineStr"/>
      <c r="R739" s="13" t="inlineStr"/>
      <c r="S739" s="6" t="inlineStr">
        <is>
          <t>127515-rakomanyrogzito-kengyel-2000-kg-ts</t>
        </is>
      </c>
    </row>
    <row r="740">
      <c r="A740" s="6" t="inlineStr">
        <is>
          <t>129711</t>
        </is>
      </c>
      <c r="B740" s="7" t="inlineStr">
        <is>
          <t>Rakományrögzítő kengyel 2500 daN TS</t>
        </is>
      </c>
      <c r="C740" s="6" t="inlineStr">
        <is>
          <t>Rakományrögzítés</t>
        </is>
      </c>
      <c r="D740" s="6" t="inlineStr">
        <is>
          <t>Rakományrögzítés</t>
        </is>
      </c>
      <c r="E740" s="6" t="inlineStr">
        <is>
          <t>FTS</t>
        </is>
      </c>
      <c r="F740" s="6" t="inlineStr">
        <is>
          <t>45097110</t>
        </is>
      </c>
      <c r="G740" s="6" t="inlineStr">
        <is>
          <t>Quadris Excel</t>
        </is>
      </c>
      <c r="H740" s="6" t="n">
        <v>2</v>
      </c>
      <c r="I740" s="6" t="n">
        <v>1</v>
      </c>
      <c r="J740" s="6" t="inlineStr">
        <is>
          <t>nincs</t>
        </is>
      </c>
      <c r="K740" s="6">
        <f>IF(AND(H740&gt;0,I740&gt;0),"Rendben",IF(AND(H740=0,I740=0),"Nincs kép és adat",IF(H740=0,"Nincs kép","Nincs adat")))</f>
        <v/>
      </c>
      <c r="L740" s="6" t="inlineStr">
        <is>
          <t>Igen</t>
        </is>
      </c>
      <c r="M740" s="7" t="inlineStr">
        <is>
          <t>fts-farina.it webáruház (WooCommerce API); FTS 2024 katalógus (PDF)</t>
        </is>
      </c>
      <c r="N740" s="7" t="inlineStr">
        <is>
          <t>Megtalálva: 45097110 – Anello fermacarico zincato completo di dadi (kód: 45097110)</t>
        </is>
      </c>
      <c r="O740" s="11" t="inlineStr">
        <is>
          <t>https://www.fts-farina.it/prodotto/45097110-anello-fermacarico-zincato-completo-di-dadi/</t>
        </is>
      </c>
      <c r="P740" s="11" t="inlineStr">
        <is>
          <t>https://website-9ib.pages.dev/termek/129711-rakomanyrogzito-kengyel-2500-dan-ts/</t>
        </is>
      </c>
      <c r="Q740" s="12" t="inlineStr"/>
      <c r="R740" s="13" t="inlineStr"/>
      <c r="S740" s="6" t="inlineStr">
        <is>
          <t>129711-rakomanyrogzito-kengyel-2500-dan-ts</t>
        </is>
      </c>
    </row>
    <row r="741">
      <c r="A741" s="6" t="inlineStr">
        <is>
          <t>126514</t>
        </is>
      </c>
      <c r="B741" s="7" t="inlineStr">
        <is>
          <t>Rakományrögzítő kengyel HT</t>
        </is>
      </c>
      <c r="C741" s="6" t="inlineStr">
        <is>
          <t>Rakományrögzítés</t>
        </is>
      </c>
      <c r="D741" s="6" t="inlineStr">
        <is>
          <t>Rakományrögzítés</t>
        </is>
      </c>
      <c r="E741" s="6" t="inlineStr">
        <is>
          <t>FTS</t>
        </is>
      </c>
      <c r="F741" s="6" t="inlineStr"/>
      <c r="G741" s="6" t="inlineStr">
        <is>
          <t>Quadris Excel</t>
        </is>
      </c>
      <c r="H741" s="6" t="n">
        <v>0</v>
      </c>
      <c r="I741" s="6" t="n">
        <v>0</v>
      </c>
      <c r="J741" s="6" t="inlineStr">
        <is>
          <t>nincs</t>
        </is>
      </c>
      <c r="K741" s="6">
        <f>IF(AND(H741&gt;0,I741&gt;0),"Rendben",IF(AND(H741=0,I741=0),"Nincs kép és adat",IF(H741=0,"Nincs kép","Nincs adat")))</f>
        <v/>
      </c>
      <c r="L741" s="6" t="inlineStr">
        <is>
          <t>Igen</t>
        </is>
      </c>
      <c r="M741" s="7" t="inlineStr">
        <is>
          <t>fts-farina.it webáruház (WooCommerce API); FTS 2024 katalógus (PDF)</t>
        </is>
      </c>
      <c r="N741" s="7" t="inlineStr">
        <is>
          <t>Nem találtuk: fts-farina.it webáruház (WooCommerce API); FTS 2024 katalógus (PDF)</t>
        </is>
      </c>
      <c r="O741" s="6" t="inlineStr"/>
      <c r="P741" s="11" t="inlineStr">
        <is>
          <t>https://website-9ib.pages.dev/termek/126514-rakomanyrogzito-kengyel-ht/</t>
        </is>
      </c>
      <c r="Q741" s="12" t="inlineStr"/>
      <c r="R741" s="13" t="inlineStr"/>
      <c r="S741" s="6" t="inlineStr">
        <is>
          <t>126514-rakomanyrogzito-kengyel-ht</t>
        </is>
      </c>
    </row>
    <row r="742">
      <c r="A742" s="6" t="inlineStr">
        <is>
          <t>126516</t>
        </is>
      </c>
      <c r="B742" s="7" t="inlineStr">
        <is>
          <t>Rakományrögzítő kengyel TD</t>
        </is>
      </c>
      <c r="C742" s="6" t="inlineStr">
        <is>
          <t>Rakományrögzítés</t>
        </is>
      </c>
      <c r="D742" s="6" t="inlineStr">
        <is>
          <t>Rakományrögzítés</t>
        </is>
      </c>
      <c r="E742" s="6" t="inlineStr">
        <is>
          <t>FTS</t>
        </is>
      </c>
      <c r="F742" s="6" t="inlineStr"/>
      <c r="G742" s="6" t="inlineStr">
        <is>
          <t>Quadris Excel</t>
        </is>
      </c>
      <c r="H742" s="6" t="n">
        <v>0</v>
      </c>
      <c r="I742" s="6" t="n">
        <v>0</v>
      </c>
      <c r="J742" s="6" t="inlineStr">
        <is>
          <t>nincs</t>
        </is>
      </c>
      <c r="K742" s="6">
        <f>IF(AND(H742&gt;0,I742&gt;0),"Rendben",IF(AND(H742=0,I742=0),"Nincs kép és adat",IF(H742=0,"Nincs kép","Nincs adat")))</f>
        <v/>
      </c>
      <c r="L742" s="6" t="inlineStr">
        <is>
          <t>Igen</t>
        </is>
      </c>
      <c r="M742" s="7" t="inlineStr">
        <is>
          <t>fts-farina.it webáruház (WooCommerce API); FTS 2024 katalógus (PDF)</t>
        </is>
      </c>
      <c r="N742" s="7" t="inlineStr">
        <is>
          <t>Nem találtuk: fts-farina.it webáruház (WooCommerce API); FTS 2024 katalógus (PDF)</t>
        </is>
      </c>
      <c r="O742" s="6" t="inlineStr"/>
      <c r="P742" s="11" t="inlineStr">
        <is>
          <t>https://website-9ib.pages.dev/termek/126516-rakomanyrogzito-kengyel-td/</t>
        </is>
      </c>
      <c r="Q742" s="12" t="inlineStr"/>
      <c r="R742" s="13" t="inlineStr"/>
      <c r="S742" s="6" t="inlineStr">
        <is>
          <t>126516-rakomanyrogzito-kengyel-td</t>
        </is>
      </c>
    </row>
    <row r="743">
      <c r="A743" s="6" t="inlineStr">
        <is>
          <t>126510</t>
        </is>
      </c>
      <c r="B743" s="7" t="inlineStr">
        <is>
          <t>Rakományrögzítő kengyel nyers alátéttel</t>
        </is>
      </c>
      <c r="C743" s="6" t="inlineStr">
        <is>
          <t>Rakományrögzítés</t>
        </is>
      </c>
      <c r="D743" s="6" t="inlineStr">
        <is>
          <t>Rakományrögzítés</t>
        </is>
      </c>
      <c r="E743" s="6" t="inlineStr">
        <is>
          <t>FTS</t>
        </is>
      </c>
      <c r="F743" s="6" t="inlineStr">
        <is>
          <t>45096510</t>
        </is>
      </c>
      <c r="G743" s="6" t="inlineStr">
        <is>
          <t>Quadris Excel</t>
        </is>
      </c>
      <c r="H743" s="6" t="n">
        <v>3</v>
      </c>
      <c r="I743" s="6" t="n">
        <v>1</v>
      </c>
      <c r="J743" s="6" t="inlineStr">
        <is>
          <t>nincs</t>
        </is>
      </c>
      <c r="K743" s="6">
        <f>IF(AND(H743&gt;0,I743&gt;0),"Rendben",IF(AND(H743=0,I743=0),"Nincs kép és adat",IF(H743=0,"Nincs kép","Nincs adat")))</f>
        <v/>
      </c>
      <c r="L743" s="6" t="inlineStr">
        <is>
          <t>Igen</t>
        </is>
      </c>
      <c r="M743" s="7" t="inlineStr">
        <is>
          <t>fts-farina.it webáruház (WooCommerce API); FTS 2024 katalógus (PDF)</t>
        </is>
      </c>
      <c r="N743" s="7" t="inlineStr">
        <is>
          <t>Megtalálva: 45096510 – Anello fermacarico zincato con piastra grezza (kód: 45096510)</t>
        </is>
      </c>
      <c r="O743" s="11" t="inlineStr">
        <is>
          <t>https://www.fts-farina.it/prodotto/45096510-anello-fermacarico-zincato-con-piastra-grezza/</t>
        </is>
      </c>
      <c r="P743" s="11" t="inlineStr">
        <is>
          <t>https://website-9ib.pages.dev/termek/126510-rakomanyrogzito-kengyel-nyers-alatettel/</t>
        </is>
      </c>
      <c r="Q743" s="12" t="inlineStr"/>
      <c r="R743" s="13" t="inlineStr"/>
      <c r="S743" s="6" t="inlineStr">
        <is>
          <t>126510-rakomanyrogzito-kengyel-nyers-alatettel</t>
        </is>
      </c>
    </row>
    <row r="744">
      <c r="A744" s="6" t="inlineStr">
        <is>
          <t>121030</t>
        </is>
      </c>
      <c r="B744" s="7" t="inlineStr">
        <is>
          <t>Rakományrögzítő rúd acél 2200</t>
        </is>
      </c>
      <c r="C744" s="6" t="inlineStr">
        <is>
          <t>Rakományrögzítés</t>
        </is>
      </c>
      <c r="D744" s="6" t="inlineStr">
        <is>
          <t>Rakományrögzítés</t>
        </is>
      </c>
      <c r="E744" s="6" t="inlineStr">
        <is>
          <t>FTS</t>
        </is>
      </c>
      <c r="F744" s="6" t="inlineStr">
        <is>
          <t>50071033</t>
        </is>
      </c>
      <c r="G744" s="6" t="inlineStr">
        <is>
          <t>Quadris Excel</t>
        </is>
      </c>
      <c r="H744" s="6" t="n">
        <v>3</v>
      </c>
      <c r="I744" s="6" t="n">
        <v>0</v>
      </c>
      <c r="J744" s="6" t="inlineStr">
        <is>
          <t>nincs</t>
        </is>
      </c>
      <c r="K744" s="6">
        <f>IF(AND(H744&gt;0,I744&gt;0),"Rendben",IF(AND(H744=0,I744=0),"Nincs kép és adat",IF(H744=0,"Nincs kép","Nincs adat")))</f>
        <v/>
      </c>
      <c r="L744" s="6" t="inlineStr">
        <is>
          <t>Igen</t>
        </is>
      </c>
      <c r="M744" s="7" t="inlineStr">
        <is>
          <t>fts-farina.it webáruház (WooCommerce API); FTS 2024 katalógus (PDF)</t>
        </is>
      </c>
      <c r="N744" s="7" t="inlineStr">
        <is>
          <t>Megtalálva: 50071033 – Barra zincata fermacarico reg. 2085÷2485 Innesto Ø19/Ø24 (kód: 50071033)</t>
        </is>
      </c>
      <c r="O744" s="11" t="inlineStr">
        <is>
          <t>https://www.fts-farina.it/prodotto/50071033-barra-zincata-fermacarico-reg-2085%c3%b72485-innesto-o19-24/</t>
        </is>
      </c>
      <c r="P744" s="11" t="inlineStr">
        <is>
          <t>https://website-9ib.pages.dev/termek/121030-rakomanyrogzito-rud-acel-2200/</t>
        </is>
      </c>
      <c r="Q744" s="12" t="inlineStr"/>
      <c r="R744" s="13" t="inlineStr"/>
      <c r="S744" s="6" t="inlineStr">
        <is>
          <t>121030-rakomanyrogzito-rud-acel-2200</t>
        </is>
      </c>
    </row>
    <row r="745">
      <c r="A745" s="6" t="inlineStr">
        <is>
          <t>121032</t>
        </is>
      </c>
      <c r="B745" s="7" t="inlineStr">
        <is>
          <t>Rakományrögzítő rúd acél 2500</t>
        </is>
      </c>
      <c r="C745" s="6" t="inlineStr">
        <is>
          <t>Rakományrögzítés</t>
        </is>
      </c>
      <c r="D745" s="6" t="inlineStr">
        <is>
          <t>Rakományrögzítés</t>
        </is>
      </c>
      <c r="E745" s="6" t="inlineStr">
        <is>
          <t>FTS</t>
        </is>
      </c>
      <c r="F745" s="6" t="inlineStr">
        <is>
          <t>50071031</t>
        </is>
      </c>
      <c r="G745" s="6" t="inlineStr">
        <is>
          <t>Quadris Excel</t>
        </is>
      </c>
      <c r="H745" s="6" t="n">
        <v>3</v>
      </c>
      <c r="I745" s="6" t="n">
        <v>0</v>
      </c>
      <c r="J745" s="6" t="inlineStr">
        <is>
          <t>nincs</t>
        </is>
      </c>
      <c r="K745" s="6">
        <f>IF(AND(H745&gt;0,I745&gt;0),"Rendben",IF(AND(H745=0,I745=0),"Nincs kép és adat",IF(H745=0,"Nincs kép","Nincs adat")))</f>
        <v/>
      </c>
      <c r="L745" s="6" t="inlineStr">
        <is>
          <t>Igen</t>
        </is>
      </c>
      <c r="M745" s="7" t="inlineStr">
        <is>
          <t>fts-farina.it webáruház (WooCommerce API); FTS 2024 katalógus (PDF)</t>
        </is>
      </c>
      <c r="N745" s="7" t="inlineStr">
        <is>
          <t>Megtalálva: 50071031 – Barra zincata fermacarico reg. 2360÷2760 Innesti Ø19/Ø24 (kód: 50071031)</t>
        </is>
      </c>
      <c r="O745" s="11" t="inlineStr">
        <is>
          <t>https://www.fts-farina.it/prodotto/50071031-barra-zincata-fermacarico-reg-2360%c3%b72760-innesti-o19-o24/</t>
        </is>
      </c>
      <c r="P745" s="11" t="inlineStr">
        <is>
          <t>https://website-9ib.pages.dev/termek/121032-rakomanyrogzito-rud-acel-2500/</t>
        </is>
      </c>
      <c r="Q745" s="12" t="inlineStr"/>
      <c r="R745" s="13" t="inlineStr"/>
      <c r="S745" s="6" t="inlineStr">
        <is>
          <t>121032-rakomanyrogzito-rud-acel-2500</t>
        </is>
      </c>
    </row>
    <row r="746">
      <c r="A746" s="6" t="inlineStr">
        <is>
          <t>128325</t>
        </is>
      </c>
      <c r="B746" s="7" t="inlineStr">
        <is>
          <t>Rakományrözítő fül festett fekete</t>
        </is>
      </c>
      <c r="C746" s="6" t="inlineStr">
        <is>
          <t>Rakományrögzítés</t>
        </is>
      </c>
      <c r="D746" s="6" t="inlineStr">
        <is>
          <t>Rakományrögzítés</t>
        </is>
      </c>
      <c r="E746" s="6" t="inlineStr">
        <is>
          <t>FTS</t>
        </is>
      </c>
      <c r="F746" s="6" t="inlineStr"/>
      <c r="G746" s="6" t="inlineStr">
        <is>
          <t>Quadris Excel</t>
        </is>
      </c>
      <c r="H746" s="6" t="n">
        <v>0</v>
      </c>
      <c r="I746" s="6" t="n">
        <v>0</v>
      </c>
      <c r="J746" s="6" t="inlineStr">
        <is>
          <t>nincs</t>
        </is>
      </c>
      <c r="K746" s="6">
        <f>IF(AND(H746&gt;0,I746&gt;0),"Rendben",IF(AND(H746=0,I746=0),"Nincs kép és adat",IF(H746=0,"Nincs kép","Nincs adat")))</f>
        <v/>
      </c>
      <c r="L746" s="6" t="inlineStr">
        <is>
          <t>Igen</t>
        </is>
      </c>
      <c r="M746" s="7" t="inlineStr">
        <is>
          <t>fts-farina.it webáruház (WooCommerce API); FTS 2024 katalógus (PDF)</t>
        </is>
      </c>
      <c r="N746" s="7" t="inlineStr">
        <is>
          <t>Nem találtuk: fts-farina.it webáruház (WooCommerce API); FTS 2024 katalógus (PDF)</t>
        </is>
      </c>
      <c r="O746" s="6" t="inlineStr"/>
      <c r="P746" s="11" t="inlineStr">
        <is>
          <t>https://website-9ib.pages.dev/termek/128325-rakomanyrozito-ful-festett-fekete/</t>
        </is>
      </c>
      <c r="Q746" s="12" t="inlineStr"/>
      <c r="R746" s="13" t="inlineStr"/>
      <c r="S746" s="6" t="inlineStr">
        <is>
          <t>128325-rakomanyrozito-ful-festett-fekete</t>
        </is>
      </c>
    </row>
    <row r="747">
      <c r="A747" s="6" t="inlineStr">
        <is>
          <t>128315</t>
        </is>
      </c>
      <c r="B747" s="7" t="inlineStr">
        <is>
          <t>Rakományrözítő fül nyers</t>
        </is>
      </c>
      <c r="C747" s="6" t="inlineStr">
        <is>
          <t>Rakományrögzítés</t>
        </is>
      </c>
      <c r="D747" s="6" t="inlineStr">
        <is>
          <t>Rakományrögzítés</t>
        </is>
      </c>
      <c r="E747" s="6" t="inlineStr">
        <is>
          <t>FTS</t>
        </is>
      </c>
      <c r="F747" s="6" t="inlineStr">
        <is>
          <t>45098315</t>
        </is>
      </c>
      <c r="G747" s="6" t="inlineStr">
        <is>
          <t>Quadris Excel</t>
        </is>
      </c>
      <c r="H747" s="6" t="n">
        <v>4</v>
      </c>
      <c r="I747" s="6" t="n">
        <v>1</v>
      </c>
      <c r="J747" s="6" t="inlineStr">
        <is>
          <t>nincs</t>
        </is>
      </c>
      <c r="K747" s="6">
        <f>IF(AND(H747&gt;0,I747&gt;0),"Rendben",IF(AND(H747=0,I747=0),"Nincs kép és adat",IF(H747=0,"Nincs kép","Nincs adat")))</f>
        <v/>
      </c>
      <c r="L747" s="6" t="inlineStr">
        <is>
          <t>Igen</t>
        </is>
      </c>
      <c r="M747" s="7" t="inlineStr">
        <is>
          <t>fts-farina.it webáruház (WooCommerce API); FTS 2024 katalógus (PDF)</t>
        </is>
      </c>
      <c r="N747" s="7" t="inlineStr">
        <is>
          <t>Megtalálva: Anello fermacarico a comparsa (kód: 45098315)</t>
        </is>
      </c>
      <c r="O747" s="11" t="inlineStr">
        <is>
          <t>https://www.fts-farina.it/prodotto/anello-fermacarico-a-comparsa/</t>
        </is>
      </c>
      <c r="P747" s="11" t="inlineStr">
        <is>
          <t>https://website-9ib.pages.dev/termek/128315-rakomanyrozito-ful-nyers/</t>
        </is>
      </c>
      <c r="Q747" s="12" t="inlineStr"/>
      <c r="R747" s="13" t="inlineStr"/>
      <c r="S747" s="6" t="inlineStr">
        <is>
          <t>128315-rakomanyrozito-ful-nyers</t>
        </is>
      </c>
    </row>
    <row r="748">
      <c r="A748" s="6" t="inlineStr">
        <is>
          <t>127210</t>
        </is>
      </c>
      <c r="B748" s="7" t="inlineStr">
        <is>
          <t>Rozsdamentes rakományrözítő fül</t>
        </is>
      </c>
      <c r="C748" s="6" t="inlineStr">
        <is>
          <t>Rakományrögzítés</t>
        </is>
      </c>
      <c r="D748" s="6" t="inlineStr">
        <is>
          <t>Rakományrögzítés</t>
        </is>
      </c>
      <c r="E748" s="6" t="inlineStr">
        <is>
          <t>FTS</t>
        </is>
      </c>
      <c r="F748" s="6" t="inlineStr">
        <is>
          <t>80272210</t>
        </is>
      </c>
      <c r="G748" s="6" t="inlineStr">
        <is>
          <t>Quadris Excel</t>
        </is>
      </c>
      <c r="H748" s="6" t="n">
        <v>4</v>
      </c>
      <c r="I748" s="6" t="n">
        <v>2</v>
      </c>
      <c r="J748" s="6" t="inlineStr">
        <is>
          <t>nincs</t>
        </is>
      </c>
      <c r="K748" s="6">
        <f>IF(AND(H748&gt;0,I748&gt;0),"Rendben",IF(AND(H748=0,I748=0),"Nincs kép és adat",IF(H748=0,"Nincs kép","Nincs adat")))</f>
        <v/>
      </c>
      <c r="L748" s="6" t="inlineStr">
        <is>
          <t>Igen</t>
        </is>
      </c>
      <c r="M748" s="7" t="inlineStr">
        <is>
          <t>fts-farina.it webáruház (WooCommerce API); FTS 2024 katalógus (PDF)</t>
        </is>
      </c>
      <c r="N748" s="7" t="inlineStr">
        <is>
          <t>Megtalálva: Maniglia sponda con molla (kód: 80272210)</t>
        </is>
      </c>
      <c r="O748" s="11" t="inlineStr">
        <is>
          <t>https://www.fts-farina.it/prodotto/80272210-maniglia-per-sponda-in-inox-con-molla/</t>
        </is>
      </c>
      <c r="P748" s="11" t="inlineStr">
        <is>
          <t>https://website-9ib.pages.dev/termek/127210-rozsdamentes-rakomanyrozito-ful/</t>
        </is>
      </c>
      <c r="Q748" s="12" t="inlineStr"/>
      <c r="R748" s="13" t="inlineStr"/>
      <c r="S748" s="6" t="inlineStr">
        <is>
          <t>127210-rozsdamentes-rakomanyrozito-ful</t>
        </is>
      </c>
    </row>
    <row r="749">
      <c r="A749" s="6" t="inlineStr">
        <is>
          <t>123412</t>
        </is>
      </c>
      <c r="B749" s="7" t="inlineStr">
        <is>
          <t>Spanifer L: 8 m 5000 kg dupla kampós</t>
        </is>
      </c>
      <c r="C749" s="6" t="inlineStr">
        <is>
          <t>Rakományrögzítés</t>
        </is>
      </c>
      <c r="D749" s="6" t="inlineStr">
        <is>
          <t>Rakományrögzítés</t>
        </is>
      </c>
      <c r="E749" s="6" t="inlineStr">
        <is>
          <t>FTS</t>
        </is>
      </c>
      <c r="F749" s="6" t="inlineStr">
        <is>
          <t>34128000</t>
        </is>
      </c>
      <c r="G749" s="6" t="inlineStr">
        <is>
          <t>Quadris Excel</t>
        </is>
      </c>
      <c r="H749" s="6" t="n">
        <v>1</v>
      </c>
      <c r="I749" s="6" t="n">
        <v>1</v>
      </c>
      <c r="J749" s="6" t="inlineStr">
        <is>
          <t>nincs</t>
        </is>
      </c>
      <c r="K749" s="6">
        <f>IF(AND(H749&gt;0,I749&gt;0),"Rendben",IF(AND(H749=0,I749=0),"Nincs kép és adat",IF(H749=0,"Nincs kép","Nincs adat")))</f>
        <v/>
      </c>
      <c r="L749" s="6" t="inlineStr">
        <is>
          <t>Igen</t>
        </is>
      </c>
      <c r="M749" s="7" t="inlineStr">
        <is>
          <t>fts-farina.it webáruház (WooCommerce API); FTS 2024 katalógus (PDF)</t>
        </is>
      </c>
      <c r="N749" s="7" t="inlineStr">
        <is>
          <t>Megtalálva: 34128000 – Cinghia con tensore e bloccaggio ganci a griffe L.8 Mt. (kód: 34128000)</t>
        </is>
      </c>
      <c r="O749" s="11" t="inlineStr">
        <is>
          <t>https://www.fts-farina.it/prodotto/34128000-cinghia-con-tensore-e-bloccaggio-ganci-a-griffe-l-8-mt/</t>
        </is>
      </c>
      <c r="P749" s="11" t="inlineStr">
        <is>
          <t>https://website-9ib.pages.dev/termek/123412-spanifer-l-8-m-5000-kg-dupla-kampos/</t>
        </is>
      </c>
      <c r="Q749" s="12" t="inlineStr"/>
      <c r="R749" s="13" t="inlineStr"/>
      <c r="S749" s="6" t="inlineStr">
        <is>
          <t>123412-spanifer-l-8-m-5000-kg-dupla-kampos</t>
        </is>
      </c>
    </row>
    <row r="750">
      <c r="A750" s="6" t="inlineStr">
        <is>
          <t>127183</t>
        </is>
      </c>
      <c r="B750" s="7" t="inlineStr">
        <is>
          <t>Talpas térelválasztó rakományrögzítő rúd D42 ALU</t>
        </is>
      </c>
      <c r="C750" s="6" t="inlineStr">
        <is>
          <t>Rakományrögzítés</t>
        </is>
      </c>
      <c r="D750" s="6" t="inlineStr">
        <is>
          <t>Rakományrögzítés</t>
        </is>
      </c>
      <c r="E750" s="6" t="inlineStr">
        <is>
          <t>FTS</t>
        </is>
      </c>
      <c r="F750" s="6" t="inlineStr">
        <is>
          <t>50071083</t>
        </is>
      </c>
      <c r="G750" s="6" t="inlineStr">
        <is>
          <t>Quadris Excel</t>
        </is>
      </c>
      <c r="H750" s="6" t="n">
        <v>1</v>
      </c>
      <c r="I750" s="6" t="n">
        <v>1</v>
      </c>
      <c r="J750" s="6" t="inlineStr">
        <is>
          <t>nincs</t>
        </is>
      </c>
      <c r="K750" s="6">
        <f>IF(AND(H750&gt;0,I750&gt;0),"Rendben",IF(AND(H750=0,I750=0),"Nincs kép és adat",IF(H750=0,"Nincs kép","Nincs adat")))</f>
        <v/>
      </c>
      <c r="L750" s="6" t="inlineStr">
        <is>
          <t>Igen</t>
        </is>
      </c>
      <c r="M750" s="7" t="inlineStr">
        <is>
          <t>fts-farina.it webáruház (WooCommerce API); FTS 2024 katalógus (PDF)</t>
        </is>
      </c>
      <c r="N750" s="7" t="inlineStr">
        <is>
          <t>Megtalálva: Barra Fermacarico Ø42 con molla regolabile 2350÷2720 (kód: 50071083)</t>
        </is>
      </c>
      <c r="O750" s="11" t="inlineStr">
        <is>
          <t>https://www.fts-farina.it/prodotto/barra-fermacarico-o42-con-molla-regolabile-2350%c3%b72720/</t>
        </is>
      </c>
      <c r="P750" s="11" t="inlineStr">
        <is>
          <t>https://website-9ib.pages.dev/termek/127183-talpas-terelvalaszto-rakomanyrogzito-rud-d42-alu/</t>
        </is>
      </c>
      <c r="Q750" s="12" t="inlineStr"/>
      <c r="R750" s="13" t="inlineStr"/>
      <c r="S750" s="6" t="inlineStr">
        <is>
          <t>127183-talpas-terelvalaszto-rakomanyrogzito-rud-d42-alu</t>
        </is>
      </c>
    </row>
    <row r="751">
      <c r="A751" s="6" t="inlineStr">
        <is>
          <t>822225</t>
        </is>
      </c>
      <c r="B751" s="7" t="inlineStr">
        <is>
          <t>Haub-csatoszár ellendarabbal horg. TS</t>
        </is>
      </c>
      <c r="C751" s="6" t="inlineStr">
        <is>
          <t>Speciális felépítmény alkatrészek</t>
        </is>
      </c>
      <c r="D751" s="6" t="inlineStr">
        <is>
          <t>Zárak</t>
        </is>
      </c>
      <c r="E751" s="6" t="inlineStr">
        <is>
          <t>FTS</t>
        </is>
      </c>
      <c r="F751" s="6" t="inlineStr">
        <is>
          <t>15162225</t>
        </is>
      </c>
      <c r="G751" s="6" t="inlineStr">
        <is>
          <t>Quadris Excel</t>
        </is>
      </c>
      <c r="H751" s="6" t="n">
        <v>3</v>
      </c>
      <c r="I751" s="6" t="n">
        <v>1</v>
      </c>
      <c r="J751" s="6" t="inlineStr">
        <is>
          <t>nincs</t>
        </is>
      </c>
      <c r="K751" s="6">
        <f>IF(AND(H751&gt;0,I751&gt;0),"Rendben",IF(AND(H751=0,I751=0),"Nincs kép és adat",IF(H751=0,"Nincs kép","Nincs adat")))</f>
        <v/>
      </c>
      <c r="L751" s="6" t="inlineStr">
        <is>
          <t>Igen</t>
        </is>
      </c>
      <c r="M751" s="7" t="inlineStr">
        <is>
          <t>fts-farina.it webáruház (WooCommerce API); FTS 2024 katalógus (PDF)</t>
        </is>
      </c>
      <c r="N751" s="7" t="inlineStr">
        <is>
          <t>Megtalálva: 15162225 – Chiusura zincata registrabile con fermo (kód: 15162225)</t>
        </is>
      </c>
      <c r="O751" s="11" t="inlineStr">
        <is>
          <t>https://www.fts-farina.it/prodotto/15162225-chisura-zincata-registrabile-con-fermo/</t>
        </is>
      </c>
      <c r="P751" s="11" t="inlineStr">
        <is>
          <t>https://website-9ib.pages.dev/termek/822225-haub-csatoszar-ellendarabbal-horg-ts/</t>
        </is>
      </c>
      <c r="Q751" s="12" t="inlineStr"/>
      <c r="R751" s="13" t="inlineStr"/>
      <c r="S751" s="6" t="inlineStr">
        <is>
          <t>822225-haub-csatoszar-ellendarabbal-horg-ts</t>
        </is>
      </c>
    </row>
    <row r="752">
      <c r="A752" s="6" t="inlineStr">
        <is>
          <t>821000</t>
        </is>
      </c>
      <c r="B752" s="7" t="inlineStr">
        <is>
          <t>Horganyzott süllyesztett nyelves zár</t>
        </is>
      </c>
      <c r="C752" s="6" t="inlineStr">
        <is>
          <t>Speciális felépítmény alkatrészek</t>
        </is>
      </c>
      <c r="D752" s="6" t="inlineStr">
        <is>
          <t>Zárak</t>
        </is>
      </c>
      <c r="E752" s="6" t="inlineStr">
        <is>
          <t>FTS</t>
        </is>
      </c>
      <c r="F752" s="6" t="inlineStr"/>
      <c r="G752" s="6" t="inlineStr">
        <is>
          <t>Quadris Excel</t>
        </is>
      </c>
      <c r="H752" s="6" t="n">
        <v>0</v>
      </c>
      <c r="I752" s="6" t="n">
        <v>0</v>
      </c>
      <c r="J752" s="6" t="inlineStr">
        <is>
          <t>nincs</t>
        </is>
      </c>
      <c r="K752" s="6">
        <f>IF(AND(H752&gt;0,I752&gt;0),"Rendben",IF(AND(H752=0,I752=0),"Nincs kép és adat",IF(H752=0,"Nincs kép","Nincs adat")))</f>
        <v/>
      </c>
      <c r="L752" s="6" t="inlineStr">
        <is>
          <t>Igen</t>
        </is>
      </c>
      <c r="M752" s="7" t="inlineStr">
        <is>
          <t>fts-farina.it webáruház (WooCommerce API); FTS 2024 katalógus (PDF)</t>
        </is>
      </c>
      <c r="N752" s="7" t="inlineStr">
        <is>
          <t>Nem találtuk: fts-farina.it webáruház (WooCommerce API); FTS 2024 katalógus (PDF)</t>
        </is>
      </c>
      <c r="O752" s="6" t="inlineStr"/>
      <c r="P752" s="11" t="inlineStr">
        <is>
          <t>https://website-9ib.pages.dev/termek/821000-horganyzott-sullyesztett-nyelves-zar/</t>
        </is>
      </c>
      <c r="Q752" s="12" t="inlineStr"/>
      <c r="R752" s="13" t="inlineStr"/>
      <c r="S752" s="6" t="inlineStr">
        <is>
          <t>821000-horganyzott-sullyesztett-nyelves-zar</t>
        </is>
      </c>
    </row>
    <row r="753">
      <c r="A753" s="6" t="inlineStr">
        <is>
          <t>815811</t>
        </is>
      </c>
      <c r="B753" s="7" t="inlineStr">
        <is>
          <t>Kis négyszög zár</t>
        </is>
      </c>
      <c r="C753" s="6" t="inlineStr">
        <is>
          <t>Speciális felépítmény alkatrészek</t>
        </is>
      </c>
      <c r="D753" s="6" t="inlineStr">
        <is>
          <t>Zárak</t>
        </is>
      </c>
      <c r="E753" s="6" t="inlineStr">
        <is>
          <t>FTS</t>
        </is>
      </c>
      <c r="F753" s="6" t="inlineStr">
        <is>
          <t>10158110</t>
        </is>
      </c>
      <c r="G753" s="6" t="inlineStr">
        <is>
          <t>Quadris Excel</t>
        </is>
      </c>
      <c r="H753" s="6" t="n">
        <v>2</v>
      </c>
      <c r="I753" s="6" t="n">
        <v>1</v>
      </c>
      <c r="J753" s="6" t="inlineStr">
        <is>
          <t>nincs</t>
        </is>
      </c>
      <c r="K753" s="6">
        <f>IF(AND(H753&gt;0,I753&gt;0),"Rendben",IF(AND(H753=0,I753=0),"Nincs kép és adat",IF(H753=0,"Nincs kép","Nincs adat")))</f>
        <v/>
      </c>
      <c r="L753" s="6" t="inlineStr">
        <is>
          <t>Igen</t>
        </is>
      </c>
      <c r="M753" s="7" t="inlineStr">
        <is>
          <t>fts-farina.it webáruház (WooCommerce API); FTS 2024 katalógus (PDF)</t>
        </is>
      </c>
      <c r="N753" s="7" t="inlineStr">
        <is>
          <t>Megtalálva: Tavellini (kód: 10158110)</t>
        </is>
      </c>
      <c r="O753" s="11" t="inlineStr">
        <is>
          <t>https://www.fts-farina.it/prodotto/tavellini/</t>
        </is>
      </c>
      <c r="P753" s="11" t="inlineStr">
        <is>
          <t>https://website-9ib.pages.dev/termek/815811-kis-negyszog-zar/</t>
        </is>
      </c>
      <c r="Q753" s="12" t="inlineStr"/>
      <c r="R753" s="13" t="inlineStr"/>
      <c r="S753" s="6" t="inlineStr">
        <is>
          <t>815811-kis-negyszog-zar</t>
        </is>
      </c>
    </row>
    <row r="754">
      <c r="A754" s="6" t="inlineStr">
        <is>
          <t>813281</t>
        </is>
      </c>
      <c r="B754" s="7" t="inlineStr">
        <is>
          <t>Kis négyszög zár INOX</t>
        </is>
      </c>
      <c r="C754" s="6" t="inlineStr">
        <is>
          <t>Speciális felépítmény alkatrészek</t>
        </is>
      </c>
      <c r="D754" s="6" t="inlineStr">
        <is>
          <t>Zárak</t>
        </is>
      </c>
      <c r="E754" s="6" t="inlineStr">
        <is>
          <t>FTS</t>
        </is>
      </c>
      <c r="F754" s="6" t="inlineStr">
        <is>
          <t>2143281IN</t>
        </is>
      </c>
      <c r="G754" s="6" t="inlineStr">
        <is>
          <t>Quadris Excel</t>
        </is>
      </c>
      <c r="H754" s="6" t="n">
        <v>0</v>
      </c>
      <c r="I754" s="6" t="n">
        <v>0</v>
      </c>
      <c r="J754" s="6" t="inlineStr">
        <is>
          <t>nincs</t>
        </is>
      </c>
      <c r="K754" s="6">
        <f>IF(AND(H754&gt;0,I754&gt;0),"Rendben",IF(AND(H754=0,I754=0),"Nincs kép és adat",IF(H754=0,"Nincs kép","Nincs adat")))</f>
        <v/>
      </c>
      <c r="L754" s="6" t="inlineStr">
        <is>
          <t>Igen</t>
        </is>
      </c>
      <c r="M754" s="7" t="inlineStr">
        <is>
          <t>fts-farina.it webáruház (WooCommerce API); FTS 2024 katalógus (PDF)</t>
        </is>
      </c>
      <c r="N754" s="7" t="inlineStr">
        <is>
          <t>Nem találtuk: fts-farina.it webáruház (WooCommerce API); FTS 2024 katalógus (PDF)</t>
        </is>
      </c>
      <c r="O754" s="6" t="inlineStr"/>
      <c r="P754" s="11" t="inlineStr">
        <is>
          <t>https://website-9ib.pages.dev/termek/813281-kis-negyszog-zar-inox/</t>
        </is>
      </c>
      <c r="Q754" s="12" t="inlineStr"/>
      <c r="R754" s="13" t="inlineStr"/>
      <c r="S754" s="6" t="inlineStr">
        <is>
          <t>813281-kis-negyszog-zar-inox</t>
        </is>
      </c>
    </row>
    <row r="755">
      <c r="A755" s="6" t="inlineStr">
        <is>
          <t>895260</t>
        </is>
      </c>
      <c r="B755" s="7" t="inlineStr">
        <is>
          <t>Kis oldalsó ládazár</t>
        </is>
      </c>
      <c r="C755" s="6" t="inlineStr">
        <is>
          <t>Speciális felépítmény alkatrészek</t>
        </is>
      </c>
      <c r="D755" s="6" t="inlineStr">
        <is>
          <t>Zárak</t>
        </is>
      </c>
      <c r="E755" s="6" t="inlineStr">
        <is>
          <t>FTS</t>
        </is>
      </c>
      <c r="F755" s="6" t="inlineStr"/>
      <c r="G755" s="6" t="inlineStr">
        <is>
          <t>Quadris Excel</t>
        </is>
      </c>
      <c r="H755" s="6" t="n">
        <v>0</v>
      </c>
      <c r="I755" s="6" t="n">
        <v>0</v>
      </c>
      <c r="J755" s="6" t="inlineStr">
        <is>
          <t>nincs</t>
        </is>
      </c>
      <c r="K755" s="6">
        <f>IF(AND(H755&gt;0,I755&gt;0),"Rendben",IF(AND(H755=0,I755=0),"Nincs kép és adat",IF(H755=0,"Nincs kép","Nincs adat")))</f>
        <v/>
      </c>
      <c r="L755" s="6" t="inlineStr">
        <is>
          <t>Igen</t>
        </is>
      </c>
      <c r="M755" s="7" t="inlineStr">
        <is>
          <t>fts-farina.it webáruház (WooCommerce API); FTS 2024 katalógus (PDF)</t>
        </is>
      </c>
      <c r="N755" s="7" t="inlineStr">
        <is>
          <t>Nem találtuk: fts-farina.it webáruház (WooCommerce API); FTS 2024 katalógus (PDF)</t>
        </is>
      </c>
      <c r="O755" s="6" t="inlineStr"/>
      <c r="P755" s="11" t="inlineStr">
        <is>
          <t>https://website-9ib.pages.dev/termek/895260-kis-oldalso-ladazar/</t>
        </is>
      </c>
      <c r="Q755" s="12" t="inlineStr"/>
      <c r="R755" s="13" t="inlineStr"/>
      <c r="S755" s="6" t="inlineStr">
        <is>
          <t>895260-kis-oldalso-ladazar</t>
        </is>
      </c>
    </row>
    <row r="756">
      <c r="A756" s="6" t="inlineStr">
        <is>
          <t>816211</t>
        </is>
      </c>
      <c r="B756" s="7" t="inlineStr">
        <is>
          <t>Nagy négyszög zár</t>
        </is>
      </c>
      <c r="C756" s="6" t="inlineStr">
        <is>
          <t>Speciális felépítmény alkatrészek</t>
        </is>
      </c>
      <c r="D756" s="6" t="inlineStr">
        <is>
          <t>Zárak</t>
        </is>
      </c>
      <c r="E756" s="6" t="inlineStr">
        <is>
          <t>FTS</t>
        </is>
      </c>
      <c r="F756" s="6" t="inlineStr">
        <is>
          <t>10162110</t>
        </is>
      </c>
      <c r="G756" s="6" t="inlineStr">
        <is>
          <t>Quadris Excel</t>
        </is>
      </c>
      <c r="H756" s="6" t="n">
        <v>2</v>
      </c>
      <c r="I756" s="6" t="n">
        <v>1</v>
      </c>
      <c r="J756" s="6" t="inlineStr">
        <is>
          <t>nincs</t>
        </is>
      </c>
      <c r="K756" s="6">
        <f>IF(AND(H756&gt;0,I756&gt;0),"Rendben",IF(AND(H756=0,I756=0),"Nincs kép és adat",IF(H756=0,"Nincs kép","Nincs adat")))</f>
        <v/>
      </c>
      <c r="L756" s="6" t="inlineStr">
        <is>
          <t>Igen</t>
        </is>
      </c>
      <c r="M756" s="7" t="inlineStr">
        <is>
          <t>fts-farina.it webáruház (WooCommerce API); FTS 2024 katalógus (PDF)</t>
        </is>
      </c>
      <c r="N756" s="7" t="inlineStr">
        <is>
          <t>Megtalálva: Tavellini (kód: 10162110)</t>
        </is>
      </c>
      <c r="O756" s="11" t="inlineStr">
        <is>
          <t>https://www.fts-farina.it/prodotto/tavellini/</t>
        </is>
      </c>
      <c r="P756" s="11" t="inlineStr">
        <is>
          <t>https://website-9ib.pages.dev/termek/816211-nagy-negyszog-zar/</t>
        </is>
      </c>
      <c r="Q756" s="12" t="inlineStr"/>
      <c r="R756" s="13" t="inlineStr"/>
      <c r="S756" s="6" t="inlineStr">
        <is>
          <t>816211-nagy-negyszog-zar</t>
        </is>
      </c>
    </row>
    <row r="757">
      <c r="A757" s="6" t="inlineStr">
        <is>
          <t>895280</t>
        </is>
      </c>
      <c r="B757" s="7" t="inlineStr">
        <is>
          <t>Nagy oldalsó ládazár</t>
        </is>
      </c>
      <c r="C757" s="6" t="inlineStr">
        <is>
          <t>Speciális felépítmény alkatrészek</t>
        </is>
      </c>
      <c r="D757" s="6" t="inlineStr">
        <is>
          <t>Zárak</t>
        </is>
      </c>
      <c r="E757" s="6" t="inlineStr">
        <is>
          <t>FTS</t>
        </is>
      </c>
      <c r="F757" s="6" t="inlineStr">
        <is>
          <t>80952800</t>
        </is>
      </c>
      <c r="G757" s="6" t="inlineStr">
        <is>
          <t>Quadris Excel</t>
        </is>
      </c>
      <c r="H757" s="6" t="n">
        <v>3</v>
      </c>
      <c r="I757" s="6" t="n">
        <v>1</v>
      </c>
      <c r="J757" s="6" t="inlineStr">
        <is>
          <t>nincs</t>
        </is>
      </c>
      <c r="K757" s="6">
        <f>IF(AND(H757&gt;0,I757&gt;0),"Rendben",IF(AND(H757=0,I757=0),"Nincs kép és adat",IF(H757=0,"Nincs kép","Nincs adat")))</f>
        <v/>
      </c>
      <c r="L757" s="6" t="inlineStr">
        <is>
          <t>Igen</t>
        </is>
      </c>
      <c r="M757" s="7" t="inlineStr">
        <is>
          <t>fts-farina.it webáruház (WooCommerce API); FTS 2024 katalógus (PDF)</t>
        </is>
      </c>
      <c r="N757" s="7" t="inlineStr">
        <is>
          <t>Megtalálva: 80952800 – Chiusura a leva di tenuta grande con chiave sotto bottone (kód: 80952800)</t>
        </is>
      </c>
      <c r="O757" s="11" t="inlineStr">
        <is>
          <t>https://www.fts-farina.it/prodotto/80952800-chiusura-a-leva-di-tenuta-grande-con-chiave-sotto-bottone/</t>
        </is>
      </c>
      <c r="P757" s="11" t="inlineStr">
        <is>
          <t>https://website-9ib.pages.dev/termek/895280-nagy-oldalso-ladazar/</t>
        </is>
      </c>
      <c r="Q757" s="12" t="inlineStr"/>
      <c r="R757" s="13" t="inlineStr"/>
      <c r="S757" s="6" t="inlineStr">
        <is>
          <t>895280-nagy-oldalso-ladazar</t>
        </is>
      </c>
    </row>
    <row r="758">
      <c r="A758" s="6" t="inlineStr">
        <is>
          <t>810164</t>
        </is>
      </c>
      <c r="B758" s="7" t="inlineStr">
        <is>
          <t>Négyszög kulcs</t>
        </is>
      </c>
      <c r="C758" s="6" t="inlineStr">
        <is>
          <t>Speciális felépítmény alkatrészek</t>
        </is>
      </c>
      <c r="D758" s="6" t="inlineStr">
        <is>
          <t>Zárak</t>
        </is>
      </c>
      <c r="E758" s="6" t="inlineStr">
        <is>
          <t>FTS</t>
        </is>
      </c>
      <c r="F758" s="6" t="inlineStr">
        <is>
          <t>10164110</t>
        </is>
      </c>
      <c r="G758" s="6" t="inlineStr">
        <is>
          <t>Quadris Excel</t>
        </is>
      </c>
      <c r="H758" s="6" t="n">
        <v>2</v>
      </c>
      <c r="I758" s="6" t="n">
        <v>1</v>
      </c>
      <c r="J758" s="6" t="inlineStr">
        <is>
          <t>nincs</t>
        </is>
      </c>
      <c r="K758" s="6">
        <f>IF(AND(H758&gt;0,I758&gt;0),"Rendben",IF(AND(H758=0,I758=0),"Nincs kép és adat",IF(H758=0,"Nincs kép","Nincs adat")))</f>
        <v/>
      </c>
      <c r="L758" s="6" t="inlineStr">
        <is>
          <t>Igen</t>
        </is>
      </c>
      <c r="M758" s="7" t="inlineStr">
        <is>
          <t>fts-farina.it webáruház (WooCommerce API); FTS 2024 katalógus (PDF)</t>
        </is>
      </c>
      <c r="N758" s="7" t="inlineStr">
        <is>
          <t>Megtalálva: 10164110 – Chiave quadrata zincata (kód: 10164110)</t>
        </is>
      </c>
      <c r="O758" s="11" t="inlineStr">
        <is>
          <t>https://www.fts-farina.it/prodotto/10164110-chiave-quadrata-zincata/</t>
        </is>
      </c>
      <c r="P758" s="11" t="inlineStr">
        <is>
          <t>https://website-9ib.pages.dev/termek/810164-negyszog-kulcs/</t>
        </is>
      </c>
      <c r="Q758" s="12" t="inlineStr"/>
      <c r="R758" s="13" t="inlineStr"/>
      <c r="S758" s="6" t="inlineStr">
        <is>
          <t>810164-negyszog-kulcs</t>
        </is>
      </c>
    </row>
    <row r="759">
      <c r="A759" s="6" t="inlineStr"/>
      <c r="B759" s="7" t="inlineStr">
        <is>
          <t>J181310 D42-es FF 3p. sárvédőtartó cső 800 mm</t>
        </is>
      </c>
      <c r="C759" s="6" t="inlineStr">
        <is>
          <t>Sárvédők, szerszámosládák</t>
        </is>
      </c>
      <c r="D759" s="6" t="inlineStr">
        <is>
          <t>Felfogatások</t>
        </is>
      </c>
      <c r="E759" s="6" t="inlineStr">
        <is>
          <t>FTS</t>
        </is>
      </c>
      <c r="F759" s="6" t="inlineStr"/>
      <c r="G759" s="6" t="inlineStr">
        <is>
          <t>Quadris Excel</t>
        </is>
      </c>
      <c r="H759" s="6" t="n">
        <v>0</v>
      </c>
      <c r="I759" s="6" t="n">
        <v>0</v>
      </c>
      <c r="J759" s="6" t="inlineStr">
        <is>
          <t>nincs</t>
        </is>
      </c>
      <c r="K759" s="6">
        <f>IF(AND(H759&gt;0,I759&gt;0),"Rendben",IF(AND(H759=0,I759=0),"Nincs kép és adat",IF(H759=0,"Nincs kép","Nincs adat")))</f>
        <v/>
      </c>
      <c r="L759" s="6" t="inlineStr">
        <is>
          <t>Igen</t>
        </is>
      </c>
      <c r="M759" s="7" t="inlineStr">
        <is>
          <t>fts-farina.it webáruház (WooCommerce API); FTS 2024 katalógus (PDF)</t>
        </is>
      </c>
      <c r="N759" s="7" t="inlineStr">
        <is>
          <t>Nem találtuk: fts-farina.it webáruház (WooCommerce API); FTS 2024 katalógus (PDF)</t>
        </is>
      </c>
      <c r="O759" s="6" t="inlineStr"/>
      <c r="P759" s="11" t="inlineStr">
        <is>
          <t>https://website-9ib.pages.dev/termek/j181310-d42-es-ff-3p-sarvedotarto-cso-800-mm/</t>
        </is>
      </c>
      <c r="Q759" s="12" t="inlineStr"/>
      <c r="R759" s="13" t="inlineStr"/>
      <c r="S759" s="6" t="inlineStr">
        <is>
          <t>j181310-d42-es-ff-3p-sarvedotarto-cso-800-mm</t>
        </is>
      </c>
    </row>
    <row r="760">
      <c r="A760" s="6" t="inlineStr"/>
      <c r="B760" s="7" t="inlineStr">
        <is>
          <t>J600421 horg. 42-es sárvédőtartó cső 750 mm egyenes</t>
        </is>
      </c>
      <c r="C760" s="6" t="inlineStr">
        <is>
          <t>Sárvédők, szerszámosládák</t>
        </is>
      </c>
      <c r="D760" s="6" t="inlineStr">
        <is>
          <t>Felfogatások</t>
        </is>
      </c>
      <c r="E760" s="6" t="inlineStr">
        <is>
          <t>FTS</t>
        </is>
      </c>
      <c r="F760" s="6" t="inlineStr">
        <is>
          <t>60780421</t>
        </is>
      </c>
      <c r="G760" s="6" t="inlineStr">
        <is>
          <t>Quadris Excel</t>
        </is>
      </c>
      <c r="H760" s="6" t="n">
        <v>2</v>
      </c>
      <c r="I760" s="6" t="n">
        <v>1</v>
      </c>
      <c r="J760" s="6" t="inlineStr">
        <is>
          <t>nincs</t>
        </is>
      </c>
      <c r="K760" s="6">
        <f>IF(AND(H760&gt;0,I760&gt;0),"Rendben",IF(AND(H760=0,I760=0),"Nincs kép és adat",IF(H760=0,"Nincs kép","Nincs adat")))</f>
        <v/>
      </c>
      <c r="L760" s="6" t="inlineStr">
        <is>
          <t>Igen</t>
        </is>
      </c>
      <c r="M760" s="7" t="inlineStr">
        <is>
          <t>fts-farina.it webáruház (WooCommerce API); FTS 2024 katalógus (PDF)</t>
        </is>
      </c>
      <c r="N760" s="7" t="inlineStr">
        <is>
          <t>Megtalálva: 60780421 – Tubo di fissaggio diritto zincato Ø42 L=750 (kód: 60780421)</t>
        </is>
      </c>
      <c r="O760" s="11" t="inlineStr">
        <is>
          <t>https://www.fts-farina.it/prodotto/60780421-tubo-di-fissaggio-diritto-zincato-o42-l750/</t>
        </is>
      </c>
      <c r="P760" s="11" t="inlineStr">
        <is>
          <t>https://website-9ib.pages.dev/termek/j600421-horg-42-es-sarvedotarto-cso-750-mm-egyenes/</t>
        </is>
      </c>
      <c r="Q760" s="12" t="inlineStr"/>
      <c r="R760" s="13" t="inlineStr"/>
      <c r="S760" s="6" t="inlineStr">
        <is>
          <t>j600421-horg-42-es-sarvedotarto-cso-750-mm-egyenes</t>
        </is>
      </c>
    </row>
    <row r="761">
      <c r="A761" s="6" t="inlineStr"/>
      <c r="B761" s="7" t="inlineStr">
        <is>
          <t>J600422 TH 42-es sárvédőtartó cső 750 mm hajlított</t>
        </is>
      </c>
      <c r="C761" s="6" t="inlineStr">
        <is>
          <t>Sárvédők, szerszámosládák</t>
        </is>
      </c>
      <c r="D761" s="6" t="inlineStr">
        <is>
          <t>Felfogatások</t>
        </is>
      </c>
      <c r="E761" s="6" t="inlineStr">
        <is>
          <t>FTS</t>
        </is>
      </c>
      <c r="F761" s="6" t="inlineStr">
        <is>
          <t>60770422</t>
        </is>
      </c>
      <c r="G761" s="6" t="inlineStr">
        <is>
          <t>Quadris Excel</t>
        </is>
      </c>
      <c r="H761" s="6" t="n">
        <v>2</v>
      </c>
      <c r="I761" s="6" t="n">
        <v>1</v>
      </c>
      <c r="J761" s="6" t="inlineStr">
        <is>
          <t>nincs</t>
        </is>
      </c>
      <c r="K761" s="6">
        <f>IF(AND(H761&gt;0,I761&gt;0),"Rendben",IF(AND(H761=0,I761=0),"Nincs kép és adat",IF(H761=0,"Nincs kép","Nincs adat")))</f>
        <v/>
      </c>
      <c r="L761" s="6" t="inlineStr">
        <is>
          <t>Igen</t>
        </is>
      </c>
      <c r="M761" s="7" t="inlineStr">
        <is>
          <t>fts-farina.it webáruház (WooCommerce API); FTS 2024 katalógus (PDF)</t>
        </is>
      </c>
      <c r="N761" s="7" t="inlineStr">
        <is>
          <t>Megtalálva: 60770422 – Tubo zincato a caldo di fissaggio Ø42 L=750 (kód: 60770422)</t>
        </is>
      </c>
      <c r="O761" s="11" t="inlineStr">
        <is>
          <t>https://www.fts-farina.it/prodotto/60770422-tubo-zincato-a-caldo-di-fissaggio-o42-l750/</t>
        </is>
      </c>
      <c r="P761" s="11" t="inlineStr">
        <is>
          <t>https://website-9ib.pages.dev/termek/j600422-th-42-es-sarvedotarto-cso-750-mm-hajlitott/</t>
        </is>
      </c>
      <c r="Q761" s="12" t="inlineStr"/>
      <c r="R761" s="13" t="inlineStr"/>
      <c r="S761" s="6" t="inlineStr">
        <is>
          <t>j600422-th-42-es-sarvedotarto-cso-750-mm-hajlitott</t>
        </is>
      </c>
    </row>
    <row r="762">
      <c r="A762" s="6" t="inlineStr"/>
      <c r="B762" s="7" t="inlineStr">
        <is>
          <t>J601811 ZN 42-es sárvédőtartó cső 800 mm</t>
        </is>
      </c>
      <c r="C762" s="6" t="inlineStr">
        <is>
          <t>Sárvédők, szerszámosládák</t>
        </is>
      </c>
      <c r="D762" s="6" t="inlineStr">
        <is>
          <t>Felfogatások</t>
        </is>
      </c>
      <c r="E762" s="6" t="inlineStr">
        <is>
          <t>FTS</t>
        </is>
      </c>
      <c r="F762" s="6" t="inlineStr">
        <is>
          <t>60180110</t>
        </is>
      </c>
      <c r="G762" s="6" t="inlineStr">
        <is>
          <t>Quadris Excel</t>
        </is>
      </c>
      <c r="H762" s="6" t="n">
        <v>2</v>
      </c>
      <c r="I762" s="6" t="n">
        <v>1</v>
      </c>
      <c r="J762" s="6" t="inlineStr">
        <is>
          <t>nincs</t>
        </is>
      </c>
      <c r="K762" s="6">
        <f>IF(AND(H762&gt;0,I762&gt;0),"Rendben",IF(AND(H762=0,I762=0),"Nincs kép és adat",IF(H762=0,"Nincs kép","Nincs adat")))</f>
        <v/>
      </c>
      <c r="L762" s="6" t="inlineStr">
        <is>
          <t>Igen</t>
        </is>
      </c>
      <c r="M762" s="7" t="inlineStr">
        <is>
          <t>fts-farina.it webáruház (WooCommerce API); FTS 2024 katalógus (PDF)</t>
        </is>
      </c>
      <c r="N762" s="7" t="inlineStr">
        <is>
          <t>Megtalálva: 60180110 – Tubo di fissaggio zincato Ø42 (kód: 60180110)</t>
        </is>
      </c>
      <c r="O762" s="11" t="inlineStr">
        <is>
          <t>https://www.fts-farina.it/prodotto/60180110-tubo-di-fissaggio-zincato-o42/</t>
        </is>
      </c>
      <c r="P762" s="11" t="inlineStr">
        <is>
          <t>https://website-9ib.pages.dev/termek/j601811-zn-42-es-sarvedotarto-cso-800-mm/</t>
        </is>
      </c>
      <c r="Q762" s="12" t="inlineStr"/>
      <c r="R762" s="13" t="inlineStr"/>
      <c r="S762" s="6" t="inlineStr">
        <is>
          <t>j601811-zn-42-es-sarvedotarto-cso-800-mm</t>
        </is>
      </c>
    </row>
    <row r="763">
      <c r="A763" s="6" t="inlineStr"/>
      <c r="B763" s="7" t="inlineStr">
        <is>
          <t>J617110 42-es horg acél csőtartó bilincs F</t>
        </is>
      </c>
      <c r="C763" s="6" t="inlineStr">
        <is>
          <t>Sárvédők, szerszámosládák</t>
        </is>
      </c>
      <c r="D763" s="6" t="inlineStr">
        <is>
          <t>Felfogatások</t>
        </is>
      </c>
      <c r="E763" s="6" t="inlineStr">
        <is>
          <t>FTS</t>
        </is>
      </c>
      <c r="F763" s="6" t="inlineStr">
        <is>
          <t>60167110</t>
        </is>
      </c>
      <c r="G763" s="6" t="inlineStr">
        <is>
          <t>Quadris Excel</t>
        </is>
      </c>
      <c r="H763" s="6" t="n">
        <v>4</v>
      </c>
      <c r="I763" s="6" t="n">
        <v>2</v>
      </c>
      <c r="J763" s="6" t="inlineStr">
        <is>
          <t>nincs</t>
        </is>
      </c>
      <c r="K763" s="6">
        <f>IF(AND(H763&gt;0,I763&gt;0),"Rendben",IF(AND(H763=0,I763=0),"Nincs kép és adat",IF(H763=0,"Nincs kép","Nincs adat")))</f>
        <v/>
      </c>
      <c r="L763" s="6" t="inlineStr">
        <is>
          <t>Igen</t>
        </is>
      </c>
      <c r="M763" s="7" t="inlineStr">
        <is>
          <t>fts-farina.it webáruház (WooCommerce API); FTS 2024 katalógus (PDF)</t>
        </is>
      </c>
      <c r="N763" s="7" t="inlineStr">
        <is>
          <t>Megtalálva: 60167110 – Supporto parafango sagomato zincato Ø42 (kód: 60167110)</t>
        </is>
      </c>
      <c r="O763" s="11" t="inlineStr">
        <is>
          <t>https://www.fts-farina.it/prodotto/60167110-supporto-parafango-sagomato-zincato-o42/</t>
        </is>
      </c>
      <c r="P763" s="11" t="inlineStr">
        <is>
          <t>https://website-9ib.pages.dev/termek/j617110-42-es-horg-acel-csotarto-bilincs-f/</t>
        </is>
      </c>
      <c r="Q763" s="12" t="inlineStr"/>
      <c r="R763" s="13" t="inlineStr"/>
      <c r="S763" s="6" t="inlineStr">
        <is>
          <t>j617110-42-es-horg-acel-csotarto-bilincs-f</t>
        </is>
      </c>
    </row>
    <row r="764">
      <c r="A764" s="6" t="inlineStr"/>
      <c r="B764" s="7" t="inlineStr">
        <is>
          <t>"Le Mans" tetőventilátor (12V)</t>
        </is>
      </c>
      <c r="C764" s="6" t="inlineStr">
        <is>
          <t>Szellőzés, tetőablakok, világítás</t>
        </is>
      </c>
      <c r="D764" s="6" t="inlineStr">
        <is>
          <t>Tetőventilátorok</t>
        </is>
      </c>
      <c r="E764" s="6" t="inlineStr">
        <is>
          <t>G&amp;C termékek</t>
        </is>
      </c>
      <c r="F764" s="6" t="inlineStr">
        <is>
          <t>02-2200</t>
        </is>
      </c>
      <c r="G764" s="6" t="inlineStr">
        <is>
          <t>Quadris Excel</t>
        </is>
      </c>
      <c r="H764" s="6" t="n">
        <v>1</v>
      </c>
      <c r="I764" s="6" t="n">
        <v>9</v>
      </c>
      <c r="J764" s="6" t="inlineStr">
        <is>
          <t>nincs</t>
        </is>
      </c>
      <c r="K764" s="6">
        <f>IF(AND(H764&gt;0,I764&gt;0),"Rendben",IF(AND(H764=0,I764=0),"Nincs kép és adat",IF(H764=0,"Nincs kép","Nincs adat")))</f>
        <v/>
      </c>
      <c r="L764" s="6" t="inlineStr">
        <is>
          <t>Igen</t>
        </is>
      </c>
      <c r="M764" s="7" t="inlineStr">
        <is>
          <t>gnc-systems.com termékoldalak és adatlapok</t>
        </is>
      </c>
      <c r="N764" s="7" t="inlineStr">
        <is>
          <t>Megtalálva: Le Mans (kód: 02-2200)</t>
        </is>
      </c>
      <c r="O764" s="11" t="inlineStr">
        <is>
          <t>https://gnc-systems.com/en/products/le-mans/</t>
        </is>
      </c>
      <c r="P764" s="11" t="inlineStr">
        <is>
          <t>https://website-9ib.pages.dev/termek/le-mans-tetoventilator-12v/</t>
        </is>
      </c>
      <c r="Q764" s="12" t="inlineStr"/>
      <c r="R764" s="13" t="inlineStr"/>
      <c r="S764" s="6" t="inlineStr">
        <is>
          <t>le-mans-tetoventilator-12v</t>
        </is>
      </c>
    </row>
    <row r="765">
      <c r="A765" s="6" t="inlineStr"/>
      <c r="B765" s="7" t="inlineStr">
        <is>
          <t>"Le Mans" tetőventilátor (24V)</t>
        </is>
      </c>
      <c r="C765" s="6" t="inlineStr">
        <is>
          <t>Szellőzés, tetőablakok, világítás</t>
        </is>
      </c>
      <c r="D765" s="6" t="inlineStr">
        <is>
          <t>Tetőventilátorok</t>
        </is>
      </c>
      <c r="E765" s="6" t="inlineStr">
        <is>
          <t>G&amp;C termékek</t>
        </is>
      </c>
      <c r="F765" s="6" t="inlineStr">
        <is>
          <t>02-2300</t>
        </is>
      </c>
      <c r="G765" s="6" t="inlineStr">
        <is>
          <t>Quadris Excel</t>
        </is>
      </c>
      <c r="H765" s="6" t="n">
        <v>1</v>
      </c>
      <c r="I765" s="6" t="n">
        <v>9</v>
      </c>
      <c r="J765" s="6" t="inlineStr">
        <is>
          <t>nincs</t>
        </is>
      </c>
      <c r="K765" s="6">
        <f>IF(AND(H765&gt;0,I765&gt;0),"Rendben",IF(AND(H765=0,I765=0),"Nincs kép és adat",IF(H765=0,"Nincs kép","Nincs adat")))</f>
        <v/>
      </c>
      <c r="L765" s="6" t="inlineStr">
        <is>
          <t>Igen</t>
        </is>
      </c>
      <c r="M765" s="7" t="inlineStr">
        <is>
          <t>gnc-systems.com termékoldalak és adatlapok</t>
        </is>
      </c>
      <c r="N765" s="7" t="inlineStr">
        <is>
          <t>Megtalálva: Le Mans (kód: 02-2300)</t>
        </is>
      </c>
      <c r="O765" s="11" t="inlineStr">
        <is>
          <t>https://gnc-systems.com/en/products/le-mans/</t>
        </is>
      </c>
      <c r="P765" s="11" t="inlineStr">
        <is>
          <t>https://website-9ib.pages.dev/termek/le-mans-tetoventilator-24v/</t>
        </is>
      </c>
      <c r="Q765" s="12" t="inlineStr"/>
      <c r="R765" s="13" t="inlineStr"/>
      <c r="S765" s="6" t="inlineStr">
        <is>
          <t>le-mans-tetoventilator-24v</t>
        </is>
      </c>
    </row>
    <row r="766">
      <c r="A766" s="6" t="inlineStr"/>
      <c r="B766" s="7" t="inlineStr">
        <is>
          <t>"TURBO II" tetőventilátor Fehér</t>
        </is>
      </c>
      <c r="C766" s="6" t="inlineStr">
        <is>
          <t>Szellőzés, tetőablakok, világítás</t>
        </is>
      </c>
      <c r="D766" s="6" t="inlineStr">
        <is>
          <t>Tetőventilátorok</t>
        </is>
      </c>
      <c r="E766" s="6" t="inlineStr">
        <is>
          <t>G&amp;C termékek</t>
        </is>
      </c>
      <c r="F766" s="6" t="inlineStr">
        <is>
          <t>02-7000</t>
        </is>
      </c>
      <c r="G766" s="6" t="inlineStr">
        <is>
          <t>Quadris Excel</t>
        </is>
      </c>
      <c r="H766" s="6" t="n">
        <v>1</v>
      </c>
      <c r="I766" s="6" t="n">
        <v>3</v>
      </c>
      <c r="J766" s="6" t="inlineStr">
        <is>
          <t>nincs</t>
        </is>
      </c>
      <c r="K766" s="6">
        <f>IF(AND(H766&gt;0,I766&gt;0),"Rendben",IF(AND(H766=0,I766=0),"Nincs kép és adat",IF(H766=0,"Nincs kép","Nincs adat")))</f>
        <v/>
      </c>
      <c r="L766" s="6" t="inlineStr">
        <is>
          <t>Igen</t>
        </is>
      </c>
      <c r="M766" s="7" t="inlineStr">
        <is>
          <t>gnc-systems.com termékoldalak és adatlapok</t>
        </is>
      </c>
      <c r="N766" s="7" t="inlineStr">
        <is>
          <t>Megtalálva: Turbo II (kód: 02-7000)</t>
        </is>
      </c>
      <c r="O766" s="11" t="inlineStr">
        <is>
          <t>https://gnc-systems.com/en/products/turbo-ii/</t>
        </is>
      </c>
      <c r="P766" s="11" t="inlineStr">
        <is>
          <t>https://website-9ib.pages.dev/termek/turbo-ii-tetoventilator-feher/</t>
        </is>
      </c>
      <c r="Q766" s="12" t="inlineStr"/>
      <c r="R766" s="13" t="inlineStr"/>
      <c r="S766" s="6" t="inlineStr">
        <is>
          <t>turbo-ii-tetoventilator-feher</t>
        </is>
      </c>
    </row>
    <row r="767">
      <c r="A767" s="6" t="inlineStr"/>
      <c r="B767" s="7" t="inlineStr">
        <is>
          <t>"TURBO II" tetőventilátor Fekete</t>
        </is>
      </c>
      <c r="C767" s="6" t="inlineStr">
        <is>
          <t>Szellőzés, tetőablakok, világítás</t>
        </is>
      </c>
      <c r="D767" s="6" t="inlineStr">
        <is>
          <t>Tetőventilátorok</t>
        </is>
      </c>
      <c r="E767" s="6" t="inlineStr">
        <is>
          <t>G&amp;C termékek</t>
        </is>
      </c>
      <c r="F767" s="6" t="inlineStr">
        <is>
          <t>02-7100</t>
        </is>
      </c>
      <c r="G767" s="6" t="inlineStr">
        <is>
          <t>Quadris Excel</t>
        </is>
      </c>
      <c r="H767" s="6" t="n">
        <v>1</v>
      </c>
      <c r="I767" s="6" t="n">
        <v>3</v>
      </c>
      <c r="J767" s="6" t="inlineStr">
        <is>
          <t>nincs</t>
        </is>
      </c>
      <c r="K767" s="6">
        <f>IF(AND(H767&gt;0,I767&gt;0),"Rendben",IF(AND(H767=0,I767=0),"Nincs kép és adat",IF(H767=0,"Nincs kép","Nincs adat")))</f>
        <v/>
      </c>
      <c r="L767" s="6" t="inlineStr">
        <is>
          <t>Igen</t>
        </is>
      </c>
      <c r="M767" s="7" t="inlineStr">
        <is>
          <t>gnc-systems.com termékoldalak és adatlapok</t>
        </is>
      </c>
      <c r="N767" s="7" t="inlineStr">
        <is>
          <t>Megtalálva: Turbo II (kód: 02-7100)</t>
        </is>
      </c>
      <c r="O767" s="11" t="inlineStr">
        <is>
          <t>https://gnc-systems.com/en/products/turbo-ii/</t>
        </is>
      </c>
      <c r="P767" s="11" t="inlineStr">
        <is>
          <t>https://website-9ib.pages.dev/termek/turbo-ii-tetoventilator-fekete/</t>
        </is>
      </c>
      <c r="Q767" s="12" t="inlineStr"/>
      <c r="R767" s="13" t="inlineStr"/>
      <c r="S767" s="6" t="inlineStr">
        <is>
          <t>turbo-ii-tetoventilator-fekete</t>
        </is>
      </c>
    </row>
    <row r="768">
      <c r="A768" s="6" t="inlineStr"/>
      <c r="B768" s="7" t="inlineStr">
        <is>
          <t>"TURBO III" tetőventilátor Fehér</t>
        </is>
      </c>
      <c r="C768" s="6" t="inlineStr">
        <is>
          <t>Szellőzés, tetőablakok, világítás</t>
        </is>
      </c>
      <c r="D768" s="6" t="inlineStr">
        <is>
          <t>Tetőventilátorok</t>
        </is>
      </c>
      <c r="E768" s="6" t="inlineStr">
        <is>
          <t>G&amp;C termékek</t>
        </is>
      </c>
      <c r="F768" s="6" t="inlineStr">
        <is>
          <t>02-6000</t>
        </is>
      </c>
      <c r="G768" s="6" t="inlineStr">
        <is>
          <t>Quadris Excel</t>
        </is>
      </c>
      <c r="H768" s="6" t="n">
        <v>1</v>
      </c>
      <c r="I768" s="6" t="n">
        <v>2</v>
      </c>
      <c r="J768" s="6" t="inlineStr">
        <is>
          <t>nincs</t>
        </is>
      </c>
      <c r="K768" s="6">
        <f>IF(AND(H768&gt;0,I768&gt;0),"Rendben",IF(AND(H768=0,I768=0),"Nincs kép és adat",IF(H768=0,"Nincs kép","Nincs adat")))</f>
        <v/>
      </c>
      <c r="L768" s="6" t="inlineStr">
        <is>
          <t>Igen</t>
        </is>
      </c>
      <c r="M768" s="7" t="inlineStr">
        <is>
          <t>gnc-systems.com termékoldalak és adatlapok</t>
        </is>
      </c>
      <c r="N768" s="7" t="inlineStr">
        <is>
          <t>Megtalálva: Turbo III (kód: 02-6000)</t>
        </is>
      </c>
      <c r="O768" s="11" t="inlineStr">
        <is>
          <t>https://gnc-systems.com/en/products/turbo-iii/</t>
        </is>
      </c>
      <c r="P768" s="11" t="inlineStr">
        <is>
          <t>https://website-9ib.pages.dev/termek/turbo-iii-tetoventilator-feher/</t>
        </is>
      </c>
      <c r="Q768" s="12" t="inlineStr"/>
      <c r="R768" s="13" t="inlineStr"/>
      <c r="S768" s="6" t="inlineStr">
        <is>
          <t>turbo-iii-tetoventilator-feher</t>
        </is>
      </c>
    </row>
    <row r="769">
      <c r="A769" s="6" t="inlineStr"/>
      <c r="B769" s="7" t="inlineStr">
        <is>
          <t>"TURBO III" tetőventilátor Fekete</t>
        </is>
      </c>
      <c r="C769" s="6" t="inlineStr">
        <is>
          <t>Szellőzés, tetőablakok, világítás</t>
        </is>
      </c>
      <c r="D769" s="6" t="inlineStr">
        <is>
          <t>Tetőventilátorok</t>
        </is>
      </c>
      <c r="E769" s="6" t="inlineStr">
        <is>
          <t>G&amp;C termékek</t>
        </is>
      </c>
      <c r="F769" s="6" t="inlineStr">
        <is>
          <t>02-6100</t>
        </is>
      </c>
      <c r="G769" s="6" t="inlineStr">
        <is>
          <t>Quadris Excel</t>
        </is>
      </c>
      <c r="H769" s="6" t="n">
        <v>1</v>
      </c>
      <c r="I769" s="6" t="n">
        <v>2</v>
      </c>
      <c r="J769" s="6" t="inlineStr">
        <is>
          <t>nincs</t>
        </is>
      </c>
      <c r="K769" s="6">
        <f>IF(AND(H769&gt;0,I769&gt;0),"Rendben",IF(AND(H769=0,I769=0),"Nincs kép és adat",IF(H769=0,"Nincs kép","Nincs adat")))</f>
        <v/>
      </c>
      <c r="L769" s="6" t="inlineStr">
        <is>
          <t>Igen</t>
        </is>
      </c>
      <c r="M769" s="7" t="inlineStr">
        <is>
          <t>gnc-systems.com termékoldalak és adatlapok</t>
        </is>
      </c>
      <c r="N769" s="7" t="inlineStr">
        <is>
          <t>Megtalálva: Turbo III (kód: 02-6100)</t>
        </is>
      </c>
      <c r="O769" s="11" t="inlineStr">
        <is>
          <t>https://gnc-systems.com/en/products/turbo-iii/</t>
        </is>
      </c>
      <c r="P769" s="11" t="inlineStr">
        <is>
          <t>https://website-9ib.pages.dev/termek/turbo-iii-tetoventilator-fekete/</t>
        </is>
      </c>
      <c r="Q769" s="12" t="inlineStr"/>
      <c r="R769" s="13" t="inlineStr"/>
      <c r="S769" s="6" t="inlineStr">
        <is>
          <t>turbo-iii-tetoventilator-fekete</t>
        </is>
      </c>
    </row>
    <row r="770">
      <c r="A770" s="6" t="inlineStr"/>
      <c r="B770" s="7" t="inlineStr">
        <is>
          <t>02-2200 -ZW "Le Mans" tetőventilátor (12V)</t>
        </is>
      </c>
      <c r="C770" s="6" t="inlineStr">
        <is>
          <t>Szellőzés, tetőablakok, világítás</t>
        </is>
      </c>
      <c r="D770" s="6" t="inlineStr">
        <is>
          <t>Tetőventilátorok</t>
        </is>
      </c>
      <c r="E770" s="6" t="inlineStr">
        <is>
          <t>G&amp;C termékek</t>
        </is>
      </c>
      <c r="F770" s="6" t="inlineStr">
        <is>
          <t>02-2200-ZW</t>
        </is>
      </c>
      <c r="G770" s="6" t="inlineStr">
        <is>
          <t>Quadris Excel</t>
        </is>
      </c>
      <c r="H770" s="6" t="n">
        <v>1</v>
      </c>
      <c r="I770" s="6" t="n">
        <v>9</v>
      </c>
      <c r="J770" s="6" t="inlineStr">
        <is>
          <t>nincs</t>
        </is>
      </c>
      <c r="K770" s="6">
        <f>IF(AND(H770&gt;0,I770&gt;0),"Rendben",IF(AND(H770=0,I770=0),"Nincs kép és adat",IF(H770=0,"Nincs kép","Nincs adat")))</f>
        <v/>
      </c>
      <c r="L770" s="6" t="inlineStr">
        <is>
          <t>Igen</t>
        </is>
      </c>
      <c r="M770" s="7" t="inlineStr">
        <is>
          <t>gnc-systems.com termékoldalak és adatlapok</t>
        </is>
      </c>
      <c r="N770" s="7" t="inlineStr">
        <is>
          <t>Megtalálva: Le Mans (kód: 02-2200-ZW)</t>
        </is>
      </c>
      <c r="O770" s="11" t="inlineStr">
        <is>
          <t>https://gnc-systems.com/en/products/le-mans/</t>
        </is>
      </c>
      <c r="P770" s="11" t="inlineStr">
        <is>
          <t>https://website-9ib.pages.dev/termek/02-2200-zw-le-mans-tetoventilator-12v/</t>
        </is>
      </c>
      <c r="Q770" s="12" t="inlineStr"/>
      <c r="R770" s="13" t="inlineStr"/>
      <c r="S770" s="6" t="inlineStr">
        <is>
          <t>02-2200-zw-le-mans-tetoventilator-12v</t>
        </is>
      </c>
    </row>
    <row r="771">
      <c r="A771" s="6" t="inlineStr"/>
      <c r="B771" s="7" t="inlineStr">
        <is>
          <t>02-2200- "Le Mans" tetőventilátor (12V)</t>
        </is>
      </c>
      <c r="C771" s="6" t="inlineStr">
        <is>
          <t>Szellőzés, tetőablakok, világítás</t>
        </is>
      </c>
      <c r="D771" s="6" t="inlineStr">
        <is>
          <t>Tetőventilátorok</t>
        </is>
      </c>
      <c r="E771" s="6" t="inlineStr">
        <is>
          <t>G&amp;C termékek</t>
        </is>
      </c>
      <c r="F771" s="6" t="inlineStr">
        <is>
          <t>02-2200</t>
        </is>
      </c>
      <c r="G771" s="6" t="inlineStr">
        <is>
          <t>Quadris Excel</t>
        </is>
      </c>
      <c r="H771" s="6" t="n">
        <v>1</v>
      </c>
      <c r="I771" s="6" t="n">
        <v>9</v>
      </c>
      <c r="J771" s="6" t="inlineStr">
        <is>
          <t>nincs</t>
        </is>
      </c>
      <c r="K771" s="6">
        <f>IF(AND(H771&gt;0,I771&gt;0),"Rendben",IF(AND(H771=0,I771=0),"Nincs kép és adat",IF(H771=0,"Nincs kép","Nincs adat")))</f>
        <v/>
      </c>
      <c r="L771" s="6" t="inlineStr">
        <is>
          <t>Igen</t>
        </is>
      </c>
      <c r="M771" s="7" t="inlineStr">
        <is>
          <t>gnc-systems.com termékoldalak és adatlapok</t>
        </is>
      </c>
      <c r="N771" s="7" t="inlineStr">
        <is>
          <t>Megtalálva: Le Mans (kód: 02-2200)</t>
        </is>
      </c>
      <c r="O771" s="11" t="inlineStr">
        <is>
          <t>https://gnc-systems.com/en/products/le-mans/</t>
        </is>
      </c>
      <c r="P771" s="11" t="inlineStr">
        <is>
          <t>https://website-9ib.pages.dev/termek/02-2200-le-mans-tetoventilator-12v/</t>
        </is>
      </c>
      <c r="Q771" s="12" t="inlineStr"/>
      <c r="R771" s="13" t="inlineStr"/>
      <c r="S771" s="6" t="inlineStr">
        <is>
          <t>02-2200-le-mans-tetoventilator-12v</t>
        </is>
      </c>
    </row>
    <row r="772">
      <c r="A772" s="6" t="inlineStr"/>
      <c r="B772" s="7" t="inlineStr">
        <is>
          <t>12V-LED ventillátor belső takaró</t>
        </is>
      </c>
      <c r="C772" s="6" t="inlineStr">
        <is>
          <t>Szellőzés, tetőablakok, világítás</t>
        </is>
      </c>
      <c r="D772" s="6" t="inlineStr">
        <is>
          <t>Belső szellőzők és rácsok</t>
        </is>
      </c>
      <c r="E772" s="6" t="inlineStr">
        <is>
          <t>G&amp;C termékek</t>
        </is>
      </c>
      <c r="F772" s="6" t="inlineStr">
        <is>
          <t>35-2185</t>
        </is>
      </c>
      <c r="G772" s="6" t="inlineStr">
        <is>
          <t>Quadris Excel</t>
        </is>
      </c>
      <c r="H772" s="6" t="n">
        <v>0</v>
      </c>
      <c r="I772" s="6" t="n">
        <v>0</v>
      </c>
      <c r="J772" s="6" t="inlineStr">
        <is>
          <t>nincs</t>
        </is>
      </c>
      <c r="K772" s="6">
        <f>IF(AND(H772&gt;0,I772&gt;0),"Rendben",IF(AND(H772=0,I772=0),"Nincs kép és adat",IF(H772=0,"Nincs kép","Nincs adat")))</f>
        <v/>
      </c>
      <c r="L772" s="6" t="inlineStr">
        <is>
          <t>Igen</t>
        </is>
      </c>
      <c r="M772" s="7" t="inlineStr">
        <is>
          <t>gnc-systems.com termékoldalak és adatlapok</t>
        </is>
      </c>
      <c r="N772" s="7" t="inlineStr">
        <is>
          <t>Nem találtuk: gnc-systems.com termékoldalak és adatlapok</t>
        </is>
      </c>
      <c r="O772" s="6" t="inlineStr"/>
      <c r="P772" s="11" t="inlineStr">
        <is>
          <t>https://website-9ib.pages.dev/termek/12v-led-ventillator-belso-takaro/</t>
        </is>
      </c>
      <c r="Q772" s="12" t="inlineStr"/>
      <c r="R772" s="13" t="inlineStr"/>
      <c r="S772" s="6" t="inlineStr">
        <is>
          <t>12v-led-ventillator-belso-takaro</t>
        </is>
      </c>
    </row>
    <row r="773">
      <c r="A773" s="6" t="inlineStr"/>
      <c r="B773" s="7" t="inlineStr">
        <is>
          <t>90-5000-E Tetőablak 24V 53x530</t>
        </is>
      </c>
      <c r="C773" s="6" t="inlineStr">
        <is>
          <t>Szellőzés, tetőablakok, világítás</t>
        </is>
      </c>
      <c r="D773" s="6" t="inlineStr">
        <is>
          <t>Tetőablakok</t>
        </is>
      </c>
      <c r="E773" s="6" t="inlineStr">
        <is>
          <t>G&amp;C termékek</t>
        </is>
      </c>
      <c r="F773" s="6" t="inlineStr"/>
      <c r="G773" s="6" t="inlineStr">
        <is>
          <t>Quadris Excel</t>
        </is>
      </c>
      <c r="H773" s="6" t="n">
        <v>1</v>
      </c>
      <c r="I773" s="6" t="n">
        <v>3</v>
      </c>
      <c r="J773" s="6" t="inlineStr">
        <is>
          <t>nincs</t>
        </is>
      </c>
      <c r="K773" s="6">
        <f>IF(AND(H773&gt;0,I773&gt;0),"Rendben",IF(AND(H773=0,I773=0),"Nincs kép és adat",IF(H773=0,"Nincs kép","Nincs adat")))</f>
        <v/>
      </c>
      <c r="L773" s="6" t="inlineStr">
        <is>
          <t>Igen</t>
        </is>
      </c>
      <c r="M773" s="7" t="inlineStr">
        <is>
          <t>gnc-systems.com termékoldalak és adatlapok</t>
        </is>
      </c>
      <c r="N773" s="7" t="inlineStr">
        <is>
          <t>Megtalálva: Roof Hatch Electric Small (kód: 90-5000-E)</t>
        </is>
      </c>
      <c r="O773" s="11" t="inlineStr">
        <is>
          <t>https://gnc-systems.com/en/products/roof-hatches-manual-small/</t>
        </is>
      </c>
      <c r="P773" s="11" t="inlineStr">
        <is>
          <t>https://website-9ib.pages.dev/termek/90-5000-e-tetoablak-24v-53x530/</t>
        </is>
      </c>
      <c r="Q773" s="12" t="inlineStr"/>
      <c r="R773" s="13" t="inlineStr"/>
      <c r="S773" s="6" t="inlineStr">
        <is>
          <t>90-5000-e-tetoablak-24v-53x530</t>
        </is>
      </c>
    </row>
    <row r="774">
      <c r="A774" s="6" t="inlineStr"/>
      <c r="B774" s="7" t="inlineStr">
        <is>
          <t>Belső 12V-os LED takaró "Flower Power" -fehér</t>
        </is>
      </c>
      <c r="C774" s="6" t="inlineStr">
        <is>
          <t>Szellőzés, tetőablakok, világítás</t>
        </is>
      </c>
      <c r="D774" s="6" t="inlineStr">
        <is>
          <t>Belső szellőzők és rácsok</t>
        </is>
      </c>
      <c r="E774" s="6" t="inlineStr">
        <is>
          <t>G&amp;C termékek</t>
        </is>
      </c>
      <c r="F774" s="6" t="inlineStr">
        <is>
          <t>35-2900</t>
        </is>
      </c>
      <c r="G774" s="6" t="inlineStr">
        <is>
          <t>Quadris Excel</t>
        </is>
      </c>
      <c r="H774" s="6" t="n">
        <v>1</v>
      </c>
      <c r="I774" s="6" t="n">
        <v>3</v>
      </c>
      <c r="J774" s="6" t="inlineStr">
        <is>
          <t>nincs</t>
        </is>
      </c>
      <c r="K774" s="6">
        <f>IF(AND(H774&gt;0,I774&gt;0),"Rendben",IF(AND(H774=0,I774=0),"Nincs kép és adat",IF(H774=0,"Nincs kép","Nincs adat")))</f>
        <v/>
      </c>
      <c r="L774" s="6" t="inlineStr">
        <is>
          <t>Igen</t>
        </is>
      </c>
      <c r="M774" s="7" t="inlineStr">
        <is>
          <t>gnc-systems.com termékoldalak és adatlapok</t>
        </is>
      </c>
      <c r="N774" s="7" t="inlineStr">
        <is>
          <t>Megtalálva: Flower Power (kód: 35-2900)</t>
        </is>
      </c>
      <c r="O774" s="11" t="inlineStr">
        <is>
          <t>https://gnc-systems.com/en/products/flower-power/</t>
        </is>
      </c>
      <c r="P774" s="11" t="inlineStr">
        <is>
          <t>https://website-9ib.pages.dev/termek/belso-12v-os-led-takaro-flower-power-feher/</t>
        </is>
      </c>
      <c r="Q774" s="12" t="inlineStr"/>
      <c r="R774" s="13" t="inlineStr"/>
      <c r="S774" s="6" t="inlineStr">
        <is>
          <t>belso-12v-os-led-takaro-flower-power-feher</t>
        </is>
      </c>
    </row>
    <row r="775">
      <c r="A775" s="6" t="inlineStr"/>
      <c r="B775" s="7" t="inlineStr">
        <is>
          <t>Belső 12V-os LED takaró "Flower Power" -szürke</t>
        </is>
      </c>
      <c r="C775" s="6" t="inlineStr">
        <is>
          <t>Szellőzés, tetőablakok, világítás</t>
        </is>
      </c>
      <c r="D775" s="6" t="inlineStr">
        <is>
          <t>Belső szellőzők és rácsok</t>
        </is>
      </c>
      <c r="E775" s="6" t="inlineStr">
        <is>
          <t>G&amp;C termékek</t>
        </is>
      </c>
      <c r="F775" s="6" t="inlineStr">
        <is>
          <t>35-2910</t>
        </is>
      </c>
      <c r="G775" s="6" t="inlineStr">
        <is>
          <t>Quadris Excel</t>
        </is>
      </c>
      <c r="H775" s="6" t="n">
        <v>1</v>
      </c>
      <c r="I775" s="6" t="n">
        <v>3</v>
      </c>
      <c r="J775" s="6" t="inlineStr">
        <is>
          <t>nincs</t>
        </is>
      </c>
      <c r="K775" s="6">
        <f>IF(AND(H775&gt;0,I775&gt;0),"Rendben",IF(AND(H775=0,I775=0),"Nincs kép és adat",IF(H775=0,"Nincs kép","Nincs adat")))</f>
        <v/>
      </c>
      <c r="L775" s="6" t="inlineStr">
        <is>
          <t>Igen</t>
        </is>
      </c>
      <c r="M775" s="7" t="inlineStr">
        <is>
          <t>gnc-systems.com termékoldalak és adatlapok</t>
        </is>
      </c>
      <c r="N775" s="7" t="inlineStr">
        <is>
          <t>Megtalálva: Flower Power (kód: 35-2910)</t>
        </is>
      </c>
      <c r="O775" s="11" t="inlineStr">
        <is>
          <t>https://gnc-systems.com/en/products/flower-power/</t>
        </is>
      </c>
      <c r="P775" s="11" t="inlineStr">
        <is>
          <t>https://website-9ib.pages.dev/termek/belso-12v-os-led-takaro-flower-power-szurke/</t>
        </is>
      </c>
      <c r="Q775" s="12" t="inlineStr"/>
      <c r="R775" s="13" t="inlineStr"/>
      <c r="S775" s="6" t="inlineStr">
        <is>
          <t>belso-12v-os-led-takaro-flower-power-szurke</t>
        </is>
      </c>
    </row>
    <row r="776">
      <c r="A776" s="6" t="inlineStr"/>
      <c r="B776" s="7" t="inlineStr">
        <is>
          <t>Belső 24 v-os LED világítással "Flower Power" - fehér</t>
        </is>
      </c>
      <c r="C776" s="6" t="inlineStr">
        <is>
          <t>Szellőzés, tetőablakok, világítás</t>
        </is>
      </c>
      <c r="D776" s="6" t="inlineStr">
        <is>
          <t>Belső szellőzők és rácsok</t>
        </is>
      </c>
      <c r="E776" s="6" t="inlineStr">
        <is>
          <t>G&amp;C termékek</t>
        </is>
      </c>
      <c r="F776" s="6" t="inlineStr">
        <is>
          <t>35-2905</t>
        </is>
      </c>
      <c r="G776" s="6" t="inlineStr">
        <is>
          <t>Quadris Excel</t>
        </is>
      </c>
      <c r="H776" s="6" t="n">
        <v>1</v>
      </c>
      <c r="I776" s="6" t="n">
        <v>3</v>
      </c>
      <c r="J776" s="6" t="inlineStr">
        <is>
          <t>nincs</t>
        </is>
      </c>
      <c r="K776" s="6">
        <f>IF(AND(H776&gt;0,I776&gt;0),"Rendben",IF(AND(H776=0,I776=0),"Nincs kép és adat",IF(H776=0,"Nincs kép","Nincs adat")))</f>
        <v/>
      </c>
      <c r="L776" s="6" t="inlineStr">
        <is>
          <t>Igen</t>
        </is>
      </c>
      <c r="M776" s="7" t="inlineStr">
        <is>
          <t>gnc-systems.com termékoldalak és adatlapok</t>
        </is>
      </c>
      <c r="N776" s="7" t="inlineStr">
        <is>
          <t>Megtalálva: Flower Power (kód: 35-2905)</t>
        </is>
      </c>
      <c r="O776" s="11" t="inlineStr">
        <is>
          <t>https://gnc-systems.com/en/products/flower-power/</t>
        </is>
      </c>
      <c r="P776" s="11" t="inlineStr">
        <is>
          <t>https://website-9ib.pages.dev/termek/belso-24-v-os-led-vilagitassal-flower-power-feher/</t>
        </is>
      </c>
      <c r="Q776" s="12" t="inlineStr"/>
      <c r="R776" s="13" t="inlineStr"/>
      <c r="S776" s="6" t="inlineStr">
        <is>
          <t>belso-24-v-os-led-vilagitassal-flower-power-feher</t>
        </is>
      </c>
    </row>
    <row r="777">
      <c r="A777" s="6" t="inlineStr"/>
      <c r="B777" s="7" t="inlineStr">
        <is>
          <t>Belső 24 v-os LED világítással "Flower Power" - szürke</t>
        </is>
      </c>
      <c r="C777" s="6" t="inlineStr">
        <is>
          <t>Szellőzés, tetőablakok, világítás</t>
        </is>
      </c>
      <c r="D777" s="6" t="inlineStr">
        <is>
          <t>Belső szellőzők és rácsok</t>
        </is>
      </c>
      <c r="E777" s="6" t="inlineStr">
        <is>
          <t>G&amp;C termékek</t>
        </is>
      </c>
      <c r="F777" s="6" t="inlineStr">
        <is>
          <t>35-2915</t>
        </is>
      </c>
      <c r="G777" s="6" t="inlineStr">
        <is>
          <t>Quadris Excel</t>
        </is>
      </c>
      <c r="H777" s="6" t="n">
        <v>1</v>
      </c>
      <c r="I777" s="6" t="n">
        <v>3</v>
      </c>
      <c r="J777" s="6" t="inlineStr">
        <is>
          <t>nincs</t>
        </is>
      </c>
      <c r="K777" s="6">
        <f>IF(AND(H777&gt;0,I777&gt;0),"Rendben",IF(AND(H777=0,I777=0),"Nincs kép és adat",IF(H777=0,"Nincs kép","Nincs adat")))</f>
        <v/>
      </c>
      <c r="L777" s="6" t="inlineStr">
        <is>
          <t>Igen</t>
        </is>
      </c>
      <c r="M777" s="7" t="inlineStr">
        <is>
          <t>gnc-systems.com termékoldalak és adatlapok</t>
        </is>
      </c>
      <c r="N777" s="7" t="inlineStr">
        <is>
          <t>Megtalálva: Flower Power (kód: 35-2915)</t>
        </is>
      </c>
      <c r="O777" s="11" t="inlineStr">
        <is>
          <t>https://gnc-systems.com/en/products/flower-power/</t>
        </is>
      </c>
      <c r="P777" s="11" t="inlineStr">
        <is>
          <t>https://website-9ib.pages.dev/termek/belso-24-v-os-led-vilagitassal-flower-power-szurke/</t>
        </is>
      </c>
      <c r="Q777" s="12" t="inlineStr"/>
      <c r="R777" s="13" t="inlineStr"/>
      <c r="S777" s="6" t="inlineStr">
        <is>
          <t>belso-24-v-os-led-vilagitassal-flower-power-szurke</t>
        </is>
      </c>
    </row>
    <row r="778">
      <c r="A778" s="6" t="inlineStr"/>
      <c r="B778" s="7" t="inlineStr">
        <is>
          <t>Belső takaró "Flower Power" -szürke</t>
        </is>
      </c>
      <c r="C778" s="6" t="inlineStr">
        <is>
          <t>Szellőzés, tetőablakok, világítás</t>
        </is>
      </c>
      <c r="D778" s="6" t="inlineStr">
        <is>
          <t>Belső szellőzők és rácsok</t>
        </is>
      </c>
      <c r="E778" s="6" t="inlineStr">
        <is>
          <t>G&amp;C termékek</t>
        </is>
      </c>
      <c r="F778" s="6" t="inlineStr">
        <is>
          <t>35-2810</t>
        </is>
      </c>
      <c r="G778" s="6" t="inlineStr">
        <is>
          <t>Quadris Excel</t>
        </is>
      </c>
      <c r="H778" s="6" t="n">
        <v>1</v>
      </c>
      <c r="I778" s="6" t="n">
        <v>2</v>
      </c>
      <c r="J778" s="6" t="inlineStr">
        <is>
          <t>nincs</t>
        </is>
      </c>
      <c r="K778" s="6">
        <f>IF(AND(H778&gt;0,I778&gt;0),"Rendben",IF(AND(H778=0,I778=0),"Nincs kép és adat",IF(H778=0,"Nincs kép","Nincs adat")))</f>
        <v/>
      </c>
      <c r="L778" s="6" t="inlineStr">
        <is>
          <t>Igen</t>
        </is>
      </c>
      <c r="M778" s="7" t="inlineStr">
        <is>
          <t>gnc-systems.com termékoldalak és adatlapok</t>
        </is>
      </c>
      <c r="N778" s="7" t="inlineStr">
        <is>
          <t>Megtalálva: Flower Power (kód: 35-2810)</t>
        </is>
      </c>
      <c r="O778" s="11" t="inlineStr">
        <is>
          <t>https://gnc-systems.com/en/products/flower-power/</t>
        </is>
      </c>
      <c r="P778" s="11" t="inlineStr">
        <is>
          <t>https://website-9ib.pages.dev/termek/belso-takaro-flower-power-szurke/</t>
        </is>
      </c>
      <c r="Q778" s="12" t="inlineStr"/>
      <c r="R778" s="13" t="inlineStr"/>
      <c r="S778" s="6" t="inlineStr">
        <is>
          <t>belso-takaro-flower-power-szurke</t>
        </is>
      </c>
    </row>
    <row r="779">
      <c r="A779" s="6" t="inlineStr"/>
      <c r="B779" s="7" t="inlineStr">
        <is>
          <t>Elektromos tetőablak 24V 530x530</t>
        </is>
      </c>
      <c r="C779" s="6" t="inlineStr">
        <is>
          <t>Szellőzés, tetőablakok, világítás</t>
        </is>
      </c>
      <c r="D779" s="6" t="inlineStr">
        <is>
          <t>Tetőablakok</t>
        </is>
      </c>
      <c r="E779" s="6" t="inlineStr">
        <is>
          <t>G&amp;C termékek</t>
        </is>
      </c>
      <c r="F779" s="6" t="inlineStr">
        <is>
          <t>90-5000-E</t>
        </is>
      </c>
      <c r="G779" s="6" t="inlineStr">
        <is>
          <t>Quadris Excel</t>
        </is>
      </c>
      <c r="H779" s="6" t="n">
        <v>1</v>
      </c>
      <c r="I779" s="6" t="n">
        <v>3</v>
      </c>
      <c r="J779" s="6" t="inlineStr">
        <is>
          <t>nincs</t>
        </is>
      </c>
      <c r="K779" s="6">
        <f>IF(AND(H779&gt;0,I779&gt;0),"Rendben",IF(AND(H779=0,I779=0),"Nincs kép és adat",IF(H779=0,"Nincs kép","Nincs adat")))</f>
        <v/>
      </c>
      <c r="L779" s="6" t="inlineStr">
        <is>
          <t>Igen</t>
        </is>
      </c>
      <c r="M779" s="7" t="inlineStr">
        <is>
          <t>gnc-systems.com termékoldalak és adatlapok</t>
        </is>
      </c>
      <c r="N779" s="7" t="inlineStr">
        <is>
          <t>Megtalálva: Roof Hatch Electric Small (kód: 90-5000-E)</t>
        </is>
      </c>
      <c r="O779" s="11" t="inlineStr">
        <is>
          <t>https://gnc-systems.com/en/products/roof-hatches-manual-small/</t>
        </is>
      </c>
      <c r="P779" s="11" t="inlineStr">
        <is>
          <t>https://website-9ib.pages.dev/termek/elektromos-tetoablak-24v-530x530/</t>
        </is>
      </c>
      <c r="Q779" s="12" t="inlineStr"/>
      <c r="R779" s="13" t="inlineStr"/>
      <c r="S779" s="6" t="inlineStr">
        <is>
          <t>elektromos-tetoablak-24v-530x530</t>
        </is>
      </c>
    </row>
    <row r="780">
      <c r="A780" s="6" t="inlineStr"/>
      <c r="B780" s="7" t="inlineStr">
        <is>
          <t>Elektromos tetőablak 24V 970x530</t>
        </is>
      </c>
      <c r="C780" s="6" t="inlineStr">
        <is>
          <t>Szellőzés, tetőablakok, világítás</t>
        </is>
      </c>
      <c r="D780" s="6" t="inlineStr">
        <is>
          <t>Tetőablakok</t>
        </is>
      </c>
      <c r="E780" s="6" t="inlineStr">
        <is>
          <t>G&amp;C termékek</t>
        </is>
      </c>
      <c r="F780" s="6" t="inlineStr">
        <is>
          <t>90-6000-E</t>
        </is>
      </c>
      <c r="G780" s="6" t="inlineStr">
        <is>
          <t>Quadris Excel</t>
        </is>
      </c>
      <c r="H780" s="6" t="n">
        <v>1</v>
      </c>
      <c r="I780" s="6" t="n">
        <v>3</v>
      </c>
      <c r="J780" s="6" t="inlineStr">
        <is>
          <t>nincs</t>
        </is>
      </c>
      <c r="K780" s="6">
        <f>IF(AND(H780&gt;0,I780&gt;0),"Rendben",IF(AND(H780=0,I780=0),"Nincs kép és adat",IF(H780=0,"Nincs kép","Nincs adat")))</f>
        <v/>
      </c>
      <c r="L780" s="6" t="inlineStr">
        <is>
          <t>Igen</t>
        </is>
      </c>
      <c r="M780" s="7" t="inlineStr">
        <is>
          <t>gnc-systems.com termékoldalak és adatlapok</t>
        </is>
      </c>
      <c r="N780" s="7" t="inlineStr">
        <is>
          <t>Megtalálva: Roof Hatch Electric Large (kód: 90-6000-E)</t>
        </is>
      </c>
      <c r="O780" s="11" t="inlineStr">
        <is>
          <t>https://gnc-systems.com/en/products/roof-hatches-electric-large/</t>
        </is>
      </c>
      <c r="P780" s="11" t="inlineStr">
        <is>
          <t>https://website-9ib.pages.dev/termek/elektromos-tetoablak-24v-970x530/</t>
        </is>
      </c>
      <c r="Q780" s="12" t="inlineStr"/>
      <c r="R780" s="13" t="inlineStr"/>
      <c r="S780" s="6" t="inlineStr">
        <is>
          <t>elektromos-tetoablak-24v-970x530</t>
        </is>
      </c>
    </row>
    <row r="781">
      <c r="A781" s="6" t="inlineStr"/>
      <c r="B781" s="7" t="inlineStr">
        <is>
          <t>Három állásos kapcsoló ventilátorhoz</t>
        </is>
      </c>
      <c r="C781" s="6" t="inlineStr">
        <is>
          <t>Szellőzés, tetőablakok, világítás</t>
        </is>
      </c>
      <c r="D781" s="6" t="inlineStr">
        <is>
          <t>Kiegészítők és vezérlés</t>
        </is>
      </c>
      <c r="E781" s="6" t="inlineStr">
        <is>
          <t>G&amp;C termékek</t>
        </is>
      </c>
      <c r="F781" s="6" t="inlineStr">
        <is>
          <t>89-4008</t>
        </is>
      </c>
      <c r="G781" s="6" t="inlineStr">
        <is>
          <t>Quadris Excel</t>
        </is>
      </c>
      <c r="H781" s="6" t="n">
        <v>1</v>
      </c>
      <c r="I781" s="6" t="n">
        <v>0</v>
      </c>
      <c r="J781" s="6" t="inlineStr">
        <is>
          <t>nincs</t>
        </is>
      </c>
      <c r="K781" s="6">
        <f>IF(AND(H781&gt;0,I781&gt;0),"Rendben",IF(AND(H781=0,I781=0),"Nincs kép és adat",IF(H781=0,"Nincs kép","Nincs adat")))</f>
        <v/>
      </c>
      <c r="L781" s="6" t="inlineStr">
        <is>
          <t>Igen</t>
        </is>
      </c>
      <c r="M781" s="7" t="inlineStr">
        <is>
          <t>gnc-systems.com termékoldalak és adatlapok</t>
        </is>
      </c>
      <c r="N781" s="7" t="inlineStr">
        <is>
          <t>Megtalálva: Switch Fan (kód: 89-4008)</t>
        </is>
      </c>
      <c r="O781" s="11" t="inlineStr">
        <is>
          <t>https://gnc-systems.com/en/products/switch-fan/</t>
        </is>
      </c>
      <c r="P781" s="11" t="inlineStr">
        <is>
          <t>https://website-9ib.pages.dev/termek/harom-allasos-kapcsolo-ventilatorhoz/</t>
        </is>
      </c>
      <c r="Q781" s="12" t="inlineStr"/>
      <c r="R781" s="13" t="inlineStr"/>
      <c r="S781" s="6" t="inlineStr">
        <is>
          <t>harom-allasos-kapcsolo-ventilatorhoz</t>
        </is>
      </c>
    </row>
    <row r="782">
      <c r="A782" s="6" t="inlineStr"/>
      <c r="B782" s="7" t="inlineStr">
        <is>
          <t>Ledes lámpa kerek fehér</t>
        </is>
      </c>
      <c r="C782" s="6" t="inlineStr">
        <is>
          <t>Szellőzés, tetőablakok, világítás</t>
        </is>
      </c>
      <c r="D782" s="6" t="inlineStr">
        <is>
          <t>Belső világítás</t>
        </is>
      </c>
      <c r="E782" s="6" t="inlineStr">
        <is>
          <t>G&amp;C termékek</t>
        </is>
      </c>
      <c r="F782" s="6" t="inlineStr">
        <is>
          <t>92-GC01</t>
        </is>
      </c>
      <c r="G782" s="6" t="inlineStr">
        <is>
          <t>Quadris Excel</t>
        </is>
      </c>
      <c r="H782" s="6" t="n">
        <v>0</v>
      </c>
      <c r="I782" s="6" t="n">
        <v>0</v>
      </c>
      <c r="J782" s="6" t="inlineStr">
        <is>
          <t>nincs</t>
        </is>
      </c>
      <c r="K782" s="6">
        <f>IF(AND(H782&gt;0,I782&gt;0),"Rendben",IF(AND(H782=0,I782=0),"Nincs kép és adat",IF(H782=0,"Nincs kép","Nincs adat")))</f>
        <v/>
      </c>
      <c r="L782" s="6" t="inlineStr">
        <is>
          <t>Igen</t>
        </is>
      </c>
      <c r="M782" s="7" t="inlineStr">
        <is>
          <t>gnc-systems.com termékoldalak és adatlapok</t>
        </is>
      </c>
      <c r="N782" s="7" t="inlineStr">
        <is>
          <t>Nem találtuk: gnc-systems.com termékoldalak és adatlapok</t>
        </is>
      </c>
      <c r="O782" s="6" t="inlineStr"/>
      <c r="P782" s="11" t="inlineStr">
        <is>
          <t>https://website-9ib.pages.dev/termek/ledes-lampa-kerek-feher/</t>
        </is>
      </c>
      <c r="Q782" s="12" t="inlineStr"/>
      <c r="R782" s="13" t="inlineStr"/>
      <c r="S782" s="6" t="inlineStr">
        <is>
          <t>ledes-lampa-kerek-feher</t>
        </is>
      </c>
    </row>
    <row r="783">
      <c r="A783" s="6" t="inlineStr"/>
      <c r="B783" s="7" t="inlineStr">
        <is>
          <t>Ledes lámpa, szögletes fehér 12/24V</t>
        </is>
      </c>
      <c r="C783" s="6" t="inlineStr">
        <is>
          <t>Szellőzés, tetőablakok, világítás</t>
        </is>
      </c>
      <c r="D783" s="6" t="inlineStr">
        <is>
          <t>Belső világítás</t>
        </is>
      </c>
      <c r="E783" s="6" t="inlineStr">
        <is>
          <t>G&amp;C termékek</t>
        </is>
      </c>
      <c r="F783" s="6" t="inlineStr">
        <is>
          <t>92-GC05-HP</t>
        </is>
      </c>
      <c r="G783" s="6" t="inlineStr">
        <is>
          <t>Quadris Excel</t>
        </is>
      </c>
      <c r="H783" s="6" t="n">
        <v>0</v>
      </c>
      <c r="I783" s="6" t="n">
        <v>0</v>
      </c>
      <c r="J783" s="6" t="inlineStr">
        <is>
          <t>nincs</t>
        </is>
      </c>
      <c r="K783" s="6">
        <f>IF(AND(H783&gt;0,I783&gt;0),"Rendben",IF(AND(H783=0,I783=0),"Nincs kép és adat",IF(H783=0,"Nincs kép","Nincs adat")))</f>
        <v/>
      </c>
      <c r="L783" s="6" t="inlineStr">
        <is>
          <t>Igen</t>
        </is>
      </c>
      <c r="M783" s="7" t="inlineStr">
        <is>
          <t>gnc-systems.com termékoldalak és adatlapok</t>
        </is>
      </c>
      <c r="N783" s="7" t="inlineStr">
        <is>
          <t>Nem találtuk: gnc-systems.com termékoldalak és adatlapok</t>
        </is>
      </c>
      <c r="O783" s="6" t="inlineStr"/>
      <c r="P783" s="11" t="inlineStr">
        <is>
          <t>https://website-9ib.pages.dev/termek/ledes-lampa-szogletes-feher-12-24v/</t>
        </is>
      </c>
      <c r="Q783" s="12" t="inlineStr"/>
      <c r="R783" s="13" t="inlineStr"/>
      <c r="S783" s="6" t="inlineStr">
        <is>
          <t>ledes-lampa-szogletes-feher-12-24v</t>
        </is>
      </c>
    </row>
    <row r="784">
      <c r="A784" s="6" t="inlineStr"/>
      <c r="B784" s="7" t="inlineStr">
        <is>
          <t>Manuális belső takaró fehér</t>
        </is>
      </c>
      <c r="C784" s="6" t="inlineStr">
        <is>
          <t>Szellőzés, tetőablakok, világítás</t>
        </is>
      </c>
      <c r="D784" s="6" t="inlineStr">
        <is>
          <t>Belső szellőzők és rácsok</t>
        </is>
      </c>
      <c r="E784" s="6" t="inlineStr">
        <is>
          <t>G&amp;C termékek</t>
        </is>
      </c>
      <c r="F784" s="6" t="inlineStr">
        <is>
          <t>35-2400</t>
        </is>
      </c>
      <c r="G784" s="6" t="inlineStr">
        <is>
          <t>Quadris Excel</t>
        </is>
      </c>
      <c r="H784" s="6" t="n">
        <v>1</v>
      </c>
      <c r="I784" s="6" t="n">
        <v>3</v>
      </c>
      <c r="J784" s="6" t="inlineStr">
        <is>
          <t>nincs</t>
        </is>
      </c>
      <c r="K784" s="6">
        <f>IF(AND(H784&gt;0,I784&gt;0),"Rendben",IF(AND(H784=0,I784=0),"Nincs kép és adat",IF(H784=0,"Nincs kép","Nincs adat")))</f>
        <v/>
      </c>
      <c r="L784" s="6" t="inlineStr">
        <is>
          <t>Igen</t>
        </is>
      </c>
      <c r="M784" s="7" t="inlineStr">
        <is>
          <t>gnc-systems.com termékoldalak és adatlapok</t>
        </is>
      </c>
      <c r="N784" s="7" t="inlineStr">
        <is>
          <t>Megtalálva: V12 (kód: 35-2400)</t>
        </is>
      </c>
      <c r="O784" s="11" t="inlineStr">
        <is>
          <t>https://gnc-systems.com/en/products/v12-2/</t>
        </is>
      </c>
      <c r="P784" s="11" t="inlineStr">
        <is>
          <t>https://website-9ib.pages.dev/termek/manualis-belso-takaro-feher/</t>
        </is>
      </c>
      <c r="Q784" s="12" t="inlineStr"/>
      <c r="R784" s="13" t="inlineStr"/>
      <c r="S784" s="6" t="inlineStr">
        <is>
          <t>manualis-belso-takaro-feher</t>
        </is>
      </c>
    </row>
    <row r="785">
      <c r="A785" s="6" t="inlineStr"/>
      <c r="B785" s="7" t="inlineStr">
        <is>
          <t>Manuális belső takaró szürke</t>
        </is>
      </c>
      <c r="C785" s="6" t="inlineStr">
        <is>
          <t>Szellőzés, tetőablakok, világítás</t>
        </is>
      </c>
      <c r="D785" s="6" t="inlineStr">
        <is>
          <t>Belső szellőzők és rácsok</t>
        </is>
      </c>
      <c r="E785" s="6" t="inlineStr">
        <is>
          <t>G&amp;C termékek</t>
        </is>
      </c>
      <c r="F785" s="6" t="inlineStr">
        <is>
          <t>35-2410</t>
        </is>
      </c>
      <c r="G785" s="6" t="inlineStr">
        <is>
          <t>Quadris Excel</t>
        </is>
      </c>
      <c r="H785" s="6" t="n">
        <v>1</v>
      </c>
      <c r="I785" s="6" t="n">
        <v>3</v>
      </c>
      <c r="J785" s="6" t="inlineStr">
        <is>
          <t>nincs</t>
        </is>
      </c>
      <c r="K785" s="6">
        <f>IF(AND(H785&gt;0,I785&gt;0),"Rendben",IF(AND(H785=0,I785=0),"Nincs kép és adat",IF(H785=0,"Nincs kép","Nincs adat")))</f>
        <v/>
      </c>
      <c r="L785" s="6" t="inlineStr">
        <is>
          <t>Igen</t>
        </is>
      </c>
      <c r="M785" s="7" t="inlineStr">
        <is>
          <t>gnc-systems.com termékoldalak és adatlapok</t>
        </is>
      </c>
      <c r="N785" s="7" t="inlineStr">
        <is>
          <t>Megtalálva: V12 (kód: 35-2410)</t>
        </is>
      </c>
      <c r="O785" s="11" t="inlineStr">
        <is>
          <t>https://gnc-systems.com/en/products/v12-2/</t>
        </is>
      </c>
      <c r="P785" s="11" t="inlineStr">
        <is>
          <t>https://website-9ib.pages.dev/termek/manualis-belso-takaro-szurke/</t>
        </is>
      </c>
      <c r="Q785" s="12" t="inlineStr"/>
      <c r="R785" s="13" t="inlineStr"/>
      <c r="S785" s="6" t="inlineStr">
        <is>
          <t>manualis-belso-takaro-szurke</t>
        </is>
      </c>
    </row>
    <row r="786">
      <c r="A786" s="6" t="inlineStr"/>
      <c r="B786" s="7" t="inlineStr">
        <is>
          <t>Szellőző rács 410x100 mm</t>
        </is>
      </c>
      <c r="C786" s="6" t="inlineStr">
        <is>
          <t>Szellőzés, tetőablakok, világítás</t>
        </is>
      </c>
      <c r="D786" s="6" t="inlineStr">
        <is>
          <t>Belső szellőzők és rácsok</t>
        </is>
      </c>
      <c r="E786" s="6" t="inlineStr">
        <is>
          <t>G&amp;C termékek</t>
        </is>
      </c>
      <c r="F786" s="6" t="inlineStr">
        <is>
          <t>35-4010</t>
        </is>
      </c>
      <c r="G786" s="6" t="inlineStr">
        <is>
          <t>Quadris Excel</t>
        </is>
      </c>
      <c r="H786" s="6" t="n">
        <v>0</v>
      </c>
      <c r="I786" s="6" t="n">
        <v>0</v>
      </c>
      <c r="J786" s="6" t="inlineStr">
        <is>
          <t>nincs</t>
        </is>
      </c>
      <c r="K786" s="6">
        <f>IF(AND(H786&gt;0,I786&gt;0),"Rendben",IF(AND(H786=0,I786=0),"Nincs kép és adat",IF(H786=0,"Nincs kép","Nincs adat")))</f>
        <v/>
      </c>
      <c r="L786" s="6" t="inlineStr">
        <is>
          <t>Igen</t>
        </is>
      </c>
      <c r="M786" s="7" t="inlineStr">
        <is>
          <t>gnc-systems.com termékoldalak és adatlapok</t>
        </is>
      </c>
      <c r="N786" s="7" t="inlineStr">
        <is>
          <t>Nem találtuk: gnc-systems.com termékoldalak és adatlapok</t>
        </is>
      </c>
      <c r="O786" s="6" t="inlineStr"/>
      <c r="P786" s="11" t="inlineStr">
        <is>
          <t>https://website-9ib.pages.dev/termek/szellozo-racs-410x100-mm/</t>
        </is>
      </c>
      <c r="Q786" s="12" t="inlineStr"/>
      <c r="R786" s="13" t="inlineStr"/>
      <c r="S786" s="6" t="inlineStr">
        <is>
          <t>szellozo-racs-410x100-mm</t>
        </is>
      </c>
    </row>
    <row r="787">
      <c r="A787" s="6" t="inlineStr"/>
      <c r="B787" s="7" t="inlineStr">
        <is>
          <t>Tetőablak manuális 530x530</t>
        </is>
      </c>
      <c r="C787" s="6" t="inlineStr">
        <is>
          <t>Szellőzés, tetőablakok, világítás</t>
        </is>
      </c>
      <c r="D787" s="6" t="inlineStr">
        <is>
          <t>Tetőablakok</t>
        </is>
      </c>
      <c r="E787" s="6" t="inlineStr">
        <is>
          <t>G&amp;C termékek</t>
        </is>
      </c>
      <c r="F787" s="6" t="inlineStr">
        <is>
          <t>90-5000-Dark</t>
        </is>
      </c>
      <c r="G787" s="6" t="inlineStr">
        <is>
          <t>Quadris Excel</t>
        </is>
      </c>
      <c r="H787" s="6" t="n">
        <v>1</v>
      </c>
      <c r="I787" s="6" t="n">
        <v>0</v>
      </c>
      <c r="J787" s="6" t="inlineStr">
        <is>
          <t>nincs</t>
        </is>
      </c>
      <c r="K787" s="6">
        <f>IF(AND(H787&gt;0,I787&gt;0),"Rendben",IF(AND(H787=0,I787=0),"Nincs kép és adat",IF(H787=0,"Nincs kép","Nincs adat")))</f>
        <v/>
      </c>
      <c r="L787" s="6" t="inlineStr">
        <is>
          <t>Igen</t>
        </is>
      </c>
      <c r="M787" s="7" t="inlineStr">
        <is>
          <t>gnc-systems.com termékoldalak és adatlapok</t>
        </is>
      </c>
      <c r="N787" s="7" t="inlineStr">
        <is>
          <t>Megtalálva: Roof Hatch Manual Small (kód: 90-5000-DG)</t>
        </is>
      </c>
      <c r="O787" s="11" t="inlineStr">
        <is>
          <t>https://gnc-systems.com/en/products/electric-round/</t>
        </is>
      </c>
      <c r="P787" s="11" t="inlineStr">
        <is>
          <t>https://website-9ib.pages.dev/termek/tetoablak-manualis-530x530/</t>
        </is>
      </c>
      <c r="Q787" s="12" t="inlineStr"/>
      <c r="R787" s="13" t="inlineStr"/>
      <c r="S787" s="6" t="inlineStr">
        <is>
          <t>tetoablak-manualis-530x530</t>
        </is>
      </c>
    </row>
    <row r="788">
      <c r="A788" s="6" t="inlineStr"/>
      <c r="B788" s="7" t="inlineStr">
        <is>
          <t>Tetőablak manuális 970x530</t>
        </is>
      </c>
      <c r="C788" s="6" t="inlineStr">
        <is>
          <t>Szellőzés, tetőablakok, világítás</t>
        </is>
      </c>
      <c r="D788" s="6" t="inlineStr">
        <is>
          <t>Tetőablakok</t>
        </is>
      </c>
      <c r="E788" s="6" t="inlineStr">
        <is>
          <t>G&amp;C termékek</t>
        </is>
      </c>
      <c r="F788" s="6" t="inlineStr">
        <is>
          <t>90-6000-Dark</t>
        </is>
      </c>
      <c r="G788" s="6" t="inlineStr">
        <is>
          <t>Quadris Excel</t>
        </is>
      </c>
      <c r="H788" s="6" t="n">
        <v>1</v>
      </c>
      <c r="I788" s="6" t="n">
        <v>0</v>
      </c>
      <c r="J788" s="6" t="inlineStr">
        <is>
          <t>nincs</t>
        </is>
      </c>
      <c r="K788" s="6">
        <f>IF(AND(H788&gt;0,I788&gt;0),"Rendben",IF(AND(H788=0,I788=0),"Nincs kép és adat",IF(H788=0,"Nincs kép","Nincs adat")))</f>
        <v/>
      </c>
      <c r="L788" s="6" t="inlineStr">
        <is>
          <t>Igen</t>
        </is>
      </c>
      <c r="M788" s="7" t="inlineStr">
        <is>
          <t>gnc-systems.com termékoldalak és adatlapok</t>
        </is>
      </c>
      <c r="N788" s="7" t="inlineStr">
        <is>
          <t>Megtalálva: Roof Hatches Manual Large (kód: 90-6000-DG)</t>
        </is>
      </c>
      <c r="O788" s="11" t="inlineStr">
        <is>
          <t>https://gnc-systems.com/en/products/roof-hatches-manual-big/</t>
        </is>
      </c>
      <c r="P788" s="11" t="inlineStr">
        <is>
          <t>https://website-9ib.pages.dev/termek/tetoablak-manualis-970x530/</t>
        </is>
      </c>
      <c r="Q788" s="12" t="inlineStr"/>
      <c r="R788" s="13" t="inlineStr"/>
      <c r="S788" s="6" t="inlineStr">
        <is>
          <t>tetoablak-manualis-970x530</t>
        </is>
      </c>
    </row>
    <row r="789">
      <c r="A789" s="6" t="inlineStr"/>
      <c r="B789" s="7" t="inlineStr">
        <is>
          <t>Tetőablak vezérlőegység 24V</t>
        </is>
      </c>
      <c r="C789" s="6" t="inlineStr">
        <is>
          <t>Szellőzés, tetőablakok, világítás</t>
        </is>
      </c>
      <c r="D789" s="6" t="inlineStr">
        <is>
          <t>Tetőablakok</t>
        </is>
      </c>
      <c r="E789" s="6" t="inlineStr">
        <is>
          <t>G&amp;C termékek</t>
        </is>
      </c>
      <c r="F789" s="6" t="inlineStr">
        <is>
          <t>30-6000</t>
        </is>
      </c>
      <c r="G789" s="6" t="inlineStr">
        <is>
          <t>Quadris Excel</t>
        </is>
      </c>
      <c r="H789" s="6" t="n">
        <v>1</v>
      </c>
      <c r="I789" s="6" t="n">
        <v>1</v>
      </c>
      <c r="J789" s="6" t="inlineStr">
        <is>
          <t>nincs</t>
        </is>
      </c>
      <c r="K789" s="6">
        <f>IF(AND(H789&gt;0,I789&gt;0),"Rendben",IF(AND(H789=0,I789=0),"Nincs kép és adat",IF(H789=0,"Nincs kép","Nincs adat")))</f>
        <v/>
      </c>
      <c r="L789" s="6" t="inlineStr">
        <is>
          <t>Igen</t>
        </is>
      </c>
      <c r="M789" s="7" t="inlineStr">
        <is>
          <t>gnc-systems.com termékoldalak és adatlapok</t>
        </is>
      </c>
      <c r="N789" s="7" t="inlineStr">
        <is>
          <t>Megtalálva: Control Unit (kód: 30-6000)</t>
        </is>
      </c>
      <c r="O789" s="11" t="inlineStr">
        <is>
          <t>https://gnc-systems.com/en/products/control-unit/</t>
        </is>
      </c>
      <c r="P789" s="11" t="inlineStr">
        <is>
          <t>https://website-9ib.pages.dev/termek/tetoablak-vezerloegyseg-24v/</t>
        </is>
      </c>
      <c r="Q789" s="12" t="inlineStr"/>
      <c r="R789" s="13" t="inlineStr"/>
      <c r="S789" s="6" t="inlineStr">
        <is>
          <t>tetoablak-vezerloegyseg-24v</t>
        </is>
      </c>
    </row>
    <row r="790">
      <c r="A790" s="6" t="inlineStr"/>
      <c r="B790" s="7" t="inlineStr">
        <is>
          <t>Tetőablak üveg 970x530</t>
        </is>
      </c>
      <c r="C790" s="6" t="inlineStr">
        <is>
          <t>Szellőzés, tetőablakok, világítás</t>
        </is>
      </c>
      <c r="D790" s="6" t="inlineStr">
        <is>
          <t>Tetőablakok</t>
        </is>
      </c>
      <c r="E790" s="6" t="inlineStr">
        <is>
          <t>G&amp;C termékek</t>
        </is>
      </c>
      <c r="F790" s="6" t="inlineStr">
        <is>
          <t>90-8060-Dark</t>
        </is>
      </c>
      <c r="G790" s="6" t="inlineStr">
        <is>
          <t>Quadris Excel</t>
        </is>
      </c>
      <c r="H790" s="6" t="n">
        <v>0</v>
      </c>
      <c r="I790" s="6" t="n">
        <v>0</v>
      </c>
      <c r="J790" s="6" t="inlineStr">
        <is>
          <t>nincs</t>
        </is>
      </c>
      <c r="K790" s="6">
        <f>IF(AND(H790&gt;0,I790&gt;0),"Rendben",IF(AND(H790=0,I790=0),"Nincs kép és adat",IF(H790=0,"Nincs kép","Nincs adat")))</f>
        <v/>
      </c>
      <c r="L790" s="6" t="inlineStr">
        <is>
          <t>Igen</t>
        </is>
      </c>
      <c r="M790" s="7" t="inlineStr">
        <is>
          <t>gnc-systems.com termékoldalak és adatlapok</t>
        </is>
      </c>
      <c r="N790" s="7" t="inlineStr">
        <is>
          <t>Nem találtuk: gnc-systems.com termékoldalak és adatlapok</t>
        </is>
      </c>
      <c r="O790" s="6" t="inlineStr"/>
      <c r="P790" s="11" t="inlineStr">
        <is>
          <t>https://website-9ib.pages.dev/termek/tetoablak-uveg-970x530/</t>
        </is>
      </c>
      <c r="Q790" s="12" t="inlineStr"/>
      <c r="R790" s="13" t="inlineStr"/>
      <c r="S790" s="6" t="inlineStr">
        <is>
          <t>tetoablak-uveg-970x530</t>
        </is>
      </c>
    </row>
    <row r="791">
      <c r="A791" s="6" t="inlineStr"/>
      <c r="B791" s="7" t="inlineStr">
        <is>
          <t>Tetőventillátor motor nélkül, ABS Fehér</t>
        </is>
      </c>
      <c r="C791" s="6" t="inlineStr">
        <is>
          <t>Szellőzés, tetőablakok, világítás</t>
        </is>
      </c>
      <c r="D791" s="6" t="inlineStr">
        <is>
          <t>Tetőventilátorok</t>
        </is>
      </c>
      <c r="E791" s="6" t="inlineStr">
        <is>
          <t>G&amp;C termékek</t>
        </is>
      </c>
      <c r="F791" s="6" t="inlineStr">
        <is>
          <t>02-2900</t>
        </is>
      </c>
      <c r="G791" s="6" t="inlineStr">
        <is>
          <t>Quadris Excel</t>
        </is>
      </c>
      <c r="H791" s="6" t="n">
        <v>1</v>
      </c>
      <c r="I791" s="6" t="n">
        <v>4</v>
      </c>
      <c r="J791" s="6" t="inlineStr">
        <is>
          <t>nincs</t>
        </is>
      </c>
      <c r="K791" s="6">
        <f>IF(AND(H791&gt;0,I791&gt;0),"Rendben",IF(AND(H791=0,I791=0),"Nincs kép és adat",IF(H791=0,"Nincs kép","Nincs adat")))</f>
        <v/>
      </c>
      <c r="L791" s="6" t="inlineStr">
        <is>
          <t>Igen</t>
        </is>
      </c>
      <c r="M791" s="7" t="inlineStr">
        <is>
          <t>gnc-systems.com termékoldalak és adatlapok</t>
        </is>
      </c>
      <c r="N791" s="7" t="inlineStr">
        <is>
          <t>Megtalálva: Le Mans (kód: 02-2900)</t>
        </is>
      </c>
      <c r="O791" s="11" t="inlineStr">
        <is>
          <t>https://gnc-systems.com/en/products/le-mans/</t>
        </is>
      </c>
      <c r="P791" s="11" t="inlineStr">
        <is>
          <t>https://website-9ib.pages.dev/termek/tetoventillator-motor-nelkul-abs-feher/</t>
        </is>
      </c>
      <c r="Q791" s="12" t="inlineStr"/>
      <c r="R791" s="13" t="inlineStr"/>
      <c r="S791" s="6" t="inlineStr">
        <is>
          <t>tetoventillator-motor-nelkul-abs-feher</t>
        </is>
      </c>
    </row>
    <row r="792">
      <c r="A792" s="6" t="inlineStr"/>
      <c r="B792" s="7" t="inlineStr">
        <is>
          <t>Tetőventilátor manuális fehér</t>
        </is>
      </c>
      <c r="C792" s="6" t="inlineStr">
        <is>
          <t>Szellőzés, tetőablakok, világítás</t>
        </is>
      </c>
      <c r="D792" s="6" t="inlineStr">
        <is>
          <t>Tetőventilátorok</t>
        </is>
      </c>
      <c r="E792" s="6" t="inlineStr">
        <is>
          <t>G&amp;C termékek</t>
        </is>
      </c>
      <c r="F792" s="6" t="inlineStr">
        <is>
          <t>02-1030</t>
        </is>
      </c>
      <c r="G792" s="6" t="inlineStr">
        <is>
          <t>Quadris Excel</t>
        </is>
      </c>
      <c r="H792" s="6" t="n">
        <v>1</v>
      </c>
      <c r="I792" s="6" t="n">
        <v>4</v>
      </c>
      <c r="J792" s="6" t="inlineStr">
        <is>
          <t>nincs</t>
        </is>
      </c>
      <c r="K792" s="6">
        <f>IF(AND(H792&gt;0,I792&gt;0),"Rendben",IF(AND(H792=0,I792=0),"Nincs kép és adat",IF(H792=0,"Nincs kép","Nincs adat")))</f>
        <v/>
      </c>
      <c r="L792" s="6" t="inlineStr">
        <is>
          <t>Igen</t>
        </is>
      </c>
      <c r="M792" s="7" t="inlineStr">
        <is>
          <t>gnc-systems.com termékoldalak és adatlapok</t>
        </is>
      </c>
      <c r="N792" s="7" t="inlineStr">
        <is>
          <t>Megtalálva: Exhaust Ventilator (kód: 02-1030)</t>
        </is>
      </c>
      <c r="O792" s="11" t="inlineStr">
        <is>
          <t>https://gnc-systems.com/en/products/exhaust-ventilator/</t>
        </is>
      </c>
      <c r="P792" s="11" t="inlineStr">
        <is>
          <t>https://website-9ib.pages.dev/termek/tetoventilator-manualis-feher/</t>
        </is>
      </c>
      <c r="Q792" s="12" t="inlineStr"/>
      <c r="R792" s="13" t="inlineStr"/>
      <c r="S792" s="6" t="inlineStr">
        <is>
          <t>tetoventilator-manualis-feher</t>
        </is>
      </c>
    </row>
    <row r="793">
      <c r="A793" s="6" t="inlineStr"/>
      <c r="B793" s="7" t="inlineStr">
        <is>
          <t>Tetőventilátor manuális fekete</t>
        </is>
      </c>
      <c r="C793" s="6" t="inlineStr">
        <is>
          <t>Szellőzés, tetőablakok, világítás</t>
        </is>
      </c>
      <c r="D793" s="6" t="inlineStr">
        <is>
          <t>Tetőventilátorok</t>
        </is>
      </c>
      <c r="E793" s="6" t="inlineStr">
        <is>
          <t>G&amp;C termékek</t>
        </is>
      </c>
      <c r="F793" s="6" t="inlineStr">
        <is>
          <t>02-1030-ZW</t>
        </is>
      </c>
      <c r="G793" s="6" t="inlineStr">
        <is>
          <t>Quadris Excel</t>
        </is>
      </c>
      <c r="H793" s="6" t="n">
        <v>1</v>
      </c>
      <c r="I793" s="6" t="n">
        <v>4</v>
      </c>
      <c r="J793" s="6" t="inlineStr">
        <is>
          <t>nincs</t>
        </is>
      </c>
      <c r="K793" s="6">
        <f>IF(AND(H793&gt;0,I793&gt;0),"Rendben",IF(AND(H793=0,I793=0),"Nincs kép és adat",IF(H793=0,"Nincs kép","Nincs adat")))</f>
        <v/>
      </c>
      <c r="L793" s="6" t="inlineStr">
        <is>
          <t>Igen</t>
        </is>
      </c>
      <c r="M793" s="7" t="inlineStr">
        <is>
          <t>gnc-systems.com termékoldalak és adatlapok</t>
        </is>
      </c>
      <c r="N793" s="7" t="inlineStr">
        <is>
          <t>Megtalálva: Exhaust Ventilator (kód: 02-1030-ZW)</t>
        </is>
      </c>
      <c r="O793" s="11" t="inlineStr">
        <is>
          <t>https://gnc-systems.com/en/products/exhaust-ventilator/</t>
        </is>
      </c>
      <c r="P793" s="11" t="inlineStr">
        <is>
          <t>https://website-9ib.pages.dev/termek/tetoventilator-manualis-fekete/</t>
        </is>
      </c>
      <c r="Q793" s="12" t="inlineStr"/>
      <c r="R793" s="13" t="inlineStr"/>
      <c r="S793" s="6" t="inlineStr">
        <is>
          <t>tetoventilator-manualis-fekete</t>
        </is>
      </c>
    </row>
    <row r="794">
      <c r="A794" s="6" t="inlineStr"/>
      <c r="B794" s="7" t="inlineStr">
        <is>
          <t>Ventillátor alsó takaró elem (12/24V) -fehér</t>
        </is>
      </c>
      <c r="C794" s="6" t="inlineStr">
        <is>
          <t>Szellőzés, tetőablakok, világítás</t>
        </is>
      </c>
      <c r="D794" s="6" t="inlineStr">
        <is>
          <t>Belső szellőzők és rácsok</t>
        </is>
      </c>
      <c r="E794" s="6" t="inlineStr">
        <is>
          <t>G&amp;C termékek</t>
        </is>
      </c>
      <c r="F794" s="6" t="inlineStr">
        <is>
          <t>35-2500</t>
        </is>
      </c>
      <c r="G794" s="6" t="inlineStr">
        <is>
          <t>Quadris Excel</t>
        </is>
      </c>
      <c r="H794" s="6" t="n">
        <v>1</v>
      </c>
      <c r="I794" s="6" t="n">
        <v>3</v>
      </c>
      <c r="J794" s="6" t="inlineStr">
        <is>
          <t>nincs</t>
        </is>
      </c>
      <c r="K794" s="6">
        <f>IF(AND(H794&gt;0,I794&gt;0),"Rendben",IF(AND(H794=0,I794=0),"Nincs kép és adat",IF(H794=0,"Nincs kép","Nincs adat")))</f>
        <v/>
      </c>
      <c r="L794" s="6" t="inlineStr">
        <is>
          <t>Igen</t>
        </is>
      </c>
      <c r="M794" s="7" t="inlineStr">
        <is>
          <t>gnc-systems.com termékoldalak és adatlapok</t>
        </is>
      </c>
      <c r="N794" s="7" t="inlineStr">
        <is>
          <t>Megtalálva: V12 (kód: 35-2500)</t>
        </is>
      </c>
      <c r="O794" s="11" t="inlineStr">
        <is>
          <t>https://gnc-systems.com/en/products/v12-2/</t>
        </is>
      </c>
      <c r="P794" s="11" t="inlineStr">
        <is>
          <t>https://website-9ib.pages.dev/termek/ventillator-also-takaro-elem-12-24v-feher/</t>
        </is>
      </c>
      <c r="Q794" s="12" t="inlineStr"/>
      <c r="R794" s="13" t="inlineStr"/>
      <c r="S794" s="6" t="inlineStr">
        <is>
          <t>ventillator-also-takaro-elem-12-24v-feher</t>
        </is>
      </c>
    </row>
    <row r="795">
      <c r="A795" s="6" t="inlineStr"/>
      <c r="B795" s="7" t="inlineStr">
        <is>
          <t>Ventillátor belső takaró</t>
        </is>
      </c>
      <c r="C795" s="6" t="inlineStr">
        <is>
          <t>Szellőzés, tetőablakok, világítás</t>
        </is>
      </c>
      <c r="D795" s="6" t="inlineStr">
        <is>
          <t>Belső szellőzők és rácsok</t>
        </is>
      </c>
      <c r="E795" s="6" t="inlineStr">
        <is>
          <t>G&amp;C termékek</t>
        </is>
      </c>
      <c r="F795" s="6" t="inlineStr">
        <is>
          <t>35-2110</t>
        </is>
      </c>
      <c r="G795" s="6" t="inlineStr">
        <is>
          <t>Quadris Excel</t>
        </is>
      </c>
      <c r="H795" s="6" t="n">
        <v>1</v>
      </c>
      <c r="I795" s="6" t="n">
        <v>3</v>
      </c>
      <c r="J795" s="6" t="inlineStr">
        <is>
          <t>nincs</t>
        </is>
      </c>
      <c r="K795" s="6">
        <f>IF(AND(H795&gt;0,I795&gt;0),"Rendben",IF(AND(H795=0,I795=0),"Nincs kép és adat",IF(H795=0,"Nincs kép","Nincs adat")))</f>
        <v/>
      </c>
      <c r="L795" s="6" t="inlineStr">
        <is>
          <t>Igen</t>
        </is>
      </c>
      <c r="M795" s="7" t="inlineStr">
        <is>
          <t>gnc-systems.com termékoldalak és adatlapok</t>
        </is>
      </c>
      <c r="N795" s="7" t="inlineStr">
        <is>
          <t>Megtalálva: Rotating Valve (kód: 35-2110)</t>
        </is>
      </c>
      <c r="O795" s="11" t="inlineStr">
        <is>
          <t>https://gnc-systems.com/en/products/rotating-valve/</t>
        </is>
      </c>
      <c r="P795" s="11" t="inlineStr">
        <is>
          <t>https://website-9ib.pages.dev/termek/ventillator-belso-takaro/</t>
        </is>
      </c>
      <c r="Q795" s="12" t="inlineStr"/>
      <c r="R795" s="13" t="inlineStr"/>
      <c r="S795" s="6" t="inlineStr">
        <is>
          <t>ventillator-belso-takaro</t>
        </is>
      </c>
    </row>
    <row r="796">
      <c r="A796" s="6" t="inlineStr"/>
      <c r="B796" s="7" t="inlineStr">
        <is>
          <t>Ventillátor belső takaró 12/24V LED</t>
        </is>
      </c>
      <c r="C796" s="6" t="inlineStr">
        <is>
          <t>Szellőzés, tetőablakok, világítás</t>
        </is>
      </c>
      <c r="D796" s="6" t="inlineStr">
        <is>
          <t>Belső szellőzők és rácsok</t>
        </is>
      </c>
      <c r="E796" s="6" t="inlineStr">
        <is>
          <t>G&amp;C termékek</t>
        </is>
      </c>
      <c r="F796" s="6" t="inlineStr">
        <is>
          <t>35-2200</t>
        </is>
      </c>
      <c r="G796" s="6" t="inlineStr">
        <is>
          <t>Quadris Excel</t>
        </is>
      </c>
      <c r="H796" s="6" t="n">
        <v>1</v>
      </c>
      <c r="I796" s="6" t="n">
        <v>3</v>
      </c>
      <c r="J796" s="6" t="inlineStr">
        <is>
          <t>nincs</t>
        </is>
      </c>
      <c r="K796" s="6">
        <f>IF(AND(H796&gt;0,I796&gt;0),"Rendben",IF(AND(H796=0,I796=0),"Nincs kép és adat",IF(H796=0,"Nincs kép","Nincs adat")))</f>
        <v/>
      </c>
      <c r="L796" s="6" t="inlineStr">
        <is>
          <t>Igen</t>
        </is>
      </c>
      <c r="M796" s="7" t="inlineStr">
        <is>
          <t>gnc-systems.com termékoldalak és adatlapok</t>
        </is>
      </c>
      <c r="N796" s="7" t="inlineStr">
        <is>
          <t>Megtalálva: Rotating Valve (kód: 35-2200)</t>
        </is>
      </c>
      <c r="O796" s="11" t="inlineStr">
        <is>
          <t>https://gnc-systems.com/en/products/rotating-valve/</t>
        </is>
      </c>
      <c r="P796" s="11" t="inlineStr">
        <is>
          <t>https://website-9ib.pages.dev/termek/ventillator-belso-takaro-12-24v-led/</t>
        </is>
      </c>
      <c r="Q796" s="12" t="inlineStr"/>
      <c r="R796" s="13" t="inlineStr"/>
      <c r="S796" s="6" t="inlineStr">
        <is>
          <t>ventillator-belso-takaro-12-24v-led</t>
        </is>
      </c>
    </row>
    <row r="797">
      <c r="A797" s="6" t="inlineStr"/>
      <c r="B797" s="7" t="inlineStr">
        <is>
          <t>Ventillátor belső takaró elem</t>
        </is>
      </c>
      <c r="C797" s="6" t="inlineStr">
        <is>
          <t>Szellőzés, tetőablakok, világítás</t>
        </is>
      </c>
      <c r="D797" s="6" t="inlineStr">
        <is>
          <t>Belső szellőzők és rácsok</t>
        </is>
      </c>
      <c r="E797" s="6" t="inlineStr">
        <is>
          <t>G&amp;C termékek</t>
        </is>
      </c>
      <c r="F797" s="6" t="inlineStr">
        <is>
          <t>35-2195-LED-24V</t>
        </is>
      </c>
      <c r="G797" s="6" t="inlineStr">
        <is>
          <t>Quadris Excel</t>
        </is>
      </c>
      <c r="H797" s="6" t="n">
        <v>0</v>
      </c>
      <c r="I797" s="6" t="n">
        <v>0</v>
      </c>
      <c r="J797" s="6" t="inlineStr">
        <is>
          <t>nincs</t>
        </is>
      </c>
      <c r="K797" s="6">
        <f>IF(AND(H797&gt;0,I797&gt;0),"Rendben",IF(AND(H797=0,I797=0),"Nincs kép és adat",IF(H797=0,"Nincs kép","Nincs adat")))</f>
        <v/>
      </c>
      <c r="L797" s="6" t="inlineStr">
        <is>
          <t>Igen</t>
        </is>
      </c>
      <c r="M797" s="7" t="inlineStr">
        <is>
          <t>gnc-systems.com termékoldalak és adatlapok</t>
        </is>
      </c>
      <c r="N797" s="7" t="inlineStr">
        <is>
          <t>Nem találtuk: gnc-systems.com termékoldalak és adatlapok</t>
        </is>
      </c>
      <c r="O797" s="6" t="inlineStr"/>
      <c r="P797" s="11" t="inlineStr">
        <is>
          <t>https://website-9ib.pages.dev/termek/ventillator-belso-takaro-elem/</t>
        </is>
      </c>
      <c r="Q797" s="12" t="inlineStr"/>
      <c r="R797" s="13" t="inlineStr"/>
      <c r="S797" s="6" t="inlineStr">
        <is>
          <t>ventillator-belso-takaro-elem</t>
        </is>
      </c>
    </row>
    <row r="798">
      <c r="A798" s="6" t="inlineStr"/>
      <c r="B798" s="7" t="inlineStr">
        <is>
          <t>Ventillátor belső takaró szürke</t>
        </is>
      </c>
      <c r="C798" s="6" t="inlineStr">
        <is>
          <t>Szellőzés, tetőablakok, világítás</t>
        </is>
      </c>
      <c r="D798" s="6" t="inlineStr">
        <is>
          <t>Belső szellőzők és rácsok</t>
        </is>
      </c>
      <c r="E798" s="6" t="inlineStr">
        <is>
          <t>G&amp;C termékek</t>
        </is>
      </c>
      <c r="F798" s="6" t="inlineStr">
        <is>
          <t>35-2100</t>
        </is>
      </c>
      <c r="G798" s="6" t="inlineStr">
        <is>
          <t>Quadris Excel</t>
        </is>
      </c>
      <c r="H798" s="6" t="n">
        <v>1</v>
      </c>
      <c r="I798" s="6" t="n">
        <v>3</v>
      </c>
      <c r="J798" s="6" t="inlineStr">
        <is>
          <t>nincs</t>
        </is>
      </c>
      <c r="K798" s="6">
        <f>IF(AND(H798&gt;0,I798&gt;0),"Rendben",IF(AND(H798=0,I798=0),"Nincs kép és adat",IF(H798=0,"Nincs kép","Nincs adat")))</f>
        <v/>
      </c>
      <c r="L798" s="6" t="inlineStr">
        <is>
          <t>Igen</t>
        </is>
      </c>
      <c r="M798" s="7" t="inlineStr">
        <is>
          <t>gnc-systems.com termékoldalak és adatlapok</t>
        </is>
      </c>
      <c r="N798" s="7" t="inlineStr">
        <is>
          <t>Megtalálva: Rotating Valve (kód: 35-2100)</t>
        </is>
      </c>
      <c r="O798" s="11" t="inlineStr">
        <is>
          <t>https://gnc-systems.com/en/products/rotating-valve/</t>
        </is>
      </c>
      <c r="P798" s="11" t="inlineStr">
        <is>
          <t>https://website-9ib.pages.dev/termek/ventillator-belso-takaro-szurke/</t>
        </is>
      </c>
      <c r="Q798" s="12" t="inlineStr"/>
      <c r="R798" s="13" t="inlineStr"/>
      <c r="S798" s="6" t="inlineStr">
        <is>
          <t>ventillator-belso-takaro-szurke</t>
        </is>
      </c>
    </row>
    <row r="799">
      <c r="A799" s="6" t="inlineStr">
        <is>
          <t>202850</t>
        </is>
      </c>
      <c r="B799" s="7" t="inlineStr">
        <is>
          <t>"U" 130 Hossztartó K</t>
        </is>
      </c>
      <c r="C799" s="6" t="inlineStr">
        <is>
          <t>Alumínium alváz profilok</t>
        </is>
      </c>
      <c r="D799" s="6" t="inlineStr">
        <is>
          <t>Hossztartók</t>
        </is>
      </c>
      <c r="E799" s="6" t="inlineStr">
        <is>
          <t>Grupa Kęty</t>
        </is>
      </c>
      <c r="F799" s="6" t="inlineStr">
        <is>
          <t>W2850</t>
        </is>
      </c>
      <c r="G799" s="6" t="inlineStr">
        <is>
          <t>Quadris Excel</t>
        </is>
      </c>
      <c r="H799" s="6" t="n">
        <v>1</v>
      </c>
      <c r="I799" s="6" t="n">
        <v>9</v>
      </c>
      <c r="J799" s="6" t="inlineStr">
        <is>
          <t>nincs</t>
        </is>
      </c>
      <c r="K799" s="6">
        <f>IF(AND(H799&gt;0,I799&gt;0),"Rendben",IF(AND(H799=0,I799=0),"Nincs kép és adat",IF(H799=0,"Nincs kép","Nincs adat")))</f>
        <v/>
      </c>
      <c r="L799" s="6" t="inlineStr">
        <is>
          <t>Igen</t>
        </is>
      </c>
      <c r="M799" s="7" t="inlineStr">
        <is>
          <t>Grupa Kęty W2850 gyári rajz (Drive)</t>
        </is>
      </c>
      <c r="N799" s="7" t="inlineStr">
        <is>
          <t>Megtalálva: Grupa Kęty profilrajz W2850 (kód: W2850)</t>
        </is>
      </c>
      <c r="O799" s="11" t="inlineStr">
        <is>
          <t>https://www.grupakety.com</t>
        </is>
      </c>
      <c r="P799" s="11" t="inlineStr">
        <is>
          <t>https://website-9ib.pages.dev/termek/202850-u-130-hossztarto-k/</t>
        </is>
      </c>
      <c r="Q799" s="12" t="inlineStr"/>
      <c r="R799" s="13" t="inlineStr"/>
      <c r="S799" s="6" t="inlineStr">
        <is>
          <t>202850-u-130-hossztarto-k</t>
        </is>
      </c>
    </row>
    <row r="800">
      <c r="A800" s="6" t="inlineStr">
        <is>
          <t>222266</t>
        </is>
      </c>
      <c r="B800" s="7" t="inlineStr">
        <is>
          <t>100x25 mm Ponyvatartó zártszelvény GK</t>
        </is>
      </c>
      <c r="C800" s="6" t="inlineStr">
        <is>
          <t>Ponyvarendszer kiegészítők</t>
        </is>
      </c>
      <c r="D800" s="6" t="inlineStr">
        <is>
          <t>Ponyvatartó zártszelvények</t>
        </is>
      </c>
      <c r="E800" s="6" t="inlineStr">
        <is>
          <t>Grupa Kęty</t>
        </is>
      </c>
      <c r="F800" s="6" t="inlineStr">
        <is>
          <t>7KPH2266</t>
        </is>
      </c>
      <c r="G800" s="6" t="inlineStr">
        <is>
          <t>Quadris Excel</t>
        </is>
      </c>
      <c r="H800" s="6" t="n">
        <v>3</v>
      </c>
      <c r="I800" s="6" t="n">
        <v>2</v>
      </c>
      <c r="J800" s="6" t="inlineStr">
        <is>
          <t>nincs</t>
        </is>
      </c>
      <c r="K800" s="6">
        <f>IF(AND(H800&gt;0,I800&gt;0),"Rendben",IF(AND(H800=0,I800=0),"Nincs kép és adat",IF(H800=0,"Nincs kép","Nincs adat")))</f>
        <v/>
      </c>
      <c r="L800" s="6" t="inlineStr">
        <is>
          <t>Igen</t>
        </is>
      </c>
      <c r="M800" s="7" t="inlineStr">
        <is>
          <t>Grupa Kęty W2850 gyári rajz (Drive)</t>
        </is>
      </c>
      <c r="N800" s="7" t="inlineStr">
        <is>
          <t>Nem találtuk: Grupa Kęty W2850 gyári rajz (Drive); adatlap a Quadris-megnevezésből</t>
        </is>
      </c>
      <c r="O800" s="6" t="inlineStr"/>
      <c r="P800" s="11" t="inlineStr">
        <is>
          <t>https://website-9ib.pages.dev/termek/222266-100x25-mm-ponyvatarto-zartszelveny-gk/</t>
        </is>
      </c>
      <c r="Q800" s="12" t="inlineStr"/>
      <c r="R800" s="13" t="inlineStr"/>
      <c r="S800" s="6" t="inlineStr">
        <is>
          <t>222266-100x25-mm-ponyvatarto-zartszelveny-gk</t>
        </is>
      </c>
    </row>
    <row r="801">
      <c r="A801" s="6" t="inlineStr">
        <is>
          <t>222001</t>
        </is>
      </c>
      <c r="B801" s="7" t="inlineStr">
        <is>
          <t>100x25 mm Ponyvatartó zártszelvény T</t>
        </is>
      </c>
      <c r="C801" s="6" t="inlineStr">
        <is>
          <t>Ponyvarendszer kiegészítők</t>
        </is>
      </c>
      <c r="D801" s="6" t="inlineStr">
        <is>
          <t>Ponyvatartó zártszelvények</t>
        </is>
      </c>
      <c r="E801" s="6" t="inlineStr">
        <is>
          <t>Grupa Kęty</t>
        </is>
      </c>
      <c r="F801" s="6" t="inlineStr">
        <is>
          <t>T1.2001.0</t>
        </is>
      </c>
      <c r="G801" s="6" t="inlineStr">
        <is>
          <t>Quadris Excel</t>
        </is>
      </c>
      <c r="H801" s="6" t="n">
        <v>3</v>
      </c>
      <c r="I801" s="6" t="n">
        <v>2</v>
      </c>
      <c r="J801" s="6" t="inlineStr">
        <is>
          <t>nincs</t>
        </is>
      </c>
      <c r="K801" s="6">
        <f>IF(AND(H801&gt;0,I801&gt;0),"Rendben",IF(AND(H801=0,I801=0),"Nincs kép és adat",IF(H801=0,"Nincs kép","Nincs adat")))</f>
        <v/>
      </c>
      <c r="L801" s="6" t="inlineStr">
        <is>
          <t>Igen</t>
        </is>
      </c>
      <c r="M801" s="7" t="inlineStr">
        <is>
          <t>Grupa Kęty W2850 gyári rajz (Drive)</t>
        </is>
      </c>
      <c r="N801" s="7" t="inlineStr">
        <is>
          <t>Nem találtuk: Grupa Kęty W2850 gyári rajz (Drive); adatlap a Quadris-megnevezésből</t>
        </is>
      </c>
      <c r="O801" s="6" t="inlineStr"/>
      <c r="P801" s="11" t="inlineStr">
        <is>
          <t>https://website-9ib.pages.dev/termek/222001-100x25-mm-ponyvatarto-zartszelveny-t/</t>
        </is>
      </c>
      <c r="Q801" s="12" t="inlineStr"/>
      <c r="R801" s="13" t="inlineStr"/>
      <c r="S801" s="6" t="inlineStr">
        <is>
          <t>222001-100x25-mm-ponyvatarto-zartszelveny-t</t>
        </is>
      </c>
    </row>
    <row r="802">
      <c r="A802" s="6" t="inlineStr">
        <is>
          <t>223219</t>
        </is>
      </c>
      <c r="B802" s="7" t="inlineStr">
        <is>
          <t>100x25 mm Ponyvatartó zártszelvény elox</t>
        </is>
      </c>
      <c r="C802" s="6" t="inlineStr">
        <is>
          <t>Ponyvarendszer kiegészítők</t>
        </is>
      </c>
      <c r="D802" s="6" t="inlineStr">
        <is>
          <t>Ponyvatartó zártszelvények</t>
        </is>
      </c>
      <c r="E802" s="6" t="inlineStr">
        <is>
          <t>Grupa Kęty</t>
        </is>
      </c>
      <c r="F802" s="6" t="inlineStr">
        <is>
          <t>R3219</t>
        </is>
      </c>
      <c r="G802" s="6" t="inlineStr">
        <is>
          <t>Quadris Excel</t>
        </is>
      </c>
      <c r="H802" s="6" t="n">
        <v>3</v>
      </c>
      <c r="I802" s="6" t="n">
        <v>2</v>
      </c>
      <c r="J802" s="6" t="inlineStr">
        <is>
          <t>nincs</t>
        </is>
      </c>
      <c r="K802" s="6">
        <f>IF(AND(H802&gt;0,I802&gt;0),"Rendben",IF(AND(H802=0,I802=0),"Nincs kép és adat",IF(H802=0,"Nincs kép","Nincs adat")))</f>
        <v/>
      </c>
      <c r="L802" s="6" t="inlineStr">
        <is>
          <t>Igen</t>
        </is>
      </c>
      <c r="M802" s="7" t="inlineStr">
        <is>
          <t>Grupa Kęty W2850 gyári rajz (Drive)</t>
        </is>
      </c>
      <c r="N802" s="7" t="inlineStr">
        <is>
          <t>Nem találtuk: Grupa Kęty W2850 gyári rajz (Drive); adatlap a Quadris-megnevezésből</t>
        </is>
      </c>
      <c r="O802" s="6" t="inlineStr"/>
      <c r="P802" s="11" t="inlineStr">
        <is>
          <t>https://website-9ib.pages.dev/termek/223219-100x25-mm-ponyvatarto-zartszelveny-elox/</t>
        </is>
      </c>
      <c r="Q802" s="12" t="inlineStr"/>
      <c r="R802" s="13" t="inlineStr"/>
      <c r="S802" s="6" t="inlineStr">
        <is>
          <t>223219-100x25-mm-ponyvatarto-zartszelveny-elox</t>
        </is>
      </c>
    </row>
    <row r="803">
      <c r="A803" s="6" t="inlineStr">
        <is>
          <t>222185</t>
        </is>
      </c>
      <c r="B803" s="7" t="inlineStr">
        <is>
          <t>100x25 mm Ponyvatartó zártszelvény, merevített</t>
        </is>
      </c>
      <c r="C803" s="6" t="inlineStr">
        <is>
          <t>Ponyvarendszer kiegészítők</t>
        </is>
      </c>
      <c r="D803" s="6" t="inlineStr">
        <is>
          <t>Ponyvatartó zártszelvények</t>
        </is>
      </c>
      <c r="E803" s="6" t="inlineStr">
        <is>
          <t>Grupa Kęty</t>
        </is>
      </c>
      <c r="F803" s="6" t="inlineStr">
        <is>
          <t>2185</t>
        </is>
      </c>
      <c r="G803" s="6" t="inlineStr">
        <is>
          <t>Quadris Excel</t>
        </is>
      </c>
      <c r="H803" s="6" t="n">
        <v>3</v>
      </c>
      <c r="I803" s="6" t="n">
        <v>2</v>
      </c>
      <c r="J803" s="6" t="inlineStr">
        <is>
          <t>nincs</t>
        </is>
      </c>
      <c r="K803" s="6">
        <f>IF(AND(H803&gt;0,I803&gt;0),"Rendben",IF(AND(H803=0,I803=0),"Nincs kép és adat",IF(H803=0,"Nincs kép","Nincs adat")))</f>
        <v/>
      </c>
      <c r="L803" s="6" t="inlineStr">
        <is>
          <t>Igen</t>
        </is>
      </c>
      <c r="M803" s="7" t="inlineStr">
        <is>
          <t>Grupa Kęty W2850 gyári rajz (Drive)</t>
        </is>
      </c>
      <c r="N803" s="7" t="inlineStr">
        <is>
          <t>Nem találtuk: Grupa Kęty W2850 gyári rajz (Drive); adatlap a Quadris-megnevezésből</t>
        </is>
      </c>
      <c r="O803" s="6" t="inlineStr"/>
      <c r="P803" s="11" t="inlineStr">
        <is>
          <t>https://website-9ib.pages.dev/termek/222185-100x25-mm-ponyvatarto-zartszelveny-merevitett/</t>
        </is>
      </c>
      <c r="Q803" s="12" t="inlineStr"/>
      <c r="R803" s="13" t="inlineStr"/>
      <c r="S803" s="6" t="inlineStr">
        <is>
          <t>222185-100x25-mm-ponyvatarto-zartszelveny-merevitett</t>
        </is>
      </c>
    </row>
    <row r="804">
      <c r="A804" s="6" t="inlineStr"/>
      <c r="B804" s="7" t="inlineStr">
        <is>
          <t>G 1400x1400 Rampaszőnyeg</t>
        </is>
      </c>
      <c r="C804" s="6" t="inlineStr">
        <is>
          <t>Gumiszőnyegek és gumilemezek</t>
        </is>
      </c>
      <c r="D804" s="6" t="inlineStr">
        <is>
          <t>Rámpa szőnyeg</t>
        </is>
      </c>
      <c r="E804" s="6" t="inlineStr">
        <is>
          <t>Gummitrading</t>
        </is>
      </c>
      <c r="F804" s="6" t="inlineStr"/>
      <c r="G804" s="6" t="inlineStr">
        <is>
          <t>Quadris Excel</t>
        </is>
      </c>
      <c r="H804" s="6" t="n">
        <v>3</v>
      </c>
      <c r="I804" s="6" t="n">
        <v>2</v>
      </c>
      <c r="J804" s="6" t="inlineStr">
        <is>
          <t>nincs</t>
        </is>
      </c>
      <c r="K804" s="6">
        <f>IF(AND(H804&gt;0,I804&gt;0),"Rendben",IF(AND(H804=0,I804=0),"Nincs kép és adat",IF(H804=0,"Nincs kép","Nincs adat")))</f>
        <v/>
      </c>
      <c r="L804" s="6" t="inlineStr">
        <is>
          <t>Nem</t>
        </is>
      </c>
      <c r="M804" s="7" t="inlineStr">
        <is>
          <t>Quadris-megnevezés (nincs beszállítói forrás)</t>
        </is>
      </c>
      <c r="N804" s="7" t="inlineStr">
        <is>
          <t>Beszállítói forrás nincs – adatlap a Quadris-megnevezésből (méretek, elméleti tömeg)</t>
        </is>
      </c>
      <c r="O804" s="6" t="inlineStr"/>
      <c r="P804" s="11" t="inlineStr">
        <is>
          <t>https://website-9ib.pages.dev/termek/g-1400x1400-rampaszonyeg/</t>
        </is>
      </c>
      <c r="Q804" s="12" t="inlineStr"/>
      <c r="R804" s="13" t="inlineStr"/>
      <c r="S804" s="6" t="inlineStr">
        <is>
          <t>g-1400x1400-rampaszonyeg</t>
        </is>
      </c>
    </row>
    <row r="805">
      <c r="A805" s="6" t="inlineStr"/>
      <c r="B805" s="7" t="inlineStr">
        <is>
          <t>G 1800x1400 Rampaszőnyeg</t>
        </is>
      </c>
      <c r="C805" s="6" t="inlineStr">
        <is>
          <t>Gumiszőnyegek és gumilemezek</t>
        </is>
      </c>
      <c r="D805" s="6" t="inlineStr">
        <is>
          <t>Rámpa szőnyeg</t>
        </is>
      </c>
      <c r="E805" s="6" t="inlineStr">
        <is>
          <t>Gummitrading</t>
        </is>
      </c>
      <c r="F805" s="6" t="inlineStr"/>
      <c r="G805" s="6" t="inlineStr">
        <is>
          <t>Quadris Excel</t>
        </is>
      </c>
      <c r="H805" s="6" t="n">
        <v>3</v>
      </c>
      <c r="I805" s="6" t="n">
        <v>2</v>
      </c>
      <c r="J805" s="6" t="inlineStr">
        <is>
          <t>nincs</t>
        </is>
      </c>
      <c r="K805" s="6">
        <f>IF(AND(H805&gt;0,I805&gt;0),"Rendben",IF(AND(H805=0,I805=0),"Nincs kép és adat",IF(H805=0,"Nincs kép","Nincs adat")))</f>
        <v/>
      </c>
      <c r="L805" s="6" t="inlineStr">
        <is>
          <t>Nem</t>
        </is>
      </c>
      <c r="M805" s="7" t="inlineStr">
        <is>
          <t>Quadris-megnevezés (nincs beszállítói forrás)</t>
        </is>
      </c>
      <c r="N805" s="7" t="inlineStr">
        <is>
          <t>Beszállítói forrás nincs – adatlap a Quadris-megnevezésből (méretek, elméleti tömeg)</t>
        </is>
      </c>
      <c r="O805" s="6" t="inlineStr"/>
      <c r="P805" s="11" t="inlineStr">
        <is>
          <t>https://website-9ib.pages.dev/termek/g-1800x1400-rampaszonyeg/</t>
        </is>
      </c>
      <c r="Q805" s="12" t="inlineStr"/>
      <c r="R805" s="13" t="inlineStr"/>
      <c r="S805" s="6" t="inlineStr">
        <is>
          <t>g-1800x1400-rampaszonyeg</t>
        </is>
      </c>
    </row>
    <row r="806">
      <c r="A806" s="6" t="inlineStr"/>
      <c r="B806" s="7" t="inlineStr">
        <is>
          <t>G 1800x1600 Rampaszőnyeg</t>
        </is>
      </c>
      <c r="C806" s="6" t="inlineStr">
        <is>
          <t>Gumiszőnyegek és gumilemezek</t>
        </is>
      </c>
      <c r="D806" s="6" t="inlineStr">
        <is>
          <t>Rámpa szőnyeg</t>
        </is>
      </c>
      <c r="E806" s="6" t="inlineStr">
        <is>
          <t>Gummitrading</t>
        </is>
      </c>
      <c r="F806" s="6" t="inlineStr"/>
      <c r="G806" s="6" t="inlineStr">
        <is>
          <t>Quadris Excel</t>
        </is>
      </c>
      <c r="H806" s="6" t="n">
        <v>3</v>
      </c>
      <c r="I806" s="6" t="n">
        <v>2</v>
      </c>
      <c r="J806" s="6" t="inlineStr">
        <is>
          <t>nincs</t>
        </is>
      </c>
      <c r="K806" s="6">
        <f>IF(AND(H806&gt;0,I806&gt;0),"Rendben",IF(AND(H806=0,I806=0),"Nincs kép és adat",IF(H806=0,"Nincs kép","Nincs adat")))</f>
        <v/>
      </c>
      <c r="L806" s="6" t="inlineStr">
        <is>
          <t>Nem</t>
        </is>
      </c>
      <c r="M806" s="7" t="inlineStr">
        <is>
          <t>Quadris-megnevezés (nincs beszállítói forrás)</t>
        </is>
      </c>
      <c r="N806" s="7" t="inlineStr">
        <is>
          <t>Beszállítói forrás nincs – adatlap a Quadris-megnevezésből (méretek, elméleti tömeg)</t>
        </is>
      </c>
      <c r="O806" s="6" t="inlineStr"/>
      <c r="P806" s="11" t="inlineStr">
        <is>
          <t>https://website-9ib.pages.dev/termek/g-1800x1600-rampaszonyeg/</t>
        </is>
      </c>
      <c r="Q806" s="12" t="inlineStr"/>
      <c r="R806" s="13" t="inlineStr"/>
      <c r="S806" s="6" t="inlineStr">
        <is>
          <t>g-1800x1600-rampaszonyeg</t>
        </is>
      </c>
    </row>
    <row r="807">
      <c r="A807" s="6" t="inlineStr"/>
      <c r="B807" s="7" t="inlineStr">
        <is>
          <t>G 2200x1400 Rampaszőnyeg</t>
        </is>
      </c>
      <c r="C807" s="6" t="inlineStr">
        <is>
          <t>Gumiszőnyegek és gumilemezek</t>
        </is>
      </c>
      <c r="D807" s="6" t="inlineStr">
        <is>
          <t>Rámpa szőnyeg</t>
        </is>
      </c>
      <c r="E807" s="6" t="inlineStr">
        <is>
          <t>Gummitrading</t>
        </is>
      </c>
      <c r="F807" s="6" t="inlineStr"/>
      <c r="G807" s="6" t="inlineStr">
        <is>
          <t>Quadris Excel</t>
        </is>
      </c>
      <c r="H807" s="6" t="n">
        <v>3</v>
      </c>
      <c r="I807" s="6" t="n">
        <v>2</v>
      </c>
      <c r="J807" s="6" t="inlineStr">
        <is>
          <t>nincs</t>
        </is>
      </c>
      <c r="K807" s="6">
        <f>IF(AND(H807&gt;0,I807&gt;0),"Rendben",IF(AND(H807=0,I807=0),"Nincs kép és adat",IF(H807=0,"Nincs kép","Nincs adat")))</f>
        <v/>
      </c>
      <c r="L807" s="6" t="inlineStr">
        <is>
          <t>Nem</t>
        </is>
      </c>
      <c r="M807" s="7" t="inlineStr">
        <is>
          <t>Quadris-megnevezés (nincs beszállítói forrás)</t>
        </is>
      </c>
      <c r="N807" s="7" t="inlineStr">
        <is>
          <t>Beszállítói forrás nincs – adatlap a Quadris-megnevezésből (méretek, elméleti tömeg)</t>
        </is>
      </c>
      <c r="O807" s="6" t="inlineStr"/>
      <c r="P807" s="11" t="inlineStr">
        <is>
          <t>https://website-9ib.pages.dev/termek/g-2200x1400-rampaszonyeg/</t>
        </is>
      </c>
      <c r="Q807" s="12" t="inlineStr"/>
      <c r="R807" s="13" t="inlineStr"/>
      <c r="S807" s="6" t="inlineStr">
        <is>
          <t>g-2200x1400-rampaszonyeg</t>
        </is>
      </c>
    </row>
    <row r="808">
      <c r="A808" s="6" t="inlineStr"/>
      <c r="B808" s="7" t="inlineStr">
        <is>
          <t>G 2400x1400 Rampaszőnyeg</t>
        </is>
      </c>
      <c r="C808" s="6" t="inlineStr">
        <is>
          <t>Gumiszőnyegek és gumilemezek</t>
        </is>
      </c>
      <c r="D808" s="6" t="inlineStr">
        <is>
          <t>Rámpa szőnyeg</t>
        </is>
      </c>
      <c r="E808" s="6" t="inlineStr">
        <is>
          <t>Gummitrading</t>
        </is>
      </c>
      <c r="F808" s="6" t="inlineStr"/>
      <c r="G808" s="6" t="inlineStr">
        <is>
          <t>Quadris Excel</t>
        </is>
      </c>
      <c r="H808" s="6" t="n">
        <v>3</v>
      </c>
      <c r="I808" s="6" t="n">
        <v>2</v>
      </c>
      <c r="J808" s="6" t="inlineStr">
        <is>
          <t>nincs</t>
        </is>
      </c>
      <c r="K808" s="6">
        <f>IF(AND(H808&gt;0,I808&gt;0),"Rendben",IF(AND(H808=0,I808=0),"Nincs kép és adat",IF(H808=0,"Nincs kép","Nincs adat")))</f>
        <v/>
      </c>
      <c r="L808" s="6" t="inlineStr">
        <is>
          <t>Nem</t>
        </is>
      </c>
      <c r="M808" s="7" t="inlineStr">
        <is>
          <t>Quadris-megnevezés (nincs beszállítói forrás)</t>
        </is>
      </c>
      <c r="N808" s="7" t="inlineStr">
        <is>
          <t>Beszállítói forrás nincs – adatlap a Quadris-megnevezésből (méretek, elméleti tömeg)</t>
        </is>
      </c>
      <c r="O808" s="6" t="inlineStr"/>
      <c r="P808" s="11" t="inlineStr">
        <is>
          <t>https://website-9ib.pages.dev/termek/g-2400x1400-rampaszonyeg/</t>
        </is>
      </c>
      <c r="Q808" s="12" t="inlineStr"/>
      <c r="R808" s="13" t="inlineStr"/>
      <c r="S808" s="6" t="inlineStr">
        <is>
          <t>g-2400x1400-rampaszonyeg</t>
        </is>
      </c>
    </row>
    <row r="809">
      <c r="A809" s="6" t="inlineStr"/>
      <c r="B809" s="7" t="inlineStr">
        <is>
          <t>G 4x1200x10000 Noppos gumiszőnyeg</t>
        </is>
      </c>
      <c r="C809" s="6" t="inlineStr">
        <is>
          <t>Gumiszőnyegek és gumilemezek</t>
        </is>
      </c>
      <c r="D809" s="6" t="inlineStr">
        <is>
          <t>Noppos gumi</t>
        </is>
      </c>
      <c r="E809" s="6" t="inlineStr">
        <is>
          <t>Gummitrading</t>
        </is>
      </c>
      <c r="F809" s="6" t="inlineStr"/>
      <c r="G809" s="6" t="inlineStr">
        <is>
          <t>Quadris Excel</t>
        </is>
      </c>
      <c r="H809" s="6" t="n">
        <v>3</v>
      </c>
      <c r="I809" s="6" t="n">
        <v>3</v>
      </c>
      <c r="J809" s="6" t="inlineStr">
        <is>
          <t>nincs</t>
        </is>
      </c>
      <c r="K809" s="6">
        <f>IF(AND(H809&gt;0,I809&gt;0),"Rendben",IF(AND(H809=0,I809=0),"Nincs kép és adat",IF(H809=0,"Nincs kép","Nincs adat")))</f>
        <v/>
      </c>
      <c r="L809" s="6" t="inlineStr">
        <is>
          <t>Nem</t>
        </is>
      </c>
      <c r="M809" s="7" t="inlineStr">
        <is>
          <t>Quadris-megnevezés (nincs beszállítói forrás)</t>
        </is>
      </c>
      <c r="N809" s="7" t="inlineStr">
        <is>
          <t>Beszállítói forrás nincs – adatlap a Quadris-megnevezésből (méretek, elméleti tömeg)</t>
        </is>
      </c>
      <c r="O809" s="6" t="inlineStr"/>
      <c r="P809" s="11" t="inlineStr">
        <is>
          <t>https://website-9ib.pages.dev/termek/g-4x1200x10000-noppos-gumiszonyeg/</t>
        </is>
      </c>
      <c r="Q809" s="12" t="inlineStr"/>
      <c r="R809" s="13" t="inlineStr"/>
      <c r="S809" s="6" t="inlineStr">
        <is>
          <t>g-4x1200x10000-noppos-gumiszonyeg</t>
        </is>
      </c>
    </row>
    <row r="810">
      <c r="A810" s="6" t="inlineStr"/>
      <c r="B810" s="7" t="inlineStr">
        <is>
          <t>G 4x1200x10000 Vidar Coin Noppos gumiszőnyeg</t>
        </is>
      </c>
      <c r="C810" s="6" t="inlineStr">
        <is>
          <t>Gumiszőnyegek és gumilemezek</t>
        </is>
      </c>
      <c r="D810" s="6" t="inlineStr">
        <is>
          <t>Noppos gumi</t>
        </is>
      </c>
      <c r="E810" s="6" t="inlineStr">
        <is>
          <t>Gummitrading</t>
        </is>
      </c>
      <c r="F810" s="6" t="inlineStr"/>
      <c r="G810" s="6" t="inlineStr">
        <is>
          <t>Quadris Excel</t>
        </is>
      </c>
      <c r="H810" s="6" t="n">
        <v>3</v>
      </c>
      <c r="I810" s="6" t="n">
        <v>3</v>
      </c>
      <c r="J810" s="6" t="inlineStr">
        <is>
          <t>nincs</t>
        </is>
      </c>
      <c r="K810" s="6">
        <f>IF(AND(H810&gt;0,I810&gt;0),"Rendben",IF(AND(H810=0,I810=0),"Nincs kép és adat",IF(H810=0,"Nincs kép","Nincs adat")))</f>
        <v/>
      </c>
      <c r="L810" s="6" t="inlineStr">
        <is>
          <t>Nem</t>
        </is>
      </c>
      <c r="M810" s="7" t="inlineStr">
        <is>
          <t>Quadris-megnevezés (nincs beszállítói forrás)</t>
        </is>
      </c>
      <c r="N810" s="7" t="inlineStr">
        <is>
          <t>Beszállítói forrás nincs – adatlap a Quadris-megnevezésből (méretek, elméleti tömeg)</t>
        </is>
      </c>
      <c r="O810" s="6" t="inlineStr"/>
      <c r="P810" s="11" t="inlineStr">
        <is>
          <t>https://website-9ib.pages.dev/termek/g-4x1200x10000-vidar-coin-noppos-gumiszonyeg/</t>
        </is>
      </c>
      <c r="Q810" s="12" t="inlineStr"/>
      <c r="R810" s="13" t="inlineStr"/>
      <c r="S810" s="6" t="inlineStr">
        <is>
          <t>g-4x1200x10000-vidar-coin-noppos-gumiszonyeg</t>
        </is>
      </c>
    </row>
    <row r="811">
      <c r="A811" s="6" t="inlineStr"/>
      <c r="B811" s="7" t="inlineStr">
        <is>
          <t>G 4x1800 mm Istálló szőnyeg</t>
        </is>
      </c>
      <c r="C811" s="6" t="inlineStr">
        <is>
          <t>Gumiszőnyegek és gumilemezek</t>
        </is>
      </c>
      <c r="D811" s="6" t="inlineStr">
        <is>
          <t>Istálló szőnyeg</t>
        </is>
      </c>
      <c r="E811" s="6" t="inlineStr">
        <is>
          <t>Gummitrading</t>
        </is>
      </c>
      <c r="F811" s="6" t="inlineStr"/>
      <c r="G811" s="6" t="inlineStr">
        <is>
          <t>Quadris Excel</t>
        </is>
      </c>
      <c r="H811" s="6" t="n">
        <v>3</v>
      </c>
      <c r="I811" s="6" t="n">
        <v>3</v>
      </c>
      <c r="J811" s="6" t="inlineStr">
        <is>
          <t>nincs</t>
        </is>
      </c>
      <c r="K811" s="6">
        <f>IF(AND(H811&gt;0,I811&gt;0),"Rendben",IF(AND(H811=0,I811=0),"Nincs kép és adat",IF(H811=0,"Nincs kép","Nincs adat")))</f>
        <v/>
      </c>
      <c r="L811" s="6" t="inlineStr">
        <is>
          <t>Nem</t>
        </is>
      </c>
      <c r="M811" s="7" t="inlineStr">
        <is>
          <t>Quadris-megnevezés (nincs beszállítói forrás)</t>
        </is>
      </c>
      <c r="N811" s="7" t="inlineStr">
        <is>
          <t>Beszállítói forrás nincs – adatlap a Quadris-megnevezésből (méretek, elméleti tömeg)</t>
        </is>
      </c>
      <c r="O811" s="6" t="inlineStr"/>
      <c r="P811" s="11" t="inlineStr">
        <is>
          <t>https://website-9ib.pages.dev/termek/g-4x1800-mm-istallo-szonyeg/</t>
        </is>
      </c>
      <c r="Q811" s="12" t="inlineStr"/>
      <c r="R811" s="13" t="inlineStr"/>
      <c r="S811" s="6" t="inlineStr">
        <is>
          <t>g-4x1800-mm-istallo-szonyeg</t>
        </is>
      </c>
    </row>
    <row r="812">
      <c r="A812" s="6" t="inlineStr"/>
      <c r="B812" s="7" t="inlineStr">
        <is>
          <t>G 5x1400x10m 2T S/S Általános gumi</t>
        </is>
      </c>
      <c r="C812" s="6" t="inlineStr">
        <is>
          <t>Gumiszőnyegek és gumilemezek</t>
        </is>
      </c>
      <c r="D812" s="6" t="inlineStr">
        <is>
          <t>Általános gumi szőnyeg</t>
        </is>
      </c>
      <c r="E812" s="6" t="inlineStr">
        <is>
          <t>Gummitrading</t>
        </is>
      </c>
      <c r="F812" s="6" t="inlineStr"/>
      <c r="G812" s="6" t="inlineStr">
        <is>
          <t>Quadris Excel</t>
        </is>
      </c>
      <c r="H812" s="6" t="n">
        <v>3</v>
      </c>
      <c r="I812" s="6" t="n">
        <v>4</v>
      </c>
      <c r="J812" s="6" t="inlineStr">
        <is>
          <t>nincs</t>
        </is>
      </c>
      <c r="K812" s="6">
        <f>IF(AND(H812&gt;0,I812&gt;0),"Rendben",IF(AND(H812=0,I812=0),"Nincs kép és adat",IF(H812=0,"Nincs kép","Nincs adat")))</f>
        <v/>
      </c>
      <c r="L812" s="6" t="inlineStr">
        <is>
          <t>Nem</t>
        </is>
      </c>
      <c r="M812" s="7" t="inlineStr">
        <is>
          <t>Quadris-megnevezés (nincs beszállítói forrás)</t>
        </is>
      </c>
      <c r="N812" s="7" t="inlineStr">
        <is>
          <t>Beszállítói forrás nincs – adatlap a Quadris-megnevezésből (méretek, elméleti tömeg)</t>
        </is>
      </c>
      <c r="O812" s="6" t="inlineStr"/>
      <c r="P812" s="11" t="inlineStr">
        <is>
          <t>https://website-9ib.pages.dev/termek/g-5x1400x10m-2t-s-s-altalanos-gumi/</t>
        </is>
      </c>
      <c r="Q812" s="12" t="inlineStr"/>
      <c r="R812" s="13" t="inlineStr"/>
      <c r="S812" s="6" t="inlineStr">
        <is>
          <t>g-5x1400x10m-2t-s-s-altalanos-gumi</t>
        </is>
      </c>
    </row>
    <row r="813">
      <c r="A813" s="6" t="inlineStr"/>
      <c r="B813" s="7" t="inlineStr">
        <is>
          <t>G 5x2000 mm Istálló szőnyeg</t>
        </is>
      </c>
      <c r="C813" s="6" t="inlineStr">
        <is>
          <t>Gumiszőnyegek és gumilemezek</t>
        </is>
      </c>
      <c r="D813" s="6" t="inlineStr">
        <is>
          <t>Istálló szőnyeg</t>
        </is>
      </c>
      <c r="E813" s="6" t="inlineStr">
        <is>
          <t>Gummitrading</t>
        </is>
      </c>
      <c r="F813" s="6" t="inlineStr"/>
      <c r="G813" s="6" t="inlineStr">
        <is>
          <t>Quadris Excel</t>
        </is>
      </c>
      <c r="H813" s="6" t="n">
        <v>3</v>
      </c>
      <c r="I813" s="6" t="n">
        <v>3</v>
      </c>
      <c r="J813" s="6" t="inlineStr">
        <is>
          <t>nincs</t>
        </is>
      </c>
      <c r="K813" s="6">
        <f>IF(AND(H813&gt;0,I813&gt;0),"Rendben",IF(AND(H813=0,I813=0),"Nincs kép és adat",IF(H813=0,"Nincs kép","Nincs adat")))</f>
        <v/>
      </c>
      <c r="L813" s="6" t="inlineStr">
        <is>
          <t>Nem</t>
        </is>
      </c>
      <c r="M813" s="7" t="inlineStr">
        <is>
          <t>Quadris-megnevezés (nincs beszállítói forrás)</t>
        </is>
      </c>
      <c r="N813" s="7" t="inlineStr">
        <is>
          <t>Beszállítói forrás nincs – adatlap a Quadris-megnevezésből (méretek, elméleti tömeg)</t>
        </is>
      </c>
      <c r="O813" s="6" t="inlineStr"/>
      <c r="P813" s="11" t="inlineStr">
        <is>
          <t>https://website-9ib.pages.dev/termek/g-5x2000-mm-istallo-szonyeg/</t>
        </is>
      </c>
      <c r="Q813" s="12" t="inlineStr"/>
      <c r="R813" s="13" t="inlineStr"/>
      <c r="S813" s="6" t="inlineStr">
        <is>
          <t>g-5x2000-mm-istallo-szonyeg</t>
        </is>
      </c>
    </row>
    <row r="814">
      <c r="A814" s="6" t="inlineStr"/>
      <c r="B814" s="7" t="inlineStr">
        <is>
          <t>G 6x2000mm Istálló szőnyeg</t>
        </is>
      </c>
      <c r="C814" s="6" t="inlineStr">
        <is>
          <t>Gumiszőnyegek és gumilemezek</t>
        </is>
      </c>
      <c r="D814" s="6" t="inlineStr">
        <is>
          <t>Istálló szőnyeg</t>
        </is>
      </c>
      <c r="E814" s="6" t="inlineStr">
        <is>
          <t>Gummitrading</t>
        </is>
      </c>
      <c r="F814" s="6" t="inlineStr"/>
      <c r="G814" s="6" t="inlineStr">
        <is>
          <t>Quadris Excel</t>
        </is>
      </c>
      <c r="H814" s="6" t="n">
        <v>3</v>
      </c>
      <c r="I814" s="6" t="n">
        <v>3</v>
      </c>
      <c r="J814" s="6" t="inlineStr">
        <is>
          <t>nincs</t>
        </is>
      </c>
      <c r="K814" s="6">
        <f>IF(AND(H814&gt;0,I814&gt;0),"Rendben",IF(AND(H814=0,I814=0),"Nincs kép és adat",IF(H814=0,"Nincs kép","Nincs adat")))</f>
        <v/>
      </c>
      <c r="L814" s="6" t="inlineStr">
        <is>
          <t>Nem</t>
        </is>
      </c>
      <c r="M814" s="7" t="inlineStr">
        <is>
          <t>Quadris-megnevezés (nincs beszállítói forrás)</t>
        </is>
      </c>
      <c r="N814" s="7" t="inlineStr">
        <is>
          <t>Beszállítói forrás nincs – adatlap a Quadris-megnevezésből (méretek, elméleti tömeg)</t>
        </is>
      </c>
      <c r="O814" s="6" t="inlineStr"/>
      <c r="P814" s="11" t="inlineStr">
        <is>
          <t>https://website-9ib.pages.dev/termek/g-6x2000mm-istallo-szonyeg/</t>
        </is>
      </c>
      <c r="Q814" s="12" t="inlineStr"/>
      <c r="R814" s="13" t="inlineStr"/>
      <c r="S814" s="6" t="inlineStr">
        <is>
          <t>g-6x2000mm-istallo-szonyeg</t>
        </is>
      </c>
    </row>
    <row r="815">
      <c r="A815" s="6" t="inlineStr">
        <is>
          <t>056402</t>
        </is>
      </c>
      <c r="B815" s="7" t="inlineStr">
        <is>
          <t>4-részes ajtókiakasztó szet</t>
        </is>
      </c>
      <c r="C815" s="6" t="inlineStr">
        <is>
          <t>Dobozos felépítmény alkatrészek</t>
        </is>
      </c>
      <c r="D815" s="6" t="inlineStr">
        <is>
          <t>Ajtórögzítők</t>
        </is>
      </c>
      <c r="E815" s="6" t="inlineStr">
        <is>
          <t>IndesCar</t>
        </is>
      </c>
      <c r="F815" s="6" t="inlineStr"/>
      <c r="G815" s="6" t="inlineStr">
        <is>
          <t>Quadris Excel</t>
        </is>
      </c>
      <c r="H815" s="6" t="n">
        <v>0</v>
      </c>
      <c r="I815" s="6" t="n">
        <v>0</v>
      </c>
      <c r="J815" s="6" t="inlineStr">
        <is>
          <t>nincs</t>
        </is>
      </c>
      <c r="K815" s="6">
        <f>IF(AND(H815&gt;0,I815&gt;0),"Rendben",IF(AND(H815=0,I815=0),"Nincs kép és adat",IF(H815=0,"Nincs kép","Nincs adat")))</f>
        <v/>
      </c>
      <c r="L815" s="6" t="inlineStr">
        <is>
          <t>Igen</t>
        </is>
      </c>
      <c r="M815" s="7" t="inlineStr">
        <is>
          <t>indescar.com webáruház (WooCommerce API)</t>
        </is>
      </c>
      <c r="N815" s="7" t="inlineStr">
        <is>
          <t>Nem találtuk: indescar.com webáruház (WooCommerce API)</t>
        </is>
      </c>
      <c r="O815" s="6" t="inlineStr"/>
      <c r="P815" s="11" t="inlineStr">
        <is>
          <t>https://website-9ib.pages.dev/termek/056402-4-reszes-ajtokiakaszto-szet/</t>
        </is>
      </c>
      <c r="Q815" s="12" t="inlineStr"/>
      <c r="R815" s="13" t="inlineStr"/>
      <c r="S815" s="6" t="inlineStr">
        <is>
          <t>056402-4-reszes-ajtokiakaszto-szet</t>
        </is>
      </c>
    </row>
    <row r="816">
      <c r="A816" s="6" t="inlineStr">
        <is>
          <t>056402/2</t>
        </is>
      </c>
      <c r="B816" s="7" t="inlineStr">
        <is>
          <t>4-részes ajtókiakasztó szet IN</t>
        </is>
      </c>
      <c r="C816" s="6" t="inlineStr">
        <is>
          <t>Dobozos felépítmény alkatrészek</t>
        </is>
      </c>
      <c r="D816" s="6" t="inlineStr">
        <is>
          <t>Ajtórögzítők</t>
        </is>
      </c>
      <c r="E816" s="6" t="inlineStr">
        <is>
          <t>IndesCar</t>
        </is>
      </c>
      <c r="F816" s="6" t="inlineStr"/>
      <c r="G816" s="6" t="inlineStr">
        <is>
          <t>Quadris Excel</t>
        </is>
      </c>
      <c r="H816" s="6" t="n">
        <v>0</v>
      </c>
      <c r="I816" s="6" t="n">
        <v>0</v>
      </c>
      <c r="J816" s="6" t="inlineStr">
        <is>
          <t>nincs</t>
        </is>
      </c>
      <c r="K816" s="6">
        <f>IF(AND(H816&gt;0,I816&gt;0),"Rendben",IF(AND(H816=0,I816=0),"Nincs kép és adat",IF(H816=0,"Nincs kép","Nincs adat")))</f>
        <v/>
      </c>
      <c r="L816" s="6" t="inlineStr">
        <is>
          <t>Igen</t>
        </is>
      </c>
      <c r="M816" s="7" t="inlineStr">
        <is>
          <t>indescar.com webáruház (WooCommerce API)</t>
        </is>
      </c>
      <c r="N816" s="7" t="inlineStr">
        <is>
          <t>Nem találtuk: indescar.com webáruház (WooCommerce API)</t>
        </is>
      </c>
      <c r="O816" s="6" t="inlineStr"/>
      <c r="P816" s="11" t="inlineStr">
        <is>
          <t>https://website-9ib.pages.dev/termek/056402-2-4-reszes-ajtokiakaszto-szet-in/</t>
        </is>
      </c>
      <c r="Q816" s="12" t="inlineStr"/>
      <c r="R816" s="13" t="inlineStr"/>
      <c r="S816" s="6" t="inlineStr">
        <is>
          <t>056402-2-4-reszes-ajtokiakaszto-szet-in</t>
        </is>
      </c>
    </row>
    <row r="817">
      <c r="A817" s="6" t="inlineStr">
        <is>
          <t>556404</t>
        </is>
      </c>
      <c r="B817" s="7" t="inlineStr">
        <is>
          <t>Kúpos ütközőgumi 40/60/27</t>
        </is>
      </c>
      <c r="C817" s="6" t="inlineStr">
        <is>
          <t>Dobozos felépítmény alkatrészek</t>
        </is>
      </c>
      <c r="D817" s="6" t="inlineStr">
        <is>
          <t>Gumiütközők</t>
        </is>
      </c>
      <c r="E817" s="6" t="inlineStr">
        <is>
          <t>IndesCar</t>
        </is>
      </c>
      <c r="F817" s="6" t="inlineStr"/>
      <c r="G817" s="6" t="inlineStr">
        <is>
          <t>Quadris Excel</t>
        </is>
      </c>
      <c r="H817" s="6" t="n">
        <v>0</v>
      </c>
      <c r="I817" s="6" t="n">
        <v>0</v>
      </c>
      <c r="J817" s="6" t="inlineStr">
        <is>
          <t>nincs</t>
        </is>
      </c>
      <c r="K817" s="6">
        <f>IF(AND(H817&gt;0,I817&gt;0),"Rendben",IF(AND(H817=0,I817=0),"Nincs kép és adat",IF(H817=0,"Nincs kép","Nincs adat")))</f>
        <v/>
      </c>
      <c r="L817" s="6" t="inlineStr">
        <is>
          <t>Igen</t>
        </is>
      </c>
      <c r="M817" s="7" t="inlineStr">
        <is>
          <t>indescar.com webáruház (WooCommerce API)</t>
        </is>
      </c>
      <c r="N817" s="7" t="inlineStr">
        <is>
          <t>Nem találtuk: indescar.com webáruház (WooCommerce API)</t>
        </is>
      </c>
      <c r="O817" s="6" t="inlineStr"/>
      <c r="P817" s="11" t="inlineStr">
        <is>
          <t>https://website-9ib.pages.dev/termek/556404-kupos-utkozogumi-40-60-27/</t>
        </is>
      </c>
      <c r="Q817" s="12" t="inlineStr"/>
      <c r="R817" s="13" t="inlineStr"/>
      <c r="S817" s="6" t="inlineStr">
        <is>
          <t>556404-kupos-utkozogumi-40-60-27</t>
        </is>
      </c>
    </row>
    <row r="818">
      <c r="A818" s="6" t="inlineStr">
        <is>
          <t>820270</t>
        </is>
      </c>
      <c r="B818" s="7" t="inlineStr">
        <is>
          <t>RM oldalajtó zsanér lépcsős 190/238/75 mm IN</t>
        </is>
      </c>
      <c r="C818" s="6" t="inlineStr">
        <is>
          <t>Dobozos felépítmény alkatrészek</t>
        </is>
      </c>
      <c r="D818" s="6" t="inlineStr">
        <is>
          <t>Zsanérok</t>
        </is>
      </c>
      <c r="E818" s="6" t="inlineStr">
        <is>
          <t>IndesCar</t>
        </is>
      </c>
      <c r="F818" s="6" t="inlineStr">
        <is>
          <t>20270I</t>
        </is>
      </c>
      <c r="G818" s="6" t="inlineStr">
        <is>
          <t>Quadris Excel</t>
        </is>
      </c>
      <c r="H818" s="6" t="n">
        <v>0</v>
      </c>
      <c r="I818" s="6" t="n">
        <v>0</v>
      </c>
      <c r="J818" s="6" t="inlineStr">
        <is>
          <t>nincs</t>
        </is>
      </c>
      <c r="K818" s="6">
        <f>IF(AND(H818&gt;0,I818&gt;0),"Rendben",IF(AND(H818=0,I818=0),"Nincs kép és adat",IF(H818=0,"Nincs kép","Nincs adat")))</f>
        <v/>
      </c>
      <c r="L818" s="6" t="inlineStr">
        <is>
          <t>Igen</t>
        </is>
      </c>
      <c r="M818" s="7" t="inlineStr">
        <is>
          <t>indescar.com webáruház (WooCommerce API)</t>
        </is>
      </c>
      <c r="N818" s="7" t="inlineStr">
        <is>
          <t>Nem találtuk: indescar.com webáruház (WooCommerce API)</t>
        </is>
      </c>
      <c r="O818" s="6" t="inlineStr"/>
      <c r="P818" s="11" t="inlineStr">
        <is>
          <t>https://website-9ib.pages.dev/termek/820270-rm-oldalajto-zsaner-lepcsos-190-238-75-mm-in/</t>
        </is>
      </c>
      <c r="Q818" s="12" t="inlineStr"/>
      <c r="R818" s="13" t="inlineStr"/>
      <c r="S818" s="6" t="inlineStr">
        <is>
          <t>820270-rm-oldalajto-zsaner-lepcsos-190-238-75-mm-in</t>
        </is>
      </c>
    </row>
    <row r="819">
      <c r="A819" s="6" t="inlineStr">
        <is>
          <t>615363</t>
        </is>
      </c>
      <c r="B819" s="7" t="inlineStr">
        <is>
          <t>68-S1 T-karos sülly. zár</t>
        </is>
      </c>
      <c r="C819" s="6" t="inlineStr">
        <is>
          <t>Speciális felépítmény alkatrészek</t>
        </is>
      </c>
      <c r="D819" s="6" t="inlineStr">
        <is>
          <t>Zárak</t>
        </is>
      </c>
      <c r="E819" s="6" t="inlineStr">
        <is>
          <t>Industrilas</t>
        </is>
      </c>
      <c r="F819" s="6" t="inlineStr">
        <is>
          <t>275363-68-S1</t>
        </is>
      </c>
      <c r="G819" s="6" t="inlineStr">
        <is>
          <t>Quadris Excel</t>
        </is>
      </c>
      <c r="H819" s="6" t="n">
        <v>1</v>
      </c>
      <c r="I819" s="6" t="n">
        <v>3</v>
      </c>
      <c r="J819" s="6" t="inlineStr">
        <is>
          <t>nincs</t>
        </is>
      </c>
      <c r="K819" s="6">
        <f>IF(AND(H819&gt;0,I819&gt;0),"Rendben",IF(AND(H819=0,I819=0),"Nincs kép és adat",IF(H819=0,"Nincs kép","Nincs adat")))</f>
        <v/>
      </c>
      <c r="L819" s="6" t="inlineStr">
        <is>
          <t>Igen</t>
        </is>
      </c>
      <c r="M819" s="7" t="inlineStr">
        <is>
          <t>industrilas.com kereső; Industrilås 68-S1 termékkép (Drive)</t>
        </is>
      </c>
      <c r="N819" s="7" t="inlineStr">
        <is>
          <t>Megtalálva: Industrilås 68-S1 (kód: 275363-68-S1)</t>
        </is>
      </c>
      <c r="O819" s="11" t="inlineStr">
        <is>
          <t>https://industrilas.com</t>
        </is>
      </c>
      <c r="P819" s="11" t="inlineStr">
        <is>
          <t>https://website-9ib.pages.dev/termek/615363-68-s1-t-karos-sully-zar/</t>
        </is>
      </c>
      <c r="Q819" s="12" t="inlineStr"/>
      <c r="R819" s="13" t="inlineStr"/>
      <c r="S819" s="6" t="inlineStr">
        <is>
          <t>615363-68-s1-t-karos-sully-zar</t>
        </is>
      </c>
    </row>
    <row r="820">
      <c r="A820" s="6" t="inlineStr">
        <is>
          <t>615263</t>
        </is>
      </c>
      <c r="B820" s="7" t="inlineStr">
        <is>
          <t>68-S1 T-karos sülly. zár F</t>
        </is>
      </c>
      <c r="C820" s="6" t="inlineStr">
        <is>
          <t>Speciális felépítmény alkatrészek</t>
        </is>
      </c>
      <c r="D820" s="6" t="inlineStr">
        <is>
          <t>Zárak</t>
        </is>
      </c>
      <c r="E820" s="6" t="inlineStr">
        <is>
          <t>Industrilas</t>
        </is>
      </c>
      <c r="F820" s="6" t="inlineStr">
        <is>
          <t>272063-68-S1</t>
        </is>
      </c>
      <c r="G820" s="6" t="inlineStr">
        <is>
          <t>Quadris Excel</t>
        </is>
      </c>
      <c r="H820" s="6" t="n">
        <v>1</v>
      </c>
      <c r="I820" s="6" t="n">
        <v>3</v>
      </c>
      <c r="J820" s="6" t="inlineStr">
        <is>
          <t>nincs</t>
        </is>
      </c>
      <c r="K820" s="6">
        <f>IF(AND(H820&gt;0,I820&gt;0),"Rendben",IF(AND(H820=0,I820=0),"Nincs kép és adat",IF(H820=0,"Nincs kép","Nincs adat")))</f>
        <v/>
      </c>
      <c r="L820" s="6" t="inlineStr">
        <is>
          <t>Igen</t>
        </is>
      </c>
      <c r="M820" s="7" t="inlineStr">
        <is>
          <t>industrilas.com kereső; Industrilås 68-S1 termékkép (Drive)</t>
        </is>
      </c>
      <c r="N820" s="7" t="inlineStr">
        <is>
          <t>Megtalálva: Industrilås 68-S1 (kód: 272063-68-S1)</t>
        </is>
      </c>
      <c r="O820" s="11" t="inlineStr">
        <is>
          <t>https://industrilas.com</t>
        </is>
      </c>
      <c r="P820" s="11" t="inlineStr">
        <is>
          <t>https://website-9ib.pages.dev/termek/615263-68-s1-t-karos-sully-zar-f/</t>
        </is>
      </c>
      <c r="Q820" s="12" t="inlineStr"/>
      <c r="R820" s="13" t="inlineStr"/>
      <c r="S820" s="6" t="inlineStr">
        <is>
          <t>615263-68-s1-t-karos-sully-zar-f</t>
        </is>
      </c>
    </row>
    <row r="821">
      <c r="A821" s="6" t="inlineStr">
        <is>
          <t>141722</t>
        </is>
      </c>
      <c r="B821" s="7" t="inlineStr">
        <is>
          <t>Acél keret 109/21/3/6500</t>
        </is>
      </c>
      <c r="C821" s="6" t="inlineStr">
        <is>
          <t>Acél profilok</t>
        </is>
      </c>
      <c r="D821" s="6" t="inlineStr">
        <is>
          <t>Acél keret</t>
        </is>
      </c>
      <c r="E821" s="6" t="inlineStr">
        <is>
          <t>Ital Accessori</t>
        </is>
      </c>
      <c r="F821" s="6" t="inlineStr">
        <is>
          <t>141722</t>
        </is>
      </c>
      <c r="G821" s="6" t="inlineStr">
        <is>
          <t>Quadris Excel</t>
        </is>
      </c>
      <c r="H821" s="6" t="n">
        <v>0</v>
      </c>
      <c r="I821" s="6" t="n">
        <v>0</v>
      </c>
      <c r="J821" s="6" t="inlineStr">
        <is>
          <t>nincs</t>
        </is>
      </c>
      <c r="K821" s="6">
        <f>IF(AND(H821&gt;0,I821&gt;0),"Rendben",IF(AND(H821=0,I821=0),"Nincs kép és adat",IF(H821=0,"Nincs kép","Nincs adat")))</f>
        <v/>
      </c>
      <c r="L821" s="6" t="inlineStr">
        <is>
          <t>Igen</t>
        </is>
      </c>
      <c r="M821" s="7" t="inlineStr">
        <is>
          <t>Ital Accessori teljes PDF katalógus (ital-accessori.sk)</t>
        </is>
      </c>
      <c r="N821" s="7" t="inlineStr">
        <is>
          <t>Nem találtuk: Ital Accessori teljes PDF katalógus (ital-accessori.sk)</t>
        </is>
      </c>
      <c r="O821" s="6" t="inlineStr"/>
      <c r="P821" s="11" t="inlineStr">
        <is>
          <t>https://website-9ib.pages.dev/termek/141722-acel-keret-109-21-3-6500/</t>
        </is>
      </c>
      <c r="Q821" s="12" t="inlineStr"/>
      <c r="R821" s="13" t="inlineStr"/>
      <c r="S821" s="6" t="inlineStr">
        <is>
          <t>141722-acel-keret-109-21-3-6500</t>
        </is>
      </c>
    </row>
    <row r="822">
      <c r="A822" s="6" t="inlineStr">
        <is>
          <t>141720</t>
        </is>
      </c>
      <c r="B822" s="7" t="inlineStr">
        <is>
          <t>Acél keret 112/24/3/6500</t>
        </is>
      </c>
      <c r="C822" s="6" t="inlineStr">
        <is>
          <t>Acél profilok</t>
        </is>
      </c>
      <c r="D822" s="6" t="inlineStr">
        <is>
          <t>Acél keret</t>
        </is>
      </c>
      <c r="E822" s="6" t="inlineStr">
        <is>
          <t>Ital Accessori</t>
        </is>
      </c>
      <c r="F822" s="6" t="inlineStr">
        <is>
          <t>141720</t>
        </is>
      </c>
      <c r="G822" s="6" t="inlineStr">
        <is>
          <t>Quadris Excel</t>
        </is>
      </c>
      <c r="H822" s="6" t="n">
        <v>0</v>
      </c>
      <c r="I822" s="6" t="n">
        <v>0</v>
      </c>
      <c r="J822" s="6" t="inlineStr">
        <is>
          <t>nincs</t>
        </is>
      </c>
      <c r="K822" s="6">
        <f>IF(AND(H822&gt;0,I822&gt;0),"Rendben",IF(AND(H822=0,I822=0),"Nincs kép és adat",IF(H822=0,"Nincs kép","Nincs adat")))</f>
        <v/>
      </c>
      <c r="L822" s="6" t="inlineStr">
        <is>
          <t>Igen</t>
        </is>
      </c>
      <c r="M822" s="7" t="inlineStr">
        <is>
          <t>Ital Accessori teljes PDF katalógus (ital-accessori.sk)</t>
        </is>
      </c>
      <c r="N822" s="7" t="inlineStr">
        <is>
          <t>Nem találtuk: Ital Accessori teljes PDF katalógus (ital-accessori.sk)</t>
        </is>
      </c>
      <c r="O822" s="6" t="inlineStr"/>
      <c r="P822" s="11" t="inlineStr">
        <is>
          <t>https://website-9ib.pages.dev/termek/141720-acel-keret-112-24-3-6500/</t>
        </is>
      </c>
      <c r="Q822" s="12" t="inlineStr"/>
      <c r="R822" s="13" t="inlineStr"/>
      <c r="S822" s="6" t="inlineStr">
        <is>
          <t>141720-acel-keret-112-24-3-6500</t>
        </is>
      </c>
    </row>
    <row r="823">
      <c r="A823" s="6" t="inlineStr"/>
      <c r="B823" s="7" t="inlineStr">
        <is>
          <t>Acél oldalfal 2 mm</t>
        </is>
      </c>
      <c r="C823" s="6" t="inlineStr">
        <is>
          <t>Acél profilok</t>
        </is>
      </c>
      <c r="D823" s="6" t="inlineStr">
        <is>
          <t>Acél oldalfalak</t>
        </is>
      </c>
      <c r="E823" s="6" t="inlineStr">
        <is>
          <t>Ital Accessori</t>
        </is>
      </c>
      <c r="F823" s="6" t="inlineStr">
        <is>
          <t>HVAKKT400</t>
        </is>
      </c>
      <c r="G823" s="6" t="inlineStr">
        <is>
          <t>Quadris Excel</t>
        </is>
      </c>
      <c r="H823" s="6" t="n">
        <v>1</v>
      </c>
      <c r="I823" s="6" t="n">
        <v>4</v>
      </c>
      <c r="J823" s="6" t="inlineStr">
        <is>
          <t>van</t>
        </is>
      </c>
      <c r="K823" s="6">
        <f>IF(AND(H823&gt;0,I823&gt;0),"Rendben",IF(AND(H823=0,I823=0),"Nincs kép és adat",IF(H823=0,"Nincs kép","Nincs adat")))</f>
        <v/>
      </c>
      <c r="L823" s="6" t="inlineStr">
        <is>
          <t>Igen</t>
        </is>
      </c>
      <c r="M823" s="7" t="inlineStr">
        <is>
          <t>Ital Accessori teljes PDF katalógus (ital-accessori.sk)</t>
        </is>
      </c>
      <c r="N823" s="7" t="inlineStr">
        <is>
          <t>Megtalálva: Ital Accessori katalógus 205. oldal (kód: HVAKKT400)</t>
        </is>
      </c>
      <c r="O823" s="11" t="inlineStr">
        <is>
          <t>https://www.ital-accessori.sk/katalog/book/KOMP/205/</t>
        </is>
      </c>
      <c r="P823" s="11" t="inlineStr">
        <is>
          <t>https://website-9ib.pages.dev/termek/acel-oldalfal-2-mm/</t>
        </is>
      </c>
      <c r="Q823" s="12" t="inlineStr"/>
      <c r="R823" s="13" t="inlineStr"/>
      <c r="S823" s="6" t="inlineStr">
        <is>
          <t>acel-oldalfal-2-mm</t>
        </is>
      </c>
    </row>
    <row r="824">
      <c r="A824" s="6" t="inlineStr"/>
      <c r="B824" s="7" t="inlineStr">
        <is>
          <t>Acél oldalfal 2 mm</t>
        </is>
      </c>
      <c r="C824" s="6" t="inlineStr">
        <is>
          <t>Acél profilok</t>
        </is>
      </c>
      <c r="D824" s="6" t="inlineStr">
        <is>
          <t>Acél oldalfalak</t>
        </is>
      </c>
      <c r="E824" s="6" t="inlineStr">
        <is>
          <t>Ital Accessori</t>
        </is>
      </c>
      <c r="F824" s="6" t="inlineStr">
        <is>
          <t>HVAKTT800</t>
        </is>
      </c>
      <c r="G824" s="6" t="inlineStr">
        <is>
          <t>Quadris Excel</t>
        </is>
      </c>
      <c r="H824" s="6" t="n">
        <v>1</v>
      </c>
      <c r="I824" s="6" t="n">
        <v>4</v>
      </c>
      <c r="J824" s="6" t="inlineStr">
        <is>
          <t>van</t>
        </is>
      </c>
      <c r="K824" s="6">
        <f>IF(AND(H824&gt;0,I824&gt;0),"Rendben",IF(AND(H824=0,I824=0),"Nincs kép és adat",IF(H824=0,"Nincs kép","Nincs adat")))</f>
        <v/>
      </c>
      <c r="L824" s="6" t="inlineStr">
        <is>
          <t>Igen</t>
        </is>
      </c>
      <c r="M824" s="7" t="inlineStr">
        <is>
          <t>Ital Accessori teljes PDF katalógus (ital-accessori.sk)</t>
        </is>
      </c>
      <c r="N824" s="7" t="inlineStr">
        <is>
          <t>Megtalálva: Ital Accessori katalógus 205. oldal (kód: HVAKTT800)</t>
        </is>
      </c>
      <c r="O824" s="11" t="inlineStr">
        <is>
          <t>https://www.ital-accessori.sk/katalog/book/KOMP/205/</t>
        </is>
      </c>
      <c r="P824" s="11" t="inlineStr">
        <is>
          <t>https://website-9ib.pages.dev/termek/acel-oldalfal-2-mm-2/</t>
        </is>
      </c>
      <c r="Q824" s="12" t="inlineStr"/>
      <c r="R824" s="13" t="inlineStr"/>
      <c r="S824" s="6" t="inlineStr">
        <is>
          <t>acel-oldalfal-2-mm-2</t>
        </is>
      </c>
    </row>
    <row r="825">
      <c r="A825" s="6" t="inlineStr"/>
      <c r="B825" s="7" t="inlineStr">
        <is>
          <t>Acél oldalfal 2 mm</t>
        </is>
      </c>
      <c r="C825" s="6" t="inlineStr">
        <is>
          <t>Acél profilok</t>
        </is>
      </c>
      <c r="D825" s="6" t="inlineStr">
        <is>
          <t>Acél oldalfalak</t>
        </is>
      </c>
      <c r="E825" s="6" t="inlineStr">
        <is>
          <t>Ital Accessori</t>
        </is>
      </c>
      <c r="F825" s="6" t="inlineStr">
        <is>
          <t>HVTT800</t>
        </is>
      </c>
      <c r="G825" s="6" t="inlineStr">
        <is>
          <t>Quadris Excel</t>
        </is>
      </c>
      <c r="H825" s="6" t="n">
        <v>1</v>
      </c>
      <c r="I825" s="6" t="n">
        <v>4</v>
      </c>
      <c r="J825" s="6" t="inlineStr">
        <is>
          <t>van</t>
        </is>
      </c>
      <c r="K825" s="6">
        <f>IF(AND(H825&gt;0,I825&gt;0),"Rendben",IF(AND(H825=0,I825=0),"Nincs kép és adat",IF(H825=0,"Nincs kép","Nincs adat")))</f>
        <v/>
      </c>
      <c r="L825" s="6" t="inlineStr">
        <is>
          <t>Igen</t>
        </is>
      </c>
      <c r="M825" s="7" t="inlineStr">
        <is>
          <t>Ital Accessori teljes PDF katalógus (ital-accessori.sk)</t>
        </is>
      </c>
      <c r="N825" s="7" t="inlineStr">
        <is>
          <t>Megtalálva: Ital Accessori katalógus 204. oldal (kód: HVTT800)</t>
        </is>
      </c>
      <c r="O825" s="11" t="inlineStr">
        <is>
          <t>https://www.ital-accessori.sk/katalog/book/KOMP/204/</t>
        </is>
      </c>
      <c r="P825" s="11" t="inlineStr">
        <is>
          <t>https://website-9ib.pages.dev/termek/acel-oldalfal-2-mm-3/</t>
        </is>
      </c>
      <c r="Q825" s="12" t="inlineStr"/>
      <c r="R825" s="13" t="inlineStr"/>
      <c r="S825" s="6" t="inlineStr">
        <is>
          <t>acel-oldalfal-2-mm-3</t>
        </is>
      </c>
    </row>
    <row r="826">
      <c r="A826" s="6" t="inlineStr"/>
      <c r="B826" s="7" t="inlineStr">
        <is>
          <t>HV400 Acél oldalfal 2 mm</t>
        </is>
      </c>
      <c r="C826" s="6" t="inlineStr">
        <is>
          <t>Acél profilok</t>
        </is>
      </c>
      <c r="D826" s="6" t="inlineStr">
        <is>
          <t>Lézerhegesztett acél oldalfalak</t>
        </is>
      </c>
      <c r="E826" s="6" t="inlineStr">
        <is>
          <t>Ital Accessori</t>
        </is>
      </c>
      <c r="F826" s="6" t="inlineStr">
        <is>
          <t>114050</t>
        </is>
      </c>
      <c r="G826" s="6" t="inlineStr">
        <is>
          <t>Quadris Excel</t>
        </is>
      </c>
      <c r="H826" s="6" t="n">
        <v>1</v>
      </c>
      <c r="I826" s="6" t="n">
        <v>4</v>
      </c>
      <c r="J826" s="6" t="inlineStr">
        <is>
          <t>van</t>
        </is>
      </c>
      <c r="K826" s="6">
        <f>IF(AND(H826&gt;0,I826&gt;0),"Rendben",IF(AND(H826=0,I826=0),"Nincs kép és adat",IF(H826=0,"Nincs kép","Nincs adat")))</f>
        <v/>
      </c>
      <c r="L826" s="6" t="inlineStr">
        <is>
          <t>Igen</t>
        </is>
      </c>
      <c r="M826" s="7" t="inlineStr">
        <is>
          <t>Ital Accessori teljes PDF katalógus (ital-accessori.sk)</t>
        </is>
      </c>
      <c r="N826" s="7" t="inlineStr">
        <is>
          <t>Megtalálva: Ital Accessori katalógus 204. oldal (kód: 114050)</t>
        </is>
      </c>
      <c r="O826" s="11" t="inlineStr">
        <is>
          <t>https://www.ital-accessori.sk/katalog/book/KOMP/204/</t>
        </is>
      </c>
      <c r="P826" s="11" t="inlineStr">
        <is>
          <t>https://website-9ib.pages.dev/termek/hv400-acel-oldalfal-2-mm/</t>
        </is>
      </c>
      <c r="Q826" s="12" t="inlineStr"/>
      <c r="R826" s="13" t="inlineStr"/>
      <c r="S826" s="6" t="inlineStr">
        <is>
          <t>hv400-acel-oldalfal-2-mm</t>
        </is>
      </c>
    </row>
    <row r="827">
      <c r="A827" s="6" t="inlineStr"/>
      <c r="B827" s="7" t="inlineStr">
        <is>
          <t>HV500 Acél oldalfal 2 mm</t>
        </is>
      </c>
      <c r="C827" s="6" t="inlineStr">
        <is>
          <t>Acél profilok</t>
        </is>
      </c>
      <c r="D827" s="6" t="inlineStr">
        <is>
          <t>Lézerhegesztett acél oldalfalak</t>
        </is>
      </c>
      <c r="E827" s="6" t="inlineStr">
        <is>
          <t>Ital Accessori</t>
        </is>
      </c>
      <c r="F827" s="6" t="inlineStr">
        <is>
          <t>115050</t>
        </is>
      </c>
      <c r="G827" s="6" t="inlineStr">
        <is>
          <t>Quadris Excel</t>
        </is>
      </c>
      <c r="H827" s="6" t="n">
        <v>1</v>
      </c>
      <c r="I827" s="6" t="n">
        <v>4</v>
      </c>
      <c r="J827" s="6" t="inlineStr">
        <is>
          <t>van</t>
        </is>
      </c>
      <c r="K827" s="6">
        <f>IF(AND(H827&gt;0,I827&gt;0),"Rendben",IF(AND(H827=0,I827=0),"Nincs kép és adat",IF(H827=0,"Nincs kép","Nincs adat")))</f>
        <v/>
      </c>
      <c r="L827" s="6" t="inlineStr">
        <is>
          <t>Igen</t>
        </is>
      </c>
      <c r="M827" s="7" t="inlineStr">
        <is>
          <t>Ital Accessori teljes PDF katalógus (ital-accessori.sk)</t>
        </is>
      </c>
      <c r="N827" s="7" t="inlineStr">
        <is>
          <t>Megtalálva: Ital Accessori katalógus 204. oldal (kód: 115050)</t>
        </is>
      </c>
      <c r="O827" s="11" t="inlineStr">
        <is>
          <t>https://www.ital-accessori.sk/katalog/book/KOMP/204/</t>
        </is>
      </c>
      <c r="P827" s="11" t="inlineStr">
        <is>
          <t>https://website-9ib.pages.dev/termek/hv500-acel-oldalfal-2-mm/</t>
        </is>
      </c>
      <c r="Q827" s="12" t="inlineStr"/>
      <c r="R827" s="13" t="inlineStr"/>
      <c r="S827" s="6" t="inlineStr">
        <is>
          <t>hv500-acel-oldalfal-2-mm</t>
        </is>
      </c>
    </row>
    <row r="828">
      <c r="A828" s="6" t="inlineStr"/>
      <c r="B828" s="7" t="inlineStr">
        <is>
          <t>HV600 Acél oldalfal 2 mm</t>
        </is>
      </c>
      <c r="C828" s="6" t="inlineStr">
        <is>
          <t>Acél profilok</t>
        </is>
      </c>
      <c r="D828" s="6" t="inlineStr">
        <is>
          <t>Lézerhegesztett acél oldalfalak</t>
        </is>
      </c>
      <c r="E828" s="6" t="inlineStr">
        <is>
          <t>Ital Accessori</t>
        </is>
      </c>
      <c r="F828" s="6" t="inlineStr">
        <is>
          <t>116050</t>
        </is>
      </c>
      <c r="G828" s="6" t="inlineStr">
        <is>
          <t>Quadris Excel</t>
        </is>
      </c>
      <c r="H828" s="6" t="n">
        <v>1</v>
      </c>
      <c r="I828" s="6" t="n">
        <v>4</v>
      </c>
      <c r="J828" s="6" t="inlineStr">
        <is>
          <t>van</t>
        </is>
      </c>
      <c r="K828" s="6">
        <f>IF(AND(H828&gt;0,I828&gt;0),"Rendben",IF(AND(H828=0,I828=0),"Nincs kép és adat",IF(H828=0,"Nincs kép","Nincs adat")))</f>
        <v/>
      </c>
      <c r="L828" s="6" t="inlineStr">
        <is>
          <t>Igen</t>
        </is>
      </c>
      <c r="M828" s="7" t="inlineStr">
        <is>
          <t>Ital Accessori teljes PDF katalógus (ital-accessori.sk)</t>
        </is>
      </c>
      <c r="N828" s="7" t="inlineStr">
        <is>
          <t>Megtalálva: Ital Accessori katalógus 204. oldal (kód: 116050)</t>
        </is>
      </c>
      <c r="O828" s="11" t="inlineStr">
        <is>
          <t>https://www.ital-accessori.sk/katalog/book/KOMP/204/</t>
        </is>
      </c>
      <c r="P828" s="11" t="inlineStr">
        <is>
          <t>https://website-9ib.pages.dev/termek/hv600-acel-oldalfal-2-mm/</t>
        </is>
      </c>
      <c r="Q828" s="12" t="inlineStr"/>
      <c r="R828" s="13" t="inlineStr"/>
      <c r="S828" s="6" t="inlineStr">
        <is>
          <t>hv600-acel-oldalfal-2-mm</t>
        </is>
      </c>
    </row>
    <row r="829">
      <c r="A829" s="6" t="inlineStr"/>
      <c r="B829" s="7" t="inlineStr">
        <is>
          <t>HVAK600 Acél oldalfal 2 mm</t>
        </is>
      </c>
      <c r="C829" s="6" t="inlineStr">
        <is>
          <t>Acél profilok</t>
        </is>
      </c>
      <c r="D829" s="6" t="inlineStr">
        <is>
          <t>Lézerhegesztett acél oldalfalak</t>
        </is>
      </c>
      <c r="E829" s="6" t="inlineStr">
        <is>
          <t>Ital Accessori</t>
        </is>
      </c>
      <c r="F829" s="6" t="inlineStr">
        <is>
          <t>116260</t>
        </is>
      </c>
      <c r="G829" s="6" t="inlineStr">
        <is>
          <t>Quadris Excel</t>
        </is>
      </c>
      <c r="H829" s="6" t="n">
        <v>1</v>
      </c>
      <c r="I829" s="6" t="n">
        <v>4</v>
      </c>
      <c r="J829" s="6" t="inlineStr">
        <is>
          <t>van</t>
        </is>
      </c>
      <c r="K829" s="6">
        <f>IF(AND(H829&gt;0,I829&gt;0),"Rendben",IF(AND(H829=0,I829=0),"Nincs kép és adat",IF(H829=0,"Nincs kép","Nincs adat")))</f>
        <v/>
      </c>
      <c r="L829" s="6" t="inlineStr">
        <is>
          <t>Igen</t>
        </is>
      </c>
      <c r="M829" s="7" t="inlineStr">
        <is>
          <t>Ital Accessori teljes PDF katalógus (ital-accessori.sk)</t>
        </is>
      </c>
      <c r="N829" s="7" t="inlineStr">
        <is>
          <t>Megtalálva: Ital Accessori katalógus 205. oldal (kód: 116260)</t>
        </is>
      </c>
      <c r="O829" s="11" t="inlineStr">
        <is>
          <t>https://www.ital-accessori.sk/katalog/book/KOMP/205/</t>
        </is>
      </c>
      <c r="P829" s="11" t="inlineStr">
        <is>
          <t>https://website-9ib.pages.dev/termek/hvak600-acel-oldalfal-2-mm/</t>
        </is>
      </c>
      <c r="Q829" s="12" t="inlineStr"/>
      <c r="R829" s="13" t="inlineStr"/>
      <c r="S829" s="6" t="inlineStr">
        <is>
          <t>hvak600-acel-oldalfal-2-mm</t>
        </is>
      </c>
    </row>
    <row r="830">
      <c r="A830" s="6" t="inlineStr">
        <is>
          <t>357272</t>
        </is>
      </c>
      <c r="B830" s="7" t="inlineStr">
        <is>
          <t>KG szegő tömítés</t>
        </is>
      </c>
      <c r="C830" s="6" t="inlineStr">
        <is>
          <t>Acél és alu rakoncák és szegők</t>
        </is>
      </c>
      <c r="D830" s="6" t="inlineStr">
        <is>
          <t>Alumínium rakoncák</t>
        </is>
      </c>
      <c r="E830" s="6" t="inlineStr">
        <is>
          <t>Ital Accessori</t>
        </is>
      </c>
      <c r="F830" s="6" t="inlineStr">
        <is>
          <t>117000</t>
        </is>
      </c>
      <c r="G830" s="6" t="inlineStr">
        <is>
          <t>Quadris Excel</t>
        </is>
      </c>
      <c r="H830" s="6" t="n">
        <v>1</v>
      </c>
      <c r="I830" s="6" t="n">
        <v>3</v>
      </c>
      <c r="J830" s="6" t="inlineStr">
        <is>
          <t>nincs</t>
        </is>
      </c>
      <c r="K830" s="6">
        <f>IF(AND(H830&gt;0,I830&gt;0),"Rendben",IF(AND(H830=0,I830=0),"Nincs kép és adat",IF(H830=0,"Nincs kép","Nincs adat")))</f>
        <v/>
      </c>
      <c r="L830" s="6" t="inlineStr">
        <is>
          <t>Igen</t>
        </is>
      </c>
      <c r="M830" s="7" t="inlineStr">
        <is>
          <t>Ital Accessori teljes PDF katalógus (ital-accessori.sk)</t>
        </is>
      </c>
      <c r="N830" s="7" t="inlineStr">
        <is>
          <t>Megtalálva: GT gumové tesnenie do lemovacieho profilu GT rubber sealing to edging profile (kód: 117000)</t>
        </is>
      </c>
      <c r="O830" s="11" t="inlineStr">
        <is>
          <t>https://www.ital-accessori.sk/katalog/book/KOMP/41/</t>
        </is>
      </c>
      <c r="P830" s="11" t="inlineStr">
        <is>
          <t>https://website-9ib.pages.dev/termek/357272-kg-szego-tomites/</t>
        </is>
      </c>
      <c r="Q830" s="12" t="inlineStr"/>
      <c r="R830" s="13" t="inlineStr"/>
      <c r="S830" s="6" t="inlineStr">
        <is>
          <t>357272-kg-szego-tomites</t>
        </is>
      </c>
    </row>
    <row r="831">
      <c r="A831" s="6" t="inlineStr">
        <is>
          <t>351336</t>
        </is>
      </c>
      <c r="B831" s="7" t="inlineStr">
        <is>
          <t>MX rakoncaszegőprofil elox</t>
        </is>
      </c>
      <c r="C831" s="6" t="inlineStr">
        <is>
          <t>Acél és alu rakoncák és szegők</t>
        </is>
      </c>
      <c r="D831" s="6" t="inlineStr">
        <is>
          <t>Alumínium rakoncák</t>
        </is>
      </c>
      <c r="E831" s="6" t="inlineStr">
        <is>
          <t>Ital Accessori</t>
        </is>
      </c>
      <c r="F831" s="6" t="inlineStr">
        <is>
          <t>13367</t>
        </is>
      </c>
      <c r="G831" s="6" t="inlineStr">
        <is>
          <t>Quadris Excel</t>
        </is>
      </c>
      <c r="H831" s="6" t="n">
        <v>0</v>
      </c>
      <c r="I831" s="6" t="n">
        <v>0</v>
      </c>
      <c r="J831" s="6" t="inlineStr">
        <is>
          <t>nincs</t>
        </is>
      </c>
      <c r="K831" s="6">
        <f>IF(AND(H831&gt;0,I831&gt;0),"Rendben",IF(AND(H831=0,I831=0),"Nincs kép és adat",IF(H831=0,"Nincs kép","Nincs adat")))</f>
        <v/>
      </c>
      <c r="L831" s="6" t="inlineStr">
        <is>
          <t>Igen</t>
        </is>
      </c>
      <c r="M831" s="7" t="inlineStr">
        <is>
          <t>Ital Accessori teljes PDF katalógus (ital-accessori.sk)</t>
        </is>
      </c>
      <c r="N831" s="7" t="inlineStr">
        <is>
          <t>Nem találtuk: Ital Accessori teljes PDF katalógus (ital-accessori.sk)</t>
        </is>
      </c>
      <c r="O831" s="6" t="inlineStr"/>
      <c r="P831" s="11" t="inlineStr">
        <is>
          <t>https://website-9ib.pages.dev/termek/351336-mx-rakoncaszegoprofil-elox/</t>
        </is>
      </c>
      <c r="Q831" s="12" t="inlineStr"/>
      <c r="R831" s="13" t="inlineStr"/>
      <c r="S831" s="6" t="inlineStr">
        <is>
          <t>351336-mx-rakoncaszegoprofil-elox</t>
        </is>
      </c>
    </row>
    <row r="832">
      <c r="A832" s="6" t="inlineStr">
        <is>
          <t>140997</t>
        </is>
      </c>
      <c r="B832" s="7" t="inlineStr">
        <is>
          <t>- 60 mm-es gömbcsukló készlet</t>
        </is>
      </c>
      <c r="C832" s="6" t="inlineStr">
        <is>
          <t>Billencs alkatrészek</t>
        </is>
      </c>
      <c r="D832" s="6" t="inlineStr">
        <is>
          <t>Billencs alkatrészek</t>
        </is>
      </c>
      <c r="E832" s="6" t="inlineStr">
        <is>
          <t>Ital Accessori</t>
        </is>
      </c>
      <c r="F832" s="6" t="inlineStr">
        <is>
          <t>320997/31/32/33/30/</t>
        </is>
      </c>
      <c r="G832" s="6" t="inlineStr">
        <is>
          <t>Quadris Excel</t>
        </is>
      </c>
      <c r="H832" s="6" t="n">
        <v>1</v>
      </c>
      <c r="I832" s="6" t="n">
        <v>3</v>
      </c>
      <c r="J832" s="6" t="inlineStr">
        <is>
          <t>nincs</t>
        </is>
      </c>
      <c r="K832" s="6">
        <f>IF(AND(H832&gt;0,I832&gt;0),"Rendben",IF(AND(H832=0,I832=0),"Nincs kép és adat",IF(H832=0,"Nincs kép","Nincs adat")))</f>
        <v/>
      </c>
      <c r="L832" s="6" t="inlineStr">
        <is>
          <t>Igen</t>
        </is>
      </c>
      <c r="M832" s="7" t="inlineStr">
        <is>
          <t>Ital Accessori teljes PDF katalógus (ital-accessori.sk)</t>
        </is>
      </c>
      <c r="N832" s="7" t="inlineStr">
        <is>
          <t>Megtalálva: Guľový čap Ø 60 mm Ball Ø 60 mm (kód: 320997)</t>
        </is>
      </c>
      <c r="O832" s="11" t="inlineStr">
        <is>
          <t>https://www.ital-accessori.sk/katalog/book/KOMP/223/</t>
        </is>
      </c>
      <c r="P832" s="11" t="inlineStr">
        <is>
          <t>https://website-9ib.pages.dev/termek/140997-60-mm-es-gombcsuklo-keszlet/</t>
        </is>
      </c>
      <c r="Q832" s="12" t="inlineStr"/>
      <c r="R832" s="13" t="inlineStr"/>
      <c r="S832" s="6" t="inlineStr">
        <is>
          <t>140997-60-mm-es-gombcsuklo-keszlet</t>
        </is>
      </c>
    </row>
    <row r="833">
      <c r="A833" s="6" t="inlineStr">
        <is>
          <t>140920</t>
        </is>
      </c>
      <c r="B833" s="7" t="inlineStr">
        <is>
          <t>- 80 mm-es gömbcsukló készlet</t>
        </is>
      </c>
      <c r="C833" s="6" t="inlineStr">
        <is>
          <t>Billencs alkatrészek</t>
        </is>
      </c>
      <c r="D833" s="6" t="inlineStr">
        <is>
          <t>Billencs alkatrészek</t>
        </is>
      </c>
      <c r="E833" s="6" t="inlineStr">
        <is>
          <t>Ital Accessori</t>
        </is>
      </c>
      <c r="F833" s="6" t="inlineStr">
        <is>
          <t>320920/21/22/23/24/</t>
        </is>
      </c>
      <c r="G833" s="6" t="inlineStr">
        <is>
          <t>Quadris Excel</t>
        </is>
      </c>
      <c r="H833" s="6" t="n">
        <v>1</v>
      </c>
      <c r="I833" s="6" t="n">
        <v>9</v>
      </c>
      <c r="J833" s="6" t="inlineStr">
        <is>
          <t>nincs</t>
        </is>
      </c>
      <c r="K833" s="6">
        <f>IF(AND(H833&gt;0,I833&gt;0),"Rendben",IF(AND(H833=0,I833=0),"Nincs kép és adat",IF(H833=0,"Nincs kép","Nincs adat")))</f>
        <v/>
      </c>
      <c r="L833" s="6" t="inlineStr">
        <is>
          <t>Igen</t>
        </is>
      </c>
      <c r="M833" s="7" t="inlineStr">
        <is>
          <t>Ital Accessori teljes PDF katalógus (ital-accessori.sk)</t>
        </is>
      </c>
      <c r="N833" s="7" t="inlineStr">
        <is>
          <t>Megtalálva: Guľový čap - "séria 3000" Ball - "series 3000" (kód: 320920)</t>
        </is>
      </c>
      <c r="O833" s="11" t="inlineStr">
        <is>
          <t>https://www.ital-accessori.sk/katalog/book/KOMP/236/</t>
        </is>
      </c>
      <c r="P833" s="11" t="inlineStr">
        <is>
          <t>https://website-9ib.pages.dev/termek/140920-80-mm-es-gombcsuklo-keszlet/</t>
        </is>
      </c>
      <c r="Q833" s="12" t="inlineStr"/>
      <c r="R833" s="13" t="inlineStr"/>
      <c r="S833" s="6" t="inlineStr">
        <is>
          <t>140920-80-mm-es-gombcsuklo-keszlet</t>
        </is>
      </c>
    </row>
    <row r="834">
      <c r="A834" s="6" t="inlineStr">
        <is>
          <t>515006</t>
        </is>
      </c>
      <c r="B834" s="7" t="inlineStr">
        <is>
          <t>22t munkahenger</t>
        </is>
      </c>
      <c r="C834" s="6" t="inlineStr">
        <is>
          <t>Billencs alkatrészek</t>
        </is>
      </c>
      <c r="D834" s="6" t="inlineStr">
        <is>
          <t>Billencs alkatrészek</t>
        </is>
      </c>
      <c r="E834" s="6" t="inlineStr">
        <is>
          <t>Ital Accessori</t>
        </is>
      </c>
      <c r="F834" s="6" t="inlineStr">
        <is>
          <t>515006</t>
        </is>
      </c>
      <c r="G834" s="6" t="inlineStr">
        <is>
          <t>Quadris Excel</t>
        </is>
      </c>
      <c r="H834" s="6" t="n">
        <v>1</v>
      </c>
      <c r="I834" s="6" t="n">
        <v>6</v>
      </c>
      <c r="J834" s="6" t="inlineStr">
        <is>
          <t>nincs</t>
        </is>
      </c>
      <c r="K834" s="6">
        <f>IF(AND(H834&gt;0,I834&gt;0),"Rendben",IF(AND(H834=0,I834=0),"Nincs kép és adat",IF(H834=0,"Nincs kép","Nincs adat")))</f>
        <v/>
      </c>
      <c r="L834" s="6" t="inlineStr">
        <is>
          <t>Igen</t>
        </is>
      </c>
      <c r="M834" s="7" t="inlineStr">
        <is>
          <t>Ital Accessori teljes PDF katalógus (ital-accessori.sk)</t>
        </is>
      </c>
      <c r="N834" s="7" t="inlineStr">
        <is>
          <t>Megtalálva: Celková nosnosť 22 ton pri 180 bar Total weight tip-up 22 ton. 180 bar (kód: 515006)</t>
        </is>
      </c>
      <c r="O834" s="11" t="inlineStr">
        <is>
          <t>https://www.ital-accessori.sk/katalog/book/KOMP/352/</t>
        </is>
      </c>
      <c r="P834" s="11" t="inlineStr">
        <is>
          <t>https://website-9ib.pages.dev/termek/515006-22t-munkahenger/</t>
        </is>
      </c>
      <c r="Q834" s="12" t="inlineStr"/>
      <c r="R834" s="13" t="inlineStr"/>
      <c r="S834" s="6" t="inlineStr">
        <is>
          <t>515006-22t-munkahenger</t>
        </is>
      </c>
    </row>
    <row r="835">
      <c r="A835" s="6" t="inlineStr">
        <is>
          <t>518009</t>
        </is>
      </c>
      <c r="B835" s="7" t="inlineStr">
        <is>
          <t>25t munkahenger</t>
        </is>
      </c>
      <c r="C835" s="6" t="inlineStr">
        <is>
          <t>Billencs alkatrészek</t>
        </is>
      </c>
      <c r="D835" s="6" t="inlineStr">
        <is>
          <t>Billencs alkatrészek</t>
        </is>
      </c>
      <c r="E835" s="6" t="inlineStr">
        <is>
          <t>Ital Accessori</t>
        </is>
      </c>
      <c r="F835" s="6" t="inlineStr">
        <is>
          <t>518009</t>
        </is>
      </c>
      <c r="G835" s="6" t="inlineStr">
        <is>
          <t>Quadris Excel</t>
        </is>
      </c>
      <c r="H835" s="6" t="n">
        <v>1</v>
      </c>
      <c r="I835" s="6" t="n">
        <v>7</v>
      </c>
      <c r="J835" s="6" t="inlineStr">
        <is>
          <t>nincs</t>
        </is>
      </c>
      <c r="K835" s="6">
        <f>IF(AND(H835&gt;0,I835&gt;0),"Rendben",IF(AND(H835=0,I835=0),"Nincs kép és adat",IF(H835=0,"Nincs kép","Nincs adat")))</f>
        <v/>
      </c>
      <c r="L835" s="6" t="inlineStr">
        <is>
          <t>Igen</t>
        </is>
      </c>
      <c r="M835" s="7" t="inlineStr">
        <is>
          <t>Ital Accessori teljes PDF katalógus (ital-accessori.sk)</t>
        </is>
      </c>
      <c r="N835" s="7" t="inlineStr">
        <is>
          <t>Megtalálva: Celková nosnosť 25 ton pri 180 bar Total weight tip-up 25 ton. 180 bar (kód: 518009)</t>
        </is>
      </c>
      <c r="O835" s="11" t="inlineStr">
        <is>
          <t>https://www.ital-accessori.sk/katalog/book/KOMP/372/</t>
        </is>
      </c>
      <c r="P835" s="11" t="inlineStr">
        <is>
          <t>https://website-9ib.pages.dev/termek/518009-25t-munkahenger/</t>
        </is>
      </c>
      <c r="Q835" s="12" t="inlineStr"/>
      <c r="R835" s="13" t="inlineStr"/>
      <c r="S835" s="6" t="inlineStr">
        <is>
          <t>518009-25t-munkahenger</t>
        </is>
      </c>
    </row>
    <row r="836">
      <c r="A836" s="6" t="inlineStr">
        <is>
          <t>770372</t>
        </is>
      </c>
      <c r="B836" s="7" t="inlineStr">
        <is>
          <t>Bil. 150CE Vezérlő 220bar</t>
        </is>
      </c>
      <c r="C836" s="6" t="inlineStr">
        <is>
          <t>Billencs alkatrészek</t>
        </is>
      </c>
      <c r="D836" s="6" t="inlineStr">
        <is>
          <t>Billencs alkatrészek</t>
        </is>
      </c>
      <c r="E836" s="6" t="inlineStr">
        <is>
          <t>Ital Accessori</t>
        </is>
      </c>
      <c r="F836" s="6" t="inlineStr">
        <is>
          <t>770372</t>
        </is>
      </c>
      <c r="G836" s="6" t="inlineStr">
        <is>
          <t>Quadris Excel</t>
        </is>
      </c>
      <c r="H836" s="6" t="n">
        <v>1</v>
      </c>
      <c r="I836" s="6" t="n">
        <v>5</v>
      </c>
      <c r="J836" s="6" t="inlineStr">
        <is>
          <t>nincs</t>
        </is>
      </c>
      <c r="K836" s="6">
        <f>IF(AND(H836&gt;0,I836&gt;0),"Rendben",IF(AND(H836=0,I836=0),"Nincs kép és adat",IF(H836=0,"Nincs kép","Nincs adat")))</f>
        <v/>
      </c>
      <c r="L836" s="6" t="inlineStr">
        <is>
          <t>Igen</t>
        </is>
      </c>
      <c r="M836" s="7" t="inlineStr">
        <is>
          <t>Ital Accessori teljes PDF katalógus (ital-accessori.sk)</t>
        </is>
      </c>
      <c r="N836" s="7" t="inlineStr">
        <is>
          <t>Megtalálva: Hydraulický ventil MODULAR 150 "DIRECT A.L." s pneumatickým ovládaním s bočným uchytením MODULAR 150 "DIRECT A.L." pneumatic proportional tipping valve side ports (kód: 770372)</t>
        </is>
      </c>
      <c r="O836" s="11" t="inlineStr">
        <is>
          <t>https://www.ital-accessori.sk/katalog/book/KOMP/428/</t>
        </is>
      </c>
      <c r="P836" s="11" t="inlineStr">
        <is>
          <t>https://website-9ib.pages.dev/termek/770372-bil-150ce-vezerlo-220bar/</t>
        </is>
      </c>
      <c r="Q836" s="12" t="inlineStr"/>
      <c r="R836" s="13" t="inlineStr"/>
      <c r="S836" s="6" t="inlineStr">
        <is>
          <t>770372-bil-150ce-vezerlo-220bar</t>
        </is>
      </c>
    </row>
    <row r="837">
      <c r="A837" s="6" t="inlineStr">
        <is>
          <t>351775</t>
        </is>
      </c>
      <c r="B837" s="7" t="inlineStr">
        <is>
          <t>Bill. Rakonca csap</t>
        </is>
      </c>
      <c r="C837" s="6" t="inlineStr">
        <is>
          <t>Billencs alkatrészek</t>
        </is>
      </c>
      <c r="D837" s="6" t="inlineStr">
        <is>
          <t>Billencs rakoncák</t>
        </is>
      </c>
      <c r="E837" s="6" t="inlineStr">
        <is>
          <t>Ital Accessori</t>
        </is>
      </c>
      <c r="F837" s="6" t="inlineStr">
        <is>
          <t>320075</t>
        </is>
      </c>
      <c r="G837" s="6" t="inlineStr">
        <is>
          <t>Quadris Excel</t>
        </is>
      </c>
      <c r="H837" s="6" t="n">
        <v>1</v>
      </c>
      <c r="I837" s="6" t="n">
        <v>3</v>
      </c>
      <c r="J837" s="6" t="inlineStr">
        <is>
          <t>nincs</t>
        </is>
      </c>
      <c r="K837" s="6">
        <f>IF(AND(H837&gt;0,I837&gt;0),"Rendben",IF(AND(H837=0,I837=0),"Nincs kép és adat",IF(H837=0,"Nincs kép","Nincs adat")))</f>
        <v/>
      </c>
      <c r="L837" s="6" t="inlineStr">
        <is>
          <t>Igen</t>
        </is>
      </c>
      <c r="M837" s="7" t="inlineStr">
        <is>
          <t>Ital Accessori teljes PDF katalógus (ital-accessori.sk)</t>
        </is>
      </c>
      <c r="N837" s="7" t="inlineStr">
        <is>
          <t>Megtalálva: Oceľový čap 109 mm pre nastaviteľný uzáver 109 mm steel pin for adjustable lock (kód: 320075)</t>
        </is>
      </c>
      <c r="O837" s="11" t="inlineStr">
        <is>
          <t>https://www.ital-accessori.sk/katalog/book/KOMP/298/</t>
        </is>
      </c>
      <c r="P837" s="11" t="inlineStr">
        <is>
          <t>https://website-9ib.pages.dev/termek/351775-bill-rakonca-csap/</t>
        </is>
      </c>
      <c r="Q837" s="12" t="inlineStr"/>
      <c r="R837" s="13" t="inlineStr"/>
      <c r="S837" s="6" t="inlineStr">
        <is>
          <t>351775-bill-rakonca-csap</t>
        </is>
      </c>
    </row>
    <row r="838">
      <c r="A838" s="6" t="inlineStr">
        <is>
          <t>3510460</t>
        </is>
      </c>
      <c r="B838" s="7" t="inlineStr">
        <is>
          <t>Bill. Rakonca csap SP.41 horg</t>
        </is>
      </c>
      <c r="C838" s="6" t="inlineStr">
        <is>
          <t>Billencs alkatrészek</t>
        </is>
      </c>
      <c r="D838" s="6" t="inlineStr">
        <is>
          <t>Billencs rakoncák</t>
        </is>
      </c>
      <c r="E838" s="6" t="inlineStr">
        <is>
          <t>Ital Accessori</t>
        </is>
      </c>
      <c r="F838" s="6" t="inlineStr">
        <is>
          <t>H010460</t>
        </is>
      </c>
      <c r="G838" s="6" t="inlineStr">
        <is>
          <t>Quadris Excel</t>
        </is>
      </c>
      <c r="H838" s="6" t="n">
        <v>0</v>
      </c>
      <c r="I838" s="6" t="n">
        <v>0</v>
      </c>
      <c r="J838" s="6" t="inlineStr">
        <is>
          <t>nincs</t>
        </is>
      </c>
      <c r="K838" s="6">
        <f>IF(AND(H838&gt;0,I838&gt;0),"Rendben",IF(AND(H838=0,I838=0),"Nincs kép és adat",IF(H838=0,"Nincs kép","Nincs adat")))</f>
        <v/>
      </c>
      <c r="L838" s="6" t="inlineStr">
        <is>
          <t>Igen</t>
        </is>
      </c>
      <c r="M838" s="7" t="inlineStr">
        <is>
          <t>Ital Accessori teljes PDF katalógus (ital-accessori.sk)</t>
        </is>
      </c>
      <c r="N838" s="7" t="inlineStr">
        <is>
          <t>Nem találtuk: Ital Accessori teljes PDF katalógus (ital-accessori.sk)</t>
        </is>
      </c>
      <c r="O838" s="6" t="inlineStr"/>
      <c r="P838" s="11" t="inlineStr">
        <is>
          <t>https://website-9ib.pages.dev/termek/3510460-bill-rakonca-csap-sp-41-horg/</t>
        </is>
      </c>
      <c r="Q838" s="12" t="inlineStr"/>
      <c r="R838" s="13" t="inlineStr"/>
      <c r="S838" s="6" t="inlineStr">
        <is>
          <t>3510460-bill-rakonca-csap-sp-41-horg</t>
        </is>
      </c>
    </row>
    <row r="839">
      <c r="A839" s="6" t="inlineStr">
        <is>
          <t>351372</t>
        </is>
      </c>
      <c r="B839" s="7" t="inlineStr">
        <is>
          <t>Bill. első rakonca 805x40 R/L</t>
        </is>
      </c>
      <c r="C839" s="6" t="inlineStr">
        <is>
          <t>Billencs alkatrészek</t>
        </is>
      </c>
      <c r="D839" s="6" t="inlineStr">
        <is>
          <t>Billencs rakoncák</t>
        </is>
      </c>
      <c r="E839" s="6" t="inlineStr">
        <is>
          <t>Ital Accessori</t>
        </is>
      </c>
      <c r="F839" s="6" t="inlineStr">
        <is>
          <t>321372/73</t>
        </is>
      </c>
      <c r="G839" s="6" t="inlineStr">
        <is>
          <t>Quadris Excel</t>
        </is>
      </c>
      <c r="H839" s="6" t="n">
        <v>0</v>
      </c>
      <c r="I839" s="6" t="n">
        <v>0</v>
      </c>
      <c r="J839" s="6" t="inlineStr">
        <is>
          <t>nincs</t>
        </is>
      </c>
      <c r="K839" s="6">
        <f>IF(AND(H839&gt;0,I839&gt;0),"Rendben",IF(AND(H839=0,I839=0),"Nincs kép és adat",IF(H839=0,"Nincs kép","Nincs adat")))</f>
        <v/>
      </c>
      <c r="L839" s="6" t="inlineStr">
        <is>
          <t>Igen</t>
        </is>
      </c>
      <c r="M839" s="7" t="inlineStr">
        <is>
          <t>Ital Accessori teljes PDF katalógus (ital-accessori.sk)</t>
        </is>
      </c>
      <c r="N839" s="7" t="inlineStr">
        <is>
          <t>Nem találtuk: Ital Accessori teljes PDF katalógus (ital-accessori.sk)</t>
        </is>
      </c>
      <c r="O839" s="6" t="inlineStr"/>
      <c r="P839" s="11" t="inlineStr">
        <is>
          <t>https://website-9ib.pages.dev/termek/351372-bill-elso-rakonca-805x40-r-l/</t>
        </is>
      </c>
      <c r="Q839" s="12" t="inlineStr"/>
      <c r="R839" s="13" t="inlineStr"/>
      <c r="S839" s="6" t="inlineStr">
        <is>
          <t>351372-bill-elso-rakonca-805x40-r-l</t>
        </is>
      </c>
    </row>
    <row r="840">
      <c r="A840" s="6" t="inlineStr">
        <is>
          <t>351375</t>
        </is>
      </c>
      <c r="B840" s="7" t="inlineStr">
        <is>
          <t>Bill. hátsó rakonca 805x40 +zseb R/L</t>
        </is>
      </c>
      <c r="C840" s="6" t="inlineStr">
        <is>
          <t>Billencs alkatrészek</t>
        </is>
      </c>
      <c r="D840" s="6" t="inlineStr">
        <is>
          <t>Billencs rakoncák</t>
        </is>
      </c>
      <c r="E840" s="6" t="inlineStr">
        <is>
          <t>Ital Accessori</t>
        </is>
      </c>
      <c r="F840" s="6" t="inlineStr">
        <is>
          <t>321375/76/321644</t>
        </is>
      </c>
      <c r="G840" s="6" t="inlineStr">
        <is>
          <t>Quadris Excel</t>
        </is>
      </c>
      <c r="H840" s="6" t="n">
        <v>0</v>
      </c>
      <c r="I840" s="6" t="n">
        <v>0</v>
      </c>
      <c r="J840" s="6" t="inlineStr">
        <is>
          <t>nincs</t>
        </is>
      </c>
      <c r="K840" s="6">
        <f>IF(AND(H840&gt;0,I840&gt;0),"Rendben",IF(AND(H840=0,I840=0),"Nincs kép és adat",IF(H840=0,"Nincs kép","Nincs adat")))</f>
        <v/>
      </c>
      <c r="L840" s="6" t="inlineStr">
        <is>
          <t>Igen</t>
        </is>
      </c>
      <c r="M840" s="7" t="inlineStr">
        <is>
          <t>Ital Accessori teljes PDF katalógus (ital-accessori.sk)</t>
        </is>
      </c>
      <c r="N840" s="7" t="inlineStr">
        <is>
          <t>Nem találtuk: Ital Accessori teljes PDF katalógus (ital-accessori.sk)</t>
        </is>
      </c>
      <c r="O840" s="6" t="inlineStr"/>
      <c r="P840" s="11" t="inlineStr">
        <is>
          <t>https://website-9ib.pages.dev/termek/351375-bill-hatso-rakonca-805x40-zseb-r-l/</t>
        </is>
      </c>
      <c r="Q840" s="12" t="inlineStr"/>
      <c r="R840" s="13" t="inlineStr"/>
      <c r="S840" s="6" t="inlineStr">
        <is>
          <t>351375-bill-hatso-rakonca-805x40-zseb-r-l</t>
        </is>
      </c>
    </row>
    <row r="841">
      <c r="A841" s="6" t="inlineStr">
        <is>
          <t>351374</t>
        </is>
      </c>
      <c r="B841" s="7" t="inlineStr">
        <is>
          <t>Bill. középső rakonca 805x40 +zseb</t>
        </is>
      </c>
      <c r="C841" s="6" t="inlineStr">
        <is>
          <t>Billencs alkatrészek</t>
        </is>
      </c>
      <c r="D841" s="6" t="inlineStr">
        <is>
          <t>Billencs rakoncák</t>
        </is>
      </c>
      <c r="E841" s="6" t="inlineStr">
        <is>
          <t>Ital Accessori</t>
        </is>
      </c>
      <c r="F841" s="6" t="inlineStr">
        <is>
          <t>321374/321644</t>
        </is>
      </c>
      <c r="G841" s="6" t="inlineStr">
        <is>
          <t>Quadris Excel</t>
        </is>
      </c>
      <c r="H841" s="6" t="n">
        <v>0</v>
      </c>
      <c r="I841" s="6" t="n">
        <v>0</v>
      </c>
      <c r="J841" s="6" t="inlineStr">
        <is>
          <t>nincs</t>
        </is>
      </c>
      <c r="K841" s="6">
        <f>IF(AND(H841&gt;0,I841&gt;0),"Rendben",IF(AND(H841=0,I841=0),"Nincs kép és adat",IF(H841=0,"Nincs kép","Nincs adat")))</f>
        <v/>
      </c>
      <c r="L841" s="6" t="inlineStr">
        <is>
          <t>Igen</t>
        </is>
      </c>
      <c r="M841" s="7" t="inlineStr">
        <is>
          <t>Ital Accessori teljes PDF katalógus (ital-accessori.sk)</t>
        </is>
      </c>
      <c r="N841" s="7" t="inlineStr">
        <is>
          <t>Nem találtuk: Ital Accessori teljes PDF katalógus (ital-accessori.sk)</t>
        </is>
      </c>
      <c r="O841" s="6" t="inlineStr"/>
      <c r="P841" s="11" t="inlineStr">
        <is>
          <t>https://website-9ib.pages.dev/termek/351374-bill-kozepso-rakonca-805x40-zseb/</t>
        </is>
      </c>
      <c r="Q841" s="12" t="inlineStr"/>
      <c r="R841" s="13" t="inlineStr"/>
      <c r="S841" s="6" t="inlineStr">
        <is>
          <t>351374-bill-kozepso-rakonca-805x40-zseb</t>
        </is>
      </c>
    </row>
    <row r="842">
      <c r="A842" s="6" t="inlineStr">
        <is>
          <t>3521696</t>
        </is>
      </c>
      <c r="B842" s="7" t="inlineStr">
        <is>
          <t>Billencs első rakonca 400 mm B</t>
        </is>
      </c>
      <c r="C842" s="6" t="inlineStr">
        <is>
          <t>Billencs alkatrészek</t>
        </is>
      </c>
      <c r="D842" s="6" t="inlineStr">
        <is>
          <t>Billencs rakoncák</t>
        </is>
      </c>
      <c r="E842" s="6" t="inlineStr">
        <is>
          <t>Ital Accessori</t>
        </is>
      </c>
      <c r="F842" s="6" t="inlineStr">
        <is>
          <t>321696</t>
        </is>
      </c>
      <c r="G842" s="6" t="inlineStr">
        <is>
          <t>Quadris Excel</t>
        </is>
      </c>
      <c r="H842" s="6" t="n">
        <v>2</v>
      </c>
      <c r="I842" s="6" t="n">
        <v>4</v>
      </c>
      <c r="J842" s="6" t="inlineStr">
        <is>
          <t>nincs</t>
        </is>
      </c>
      <c r="K842" s="6">
        <f>IF(AND(H842&gt;0,I842&gt;0),"Rendben",IF(AND(H842=0,I842=0),"Nincs kép és adat",IF(H842=0,"Nincs kép","Nincs adat")))</f>
        <v/>
      </c>
      <c r="L842" s="6" t="inlineStr">
        <is>
          <t>Igen</t>
        </is>
      </c>
      <c r="M842" s="7" t="inlineStr">
        <is>
          <t>Ital Accessori teljes PDF katalógus (ital-accessori.sk)</t>
        </is>
      </c>
      <c r="N842" s="7" t="inlineStr">
        <is>
          <t>Megtalálva: Ital Accessori katalógus 318. oldal (kód: 321696)</t>
        </is>
      </c>
      <c r="O842" s="11" t="inlineStr">
        <is>
          <t>https://www.ital-accessori.sk/katalog/book/KOMP/318/</t>
        </is>
      </c>
      <c r="P842" s="11" t="inlineStr">
        <is>
          <t>https://website-9ib.pages.dev/termek/3521696-billencs-elso-rakonca-400-mm-b/</t>
        </is>
      </c>
      <c r="Q842" s="12" t="inlineStr"/>
      <c r="R842" s="13" t="inlineStr"/>
      <c r="S842" s="6" t="inlineStr">
        <is>
          <t>3521696-billencs-elso-rakonca-400-mm-b</t>
        </is>
      </c>
    </row>
    <row r="843">
      <c r="A843" s="6" t="inlineStr">
        <is>
          <t>3526700</t>
        </is>
      </c>
      <c r="B843" s="7" t="inlineStr">
        <is>
          <t>Billencs első rakonca 400 mm B</t>
        </is>
      </c>
      <c r="C843" s="6" t="inlineStr">
        <is>
          <t>Billencs alkatrészek</t>
        </is>
      </c>
      <c r="D843" s="6" t="inlineStr">
        <is>
          <t>Billencs rakoncák</t>
        </is>
      </c>
      <c r="E843" s="6" t="inlineStr">
        <is>
          <t>Ital Accessori</t>
        </is>
      </c>
      <c r="F843" s="6" t="inlineStr">
        <is>
          <t>267</t>
        </is>
      </c>
      <c r="G843" s="6" t="inlineStr">
        <is>
          <t>Quadris Excel</t>
        </is>
      </c>
      <c r="H843" s="6" t="n">
        <v>0</v>
      </c>
      <c r="I843" s="6" t="n">
        <v>0</v>
      </c>
      <c r="J843" s="6" t="inlineStr">
        <is>
          <t>nincs</t>
        </is>
      </c>
      <c r="K843" s="6">
        <f>IF(AND(H843&gt;0,I843&gt;0),"Rendben",IF(AND(H843=0,I843=0),"Nincs kép és adat",IF(H843=0,"Nincs kép","Nincs adat")))</f>
        <v/>
      </c>
      <c r="L843" s="6" t="inlineStr">
        <is>
          <t>Igen</t>
        </is>
      </c>
      <c r="M843" s="7" t="inlineStr">
        <is>
          <t>Ital Accessori teljes PDF katalógus (ital-accessori.sk)</t>
        </is>
      </c>
      <c r="N843" s="7" t="inlineStr">
        <is>
          <t>Nem találtuk: Ital Accessori teljes PDF katalógus (ital-accessori.sk)</t>
        </is>
      </c>
      <c r="O843" s="6" t="inlineStr"/>
      <c r="P843" s="11" t="inlineStr">
        <is>
          <t>https://website-9ib.pages.dev/termek/3526700-billencs-elso-rakonca-400-mm-b/</t>
        </is>
      </c>
      <c r="Q843" s="12" t="inlineStr"/>
      <c r="R843" s="13" t="inlineStr"/>
      <c r="S843" s="6" t="inlineStr">
        <is>
          <t>3526700-billencs-elso-rakonca-400-mm-b</t>
        </is>
      </c>
    </row>
    <row r="844">
      <c r="A844" s="6" t="inlineStr">
        <is>
          <t>3521695</t>
        </is>
      </c>
      <c r="B844" s="7" t="inlineStr">
        <is>
          <t>Billencs első rakonca 400 mm J</t>
        </is>
      </c>
      <c r="C844" s="6" t="inlineStr">
        <is>
          <t>Billencs alkatrészek</t>
        </is>
      </c>
      <c r="D844" s="6" t="inlineStr">
        <is>
          <t>Billencs rakoncák</t>
        </is>
      </c>
      <c r="E844" s="6" t="inlineStr">
        <is>
          <t>Ital Accessori</t>
        </is>
      </c>
      <c r="F844" s="6" t="inlineStr">
        <is>
          <t>321695</t>
        </is>
      </c>
      <c r="G844" s="6" t="inlineStr">
        <is>
          <t>Quadris Excel</t>
        </is>
      </c>
      <c r="H844" s="6" t="n">
        <v>2</v>
      </c>
      <c r="I844" s="6" t="n">
        <v>4</v>
      </c>
      <c r="J844" s="6" t="inlineStr">
        <is>
          <t>nincs</t>
        </is>
      </c>
      <c r="K844" s="6">
        <f>IF(AND(H844&gt;0,I844&gt;0),"Rendben",IF(AND(H844=0,I844=0),"Nincs kép és adat",IF(H844=0,"Nincs kép","Nincs adat")))</f>
        <v/>
      </c>
      <c r="L844" s="6" t="inlineStr">
        <is>
          <t>Igen</t>
        </is>
      </c>
      <c r="M844" s="7" t="inlineStr">
        <is>
          <t>Ital Accessori teljes PDF katalógus (ital-accessori.sk)</t>
        </is>
      </c>
      <c r="N844" s="7" t="inlineStr">
        <is>
          <t>Megtalálva: Ital Accessori katalógus 318. oldal (kód: 321695)</t>
        </is>
      </c>
      <c r="O844" s="11" t="inlineStr">
        <is>
          <t>https://www.ital-accessori.sk/katalog/book/KOMP/318/</t>
        </is>
      </c>
      <c r="P844" s="11" t="inlineStr">
        <is>
          <t>https://website-9ib.pages.dev/termek/3521695-billencs-elso-rakonca-400-mm-j/</t>
        </is>
      </c>
      <c r="Q844" s="12" t="inlineStr"/>
      <c r="R844" s="13" t="inlineStr"/>
      <c r="S844" s="6" t="inlineStr">
        <is>
          <t>3521695-billencs-elso-rakonca-400-mm-j</t>
        </is>
      </c>
    </row>
    <row r="845">
      <c r="A845" s="6" t="inlineStr">
        <is>
          <t>352190</t>
        </is>
      </c>
      <c r="B845" s="7" t="inlineStr">
        <is>
          <t>Billencs első rakonca 400 mm J/b</t>
        </is>
      </c>
      <c r="C845" s="6" t="inlineStr">
        <is>
          <t>Billencs alkatrészek</t>
        </is>
      </c>
      <c r="D845" s="6" t="inlineStr">
        <is>
          <t>Billencs rakoncák</t>
        </is>
      </c>
      <c r="E845" s="6" t="inlineStr">
        <is>
          <t>Ital Accessori</t>
        </is>
      </c>
      <c r="F845" s="6" t="inlineStr">
        <is>
          <t>321900, 323900</t>
        </is>
      </c>
      <c r="G845" s="6" t="inlineStr">
        <is>
          <t>Quadris Excel</t>
        </is>
      </c>
      <c r="H845" s="6" t="n">
        <v>1</v>
      </c>
      <c r="I845" s="6" t="n">
        <v>3</v>
      </c>
      <c r="J845" s="6" t="inlineStr">
        <is>
          <t>nincs</t>
        </is>
      </c>
      <c r="K845" s="6">
        <f>IF(AND(H845&gt;0,I845&gt;0),"Rendben",IF(AND(H845=0,I845=0),"Nincs kép és adat",IF(H845=0,"Nincs kép","Nincs adat")))</f>
        <v/>
      </c>
      <c r="L845" s="6" t="inlineStr">
        <is>
          <t>Igen</t>
        </is>
      </c>
      <c r="M845" s="7" t="inlineStr">
        <is>
          <t>Ital Accessori teljes PDF katalógus (ital-accessori.sk)</t>
        </is>
      </c>
      <c r="N845" s="7" t="inlineStr">
        <is>
          <t>Megtalálva: Ital Accessori katalógus 320. oldal (kód: 321900, 323900)</t>
        </is>
      </c>
      <c r="O845" s="11" t="inlineStr">
        <is>
          <t>https://www.ital-accessori.sk/katalog/book/KOMP/320/</t>
        </is>
      </c>
      <c r="P845" s="11" t="inlineStr">
        <is>
          <t>https://website-9ib.pages.dev/termek/352190-billencs-elso-rakonca-400-mm-j-b/</t>
        </is>
      </c>
      <c r="Q845" s="12" t="inlineStr"/>
      <c r="R845" s="13" t="inlineStr"/>
      <c r="S845" s="6" t="inlineStr">
        <is>
          <t>352190-billencs-elso-rakonca-400-mm-j-b</t>
        </is>
      </c>
    </row>
    <row r="846">
      <c r="A846" s="6" t="inlineStr">
        <is>
          <t>3521699</t>
        </is>
      </c>
      <c r="B846" s="7" t="inlineStr">
        <is>
          <t>Billencs hátsó rakonca 400 mm B + zseb</t>
        </is>
      </c>
      <c r="C846" s="6" t="inlineStr">
        <is>
          <t>Billencs alkatrészek</t>
        </is>
      </c>
      <c r="D846" s="6" t="inlineStr">
        <is>
          <t>Billencs rakoncák</t>
        </is>
      </c>
      <c r="E846" s="6" t="inlineStr">
        <is>
          <t>Ital Accessori</t>
        </is>
      </c>
      <c r="F846" s="6" t="inlineStr">
        <is>
          <t>321699/322013</t>
        </is>
      </c>
      <c r="G846" s="6" t="inlineStr">
        <is>
          <t>Quadris Excel</t>
        </is>
      </c>
      <c r="H846" s="6" t="n">
        <v>2</v>
      </c>
      <c r="I846" s="6" t="n">
        <v>7</v>
      </c>
      <c r="J846" s="6" t="inlineStr">
        <is>
          <t>nincs</t>
        </is>
      </c>
      <c r="K846" s="6">
        <f>IF(AND(H846&gt;0,I846&gt;0),"Rendben",IF(AND(H846=0,I846=0),"Nincs kép és adat",IF(H846=0,"Nincs kép","Nincs adat")))</f>
        <v/>
      </c>
      <c r="L846" s="6" t="inlineStr">
        <is>
          <t>Igen</t>
        </is>
      </c>
      <c r="M846" s="7" t="inlineStr">
        <is>
          <t>Ital Accessori teljes PDF katalógus (ital-accessori.sk)</t>
        </is>
      </c>
      <c r="N846" s="7" t="inlineStr">
        <is>
          <t>Megtalálva: Kapsa Socket (kód: 322013)</t>
        </is>
      </c>
      <c r="O846" s="11" t="inlineStr">
        <is>
          <t>https://www.ital-accessori.sk/katalog/book/KOMP/318/</t>
        </is>
      </c>
      <c r="P846" s="11" t="inlineStr">
        <is>
          <t>https://website-9ib.pages.dev/termek/3521699-billencs-hatso-rakonca-400-mm-b-zseb/</t>
        </is>
      </c>
      <c r="Q846" s="12" t="inlineStr"/>
      <c r="R846" s="13" t="inlineStr"/>
      <c r="S846" s="6" t="inlineStr">
        <is>
          <t>3521699-billencs-hatso-rakonca-400-mm-b-zseb</t>
        </is>
      </c>
    </row>
    <row r="847">
      <c r="A847" s="6" t="inlineStr">
        <is>
          <t>3521904</t>
        </is>
      </c>
      <c r="B847" s="7" t="inlineStr">
        <is>
          <t>Billencs hátsó rakonca 400 mm B + zseb</t>
        </is>
      </c>
      <c r="C847" s="6" t="inlineStr">
        <is>
          <t>Billencs alkatrészek</t>
        </is>
      </c>
      <c r="D847" s="6" t="inlineStr">
        <is>
          <t>Billencs rakoncák</t>
        </is>
      </c>
      <c r="E847" s="6" t="inlineStr">
        <is>
          <t>Ital Accessori</t>
        </is>
      </c>
      <c r="F847" s="6" t="inlineStr">
        <is>
          <t>322903/320027</t>
        </is>
      </c>
      <c r="G847" s="6" t="inlineStr">
        <is>
          <t>Quadris Excel</t>
        </is>
      </c>
      <c r="H847" s="6" t="n">
        <v>2</v>
      </c>
      <c r="I847" s="6" t="n">
        <v>7</v>
      </c>
      <c r="J847" s="6" t="inlineStr">
        <is>
          <t>nincs</t>
        </is>
      </c>
      <c r="K847" s="6">
        <f>IF(AND(H847&gt;0,I847&gt;0),"Rendben",IF(AND(H847=0,I847=0),"Nincs kép és adat",IF(H847=0,"Nincs kép","Nincs adat")))</f>
        <v/>
      </c>
      <c r="L847" s="6" t="inlineStr">
        <is>
          <t>Igen</t>
        </is>
      </c>
      <c r="M847" s="7" t="inlineStr">
        <is>
          <t>Ital Accessori teljes PDF katalógus (ital-accessori.sk)</t>
        </is>
      </c>
      <c r="N847" s="7" t="inlineStr">
        <is>
          <t>Megtalálva: Kapsa Socket (kód: 320027)</t>
        </is>
      </c>
      <c r="O847" s="11" t="inlineStr">
        <is>
          <t>https://www.ital-accessori.sk/katalog/book/KOMP/320/</t>
        </is>
      </c>
      <c r="P847" s="11" t="inlineStr">
        <is>
          <t>https://website-9ib.pages.dev/termek/3521904-billencs-hatso-rakonca-400-mm-b-zseb/</t>
        </is>
      </c>
      <c r="Q847" s="12" t="inlineStr"/>
      <c r="R847" s="13" t="inlineStr"/>
      <c r="S847" s="6" t="inlineStr">
        <is>
          <t>3521904-billencs-hatso-rakonca-400-mm-b-zseb</t>
        </is>
      </c>
    </row>
    <row r="848">
      <c r="A848" s="6" t="inlineStr">
        <is>
          <t>3521698</t>
        </is>
      </c>
      <c r="B848" s="7" t="inlineStr">
        <is>
          <t>Billencs hátsó rakonca 400 mm J + zseb</t>
        </is>
      </c>
      <c r="C848" s="6" t="inlineStr">
        <is>
          <t>Billencs alkatrészek</t>
        </is>
      </c>
      <c r="D848" s="6" t="inlineStr">
        <is>
          <t>Billencs rakoncák</t>
        </is>
      </c>
      <c r="E848" s="6" t="inlineStr">
        <is>
          <t>Ital Accessori</t>
        </is>
      </c>
      <c r="F848" s="6" t="inlineStr">
        <is>
          <t>321698/322013</t>
        </is>
      </c>
      <c r="G848" s="6" t="inlineStr">
        <is>
          <t>Quadris Excel</t>
        </is>
      </c>
      <c r="H848" s="6" t="n">
        <v>2</v>
      </c>
      <c r="I848" s="6" t="n">
        <v>7</v>
      </c>
      <c r="J848" s="6" t="inlineStr">
        <is>
          <t>nincs</t>
        </is>
      </c>
      <c r="K848" s="6">
        <f>IF(AND(H848&gt;0,I848&gt;0),"Rendben",IF(AND(H848=0,I848=0),"Nincs kép és adat",IF(H848=0,"Nincs kép","Nincs adat")))</f>
        <v/>
      </c>
      <c r="L848" s="6" t="inlineStr">
        <is>
          <t>Igen</t>
        </is>
      </c>
      <c r="M848" s="7" t="inlineStr">
        <is>
          <t>Ital Accessori teljes PDF katalógus (ital-accessori.sk)</t>
        </is>
      </c>
      <c r="N848" s="7" t="inlineStr">
        <is>
          <t>Megtalálva: Kapsa Socket (kód: 322013)</t>
        </is>
      </c>
      <c r="O848" s="11" t="inlineStr">
        <is>
          <t>https://www.ital-accessori.sk/katalog/book/KOMP/318/</t>
        </is>
      </c>
      <c r="P848" s="11" t="inlineStr">
        <is>
          <t>https://website-9ib.pages.dev/termek/3521698-billencs-hatso-rakonca-400-mm-j-zseb/</t>
        </is>
      </c>
      <c r="Q848" s="12" t="inlineStr"/>
      <c r="R848" s="13" t="inlineStr"/>
      <c r="S848" s="6" t="inlineStr">
        <is>
          <t>3521698-billencs-hatso-rakonca-400-mm-j-zseb</t>
        </is>
      </c>
    </row>
    <row r="849">
      <c r="A849" s="6" t="inlineStr">
        <is>
          <t>3521903</t>
        </is>
      </c>
      <c r="B849" s="7" t="inlineStr">
        <is>
          <t>Billencs hátsó rakonca 400 mm J + zseb</t>
        </is>
      </c>
      <c r="C849" s="6" t="inlineStr">
        <is>
          <t>Billencs alkatrészek</t>
        </is>
      </c>
      <c r="D849" s="6" t="inlineStr">
        <is>
          <t>Billencs rakoncák</t>
        </is>
      </c>
      <c r="E849" s="6" t="inlineStr">
        <is>
          <t>Ital Accessori</t>
        </is>
      </c>
      <c r="F849" s="6" t="inlineStr">
        <is>
          <t>321903/320027</t>
        </is>
      </c>
      <c r="G849" s="6" t="inlineStr">
        <is>
          <t>Quadris Excel</t>
        </is>
      </c>
      <c r="H849" s="6" t="n">
        <v>2</v>
      </c>
      <c r="I849" s="6" t="n">
        <v>7</v>
      </c>
      <c r="J849" s="6" t="inlineStr">
        <is>
          <t>nincs</t>
        </is>
      </c>
      <c r="K849" s="6">
        <f>IF(AND(H849&gt;0,I849&gt;0),"Rendben",IF(AND(H849=0,I849=0),"Nincs kép és adat",IF(H849=0,"Nincs kép","Nincs adat")))</f>
        <v/>
      </c>
      <c r="L849" s="6" t="inlineStr">
        <is>
          <t>Igen</t>
        </is>
      </c>
      <c r="M849" s="7" t="inlineStr">
        <is>
          <t>Ital Accessori teljes PDF katalógus (ital-accessori.sk)</t>
        </is>
      </c>
      <c r="N849" s="7" t="inlineStr">
        <is>
          <t>Megtalálva: Kapsa Socket (kód: 320027)</t>
        </is>
      </c>
      <c r="O849" s="11" t="inlineStr">
        <is>
          <t>https://www.ital-accessori.sk/katalog/book/KOMP/320/</t>
        </is>
      </c>
      <c r="P849" s="11" t="inlineStr">
        <is>
          <t>https://website-9ib.pages.dev/termek/3521903-billencs-hatso-rakonca-400-mm-j-zseb/</t>
        </is>
      </c>
      <c r="Q849" s="12" t="inlineStr"/>
      <c r="R849" s="13" t="inlineStr"/>
      <c r="S849" s="6" t="inlineStr">
        <is>
          <t>3521903-billencs-hatso-rakonca-400-mm-j-zseb</t>
        </is>
      </c>
    </row>
    <row r="850">
      <c r="A850" s="6" t="inlineStr">
        <is>
          <t>3520902</t>
        </is>
      </c>
      <c r="B850" s="7" t="inlineStr">
        <is>
          <t>Billencs köztes rakonca 400 mm + zseb</t>
        </is>
      </c>
      <c r="C850" s="6" t="inlineStr">
        <is>
          <t>Billencs alkatrészek</t>
        </is>
      </c>
      <c r="D850" s="6" t="inlineStr">
        <is>
          <t>Billencs rakoncák</t>
        </is>
      </c>
      <c r="E850" s="6" t="inlineStr">
        <is>
          <t>Ital Accessori</t>
        </is>
      </c>
      <c r="F850" s="6" t="inlineStr">
        <is>
          <t>320902/320027</t>
        </is>
      </c>
      <c r="G850" s="6" t="inlineStr">
        <is>
          <t>Quadris Excel</t>
        </is>
      </c>
      <c r="H850" s="6" t="n">
        <v>2</v>
      </c>
      <c r="I850" s="6" t="n">
        <v>7</v>
      </c>
      <c r="J850" s="6" t="inlineStr">
        <is>
          <t>nincs</t>
        </is>
      </c>
      <c r="K850" s="6">
        <f>IF(AND(H850&gt;0,I850&gt;0),"Rendben",IF(AND(H850=0,I850=0),"Nincs kép és adat",IF(H850=0,"Nincs kép","Nincs adat")))</f>
        <v/>
      </c>
      <c r="L850" s="6" t="inlineStr">
        <is>
          <t>Igen</t>
        </is>
      </c>
      <c r="M850" s="7" t="inlineStr">
        <is>
          <t>Ital Accessori teljes PDF katalógus (ital-accessori.sk)</t>
        </is>
      </c>
      <c r="N850" s="7" t="inlineStr">
        <is>
          <t>Megtalálva: Kapsa Socket (kód: 320027)</t>
        </is>
      </c>
      <c r="O850" s="11" t="inlineStr">
        <is>
          <t>https://www.ital-accessori.sk/katalog/book/KOMP/320/</t>
        </is>
      </c>
      <c r="P850" s="11" t="inlineStr">
        <is>
          <t>https://website-9ib.pages.dev/termek/3520902-billencs-koztes-rakonca-400-mm-zseb/</t>
        </is>
      </c>
      <c r="Q850" s="12" t="inlineStr"/>
      <c r="R850" s="13" t="inlineStr"/>
      <c r="S850" s="6" t="inlineStr">
        <is>
          <t>3520902-billencs-koztes-rakonca-400-mm-zseb</t>
        </is>
      </c>
    </row>
    <row r="851">
      <c r="A851" s="6" t="inlineStr">
        <is>
          <t>140451</t>
        </is>
      </c>
      <c r="B851" s="7" t="inlineStr">
        <is>
          <t>D45,5 zárt omega lefogató</t>
        </is>
      </c>
      <c r="C851" s="6" t="inlineStr">
        <is>
          <t>Billencs alkatrészek</t>
        </is>
      </c>
      <c r="D851" s="6" t="inlineStr">
        <is>
          <t>Billencs alkatrészek</t>
        </is>
      </c>
      <c r="E851" s="6" t="inlineStr">
        <is>
          <t>Ital Accessori</t>
        </is>
      </c>
      <c r="F851" s="6" t="inlineStr"/>
      <c r="G851" s="6" t="inlineStr">
        <is>
          <t>Quadris Excel</t>
        </is>
      </c>
      <c r="H851" s="6" t="n">
        <v>0</v>
      </c>
      <c r="I851" s="6" t="n">
        <v>0</v>
      </c>
      <c r="J851" s="6" t="inlineStr">
        <is>
          <t>nincs</t>
        </is>
      </c>
      <c r="K851" s="6">
        <f>IF(AND(H851&gt;0,I851&gt;0),"Rendben",IF(AND(H851=0,I851=0),"Nincs kép és adat",IF(H851=0,"Nincs kép","Nincs adat")))</f>
        <v/>
      </c>
      <c r="L851" s="6" t="inlineStr">
        <is>
          <t>Igen</t>
        </is>
      </c>
      <c r="M851" s="7" t="inlineStr">
        <is>
          <t>Ital Accessori teljes PDF katalógus (ital-accessori.sk)</t>
        </is>
      </c>
      <c r="N851" s="7" t="inlineStr">
        <is>
          <t>Nem találtuk: Ital Accessori teljes PDF katalógus (ital-accessori.sk)</t>
        </is>
      </c>
      <c r="O851" s="6" t="inlineStr"/>
      <c r="P851" s="11" t="inlineStr">
        <is>
          <t>https://website-9ib.pages.dev/termek/140451-d45-5-zart-omega-lefogato/</t>
        </is>
      </c>
      <c r="Q851" s="12" t="inlineStr"/>
      <c r="R851" s="13" t="inlineStr"/>
      <c r="S851" s="6" t="inlineStr">
        <is>
          <t>140451-d45-5-zart-omega-lefogato</t>
        </is>
      </c>
    </row>
    <row r="852">
      <c r="A852" s="6" t="inlineStr">
        <is>
          <t>140501</t>
        </is>
      </c>
      <c r="B852" s="7" t="inlineStr">
        <is>
          <t>D50 zárt omega lefogató</t>
        </is>
      </c>
      <c r="C852" s="6" t="inlineStr">
        <is>
          <t>Billencs alkatrészek</t>
        </is>
      </c>
      <c r="D852" s="6" t="inlineStr">
        <is>
          <t>Billencs alkatrészek</t>
        </is>
      </c>
      <c r="E852" s="6" t="inlineStr">
        <is>
          <t>Ital Accessori</t>
        </is>
      </c>
      <c r="F852" s="6" t="inlineStr">
        <is>
          <t>510502</t>
        </is>
      </c>
      <c r="G852" s="6" t="inlineStr">
        <is>
          <t>Quadris Excel</t>
        </is>
      </c>
      <c r="H852" s="6" t="n">
        <v>0</v>
      </c>
      <c r="I852" s="6" t="n">
        <v>0</v>
      </c>
      <c r="J852" s="6" t="inlineStr">
        <is>
          <t>nincs</t>
        </is>
      </c>
      <c r="K852" s="6">
        <f>IF(AND(H852&gt;0,I852&gt;0),"Rendben",IF(AND(H852=0,I852=0),"Nincs kép és adat",IF(H852=0,"Nincs kép","Nincs adat")))</f>
        <v/>
      </c>
      <c r="L852" s="6" t="inlineStr">
        <is>
          <t>Igen</t>
        </is>
      </c>
      <c r="M852" s="7" t="inlineStr">
        <is>
          <t>Ital Accessori teljes PDF katalógus (ital-accessori.sk)</t>
        </is>
      </c>
      <c r="N852" s="7" t="inlineStr">
        <is>
          <t>Nem találtuk: Ital Accessori teljes PDF katalógus (ital-accessori.sk)</t>
        </is>
      </c>
      <c r="O852" s="6" t="inlineStr"/>
      <c r="P852" s="11" t="inlineStr">
        <is>
          <t>https://website-9ib.pages.dev/termek/140501-d50-zart-omega-lefogato/</t>
        </is>
      </c>
      <c r="Q852" s="12" t="inlineStr"/>
      <c r="R852" s="13" t="inlineStr"/>
      <c r="S852" s="6" t="inlineStr">
        <is>
          <t>140501-d50-zart-omega-lefogato</t>
        </is>
      </c>
    </row>
    <row r="853">
      <c r="A853" s="6" t="inlineStr">
        <is>
          <t>140552</t>
        </is>
      </c>
      <c r="B853" s="7" t="inlineStr">
        <is>
          <t>D55 zárt omega lefogató</t>
        </is>
      </c>
      <c r="C853" s="6" t="inlineStr">
        <is>
          <t>Billencs alkatrészek</t>
        </is>
      </c>
      <c r="D853" s="6" t="inlineStr">
        <is>
          <t>Billencs alkatrészek</t>
        </is>
      </c>
      <c r="E853" s="6" t="inlineStr">
        <is>
          <t>Ital Accessori</t>
        </is>
      </c>
      <c r="F853" s="6" t="inlineStr">
        <is>
          <t>510552</t>
        </is>
      </c>
      <c r="G853" s="6" t="inlineStr">
        <is>
          <t>Quadris Excel</t>
        </is>
      </c>
      <c r="H853" s="6" t="n">
        <v>0</v>
      </c>
      <c r="I853" s="6" t="n">
        <v>0</v>
      </c>
      <c r="J853" s="6" t="inlineStr">
        <is>
          <t>nincs</t>
        </is>
      </c>
      <c r="K853" s="6">
        <f>IF(AND(H853&gt;0,I853&gt;0),"Rendben",IF(AND(H853=0,I853=0),"Nincs kép és adat",IF(H853=0,"Nincs kép","Nincs adat")))</f>
        <v/>
      </c>
      <c r="L853" s="6" t="inlineStr">
        <is>
          <t>Igen</t>
        </is>
      </c>
      <c r="M853" s="7" t="inlineStr">
        <is>
          <t>Ital Accessori teljes PDF katalógus (ital-accessori.sk)</t>
        </is>
      </c>
      <c r="N853" s="7" t="inlineStr">
        <is>
          <t>Nem találtuk: Ital Accessori teljes PDF katalógus (ital-accessori.sk)</t>
        </is>
      </c>
      <c r="O853" s="6" t="inlineStr"/>
      <c r="P853" s="11" t="inlineStr">
        <is>
          <t>https://website-9ib.pages.dev/termek/140552-d55-zart-omega-lefogato/</t>
        </is>
      </c>
      <c r="Q853" s="12" t="inlineStr"/>
      <c r="R853" s="13" t="inlineStr"/>
      <c r="S853" s="6" t="inlineStr">
        <is>
          <t>140552-d55-zart-omega-lefogato</t>
        </is>
      </c>
    </row>
    <row r="854">
      <c r="A854" s="6" t="inlineStr">
        <is>
          <t>3052</t>
        </is>
      </c>
      <c r="B854" s="7" t="inlineStr">
        <is>
          <t>Munkahenger 11t 05x1230x152</t>
        </is>
      </c>
      <c r="C854" s="6" t="inlineStr">
        <is>
          <t>Billencs alkatrészek</t>
        </is>
      </c>
      <c r="D854" s="6" t="inlineStr">
        <is>
          <t>Billencs alkatrészek</t>
        </is>
      </c>
      <c r="E854" s="6" t="inlineStr">
        <is>
          <t>Ital Accessori</t>
        </is>
      </c>
      <c r="F854" s="6" t="inlineStr">
        <is>
          <t>3052S</t>
        </is>
      </c>
      <c r="G854" s="6" t="inlineStr">
        <is>
          <t>Quadris Excel</t>
        </is>
      </c>
      <c r="H854" s="6" t="n">
        <v>1</v>
      </c>
      <c r="I854" s="6" t="n">
        <v>6</v>
      </c>
      <c r="J854" s="6" t="inlineStr">
        <is>
          <t>nincs</t>
        </is>
      </c>
      <c r="K854" s="6">
        <f>IF(AND(H854&gt;0,I854&gt;0),"Rendben",IF(AND(H854=0,I854=0),"Nincs kép és adat",IF(H854=0,"Nincs kép","Nincs adat")))</f>
        <v/>
      </c>
      <c r="L854" s="6" t="inlineStr">
        <is>
          <t>Igen</t>
        </is>
      </c>
      <c r="M854" s="7" t="inlineStr">
        <is>
          <t>Ital Accessori teljes PDF katalógus (ital-accessori.sk)</t>
        </is>
      </c>
      <c r="N854" s="7" t="inlineStr">
        <is>
          <t>Megtalálva: Ital Accessori katalógus 350. oldal (kód: 3052S)</t>
        </is>
      </c>
      <c r="O854" s="11" t="inlineStr">
        <is>
          <t>https://www.ital-accessori.sk/katalog/book/KOMP/350/</t>
        </is>
      </c>
      <c r="P854" s="11" t="inlineStr">
        <is>
          <t>https://website-9ib.pages.dev/termek/3052-munkahenger-11t-05x1230x152/</t>
        </is>
      </c>
      <c r="Q854" s="12" t="inlineStr"/>
      <c r="R854" s="13" t="inlineStr"/>
      <c r="S854" s="6" t="inlineStr">
        <is>
          <t>3052-munkahenger-11t-05x1230x152</t>
        </is>
      </c>
    </row>
    <row r="855">
      <c r="A855" s="6" t="inlineStr">
        <is>
          <t>3092</t>
        </is>
      </c>
      <c r="B855" s="7" t="inlineStr">
        <is>
          <t>Munkahenger 8t 05x1040x124</t>
        </is>
      </c>
      <c r="C855" s="6" t="inlineStr">
        <is>
          <t>Billencs alkatrészek</t>
        </is>
      </c>
      <c r="D855" s="6" t="inlineStr">
        <is>
          <t>Billencs alkatrészek</t>
        </is>
      </c>
      <c r="E855" s="6" t="inlineStr">
        <is>
          <t>Ital Accessori</t>
        </is>
      </c>
      <c r="F855" s="6" t="inlineStr">
        <is>
          <t>3092S</t>
        </is>
      </c>
      <c r="G855" s="6" t="inlineStr">
        <is>
          <t>Quadris Excel</t>
        </is>
      </c>
      <c r="H855" s="6" t="n">
        <v>1</v>
      </c>
      <c r="I855" s="6" t="n">
        <v>6</v>
      </c>
      <c r="J855" s="6" t="inlineStr">
        <is>
          <t>van</t>
        </is>
      </c>
      <c r="K855" s="6">
        <f>IF(AND(H855&gt;0,I855&gt;0),"Rendben",IF(AND(H855=0,I855=0),"Nincs kép és adat",IF(H855=0,"Nincs kép","Nincs adat")))</f>
        <v/>
      </c>
      <c r="L855" s="6" t="inlineStr">
        <is>
          <t>Igen</t>
        </is>
      </c>
      <c r="M855" s="7" t="inlineStr">
        <is>
          <t>Ital Accessori teljes PDF katalógus (ital-accessori.sk)</t>
        </is>
      </c>
      <c r="N855" s="7" t="inlineStr">
        <is>
          <t>Megtalálva: Ital Accessori katalógus 349. oldal (kód: 3092S)</t>
        </is>
      </c>
      <c r="O855" s="11" t="inlineStr">
        <is>
          <t>https://www.ital-accessori.sk/katalog/book/KOMP/349/</t>
        </is>
      </c>
      <c r="P855" s="11" t="inlineStr">
        <is>
          <t>https://website-9ib.pages.dev/termek/3092-munkahenger-8t-05x1040x124/</t>
        </is>
      </c>
      <c r="Q855" s="12" t="inlineStr"/>
      <c r="R855" s="13" t="inlineStr"/>
      <c r="S855" s="6" t="inlineStr">
        <is>
          <t>3092-munkahenger-8t-05x1040x124</t>
        </is>
      </c>
    </row>
    <row r="856">
      <c r="A856" s="6" t="inlineStr">
        <is>
          <t>771094</t>
        </is>
      </c>
      <c r="B856" s="7" t="inlineStr">
        <is>
          <t>N-Force Bil. Vezérlő</t>
        </is>
      </c>
      <c r="C856" s="6" t="inlineStr">
        <is>
          <t>Billencs alkatrészek</t>
        </is>
      </c>
      <c r="D856" s="6" t="inlineStr">
        <is>
          <t>Billencs alkatrészek</t>
        </is>
      </c>
      <c r="E856" s="6" t="inlineStr">
        <is>
          <t>Ital Accessori</t>
        </is>
      </c>
      <c r="F856" s="6" t="inlineStr">
        <is>
          <t>771094</t>
        </is>
      </c>
      <c r="G856" s="6" t="inlineStr">
        <is>
          <t>Quadris Excel</t>
        </is>
      </c>
      <c r="H856" s="6" t="n">
        <v>2</v>
      </c>
      <c r="I856" s="6" t="n">
        <v>2</v>
      </c>
      <c r="J856" s="6" t="inlineStr">
        <is>
          <t>nincs</t>
        </is>
      </c>
      <c r="K856" s="6">
        <f>IF(AND(H856&gt;0,I856&gt;0),"Rendben",IF(AND(H856=0,I856=0),"Nincs kép és adat",IF(H856=0,"Nincs kép","Nincs adat")))</f>
        <v/>
      </c>
      <c r="L856" s="6" t="inlineStr">
        <is>
          <t>Igen</t>
        </is>
      </c>
      <c r="M856" s="7" t="inlineStr">
        <is>
          <t>Ital Accessori teljes PDF katalógus (ital-accessori.sk)</t>
        </is>
      </c>
      <c r="N856" s="7" t="inlineStr">
        <is>
          <t>Megtalálva: Ital Accessori katalógus 449. oldal (kód: 771094)</t>
        </is>
      </c>
      <c r="O856" s="11" t="inlineStr">
        <is>
          <t>https://www.ital-accessori.sk/katalog/book/KOMP/449/</t>
        </is>
      </c>
      <c r="P856" s="11" t="inlineStr">
        <is>
          <t>https://website-9ib.pages.dev/termek/771094-n-force-bil-vezerlo/</t>
        </is>
      </c>
      <c r="Q856" s="12" t="inlineStr"/>
      <c r="R856" s="13" t="inlineStr"/>
      <c r="S856" s="6" t="inlineStr">
        <is>
          <t>771094-n-force-bil-vezerlo</t>
        </is>
      </c>
    </row>
    <row r="857">
      <c r="A857" s="6" t="inlineStr">
        <is>
          <t>771101</t>
        </is>
      </c>
      <c r="B857" s="7" t="inlineStr">
        <is>
          <t>N-Force Bil. vezérlő nem kapcsolós</t>
        </is>
      </c>
      <c r="C857" s="6" t="inlineStr">
        <is>
          <t>Billencs alkatrészek</t>
        </is>
      </c>
      <c r="D857" s="6" t="inlineStr">
        <is>
          <t>Billencs alkatrészek</t>
        </is>
      </c>
      <c r="E857" s="6" t="inlineStr">
        <is>
          <t>Ital Accessori</t>
        </is>
      </c>
      <c r="F857" s="6" t="inlineStr">
        <is>
          <t>771101</t>
        </is>
      </c>
      <c r="G857" s="6" t="inlineStr">
        <is>
          <t>Quadris Excel</t>
        </is>
      </c>
      <c r="H857" s="6" t="n">
        <v>2</v>
      </c>
      <c r="I857" s="6" t="n">
        <v>2</v>
      </c>
      <c r="J857" s="6" t="inlineStr">
        <is>
          <t>nincs</t>
        </is>
      </c>
      <c r="K857" s="6">
        <f>IF(AND(H857&gt;0,I857&gt;0),"Rendben",IF(AND(H857=0,I857=0),"Nincs kép és adat",IF(H857=0,"Nincs kép","Nincs adat")))</f>
        <v/>
      </c>
      <c r="L857" s="6" t="inlineStr">
        <is>
          <t>Igen</t>
        </is>
      </c>
      <c r="M857" s="7" t="inlineStr">
        <is>
          <t>Ital Accessori teljes PDF katalógus (ital-accessori.sk)</t>
        </is>
      </c>
      <c r="N857" s="7" t="inlineStr">
        <is>
          <t>Megtalálva: Ital Accessori katalógus 449. oldal (kód: 771101)</t>
        </is>
      </c>
      <c r="O857" s="11" t="inlineStr">
        <is>
          <t>https://www.ital-accessori.sk/katalog/book/KOMP/449/</t>
        </is>
      </c>
      <c r="P857" s="11" t="inlineStr">
        <is>
          <t>https://website-9ib.pages.dev/termek/771101-n-force-bil-vezerlo-nem-kapcsolos/</t>
        </is>
      </c>
      <c r="Q857" s="12" t="inlineStr"/>
      <c r="R857" s="13" t="inlineStr"/>
      <c r="S857" s="6" t="inlineStr">
        <is>
          <t>771101-n-force-bil-vezerlo-nem-kapcsolos</t>
        </is>
      </c>
    </row>
    <row r="858">
      <c r="A858" s="6" t="inlineStr">
        <is>
          <t>770065</t>
        </is>
      </c>
      <c r="B858" s="7" t="inlineStr">
        <is>
          <t>N-Force takaró doboz</t>
        </is>
      </c>
      <c r="C858" s="6" t="inlineStr">
        <is>
          <t>Billencs alkatrészek</t>
        </is>
      </c>
      <c r="D858" s="6" t="inlineStr">
        <is>
          <t>Billencs alkatrészek</t>
        </is>
      </c>
      <c r="E858" s="6" t="inlineStr">
        <is>
          <t>Ital Accessori</t>
        </is>
      </c>
      <c r="F858" s="6" t="inlineStr">
        <is>
          <t>770065</t>
        </is>
      </c>
      <c r="G858" s="6" t="inlineStr">
        <is>
          <t>Quadris Excel</t>
        </is>
      </c>
      <c r="H858" s="6" t="n">
        <v>1</v>
      </c>
      <c r="I858" s="6" t="n">
        <v>0</v>
      </c>
      <c r="J858" s="6" t="inlineStr">
        <is>
          <t>nincs</t>
        </is>
      </c>
      <c r="K858" s="6">
        <f>IF(AND(H858&gt;0,I858&gt;0),"Rendben",IF(AND(H858=0,I858=0),"Nincs kép és adat",IF(H858=0,"Nincs kép","Nincs adat")))</f>
        <v/>
      </c>
      <c r="L858" s="6" t="inlineStr">
        <is>
          <t>Igen</t>
        </is>
      </c>
      <c r="M858" s="7" t="inlineStr">
        <is>
          <t>Ital Accessori teljes PDF katalógus (ital-accessori.sk)</t>
        </is>
      </c>
      <c r="N858" s="7" t="inlineStr">
        <is>
          <t>Megtalálva: Ital Accessori katalógus 450. oldal (kód: 770065)</t>
        </is>
      </c>
      <c r="O858" s="11" t="inlineStr">
        <is>
          <t>https://www.ital-accessori.sk/katalog/book/KOMP/450/</t>
        </is>
      </c>
      <c r="P858" s="11" t="inlineStr">
        <is>
          <t>https://website-9ib.pages.dev/termek/770065-n-force-takaro-doboz/</t>
        </is>
      </c>
      <c r="Q858" s="12" t="inlineStr"/>
      <c r="R858" s="13" t="inlineStr"/>
      <c r="S858" s="6" t="inlineStr">
        <is>
          <t>770065-n-force-takaro-doboz</t>
        </is>
      </c>
    </row>
    <row r="859">
      <c r="A859" s="6" t="inlineStr">
        <is>
          <t>779401</t>
        </is>
      </c>
      <c r="B859" s="7" t="inlineStr">
        <is>
          <t>Olaj szűrő 41L acél</t>
        </is>
      </c>
      <c r="C859" s="6" t="inlineStr">
        <is>
          <t>Billencs alkatrészek</t>
        </is>
      </c>
      <c r="D859" s="6" t="inlineStr">
        <is>
          <t>Billencs alkatrészek</t>
        </is>
      </c>
      <c r="E859" s="6" t="inlineStr">
        <is>
          <t>Ital Accessori</t>
        </is>
      </c>
      <c r="F859" s="6" t="inlineStr">
        <is>
          <t>779401</t>
        </is>
      </c>
      <c r="G859" s="6" t="inlineStr">
        <is>
          <t>Quadris Excel</t>
        </is>
      </c>
      <c r="H859" s="6" t="n">
        <v>0</v>
      </c>
      <c r="I859" s="6" t="n">
        <v>0</v>
      </c>
      <c r="J859" s="6" t="inlineStr">
        <is>
          <t>nincs</t>
        </is>
      </c>
      <c r="K859" s="6">
        <f>IF(AND(H859&gt;0,I859&gt;0),"Rendben",IF(AND(H859=0,I859=0),"Nincs kép és adat",IF(H859=0,"Nincs kép","Nincs adat")))</f>
        <v/>
      </c>
      <c r="L859" s="6" t="inlineStr">
        <is>
          <t>Igen</t>
        </is>
      </c>
      <c r="M859" s="7" t="inlineStr">
        <is>
          <t>Ital Accessori teljes PDF katalógus (ital-accessori.sk)</t>
        </is>
      </c>
      <c r="N859" s="7" t="inlineStr">
        <is>
          <t>Nem találtuk: Ital Accessori teljes PDF katalógus (ital-accessori.sk)</t>
        </is>
      </c>
      <c r="O859" s="6" t="inlineStr"/>
      <c r="P859" s="11" t="inlineStr">
        <is>
          <t>https://website-9ib.pages.dev/termek/779401-olaj-szuro-41l-acel/</t>
        </is>
      </c>
      <c r="Q859" s="12" t="inlineStr"/>
      <c r="R859" s="13" t="inlineStr"/>
      <c r="S859" s="6" t="inlineStr">
        <is>
          <t>779401-olaj-szuro-41l-acel</t>
        </is>
      </c>
    </row>
    <row r="860">
      <c r="A860" s="6" t="inlineStr">
        <is>
          <t>770410</t>
        </is>
      </c>
      <c r="B860" s="7" t="inlineStr">
        <is>
          <t>Olaj tartály 40L</t>
        </is>
      </c>
      <c r="C860" s="6" t="inlineStr">
        <is>
          <t>Billencs alkatrészek</t>
        </is>
      </c>
      <c r="D860" s="6" t="inlineStr">
        <is>
          <t>Billencs alkatrészek</t>
        </is>
      </c>
      <c r="E860" s="6" t="inlineStr">
        <is>
          <t>Ital Accessori</t>
        </is>
      </c>
      <c r="F860" s="6" t="inlineStr">
        <is>
          <t>770410</t>
        </is>
      </c>
      <c r="G860" s="6" t="inlineStr">
        <is>
          <t>Quadris Excel</t>
        </is>
      </c>
      <c r="H860" s="6" t="n">
        <v>0</v>
      </c>
      <c r="I860" s="6" t="n">
        <v>0</v>
      </c>
      <c r="J860" s="6" t="inlineStr">
        <is>
          <t>nincs</t>
        </is>
      </c>
      <c r="K860" s="6">
        <f>IF(AND(H860&gt;0,I860&gt;0),"Rendben",IF(AND(H860=0,I860=0),"Nincs kép és adat",IF(H860=0,"Nincs kép","Nincs adat")))</f>
        <v/>
      </c>
      <c r="L860" s="6" t="inlineStr">
        <is>
          <t>Igen</t>
        </is>
      </c>
      <c r="M860" s="7" t="inlineStr">
        <is>
          <t>Ital Accessori teljes PDF katalógus (ital-accessori.sk)</t>
        </is>
      </c>
      <c r="N860" s="7" t="inlineStr">
        <is>
          <t>Nem találtuk: Ital Accessori teljes PDF katalógus (ital-accessori.sk)</t>
        </is>
      </c>
      <c r="O860" s="6" t="inlineStr"/>
      <c r="P860" s="11" t="inlineStr">
        <is>
          <t>https://website-9ib.pages.dev/termek/770410-olaj-tartaly-40l/</t>
        </is>
      </c>
      <c r="Q860" s="12" t="inlineStr"/>
      <c r="R860" s="13" t="inlineStr"/>
      <c r="S860" s="6" t="inlineStr">
        <is>
          <t>770410-olaj-tartaly-40l</t>
        </is>
      </c>
    </row>
    <row r="861">
      <c r="A861" s="6" t="inlineStr">
        <is>
          <t>351201</t>
        </is>
      </c>
      <c r="B861" s="7" t="inlineStr">
        <is>
          <t>Pótkeréktartó 120 mm tengelyközép</t>
        </is>
      </c>
      <c r="C861" s="6" t="inlineStr">
        <is>
          <t>Billencs alkatrészek</t>
        </is>
      </c>
      <c r="D861" s="6" t="inlineStr">
        <is>
          <t>Billencs rakoncák</t>
        </is>
      </c>
      <c r="E861" s="6" t="inlineStr">
        <is>
          <t>Ital Accessori</t>
        </is>
      </c>
      <c r="F861" s="6" t="inlineStr">
        <is>
          <t>351201</t>
        </is>
      </c>
      <c r="G861" s="6" t="inlineStr">
        <is>
          <t>Quadris Excel</t>
        </is>
      </c>
      <c r="H861" s="6" t="n">
        <v>1</v>
      </c>
      <c r="I861" s="6" t="n">
        <v>3</v>
      </c>
      <c r="J861" s="6" t="inlineStr">
        <is>
          <t>nincs</t>
        </is>
      </c>
      <c r="K861" s="6">
        <f>IF(AND(H861&gt;0,I861&gt;0),"Rendben",IF(AND(H861=0,I861=0),"Nincs kép és adat",IF(H861=0,"Nincs kép","Nincs adat")))</f>
        <v/>
      </c>
      <c r="L861" s="6" t="inlineStr">
        <is>
          <t>Igen</t>
        </is>
      </c>
      <c r="M861" s="7" t="inlineStr">
        <is>
          <t>Ital Accessori teljes PDF katalógus (ital-accessori.sk)</t>
        </is>
      </c>
      <c r="N861" s="7" t="inlineStr">
        <is>
          <t>Megtalálva: Držiak rezervy kolesa s roztečou od 225 do 335 mm Spare wheel holder with wheelbase from 225-335 mm (kód: 351201)</t>
        </is>
      </c>
      <c r="O861" s="11" t="inlineStr">
        <is>
          <t>https://www.ital-accessori.sk/katalog/book/KOMP/662/</t>
        </is>
      </c>
      <c r="P861" s="11" t="inlineStr">
        <is>
          <t>https://website-9ib.pages.dev/termek/351201-potkerektarto-120-mm-tengelykozep/</t>
        </is>
      </c>
      <c r="Q861" s="12" t="inlineStr"/>
      <c r="R861" s="13" t="inlineStr"/>
      <c r="S861" s="6" t="inlineStr">
        <is>
          <t>351201-potkerektarto-120-mm-tengelykozep</t>
        </is>
      </c>
    </row>
    <row r="862">
      <c r="A862" s="6" t="inlineStr">
        <is>
          <t>145260</t>
        </is>
      </c>
      <c r="B862" s="7" t="inlineStr">
        <is>
          <t>Szelep 22- 3/4</t>
        </is>
      </c>
      <c r="C862" s="6" t="inlineStr">
        <is>
          <t>Billencs alkatrészek</t>
        </is>
      </c>
      <c r="D862" s="6" t="inlineStr">
        <is>
          <t>Billencs alkatrészek</t>
        </is>
      </c>
      <c r="E862" s="6" t="inlineStr">
        <is>
          <t>Ital Accessori</t>
        </is>
      </c>
      <c r="F862" s="6" t="inlineStr">
        <is>
          <t>512610</t>
        </is>
      </c>
      <c r="G862" s="6" t="inlineStr">
        <is>
          <t>Quadris Excel</t>
        </is>
      </c>
      <c r="H862" s="6" t="n">
        <v>1</v>
      </c>
      <c r="I862" s="6" t="n">
        <v>1</v>
      </c>
      <c r="J862" s="6" t="inlineStr">
        <is>
          <t>nincs</t>
        </is>
      </c>
      <c r="K862" s="6">
        <f>IF(AND(H862&gt;0,I862&gt;0),"Rendben",IF(AND(H862=0,I862=0),"Nincs kép és adat",IF(H862=0,"Nincs kép","Nincs adat")))</f>
        <v/>
      </c>
      <c r="L862" s="6" t="inlineStr">
        <is>
          <t>Igen</t>
        </is>
      </c>
      <c r="M862" s="7" t="inlineStr">
        <is>
          <t>Ital Accessori teljes PDF katalógus (ital-accessori.sk)</t>
        </is>
      </c>
      <c r="N862" s="7" t="inlineStr">
        <is>
          <t>Megtalálva: Vstupný olejový ventil STANDARD Oil inlet pin (kód: 512610)</t>
        </is>
      </c>
      <c r="O862" s="11" t="inlineStr">
        <is>
          <t>https://www.ital-accessori.sk/katalog/book/KOMP/414/</t>
        </is>
      </c>
      <c r="P862" s="11" t="inlineStr">
        <is>
          <t>https://website-9ib.pages.dev/termek/145260-szelep-22-3-4/</t>
        </is>
      </c>
      <c r="Q862" s="12" t="inlineStr"/>
      <c r="R862" s="13" t="inlineStr"/>
      <c r="S862" s="6" t="inlineStr">
        <is>
          <t>145260-szelep-22-3-4</t>
        </is>
      </c>
    </row>
    <row r="863">
      <c r="A863" s="6" t="inlineStr">
        <is>
          <t>145170</t>
        </is>
      </c>
      <c r="B863" s="7" t="inlineStr">
        <is>
          <t>Szelep1/2</t>
        </is>
      </c>
      <c r="C863" s="6" t="inlineStr">
        <is>
          <t>Billencs alkatrészek</t>
        </is>
      </c>
      <c r="D863" s="6" t="inlineStr">
        <is>
          <t>Billencs alkatrészek</t>
        </is>
      </c>
      <c r="E863" s="6" t="inlineStr">
        <is>
          <t>Ital Accessori</t>
        </is>
      </c>
      <c r="F863" s="6" t="inlineStr">
        <is>
          <t>517000</t>
        </is>
      </c>
      <c r="G863" s="6" t="inlineStr">
        <is>
          <t>Quadris Excel</t>
        </is>
      </c>
      <c r="H863" s="6" t="n">
        <v>1</v>
      </c>
      <c r="I863" s="6" t="n">
        <v>1</v>
      </c>
      <c r="J863" s="6" t="inlineStr">
        <is>
          <t>nincs</t>
        </is>
      </c>
      <c r="K863" s="6">
        <f>IF(AND(H863&gt;0,I863&gt;0),"Rendben",IF(AND(H863=0,I863=0),"Nincs kép és adat",IF(H863=0,"Nincs kép","Nincs adat")))</f>
        <v/>
      </c>
      <c r="L863" s="6" t="inlineStr">
        <is>
          <t>Igen</t>
        </is>
      </c>
      <c r="M863" s="7" t="inlineStr">
        <is>
          <t>Ital Accessori teljes PDF katalógus (ital-accessori.sk)</t>
        </is>
      </c>
      <c r="N863" s="7" t="inlineStr">
        <is>
          <t>Megtalálva: Vstupný olejový ventil STANDARD Oil inlet pin (kód: 517000)</t>
        </is>
      </c>
      <c r="O863" s="11" t="inlineStr">
        <is>
          <t>https://www.ital-accessori.sk/katalog/book/KOMP/411/</t>
        </is>
      </c>
      <c r="P863" s="11" t="inlineStr">
        <is>
          <t>https://website-9ib.pages.dev/termek/145170-szelep1-2/</t>
        </is>
      </c>
      <c r="Q863" s="12" t="inlineStr"/>
      <c r="R863" s="13" t="inlineStr"/>
      <c r="S863" s="6" t="inlineStr">
        <is>
          <t>145170-szelep1-2</t>
        </is>
      </c>
    </row>
    <row r="864">
      <c r="A864" s="6" t="inlineStr">
        <is>
          <t>140004</t>
        </is>
      </c>
      <c r="B864" s="7" t="inlineStr">
        <is>
          <t>T4 Bölcső</t>
        </is>
      </c>
      <c r="C864" s="6" t="inlineStr">
        <is>
          <t>Billencs alkatrészek</t>
        </is>
      </c>
      <c r="D864" s="6" t="inlineStr">
        <is>
          <t>Billencs alkatrészek</t>
        </is>
      </c>
      <c r="E864" s="6" t="inlineStr">
        <is>
          <t>Ital Accessori</t>
        </is>
      </c>
      <c r="F864" s="6" t="inlineStr">
        <is>
          <t>510004</t>
        </is>
      </c>
      <c r="G864" s="6" t="inlineStr">
        <is>
          <t>Quadris Excel</t>
        </is>
      </c>
      <c r="H864" s="6" t="n">
        <v>1</v>
      </c>
      <c r="I864" s="6" t="n">
        <v>4</v>
      </c>
      <c r="J864" s="6" t="inlineStr">
        <is>
          <t>nincs</t>
        </is>
      </c>
      <c r="K864" s="6">
        <f>IF(AND(H864&gt;0,I864&gt;0),"Rendben",IF(AND(H864=0,I864=0),"Nincs kép és adat",IF(H864=0,"Nincs kép","Nincs adat")))</f>
        <v/>
      </c>
      <c r="L864" s="6" t="inlineStr">
        <is>
          <t>Igen</t>
        </is>
      </c>
      <c r="M864" s="7" t="inlineStr">
        <is>
          <t>Ital Accessori teljes PDF katalógus (ital-accessori.sk)</t>
        </is>
      </c>
      <c r="N864" s="7" t="inlineStr">
        <is>
          <t>Megtalálva: Kardán Cradles for cylinders (kód: 510004)</t>
        </is>
      </c>
      <c r="O864" s="11" t="inlineStr">
        <is>
          <t>https://www.ital-accessori.sk/katalog/book/KOMP/401/</t>
        </is>
      </c>
      <c r="P864" s="11" t="inlineStr">
        <is>
          <t>https://website-9ib.pages.dev/termek/140004-t4-bolcso/</t>
        </is>
      </c>
      <c r="Q864" s="12" t="inlineStr"/>
      <c r="R864" s="13" t="inlineStr"/>
      <c r="S864" s="6" t="inlineStr">
        <is>
          <t>140004-t4-bolcso</t>
        </is>
      </c>
    </row>
    <row r="865">
      <c r="A865" s="6" t="inlineStr">
        <is>
          <t>140005</t>
        </is>
      </c>
      <c r="B865" s="7" t="inlineStr">
        <is>
          <t>T5 Bölcső</t>
        </is>
      </c>
      <c r="C865" s="6" t="inlineStr">
        <is>
          <t>Billencs alkatrészek</t>
        </is>
      </c>
      <c r="D865" s="6" t="inlineStr">
        <is>
          <t>Billencs alkatrészek</t>
        </is>
      </c>
      <c r="E865" s="6" t="inlineStr">
        <is>
          <t>Ital Accessori</t>
        </is>
      </c>
      <c r="F865" s="6" t="inlineStr">
        <is>
          <t>510005</t>
        </is>
      </c>
      <c r="G865" s="6" t="inlineStr">
        <is>
          <t>Quadris Excel</t>
        </is>
      </c>
      <c r="H865" s="6" t="n">
        <v>1</v>
      </c>
      <c r="I865" s="6" t="n">
        <v>4</v>
      </c>
      <c r="J865" s="6" t="inlineStr">
        <is>
          <t>nincs</t>
        </is>
      </c>
      <c r="K865" s="6">
        <f>IF(AND(H865&gt;0,I865&gt;0),"Rendben",IF(AND(H865=0,I865=0),"Nincs kép és adat",IF(H865=0,"Nincs kép","Nincs adat")))</f>
        <v/>
      </c>
      <c r="L865" s="6" t="inlineStr">
        <is>
          <t>Igen</t>
        </is>
      </c>
      <c r="M865" s="7" t="inlineStr">
        <is>
          <t>Ital Accessori teljes PDF katalógus (ital-accessori.sk)</t>
        </is>
      </c>
      <c r="N865" s="7" t="inlineStr">
        <is>
          <t>Megtalálva: Kardán Cradles for cylinders (kód: 510005)</t>
        </is>
      </c>
      <c r="O865" s="11" t="inlineStr">
        <is>
          <t>https://www.ital-accessori.sk/katalog/book/KOMP/402/</t>
        </is>
      </c>
      <c r="P865" s="11" t="inlineStr">
        <is>
          <t>https://website-9ib.pages.dev/termek/140005-t5-bolcso/</t>
        </is>
      </c>
      <c r="Q865" s="12" t="inlineStr"/>
      <c r="R865" s="13" t="inlineStr"/>
      <c r="S865" s="6" t="inlineStr">
        <is>
          <t>140005-t5-bolcso</t>
        </is>
      </c>
    </row>
    <row r="866">
      <c r="A866" s="6" t="inlineStr">
        <is>
          <t>140006</t>
        </is>
      </c>
      <c r="B866" s="7" t="inlineStr">
        <is>
          <t>T6 Bölcső</t>
        </is>
      </c>
      <c r="C866" s="6" t="inlineStr">
        <is>
          <t>Billencs alkatrészek</t>
        </is>
      </c>
      <c r="D866" s="6" t="inlineStr">
        <is>
          <t>Billencs alkatrészek</t>
        </is>
      </c>
      <c r="E866" s="6" t="inlineStr">
        <is>
          <t>Ital Accessori</t>
        </is>
      </c>
      <c r="F866" s="6" t="inlineStr">
        <is>
          <t>510006</t>
        </is>
      </c>
      <c r="G866" s="6" t="inlineStr">
        <is>
          <t>Quadris Excel</t>
        </is>
      </c>
      <c r="H866" s="6" t="n">
        <v>1</v>
      </c>
      <c r="I866" s="6" t="n">
        <v>4</v>
      </c>
      <c r="J866" s="6" t="inlineStr">
        <is>
          <t>nincs</t>
        </is>
      </c>
      <c r="K866" s="6">
        <f>IF(AND(H866&gt;0,I866&gt;0),"Rendben",IF(AND(H866=0,I866=0),"Nincs kép és adat",IF(H866=0,"Nincs kép","Nincs adat")))</f>
        <v/>
      </c>
      <c r="L866" s="6" t="inlineStr">
        <is>
          <t>Igen</t>
        </is>
      </c>
      <c r="M866" s="7" t="inlineStr">
        <is>
          <t>Ital Accessori teljes PDF katalógus (ital-accessori.sk)</t>
        </is>
      </c>
      <c r="N866" s="7" t="inlineStr">
        <is>
          <t>Megtalálva: Kardán Cradles for cylinders (kód: 510006)</t>
        </is>
      </c>
      <c r="O866" s="11" t="inlineStr">
        <is>
          <t>https://www.ital-accessori.sk/katalog/book/KOMP/402/</t>
        </is>
      </c>
      <c r="P866" s="11" t="inlineStr">
        <is>
          <t>https://website-9ib.pages.dev/termek/140006-t6-bolcso/</t>
        </is>
      </c>
      <c r="Q866" s="12" t="inlineStr"/>
      <c r="R866" s="13" t="inlineStr"/>
      <c r="S866" s="6" t="inlineStr">
        <is>
          <t>140006-t6-bolcso</t>
        </is>
      </c>
    </row>
    <row r="867">
      <c r="A867" s="6" t="inlineStr">
        <is>
          <t>140008</t>
        </is>
      </c>
      <c r="B867" s="7" t="inlineStr">
        <is>
          <t>T8 Bölcső D240</t>
        </is>
      </c>
      <c r="C867" s="6" t="inlineStr">
        <is>
          <t>Billencs alkatrészek</t>
        </is>
      </c>
      <c r="D867" s="6" t="inlineStr">
        <is>
          <t>Billencs alkatrészek</t>
        </is>
      </c>
      <c r="E867" s="6" t="inlineStr">
        <is>
          <t>Ital Accessori</t>
        </is>
      </c>
      <c r="F867" s="6" t="inlineStr">
        <is>
          <t>510008</t>
        </is>
      </c>
      <c r="G867" s="6" t="inlineStr">
        <is>
          <t>Quadris Excel</t>
        </is>
      </c>
      <c r="H867" s="6" t="n">
        <v>1</v>
      </c>
      <c r="I867" s="6" t="n">
        <v>4</v>
      </c>
      <c r="J867" s="6" t="inlineStr">
        <is>
          <t>nincs</t>
        </is>
      </c>
      <c r="K867" s="6">
        <f>IF(AND(H867&gt;0,I867&gt;0),"Rendben",IF(AND(H867=0,I867=0),"Nincs kép és adat",IF(H867=0,"Nincs kép","Nincs adat")))</f>
        <v/>
      </c>
      <c r="L867" s="6" t="inlineStr">
        <is>
          <t>Igen</t>
        </is>
      </c>
      <c r="M867" s="7" t="inlineStr">
        <is>
          <t>Ital Accessori teljes PDF katalógus (ital-accessori.sk)</t>
        </is>
      </c>
      <c r="N867" s="7" t="inlineStr">
        <is>
          <t>Megtalálva: Kardán Cradles for cylinders (kód: 510008)</t>
        </is>
      </c>
      <c r="O867" s="11" t="inlineStr">
        <is>
          <t>https://www.ital-accessori.sk/katalog/book/KOMP/402/</t>
        </is>
      </c>
      <c r="P867" s="11" t="inlineStr">
        <is>
          <t>https://website-9ib.pages.dev/termek/140008-t8-bolcso-d240/</t>
        </is>
      </c>
      <c r="Q867" s="12" t="inlineStr"/>
      <c r="R867" s="13" t="inlineStr"/>
      <c r="S867" s="6" t="inlineStr">
        <is>
          <t>140008-t8-bolcso-d240</t>
        </is>
      </c>
    </row>
    <row r="868">
      <c r="A868" s="6" t="inlineStr">
        <is>
          <t>146039</t>
        </is>
      </c>
      <c r="B868" s="7" t="inlineStr">
        <is>
          <t>Végálláskapcsoló elektromos konzollal</t>
        </is>
      </c>
      <c r="C868" s="6" t="inlineStr">
        <is>
          <t>Billencs alkatrészek</t>
        </is>
      </c>
      <c r="D868" s="6" t="inlineStr">
        <is>
          <t>Billencs alkatrészek</t>
        </is>
      </c>
      <c r="E868" s="6" t="inlineStr">
        <is>
          <t>Ital Accessori</t>
        </is>
      </c>
      <c r="F868" s="6" t="inlineStr">
        <is>
          <t>12100039</t>
        </is>
      </c>
      <c r="G868" s="6" t="inlineStr">
        <is>
          <t>Quadris Excel</t>
        </is>
      </c>
      <c r="H868" s="6" t="n">
        <v>0</v>
      </c>
      <c r="I868" s="6" t="n">
        <v>0</v>
      </c>
      <c r="J868" s="6" t="inlineStr">
        <is>
          <t>nincs</t>
        </is>
      </c>
      <c r="K868" s="6">
        <f>IF(AND(H868&gt;0,I868&gt;0),"Rendben",IF(AND(H868=0,I868=0),"Nincs kép és adat",IF(H868=0,"Nincs kép","Nincs adat")))</f>
        <v/>
      </c>
      <c r="L868" s="6" t="inlineStr">
        <is>
          <t>Igen</t>
        </is>
      </c>
      <c r="M868" s="7" t="inlineStr">
        <is>
          <t>Ital Accessori teljes PDF katalógus (ital-accessori.sk)</t>
        </is>
      </c>
      <c r="N868" s="7" t="inlineStr">
        <is>
          <t>Nem találtuk: Ital Accessori teljes PDF katalógus (ital-accessori.sk)</t>
        </is>
      </c>
      <c r="O868" s="6" t="inlineStr"/>
      <c r="P868" s="11" t="inlineStr">
        <is>
          <t>https://website-9ib.pages.dev/termek/146039-vegallaskapcsolo-elektromos-konzollal/</t>
        </is>
      </c>
      <c r="Q868" s="12" t="inlineStr"/>
      <c r="R868" s="13" t="inlineStr"/>
      <c r="S868" s="6" t="inlineStr">
        <is>
          <t>146039-vegallaskapcsolo-elektromos-konzollal</t>
        </is>
      </c>
    </row>
    <row r="869">
      <c r="A869" s="6" t="inlineStr">
        <is>
          <t>142211</t>
        </is>
      </c>
      <c r="B869" s="7" t="inlineStr">
        <is>
          <t>Áramtalanító kapcsoló</t>
        </is>
      </c>
      <c r="C869" s="6" t="inlineStr">
        <is>
          <t>Billencs alkatrészek</t>
        </is>
      </c>
      <c r="D869" s="6" t="inlineStr">
        <is>
          <t>Billencs alkatrészek</t>
        </is>
      </c>
      <c r="E869" s="6" t="inlineStr">
        <is>
          <t>Ital Accessori</t>
        </is>
      </c>
      <c r="F869" s="6" t="inlineStr">
        <is>
          <t>12201100302</t>
        </is>
      </c>
      <c r="G869" s="6" t="inlineStr">
        <is>
          <t>Quadris Excel</t>
        </is>
      </c>
      <c r="H869" s="6" t="n">
        <v>0</v>
      </c>
      <c r="I869" s="6" t="n">
        <v>0</v>
      </c>
      <c r="J869" s="6" t="inlineStr">
        <is>
          <t>nincs</t>
        </is>
      </c>
      <c r="K869" s="6">
        <f>IF(AND(H869&gt;0,I869&gt;0),"Rendben",IF(AND(H869=0,I869=0),"Nincs kép és adat",IF(H869=0,"Nincs kép","Nincs adat")))</f>
        <v/>
      </c>
      <c r="L869" s="6" t="inlineStr">
        <is>
          <t>Igen</t>
        </is>
      </c>
      <c r="M869" s="7" t="inlineStr">
        <is>
          <t>Ital Accessori teljes PDF katalógus (ital-accessori.sk)</t>
        </is>
      </c>
      <c r="N869" s="7" t="inlineStr">
        <is>
          <t>Nem találtuk: Ital Accessori teljes PDF katalógus (ital-accessori.sk)</t>
        </is>
      </c>
      <c r="O869" s="6" t="inlineStr"/>
      <c r="P869" s="11" t="inlineStr">
        <is>
          <t>https://website-9ib.pages.dev/termek/142211-aramtalanito-kapcsolo/</t>
        </is>
      </c>
      <c r="Q869" s="12" t="inlineStr"/>
      <c r="R869" s="13" t="inlineStr"/>
      <c r="S869" s="6" t="inlineStr">
        <is>
          <t>142211-aramtalanito-kapcsolo</t>
        </is>
      </c>
    </row>
    <row r="870">
      <c r="A870" s="6" t="inlineStr">
        <is>
          <t>141219</t>
        </is>
      </c>
      <c r="B870" s="7" t="inlineStr">
        <is>
          <t>Útváltó 3/4"</t>
        </is>
      </c>
      <c r="C870" s="6" t="inlineStr">
        <is>
          <t>Billencs alkatrészek</t>
        </is>
      </c>
      <c r="D870" s="6" t="inlineStr">
        <is>
          <t>Billencs alkatrészek</t>
        </is>
      </c>
      <c r="E870" s="6" t="inlineStr">
        <is>
          <t>Ital Accessori</t>
        </is>
      </c>
      <c r="F870" s="6" t="inlineStr">
        <is>
          <t>12101900351</t>
        </is>
      </c>
      <c r="G870" s="6" t="inlineStr">
        <is>
          <t>Quadris Excel</t>
        </is>
      </c>
      <c r="H870" s="6" t="n">
        <v>0</v>
      </c>
      <c r="I870" s="6" t="n">
        <v>0</v>
      </c>
      <c r="J870" s="6" t="inlineStr">
        <is>
          <t>nincs</t>
        </is>
      </c>
      <c r="K870" s="6">
        <f>IF(AND(H870&gt;0,I870&gt;0),"Rendben",IF(AND(H870=0,I870=0),"Nincs kép és adat",IF(H870=0,"Nincs kép","Nincs adat")))</f>
        <v/>
      </c>
      <c r="L870" s="6" t="inlineStr">
        <is>
          <t>Igen</t>
        </is>
      </c>
      <c r="M870" s="7" t="inlineStr">
        <is>
          <t>Ital Accessori teljes PDF katalógus (ital-accessori.sk)</t>
        </is>
      </c>
      <c r="N870" s="7" t="inlineStr">
        <is>
          <t>Nem találtuk: Ital Accessori teljes PDF katalógus (ital-accessori.sk)</t>
        </is>
      </c>
      <c r="O870" s="6" t="inlineStr"/>
      <c r="P870" s="11" t="inlineStr">
        <is>
          <t>https://website-9ib.pages.dev/termek/141219-utvalto-3-4/</t>
        </is>
      </c>
      <c r="Q870" s="12" t="inlineStr"/>
      <c r="R870" s="13" t="inlineStr"/>
      <c r="S870" s="6" t="inlineStr">
        <is>
          <t>141219-utvalto-3-4</t>
        </is>
      </c>
    </row>
    <row r="871">
      <c r="A871" s="6" t="inlineStr">
        <is>
          <t>502220</t>
        </is>
      </c>
      <c r="B871" s="7" t="inlineStr">
        <is>
          <t>2 fokos létra Thorg. stéges TK</t>
        </is>
      </c>
      <c r="C871" s="6" t="inlineStr">
        <is>
          <t>Dobozos felépítmény alkatrészek</t>
        </is>
      </c>
      <c r="D871" s="6" t="inlineStr">
        <is>
          <t>Létrák</t>
        </is>
      </c>
      <c r="E871" s="6" t="inlineStr">
        <is>
          <t>Ital Accessori</t>
        </is>
      </c>
      <c r="F871" s="6" t="inlineStr">
        <is>
          <t>TK8255</t>
        </is>
      </c>
      <c r="G871" s="6" t="inlineStr">
        <is>
          <t>Quadris Excel</t>
        </is>
      </c>
      <c r="H871" s="6" t="n">
        <v>0</v>
      </c>
      <c r="I871" s="6" t="n">
        <v>0</v>
      </c>
      <c r="J871" s="6" t="inlineStr">
        <is>
          <t>nincs</t>
        </is>
      </c>
      <c r="K871" s="6">
        <f>IF(AND(H871&gt;0,I871&gt;0),"Rendben",IF(AND(H871=0,I871=0),"Nincs kép és adat",IF(H871=0,"Nincs kép","Nincs adat")))</f>
        <v/>
      </c>
      <c r="L871" s="6" t="inlineStr">
        <is>
          <t>Igen</t>
        </is>
      </c>
      <c r="M871" s="7" t="inlineStr">
        <is>
          <t>Ital Accessori teljes PDF katalógus (ital-accessori.sk)</t>
        </is>
      </c>
      <c r="N871" s="7" t="inlineStr">
        <is>
          <t>Nem találtuk: Ital Accessori teljes PDF katalógus (ital-accessori.sk)</t>
        </is>
      </c>
      <c r="O871" s="6" t="inlineStr"/>
      <c r="P871" s="11" t="inlineStr">
        <is>
          <t>https://website-9ib.pages.dev/termek/502220-2-fokos-letra-thorg-steges-tk/</t>
        </is>
      </c>
      <c r="Q871" s="12" t="inlineStr"/>
      <c r="R871" s="13" t="inlineStr"/>
      <c r="S871" s="6" t="inlineStr">
        <is>
          <t>502220-2-fokos-letra-thorg-steges-tk</t>
        </is>
      </c>
    </row>
    <row r="872">
      <c r="A872" s="6" t="inlineStr">
        <is>
          <t>502287</t>
        </is>
      </c>
      <c r="B872" s="7" t="inlineStr">
        <is>
          <t>3 fokos létra Thorg. stéges TK</t>
        </is>
      </c>
      <c r="C872" s="6" t="inlineStr">
        <is>
          <t>Dobozos felépítmény alkatrészek</t>
        </is>
      </c>
      <c r="D872" s="6" t="inlineStr">
        <is>
          <t>Létrák</t>
        </is>
      </c>
      <c r="E872" s="6" t="inlineStr">
        <is>
          <t>Ital Accessori</t>
        </is>
      </c>
      <c r="F872" s="6" t="inlineStr">
        <is>
          <t>228765</t>
        </is>
      </c>
      <c r="G872" s="6" t="inlineStr">
        <is>
          <t>Quadris Excel</t>
        </is>
      </c>
      <c r="H872" s="6" t="n">
        <v>2</v>
      </c>
      <c r="I872" s="6" t="n">
        <v>8</v>
      </c>
      <c r="J872" s="6" t="inlineStr">
        <is>
          <t>nincs</t>
        </is>
      </c>
      <c r="K872" s="6">
        <f>IF(AND(H872&gt;0,I872&gt;0),"Rendben",IF(AND(H872=0,I872=0),"Nincs kép és adat",IF(H872=0,"Nincs kép","Nincs adat")))</f>
        <v/>
      </c>
      <c r="L872" s="6" t="inlineStr">
        <is>
          <t>Igen</t>
        </is>
      </c>
      <c r="M872" s="7" t="inlineStr">
        <is>
          <t>Ital Accessori teljes PDF katalógus (ital-accessori.sk)</t>
        </is>
      </c>
      <c r="N872" s="7" t="inlineStr">
        <is>
          <t>Megtalálva: Ital Accessori katalógus 631. oldal (kód: 228765)</t>
        </is>
      </c>
      <c r="O872" s="11" t="inlineStr">
        <is>
          <t>https://www.ital-accessori.sk/katalog/book/KOMP/631/</t>
        </is>
      </c>
      <c r="P872" s="11" t="inlineStr">
        <is>
          <t>https://website-9ib.pages.dev/termek/502287-3-fokos-letra-thorg-steges-tk/</t>
        </is>
      </c>
      <c r="Q872" s="12" t="inlineStr"/>
      <c r="R872" s="13" t="inlineStr"/>
      <c r="S872" s="6" t="inlineStr">
        <is>
          <t>502287-3-fokos-letra-thorg-steges-tk</t>
        </is>
      </c>
    </row>
    <row r="873">
      <c r="A873" s="6" t="inlineStr">
        <is>
          <t>517026</t>
        </is>
      </c>
      <c r="B873" s="7" t="inlineStr">
        <is>
          <t>30 mm-es PVC tömítés G</t>
        </is>
      </c>
      <c r="C873" s="6" t="inlineStr">
        <is>
          <t>Dobozos felépítmény alkatrészek</t>
        </is>
      </c>
      <c r="D873" s="6" t="inlineStr">
        <is>
          <t>Tömítések</t>
        </is>
      </c>
      <c r="E873" s="6" t="inlineStr">
        <is>
          <t>Ital Accessori</t>
        </is>
      </c>
      <c r="F873" s="6" t="inlineStr">
        <is>
          <t>017026</t>
        </is>
      </c>
      <c r="G873" s="6" t="inlineStr">
        <is>
          <t>Quadris Excel</t>
        </is>
      </c>
      <c r="H873" s="6" t="n">
        <v>1</v>
      </c>
      <c r="I873" s="6" t="n">
        <v>4</v>
      </c>
      <c r="J873" s="6" t="inlineStr">
        <is>
          <t>nincs</t>
        </is>
      </c>
      <c r="K873" s="6">
        <f>IF(AND(H873&gt;0,I873&gt;0),"Rendben",IF(AND(H873=0,I873=0),"Nincs kép és adat",IF(H873=0,"Nincs kép","Nincs adat")))</f>
        <v/>
      </c>
      <c r="L873" s="6" t="inlineStr">
        <is>
          <t>Igen</t>
        </is>
      </c>
      <c r="M873" s="7" t="inlineStr">
        <is>
          <t>Ital Accessori teljes PDF katalógus (ital-accessori.sk)</t>
        </is>
      </c>
      <c r="N873" s="7" t="inlineStr">
        <is>
          <t>Megtalálva: PVC tesnenie 30 mm, dvojjazýčkové, sivé PVC door seal 30 mm grey (kód: 017026)</t>
        </is>
      </c>
      <c r="O873" s="11" t="inlineStr">
        <is>
          <t>https://www.ital-accessori.sk/katalog/book/KOMP/157/</t>
        </is>
      </c>
      <c r="P873" s="11" t="inlineStr">
        <is>
          <t>https://website-9ib.pages.dev/termek/517026-30-mm-es-pvc-tomites-g/</t>
        </is>
      </c>
      <c r="Q873" s="12" t="inlineStr"/>
      <c r="R873" s="13" t="inlineStr"/>
      <c r="S873" s="6" t="inlineStr">
        <is>
          <t>517026-30-mm-es-pvc-tomites-g</t>
        </is>
      </c>
    </row>
    <row r="874">
      <c r="A874" s="6" t="inlineStr">
        <is>
          <t>514528</t>
        </is>
      </c>
      <c r="B874" s="7" t="inlineStr">
        <is>
          <t>44 mm-es PVC térelválasztó tömítés G</t>
        </is>
      </c>
      <c r="C874" s="6" t="inlineStr">
        <is>
          <t>Dobozos felépítmény alkatrészek</t>
        </is>
      </c>
      <c r="D874" s="6" t="inlineStr">
        <is>
          <t>Tömítések</t>
        </is>
      </c>
      <c r="E874" s="6" t="inlineStr">
        <is>
          <t>Ital Accessori</t>
        </is>
      </c>
      <c r="F874" s="6" t="inlineStr">
        <is>
          <t>014528</t>
        </is>
      </c>
      <c r="G874" s="6" t="inlineStr">
        <is>
          <t>Quadris Excel</t>
        </is>
      </c>
      <c r="H874" s="6" t="n">
        <v>1</v>
      </c>
      <c r="I874" s="6" t="n">
        <v>4</v>
      </c>
      <c r="J874" s="6" t="inlineStr">
        <is>
          <t>nincs</t>
        </is>
      </c>
      <c r="K874" s="6">
        <f>IF(AND(H874&gt;0,I874&gt;0),"Rendben",IF(AND(H874=0,I874=0),"Nincs kép és adat",IF(H874=0,"Nincs kép","Nincs adat")))</f>
        <v/>
      </c>
      <c r="L874" s="6" t="inlineStr">
        <is>
          <t>Igen</t>
        </is>
      </c>
      <c r="M874" s="7" t="inlineStr">
        <is>
          <t>Ital Accessori teljes PDF katalógus (ital-accessori.sk)</t>
        </is>
      </c>
      <c r="N874" s="7" t="inlineStr">
        <is>
          <t>Megtalálva: PVC tesnenie 45 mm, trojjazýčkové, sivé PVC door seal 45 mm grey (kód: 014528)</t>
        </is>
      </c>
      <c r="O874" s="11" t="inlineStr">
        <is>
          <t>https://www.ital-accessori.sk/katalog/book/KOMP/158/</t>
        </is>
      </c>
      <c r="P874" s="11" t="inlineStr">
        <is>
          <t>https://website-9ib.pages.dev/termek/514528-44-mm-es-pvc-terelvalaszto-tomites-g/</t>
        </is>
      </c>
      <c r="Q874" s="12" t="inlineStr"/>
      <c r="R874" s="13" t="inlineStr"/>
      <c r="S874" s="6" t="inlineStr">
        <is>
          <t>514528-44-mm-es-pvc-terelvalaszto-tomites-g</t>
        </is>
      </c>
    </row>
    <row r="875">
      <c r="A875" s="6" t="inlineStr">
        <is>
          <t>143020</t>
        </is>
      </c>
      <c r="B875" s="7" t="inlineStr">
        <is>
          <t>Acéllemezes gumiütköző lap</t>
        </is>
      </c>
      <c r="C875" s="6" t="inlineStr">
        <is>
          <t>Dobozos felépítmény alkatrészek</t>
        </is>
      </c>
      <c r="D875" s="6" t="inlineStr">
        <is>
          <t>Gumiütközők</t>
        </is>
      </c>
      <c r="E875" s="6" t="inlineStr">
        <is>
          <t>Ital Accessori</t>
        </is>
      </c>
      <c r="F875" s="6" t="inlineStr"/>
      <c r="G875" s="6" t="inlineStr">
        <is>
          <t>Quadris Excel</t>
        </is>
      </c>
      <c r="H875" s="6" t="n">
        <v>0</v>
      </c>
      <c r="I875" s="6" t="n">
        <v>0</v>
      </c>
      <c r="J875" s="6" t="inlineStr">
        <is>
          <t>nincs</t>
        </is>
      </c>
      <c r="K875" s="6">
        <f>IF(AND(H875&gt;0,I875&gt;0),"Rendben",IF(AND(H875=0,I875=0),"Nincs kép és adat",IF(H875=0,"Nincs kép","Nincs adat")))</f>
        <v/>
      </c>
      <c r="L875" s="6" t="inlineStr">
        <is>
          <t>Igen</t>
        </is>
      </c>
      <c r="M875" s="7" t="inlineStr">
        <is>
          <t>Ital Accessori teljes PDF katalógus (ital-accessori.sk)</t>
        </is>
      </c>
      <c r="N875" s="7" t="inlineStr">
        <is>
          <t>Nem találtuk: Ital Accessori teljes PDF katalógus (ital-accessori.sk)</t>
        </is>
      </c>
      <c r="O875" s="6" t="inlineStr"/>
      <c r="P875" s="11" t="inlineStr">
        <is>
          <t>https://website-9ib.pages.dev/termek/143020-acellemezes-gumiutkozo-lap/</t>
        </is>
      </c>
      <c r="Q875" s="12" t="inlineStr"/>
      <c r="R875" s="13" t="inlineStr"/>
      <c r="S875" s="6" t="inlineStr">
        <is>
          <t>143020-acellemezes-gumiutkozo-lap</t>
        </is>
      </c>
    </row>
    <row r="876">
      <c r="A876" s="6" t="inlineStr">
        <is>
          <t>854043</t>
        </is>
      </c>
      <c r="B876" s="7" t="inlineStr">
        <is>
          <t>Rugós ajtórögzítő elox ALU</t>
        </is>
      </c>
      <c r="C876" s="6" t="inlineStr">
        <is>
          <t>Dobozos felépítmény alkatrészek</t>
        </is>
      </c>
      <c r="D876" s="6" t="inlineStr">
        <is>
          <t>Ajtórögzítők</t>
        </is>
      </c>
      <c r="E876" s="6" t="inlineStr">
        <is>
          <t>Ital Accessori</t>
        </is>
      </c>
      <c r="F876" s="6" t="inlineStr">
        <is>
          <t>854043</t>
        </is>
      </c>
      <c r="G876" s="6" t="inlineStr">
        <is>
          <t>Quadris Excel</t>
        </is>
      </c>
      <c r="H876" s="6" t="n">
        <v>1</v>
      </c>
      <c r="I876" s="6" t="n">
        <v>2</v>
      </c>
      <c r="J876" s="6" t="inlineStr">
        <is>
          <t>nincs</t>
        </is>
      </c>
      <c r="K876" s="6">
        <f>IF(AND(H876&gt;0,I876&gt;0),"Rendben",IF(AND(H876=0,I876=0),"Nincs kép és adat",IF(H876=0,"Nincs kép","Nincs adat")))</f>
        <v/>
      </c>
      <c r="L876" s="6" t="inlineStr">
        <is>
          <t>Igen</t>
        </is>
      </c>
      <c r="M876" s="7" t="inlineStr">
        <is>
          <t>Ital Accessori teljes PDF katalógus (ital-accessori.sk)</t>
        </is>
      </c>
      <c r="N876" s="7" t="inlineStr">
        <is>
          <t>Megtalálva: Ital Accessori katalógus 168. oldal (kód: 854043)</t>
        </is>
      </c>
      <c r="O876" s="11" t="inlineStr">
        <is>
          <t>https://www.ital-accessori.sk/katalog/book/KOMP/168/</t>
        </is>
      </c>
      <c r="P876" s="11" t="inlineStr">
        <is>
          <t>https://website-9ib.pages.dev/termek/854043-rugos-ajtorogzito-elox-alu/</t>
        </is>
      </c>
      <c r="Q876" s="12" t="inlineStr"/>
      <c r="R876" s="13" t="inlineStr"/>
      <c r="S876" s="6" t="inlineStr">
        <is>
          <t>854043-rugos-ajtorogzito-elox-alu</t>
        </is>
      </c>
    </row>
    <row r="877">
      <c r="A877" s="6" t="inlineStr">
        <is>
          <t>6613211</t>
        </is>
      </c>
      <c r="B877" s="7" t="inlineStr">
        <is>
          <t>MAX-os első elox oszlop IT</t>
        </is>
      </c>
      <c r="C877" s="6" t="inlineStr">
        <is>
          <t>Elhúzható rolóponyvás rendszer</t>
        </is>
      </c>
      <c r="D877" s="6" t="inlineStr">
        <is>
          <t>Alumínium sarok oszlopok</t>
        </is>
      </c>
      <c r="E877" s="6" t="inlineStr">
        <is>
          <t>Ital Accessori</t>
        </is>
      </c>
      <c r="F877" s="6" t="inlineStr">
        <is>
          <t>320011</t>
        </is>
      </c>
      <c r="G877" s="6" t="inlineStr">
        <is>
          <t>Quadris Excel</t>
        </is>
      </c>
      <c r="H877" s="6" t="n">
        <v>1</v>
      </c>
      <c r="I877" s="6" t="n">
        <v>3</v>
      </c>
      <c r="J877" s="6" t="inlineStr">
        <is>
          <t>nincs</t>
        </is>
      </c>
      <c r="K877" s="6">
        <f>IF(AND(H877&gt;0,I877&gt;0),"Rendben",IF(AND(H877=0,I877=0),"Nincs kép és adat",IF(H877=0,"Nincs kép","Nincs adat")))</f>
        <v/>
      </c>
      <c r="L877" s="6" t="inlineStr">
        <is>
          <t>Igen</t>
        </is>
      </c>
      <c r="M877" s="7" t="inlineStr">
        <is>
          <t>Ital Accessori teljes PDF katalógus (ital-accessori.sk)</t>
        </is>
      </c>
      <c r="N877" s="7" t="inlineStr">
        <is>
          <t>Megtalálva: Hliníkový stĺpik CS predný 3200 mm Aluminium pillar CS frontal 3200 mm (kód: 320011)</t>
        </is>
      </c>
      <c r="O877" s="11" t="inlineStr">
        <is>
          <t>https://www.ital-accessori.sk/katalog/book/KOMP/85/</t>
        </is>
      </c>
      <c r="P877" s="11" t="inlineStr">
        <is>
          <t>https://website-9ib.pages.dev/termek/6613211-max-os-elso-elox-oszlop-it/</t>
        </is>
      </c>
      <c r="Q877" s="12" t="inlineStr"/>
      <c r="R877" s="13" t="inlineStr"/>
      <c r="S877" s="6" t="inlineStr">
        <is>
          <t>6613211-max-os-elso-elox-oszlop-it</t>
        </is>
      </c>
    </row>
    <row r="878">
      <c r="A878" s="6" t="inlineStr"/>
      <c r="B878" s="7" t="inlineStr">
        <is>
          <t>302321/MGú Aláfutásgátló konzol 430 mm</t>
        </is>
      </c>
      <c r="C878" s="6" t="inlineStr">
        <is>
          <t>Platós alkatrészek és kiegészítők</t>
        </is>
      </c>
      <c r="D878" s="6" t="inlineStr">
        <is>
          <t>Aláfutásgátló konzolok</t>
        </is>
      </c>
      <c r="E878" s="6" t="inlineStr">
        <is>
          <t>Ital Accessori</t>
        </is>
      </c>
      <c r="F878" s="6" t="inlineStr">
        <is>
          <t>TK3021</t>
        </is>
      </c>
      <c r="G878" s="6" t="inlineStr">
        <is>
          <t>Quadris Excel</t>
        </is>
      </c>
      <c r="H878" s="6" t="n">
        <v>0</v>
      </c>
      <c r="I878" s="6" t="n">
        <v>0</v>
      </c>
      <c r="J878" s="6" t="inlineStr">
        <is>
          <t>nincs</t>
        </is>
      </c>
      <c r="K878" s="6">
        <f>IF(AND(H878&gt;0,I878&gt;0),"Rendben",IF(AND(H878=0,I878=0),"Nincs kép és adat",IF(H878=0,"Nincs kép","Nincs adat")))</f>
        <v/>
      </c>
      <c r="L878" s="6" t="inlineStr">
        <is>
          <t>Igen</t>
        </is>
      </c>
      <c r="M878" s="7" t="inlineStr">
        <is>
          <t>Ital Accessori teljes PDF katalógus (ital-accessori.sk)</t>
        </is>
      </c>
      <c r="N878" s="7" t="inlineStr">
        <is>
          <t>Nem találtuk: Ital Accessori teljes PDF katalógus (ital-accessori.sk)</t>
        </is>
      </c>
      <c r="O878" s="6" t="inlineStr"/>
      <c r="P878" s="11" t="inlineStr">
        <is>
          <t>https://website-9ib.pages.dev/termek/302321-mgu-alafutasgatlo-konzol-430-mm/</t>
        </is>
      </c>
      <c r="Q878" s="12" t="inlineStr"/>
      <c r="R878" s="13" t="inlineStr"/>
      <c r="S878" s="6" t="inlineStr">
        <is>
          <t>302321-mgu-alafutasgatlo-konzol-430-mm</t>
        </is>
      </c>
    </row>
    <row r="879">
      <c r="A879" s="6" t="inlineStr"/>
      <c r="B879" s="7" t="inlineStr">
        <is>
          <t>302323/MGú Aláfutásgátló konzol 572 mm</t>
        </is>
      </c>
      <c r="C879" s="6" t="inlineStr">
        <is>
          <t>Platós alkatrészek és kiegészítők</t>
        </is>
      </c>
      <c r="D879" s="6" t="inlineStr">
        <is>
          <t>Aláfutásgátló konzolok</t>
        </is>
      </c>
      <c r="E879" s="6" t="inlineStr">
        <is>
          <t>Ital Accessori</t>
        </is>
      </c>
      <c r="F879" s="6" t="inlineStr">
        <is>
          <t>TK3023</t>
        </is>
      </c>
      <c r="G879" s="6" t="inlineStr">
        <is>
          <t>Quadris Excel</t>
        </is>
      </c>
      <c r="H879" s="6" t="n">
        <v>0</v>
      </c>
      <c r="I879" s="6" t="n">
        <v>0</v>
      </c>
      <c r="J879" s="6" t="inlineStr">
        <is>
          <t>nincs</t>
        </is>
      </c>
      <c r="K879" s="6">
        <f>IF(AND(H879&gt;0,I879&gt;0),"Rendben",IF(AND(H879=0,I879=0),"Nincs kép és adat",IF(H879=0,"Nincs kép","Nincs adat")))</f>
        <v/>
      </c>
      <c r="L879" s="6" t="inlineStr">
        <is>
          <t>Igen</t>
        </is>
      </c>
      <c r="M879" s="7" t="inlineStr">
        <is>
          <t>Ital Accessori teljes PDF katalógus (ital-accessori.sk)</t>
        </is>
      </c>
      <c r="N879" s="7" t="inlineStr">
        <is>
          <t>Nem találtuk: Ital Accessori teljes PDF katalógus (ital-accessori.sk)</t>
        </is>
      </c>
      <c r="O879" s="6" t="inlineStr"/>
      <c r="P879" s="11" t="inlineStr">
        <is>
          <t>https://website-9ib.pages.dev/termek/302323-mgu-alafutasgatlo-konzol-572-mm/</t>
        </is>
      </c>
      <c r="Q879" s="12" t="inlineStr"/>
      <c r="R879" s="13" t="inlineStr"/>
      <c r="S879" s="6" t="inlineStr">
        <is>
          <t>302323-mgu-alafutasgatlo-konzol-572-mm</t>
        </is>
      </c>
    </row>
    <row r="880">
      <c r="A880" s="6" t="inlineStr"/>
      <c r="B880" s="7" t="inlineStr">
        <is>
          <t>302325/MGÚ Aláfutásgátló konzol 710 mm</t>
        </is>
      </c>
      <c r="C880" s="6" t="inlineStr">
        <is>
          <t>Platós alkatrészek és kiegészítők</t>
        </is>
      </c>
      <c r="D880" s="6" t="inlineStr">
        <is>
          <t>Aláfutásgátló konzolok</t>
        </is>
      </c>
      <c r="E880" s="6" t="inlineStr">
        <is>
          <t>Ital Accessori</t>
        </is>
      </c>
      <c r="F880" s="6" t="inlineStr">
        <is>
          <t>123025</t>
        </is>
      </c>
      <c r="G880" s="6" t="inlineStr">
        <is>
          <t>Quadris Excel</t>
        </is>
      </c>
      <c r="H880" s="6" t="n">
        <v>0</v>
      </c>
      <c r="I880" s="6" t="n">
        <v>0</v>
      </c>
      <c r="J880" s="6" t="inlineStr">
        <is>
          <t>nincs</t>
        </is>
      </c>
      <c r="K880" s="6">
        <f>IF(AND(H880&gt;0,I880&gt;0),"Rendben",IF(AND(H880=0,I880=0),"Nincs kép és adat",IF(H880=0,"Nincs kép","Nincs adat")))</f>
        <v/>
      </c>
      <c r="L880" s="6" t="inlineStr">
        <is>
          <t>Igen</t>
        </is>
      </c>
      <c r="M880" s="7" t="inlineStr">
        <is>
          <t>Ital Accessori teljes PDF katalógus (ital-accessori.sk)</t>
        </is>
      </c>
      <c r="N880" s="7" t="inlineStr">
        <is>
          <t>Nem találtuk: Ital Accessori teljes PDF katalógus (ital-accessori.sk)</t>
        </is>
      </c>
      <c r="O880" s="6" t="inlineStr"/>
      <c r="P880" s="11" t="inlineStr">
        <is>
          <t>https://website-9ib.pages.dev/termek/302325-mgu-alafutasgatlo-konzol-710-mm/</t>
        </is>
      </c>
      <c r="Q880" s="12" t="inlineStr"/>
      <c r="R880" s="13" t="inlineStr"/>
      <c r="S880" s="6" t="inlineStr">
        <is>
          <t>302325-mgu-alafutasgatlo-konzol-710-mm</t>
        </is>
      </c>
    </row>
    <row r="881">
      <c r="A881" s="6" t="inlineStr">
        <is>
          <t>302352/MGR</t>
        </is>
      </c>
      <c r="B881" s="7" t="inlineStr">
        <is>
          <t>Aláfutásgátló konzol 572 mm</t>
        </is>
      </c>
      <c r="C881" s="6" t="inlineStr">
        <is>
          <t>Platós alkatrészek és kiegészítők</t>
        </is>
      </c>
      <c r="D881" s="6" t="inlineStr">
        <is>
          <t>Aláfutásgátló konzolok</t>
        </is>
      </c>
      <c r="E881" s="6" t="inlineStr">
        <is>
          <t>Ital Accessori</t>
        </is>
      </c>
      <c r="F881" s="6" t="inlineStr">
        <is>
          <t>TL301208</t>
        </is>
      </c>
      <c r="G881" s="6" t="inlineStr">
        <is>
          <t>Quadris Excel</t>
        </is>
      </c>
      <c r="H881" s="6" t="n">
        <v>0</v>
      </c>
      <c r="I881" s="6" t="n">
        <v>0</v>
      </c>
      <c r="J881" s="6" t="inlineStr">
        <is>
          <t>nincs</t>
        </is>
      </c>
      <c r="K881" s="6">
        <f>IF(AND(H881&gt;0,I881&gt;0),"Rendben",IF(AND(H881=0,I881=0),"Nincs kép és adat",IF(H881=0,"Nincs kép","Nincs adat")))</f>
        <v/>
      </c>
      <c r="L881" s="6" t="inlineStr">
        <is>
          <t>Igen</t>
        </is>
      </c>
      <c r="M881" s="7" t="inlineStr">
        <is>
          <t>Ital Accessori teljes PDF katalógus (ital-accessori.sk)</t>
        </is>
      </c>
      <c r="N881" s="7" t="inlineStr">
        <is>
          <t>Nem találtuk: Ital Accessori teljes PDF katalógus (ital-accessori.sk)</t>
        </is>
      </c>
      <c r="O881" s="6" t="inlineStr"/>
      <c r="P881" s="11" t="inlineStr">
        <is>
          <t>https://website-9ib.pages.dev/termek/302352-mgr-alafutasgatlo-konzol-572-mm/</t>
        </is>
      </c>
      <c r="Q881" s="12" t="inlineStr"/>
      <c r="R881" s="13" t="inlineStr"/>
      <c r="S881" s="6" t="inlineStr">
        <is>
          <t>302352-mgr-alafutasgatlo-konzol-572-mm</t>
        </is>
      </c>
    </row>
    <row r="882">
      <c r="A882" s="6" t="inlineStr">
        <is>
          <t>302357/MGR</t>
        </is>
      </c>
      <c r="B882" s="7" t="inlineStr">
        <is>
          <t>Aláfutásgátló konzol 710 mm</t>
        </is>
      </c>
      <c r="C882" s="6" t="inlineStr">
        <is>
          <t>Platós alkatrészek és kiegészítők</t>
        </is>
      </c>
      <c r="D882" s="6" t="inlineStr">
        <is>
          <t>Aláfutásgátló konzolok</t>
        </is>
      </c>
      <c r="E882" s="6" t="inlineStr">
        <is>
          <t>Ital Accessori</t>
        </is>
      </c>
      <c r="F882" s="6" t="inlineStr">
        <is>
          <t>123057</t>
        </is>
      </c>
      <c r="G882" s="6" t="inlineStr">
        <is>
          <t>Quadris Excel</t>
        </is>
      </c>
      <c r="H882" s="6" t="n">
        <v>1</v>
      </c>
      <c r="I882" s="6" t="n">
        <v>3</v>
      </c>
      <c r="J882" s="6" t="inlineStr">
        <is>
          <t>nincs</t>
        </is>
      </c>
      <c r="K882" s="6">
        <f>IF(AND(H882&gt;0,I882&gt;0),"Rendben",IF(AND(H882=0,I882=0),"Nincs kép és adat",IF(H882=0,"Nincs kép","Nincs adat")))</f>
        <v/>
      </c>
      <c r="L882" s="6" t="inlineStr">
        <is>
          <t>Igen</t>
        </is>
      </c>
      <c r="M882" s="7" t="inlineStr">
        <is>
          <t>Ital Accessori teljes PDF katalógus (ital-accessori.sk)</t>
        </is>
      </c>
      <c r="N882" s="7" t="inlineStr">
        <is>
          <t>Megtalálva: Ital Accessori katalógus 614. oldal (kód: 123057)</t>
        </is>
      </c>
      <c r="O882" s="11" t="inlineStr">
        <is>
          <t>https://www.ital-accessori.sk/katalog/book/KOMP/614/</t>
        </is>
      </c>
      <c r="P882" s="11" t="inlineStr">
        <is>
          <t>https://website-9ib.pages.dev/termek/302357-mgr-alafutasgatlo-konzol-710-mm/</t>
        </is>
      </c>
      <c r="Q882" s="12" t="inlineStr"/>
      <c r="R882" s="13" t="inlineStr"/>
      <c r="S882" s="6" t="inlineStr">
        <is>
          <t>302357-mgr-alafutasgatlo-konzol-710-mm</t>
        </is>
      </c>
    </row>
    <row r="883">
      <c r="A883" s="6" t="inlineStr">
        <is>
          <t>301390</t>
        </is>
      </c>
      <c r="B883" s="7" t="inlineStr">
        <is>
          <t>Aláfutásgátló konzol rőgzítő alátét</t>
        </is>
      </c>
      <c r="C883" s="6" t="inlineStr">
        <is>
          <t>Platós alkatrészek és kiegészítők</t>
        </is>
      </c>
      <c r="D883" s="6" t="inlineStr">
        <is>
          <t>Aláfutásgátló konzolok</t>
        </is>
      </c>
      <c r="E883" s="6" t="inlineStr">
        <is>
          <t>Ital Accessori</t>
        </is>
      </c>
      <c r="F883" s="6" t="inlineStr">
        <is>
          <t>TK1390</t>
        </is>
      </c>
      <c r="G883" s="6" t="inlineStr">
        <is>
          <t>Quadris Excel</t>
        </is>
      </c>
      <c r="H883" s="6" t="n">
        <v>0</v>
      </c>
      <c r="I883" s="6" t="n">
        <v>0</v>
      </c>
      <c r="J883" s="6" t="inlineStr">
        <is>
          <t>nincs</t>
        </is>
      </c>
      <c r="K883" s="6">
        <f>IF(AND(H883&gt;0,I883&gt;0),"Rendben",IF(AND(H883=0,I883=0),"Nincs kép és adat",IF(H883=0,"Nincs kép","Nincs adat")))</f>
        <v/>
      </c>
      <c r="L883" s="6" t="inlineStr">
        <is>
          <t>Igen</t>
        </is>
      </c>
      <c r="M883" s="7" t="inlineStr">
        <is>
          <t>Ital Accessori teljes PDF katalógus (ital-accessori.sk)</t>
        </is>
      </c>
      <c r="N883" s="7" t="inlineStr">
        <is>
          <t>Nem találtuk: Ital Accessori teljes PDF katalógus (ital-accessori.sk)</t>
        </is>
      </c>
      <c r="O883" s="6" t="inlineStr"/>
      <c r="P883" s="11" t="inlineStr">
        <is>
          <t>https://website-9ib.pages.dev/termek/301390-alafutasgatlo-konzol-rogzito-alatet/</t>
        </is>
      </c>
      <c r="Q883" s="12" t="inlineStr"/>
      <c r="R883" s="13" t="inlineStr"/>
      <c r="S883" s="6" t="inlineStr">
        <is>
          <t>301390-alafutasgatlo-konzol-rogzito-alatet</t>
        </is>
      </c>
    </row>
    <row r="884">
      <c r="A884" s="6" t="inlineStr">
        <is>
          <t>337510</t>
        </is>
      </c>
      <c r="B884" s="7" t="inlineStr">
        <is>
          <t>Hátsó lámpatartó, rendszámtábla tartó 1800 mm</t>
        </is>
      </c>
      <c r="C884" s="6" t="inlineStr">
        <is>
          <t>Platós alkatrészek és kiegészítők</t>
        </is>
      </c>
      <c r="D884" s="6" t="inlineStr">
        <is>
          <t>Aláfutásgátló konzolok</t>
        </is>
      </c>
      <c r="E884" s="6" t="inlineStr">
        <is>
          <t>Ital Accessori</t>
        </is>
      </c>
      <c r="F884" s="6" t="inlineStr">
        <is>
          <t>337510</t>
        </is>
      </c>
      <c r="G884" s="6" t="inlineStr">
        <is>
          <t>Quadris Excel</t>
        </is>
      </c>
      <c r="H884" s="6" t="n">
        <v>1</v>
      </c>
      <c r="I884" s="6" t="n">
        <v>3</v>
      </c>
      <c r="J884" s="6" t="inlineStr">
        <is>
          <t>nincs</t>
        </is>
      </c>
      <c r="K884" s="6">
        <f>IF(AND(H884&gt;0,I884&gt;0),"Rendben",IF(AND(H884=0,I884=0),"Nincs kép és adat",IF(H884=0,"Nincs kép","Nincs adat")))</f>
        <v/>
      </c>
      <c r="L884" s="6" t="inlineStr">
        <is>
          <t>Igen</t>
        </is>
      </c>
      <c r="M884" s="7" t="inlineStr">
        <is>
          <t>Ital Accessori teljes PDF katalógus (ital-accessori.sk)</t>
        </is>
      </c>
      <c r="N884" s="7" t="inlineStr">
        <is>
          <t>Megtalálva: Sivý oceľový nárazník s plastovými koncovkami Steel bumper with plastic headers - grey (kód: 337510)</t>
        </is>
      </c>
      <c r="O884" s="11" t="inlineStr">
        <is>
          <t>https://www.ital-accessori.sk/katalog/book/KOMP/654/</t>
        </is>
      </c>
      <c r="P884" s="11" t="inlineStr">
        <is>
          <t>https://website-9ib.pages.dev/termek/337510-hatso-lampatarto-rendszamtabla-tarto-1800-mm/</t>
        </is>
      </c>
      <c r="Q884" s="12" t="inlineStr"/>
      <c r="R884" s="13" t="inlineStr"/>
      <c r="S884" s="6" t="inlineStr">
        <is>
          <t>337510-hatso-lampatarto-rendszamtabla-tarto-1800-mm</t>
        </is>
      </c>
    </row>
    <row r="885">
      <c r="A885" s="6" t="inlineStr">
        <is>
          <t>337515</t>
        </is>
      </c>
      <c r="B885" s="7" t="inlineStr">
        <is>
          <t>Hátsó lámpatartó, rendszámtábla tartó 1900 mm</t>
        </is>
      </c>
      <c r="C885" s="6" t="inlineStr">
        <is>
          <t>Platós alkatrészek és kiegészítők</t>
        </is>
      </c>
      <c r="D885" s="6" t="inlineStr">
        <is>
          <t>Aláfutásgátló konzolok</t>
        </is>
      </c>
      <c r="E885" s="6" t="inlineStr">
        <is>
          <t>Ital Accessori</t>
        </is>
      </c>
      <c r="F885" s="6" t="inlineStr">
        <is>
          <t>337515</t>
        </is>
      </c>
      <c r="G885" s="6" t="inlineStr">
        <is>
          <t>Quadris Excel</t>
        </is>
      </c>
      <c r="H885" s="6" t="n">
        <v>1</v>
      </c>
      <c r="I885" s="6" t="n">
        <v>3</v>
      </c>
      <c r="J885" s="6" t="inlineStr">
        <is>
          <t>nincs</t>
        </is>
      </c>
      <c r="K885" s="6">
        <f>IF(AND(H885&gt;0,I885&gt;0),"Rendben",IF(AND(H885=0,I885=0),"Nincs kép és adat",IF(H885=0,"Nincs kép","Nincs adat")))</f>
        <v/>
      </c>
      <c r="L885" s="6" t="inlineStr">
        <is>
          <t>Igen</t>
        </is>
      </c>
      <c r="M885" s="7" t="inlineStr">
        <is>
          <t>Ital Accessori teljes PDF katalógus (ital-accessori.sk)</t>
        </is>
      </c>
      <c r="N885" s="7" t="inlineStr">
        <is>
          <t>Megtalálva: Sivý oceľový nárazník s plastovými koncovkami Steel bumper with plastic headers - grey (kód: 337515)</t>
        </is>
      </c>
      <c r="O885" s="11" t="inlineStr">
        <is>
          <t>https://www.ital-accessori.sk/katalog/book/KOMP/654/</t>
        </is>
      </c>
      <c r="P885" s="11" t="inlineStr">
        <is>
          <t>https://website-9ib.pages.dev/termek/337515-hatso-lampatarto-rendszamtabla-tarto-1900-mm/</t>
        </is>
      </c>
      <c r="Q885" s="12" t="inlineStr"/>
      <c r="R885" s="13" t="inlineStr"/>
      <c r="S885" s="6" t="inlineStr">
        <is>
          <t>337515-hatso-lampatarto-rendszamtabla-tarto-1900-mm</t>
        </is>
      </c>
    </row>
    <row r="886">
      <c r="A886" s="6" t="inlineStr">
        <is>
          <t>337525</t>
        </is>
      </c>
      <c r="B886" s="7" t="inlineStr">
        <is>
          <t>Hátsó lámpatartó, rendszámtábla tartó 2100 mm</t>
        </is>
      </c>
      <c r="C886" s="6" t="inlineStr">
        <is>
          <t>Platós alkatrészek és kiegészítők</t>
        </is>
      </c>
      <c r="D886" s="6" t="inlineStr">
        <is>
          <t>Aláfutásgátló konzolok</t>
        </is>
      </c>
      <c r="E886" s="6" t="inlineStr">
        <is>
          <t>Ital Accessori</t>
        </is>
      </c>
      <c r="F886" s="6" t="inlineStr">
        <is>
          <t>337525</t>
        </is>
      </c>
      <c r="G886" s="6" t="inlineStr">
        <is>
          <t>Quadris Excel</t>
        </is>
      </c>
      <c r="H886" s="6" t="n">
        <v>1</v>
      </c>
      <c r="I886" s="6" t="n">
        <v>3</v>
      </c>
      <c r="J886" s="6" t="inlineStr">
        <is>
          <t>nincs</t>
        </is>
      </c>
      <c r="K886" s="6">
        <f>IF(AND(H886&gt;0,I886&gt;0),"Rendben",IF(AND(H886=0,I886=0),"Nincs kép és adat",IF(H886=0,"Nincs kép","Nincs adat")))</f>
        <v/>
      </c>
      <c r="L886" s="6" t="inlineStr">
        <is>
          <t>Igen</t>
        </is>
      </c>
      <c r="M886" s="7" t="inlineStr">
        <is>
          <t>Ital Accessori teljes PDF katalógus (ital-accessori.sk)</t>
        </is>
      </c>
      <c r="N886" s="7" t="inlineStr">
        <is>
          <t>Megtalálva: Sivý oceľový nárazník s plastovými koncovkami Steel bumper with plastic headers - grey (kód: 337525)</t>
        </is>
      </c>
      <c r="O886" s="11" t="inlineStr">
        <is>
          <t>https://www.ital-accessori.sk/katalog/book/KOMP/654/</t>
        </is>
      </c>
      <c r="P886" s="11" t="inlineStr">
        <is>
          <t>https://website-9ib.pages.dev/termek/337525-hatso-lampatarto-rendszamtabla-tarto-2100-mm/</t>
        </is>
      </c>
      <c r="Q886" s="12" t="inlineStr"/>
      <c r="R886" s="13" t="inlineStr"/>
      <c r="S886" s="6" t="inlineStr">
        <is>
          <t>337525-hatso-lampatarto-rendszamtabla-tarto-2100-mm</t>
        </is>
      </c>
    </row>
    <row r="887">
      <c r="A887" s="6" t="inlineStr">
        <is>
          <t>337540</t>
        </is>
      </c>
      <c r="B887" s="7" t="inlineStr">
        <is>
          <t>Hátsó lámpatartó, rendszámtábla tartó 2400 mm</t>
        </is>
      </c>
      <c r="C887" s="6" t="inlineStr">
        <is>
          <t>Platós alkatrészek és kiegészítők</t>
        </is>
      </c>
      <c r="D887" s="6" t="inlineStr">
        <is>
          <t>Aláfutásgátló konzolok</t>
        </is>
      </c>
      <c r="E887" s="6" t="inlineStr">
        <is>
          <t>Ital Accessori</t>
        </is>
      </c>
      <c r="F887" s="6" t="inlineStr">
        <is>
          <t>337540</t>
        </is>
      </c>
      <c r="G887" s="6" t="inlineStr">
        <is>
          <t>Quadris Excel</t>
        </is>
      </c>
      <c r="H887" s="6" t="n">
        <v>1</v>
      </c>
      <c r="I887" s="6" t="n">
        <v>3</v>
      </c>
      <c r="J887" s="6" t="inlineStr">
        <is>
          <t>nincs</t>
        </is>
      </c>
      <c r="K887" s="6">
        <f>IF(AND(H887&gt;0,I887&gt;0),"Rendben",IF(AND(H887=0,I887=0),"Nincs kép és adat",IF(H887=0,"Nincs kép","Nincs adat")))</f>
        <v/>
      </c>
      <c r="L887" s="6" t="inlineStr">
        <is>
          <t>Igen</t>
        </is>
      </c>
      <c r="M887" s="7" t="inlineStr">
        <is>
          <t>Ital Accessori teljes PDF katalógus (ital-accessori.sk)</t>
        </is>
      </c>
      <c r="N887" s="7" t="inlineStr">
        <is>
          <t>Megtalálva: Sivý oceľový nárazník s plastovými koncovkami Steel bumper with plastic headers - grey (kód: 337540)</t>
        </is>
      </c>
      <c r="O887" s="11" t="inlineStr">
        <is>
          <t>https://www.ital-accessori.sk/katalog/book/KOMP/654/</t>
        </is>
      </c>
      <c r="P887" s="11" t="inlineStr">
        <is>
          <t>https://website-9ib.pages.dev/termek/337540-hatso-lampatarto-rendszamtabla-tarto-2400-mm/</t>
        </is>
      </c>
      <c r="Q887" s="12" t="inlineStr"/>
      <c r="R887" s="13" t="inlineStr"/>
      <c r="S887" s="6" t="inlineStr">
        <is>
          <t>337540-hatso-lampatarto-rendszamtabla-tarto-2400-mm</t>
        </is>
      </c>
    </row>
    <row r="888">
      <c r="A888" s="6" t="inlineStr">
        <is>
          <t>337245</t>
        </is>
      </c>
      <c r="B888" s="7" t="inlineStr">
        <is>
          <t>Hátsó lámpatartó, rendszámtábla tartó ALU</t>
        </is>
      </c>
      <c r="C888" s="6" t="inlineStr">
        <is>
          <t>Platós alkatrészek és kiegészítők</t>
        </is>
      </c>
      <c r="D888" s="6" t="inlineStr">
        <is>
          <t>Aláfutásgátló konzolok</t>
        </is>
      </c>
      <c r="E888" s="6" t="inlineStr">
        <is>
          <t>Ital Accessori</t>
        </is>
      </c>
      <c r="F888" s="6" t="inlineStr">
        <is>
          <t>182100245</t>
        </is>
      </c>
      <c r="G888" s="6" t="inlineStr">
        <is>
          <t>Quadris Excel</t>
        </is>
      </c>
      <c r="H888" s="6" t="n">
        <v>0</v>
      </c>
      <c r="I888" s="6" t="n">
        <v>0</v>
      </c>
      <c r="J888" s="6" t="inlineStr">
        <is>
          <t>nincs</t>
        </is>
      </c>
      <c r="K888" s="6">
        <f>IF(AND(H888&gt;0,I888&gt;0),"Rendben",IF(AND(H888=0,I888=0),"Nincs kép és adat",IF(H888=0,"Nincs kép","Nincs adat")))</f>
        <v/>
      </c>
      <c r="L888" s="6" t="inlineStr">
        <is>
          <t>Igen</t>
        </is>
      </c>
      <c r="M888" s="7" t="inlineStr">
        <is>
          <t>Ital Accessori teljes PDF katalógus (ital-accessori.sk)</t>
        </is>
      </c>
      <c r="N888" s="7" t="inlineStr">
        <is>
          <t>Nem találtuk: Ital Accessori teljes PDF katalógus (ital-accessori.sk)</t>
        </is>
      </c>
      <c r="O888" s="6" t="inlineStr"/>
      <c r="P888" s="11" t="inlineStr">
        <is>
          <t>https://website-9ib.pages.dev/termek/337245-hatso-lampatarto-rendszamtabla-tarto-alu/</t>
        </is>
      </c>
      <c r="Q888" s="12" t="inlineStr"/>
      <c r="R888" s="13" t="inlineStr"/>
      <c r="S888" s="6" t="inlineStr">
        <is>
          <t>337245-hatso-lampatarto-rendszamtabla-tarto-alu</t>
        </is>
      </c>
    </row>
    <row r="889">
      <c r="A889" s="6" t="inlineStr">
        <is>
          <t>402006/40</t>
        </is>
      </c>
      <c r="B889" s="7" t="inlineStr">
        <is>
          <t>Kerék ék + tartókonzol</t>
        </is>
      </c>
      <c r="C889" s="6" t="inlineStr">
        <is>
          <t>Platós alkatrészek és kiegészítők</t>
        </is>
      </c>
      <c r="D889" s="6" t="inlineStr">
        <is>
          <t>Pótkerék tartók</t>
        </is>
      </c>
      <c r="E889" s="6" t="inlineStr">
        <is>
          <t>Ital Accessori</t>
        </is>
      </c>
      <c r="F889" s="6" t="inlineStr">
        <is>
          <t>402006</t>
        </is>
      </c>
      <c r="G889" s="6" t="inlineStr">
        <is>
          <t>Quadris Excel</t>
        </is>
      </c>
      <c r="H889" s="6" t="n">
        <v>1</v>
      </c>
      <c r="I889" s="6" t="n">
        <v>7</v>
      </c>
      <c r="J889" s="6" t="inlineStr">
        <is>
          <t>nincs</t>
        </is>
      </c>
      <c r="K889" s="6">
        <f>IF(AND(H889&gt;0,I889&gt;0),"Rendben",IF(AND(H889=0,I889=0),"Nincs kép és adat",IF(H889=0,"Nincs kép","Nincs adat")))</f>
        <v/>
      </c>
      <c r="L889" s="6" t="inlineStr">
        <is>
          <t>Igen</t>
        </is>
      </c>
      <c r="M889" s="7" t="inlineStr">
        <is>
          <t>Ital Accessori teljes PDF katalógus (ital-accessori.sk)</t>
        </is>
      </c>
      <c r="N889" s="7" t="inlineStr">
        <is>
          <t>Megtalálva: Plastový zakladací klin žltý DIN 76051 - G46 Yellow plastic wheel chock DIN 76051 - G46 (kód: 402006)</t>
        </is>
      </c>
      <c r="O889" s="11" t="inlineStr">
        <is>
          <t>https://www.ital-accessori.sk/katalog/book/KOMP/672/</t>
        </is>
      </c>
      <c r="P889" s="11" t="inlineStr">
        <is>
          <t>https://website-9ib.pages.dev/termek/402006-40-kerek-ek-tartokonzol/</t>
        </is>
      </c>
      <c r="Q889" s="12" t="inlineStr"/>
      <c r="R889" s="13" t="inlineStr"/>
      <c r="S889" s="6" t="inlineStr">
        <is>
          <t>402006-40-kerek-ek-tartokonzol</t>
        </is>
      </c>
    </row>
    <row r="890">
      <c r="A890" s="6" t="inlineStr">
        <is>
          <t>402016/42</t>
        </is>
      </c>
      <c r="B890" s="7" t="inlineStr">
        <is>
          <t>Kerék ék + tartókonzol</t>
        </is>
      </c>
      <c r="C890" s="6" t="inlineStr">
        <is>
          <t>Platós alkatrészek és kiegészítők</t>
        </is>
      </c>
      <c r="D890" s="6" t="inlineStr">
        <is>
          <t>Pótkerék tartók</t>
        </is>
      </c>
      <c r="E890" s="6" t="inlineStr">
        <is>
          <t>Ital Accessori</t>
        </is>
      </c>
      <c r="F890" s="6" t="inlineStr">
        <is>
          <t>402016</t>
        </is>
      </c>
      <c r="G890" s="6" t="inlineStr">
        <is>
          <t>Quadris Excel</t>
        </is>
      </c>
      <c r="H890" s="6" t="n">
        <v>1</v>
      </c>
      <c r="I890" s="6" t="n">
        <v>7</v>
      </c>
      <c r="J890" s="6" t="inlineStr">
        <is>
          <t>nincs</t>
        </is>
      </c>
      <c r="K890" s="6">
        <f>IF(AND(H890&gt;0,I890&gt;0),"Rendben",IF(AND(H890=0,I890=0),"Nincs kép és adat",IF(H890=0,"Nincs kép","Nincs adat")))</f>
        <v/>
      </c>
      <c r="L890" s="6" t="inlineStr">
        <is>
          <t>Igen</t>
        </is>
      </c>
      <c r="M890" s="7" t="inlineStr">
        <is>
          <t>Ital Accessori teljes PDF katalógus (ital-accessori.sk)</t>
        </is>
      </c>
      <c r="N890" s="7" t="inlineStr">
        <is>
          <t>Megtalálva: Plastový zakladací klin žltý DIN 76051 - E53 Yellow plastic wheel chock DIN 76051 - E53 (kód: 402016)</t>
        </is>
      </c>
      <c r="O890" s="11" t="inlineStr">
        <is>
          <t>https://www.ital-accessori.sk/katalog/book/KOMP/672/</t>
        </is>
      </c>
      <c r="P890" s="11" t="inlineStr">
        <is>
          <t>https://website-9ib.pages.dev/termek/402016-42-kerek-ek-tartokonzol/</t>
        </is>
      </c>
      <c r="Q890" s="12" t="inlineStr"/>
      <c r="R890" s="13" t="inlineStr"/>
      <c r="S890" s="6" t="inlineStr">
        <is>
          <t>402016-42-kerek-ek-tartokonzol</t>
        </is>
      </c>
    </row>
    <row r="891">
      <c r="A891" s="6" t="inlineStr">
        <is>
          <t>353555</t>
        </is>
      </c>
      <c r="B891" s="7" t="inlineStr">
        <is>
          <t>Pótkeréktartó felfogatás 255</t>
        </is>
      </c>
      <c r="C891" s="6" t="inlineStr">
        <is>
          <t>Platós alkatrészek és kiegészítők</t>
        </is>
      </c>
      <c r="D891" s="6" t="inlineStr">
        <is>
          <t>Pótkerék tartók</t>
        </is>
      </c>
      <c r="E891" s="6" t="inlineStr">
        <is>
          <t>Ital Accessori</t>
        </is>
      </c>
      <c r="F891" s="6" t="inlineStr">
        <is>
          <t>353555</t>
        </is>
      </c>
      <c r="G891" s="6" t="inlineStr">
        <is>
          <t>Quadris Excel</t>
        </is>
      </c>
      <c r="H891" s="6" t="n">
        <v>1</v>
      </c>
      <c r="I891" s="6" t="n">
        <v>4</v>
      </c>
      <c r="J891" s="6" t="inlineStr">
        <is>
          <t>nincs</t>
        </is>
      </c>
      <c r="K891" s="6">
        <f>IF(AND(H891&gt;0,I891&gt;0),"Rendben",IF(AND(H891=0,I891=0),"Nincs kép és adat",IF(H891=0,"Nincs kép","Nincs adat")))</f>
        <v/>
      </c>
      <c r="L891" s="6" t="inlineStr">
        <is>
          <t>Igen</t>
        </is>
      </c>
      <c r="M891" s="7" t="inlineStr">
        <is>
          <t>Ital Accessori teljes PDF katalógus (ital-accessori.sk)</t>
        </is>
      </c>
      <c r="N891" s="7" t="inlineStr">
        <is>
          <t>Megtalálva: Oceľová konzola pre držiak rezervy pozink - nikel 255 mm Steel support bracket for wheel carrier zinc - nickel 255 mm (kód: 353555)</t>
        </is>
      </c>
      <c r="O891" s="11" t="inlineStr">
        <is>
          <t>https://www.ital-accessori.sk/katalog/book/KOMP/664/</t>
        </is>
      </c>
      <c r="P891" s="11" t="inlineStr">
        <is>
          <t>https://website-9ib.pages.dev/termek/353555-potkerektarto-felfogatas-255/</t>
        </is>
      </c>
      <c r="Q891" s="12" t="inlineStr"/>
      <c r="R891" s="13" t="inlineStr"/>
      <c r="S891" s="6" t="inlineStr">
        <is>
          <t>353555-potkerektarto-felfogatas-255</t>
        </is>
      </c>
    </row>
    <row r="892">
      <c r="A892" s="6" t="inlineStr">
        <is>
          <t>353550</t>
        </is>
      </c>
      <c r="B892" s="7" t="inlineStr">
        <is>
          <t>Pótkeréktartó felfogatás 355</t>
        </is>
      </c>
      <c r="C892" s="6" t="inlineStr">
        <is>
          <t>Platós alkatrészek és kiegészítők</t>
        </is>
      </c>
      <c r="D892" s="6" t="inlineStr">
        <is>
          <t>Pótkerék tartók</t>
        </is>
      </c>
      <c r="E892" s="6" t="inlineStr">
        <is>
          <t>Ital Accessori</t>
        </is>
      </c>
      <c r="F892" s="6" t="inlineStr">
        <is>
          <t>353550</t>
        </is>
      </c>
      <c r="G892" s="6" t="inlineStr">
        <is>
          <t>Quadris Excel</t>
        </is>
      </c>
      <c r="H892" s="6" t="n">
        <v>1</v>
      </c>
      <c r="I892" s="6" t="n">
        <v>4</v>
      </c>
      <c r="J892" s="6" t="inlineStr">
        <is>
          <t>nincs</t>
        </is>
      </c>
      <c r="K892" s="6">
        <f>IF(AND(H892&gt;0,I892&gt;0),"Rendben",IF(AND(H892=0,I892=0),"Nincs kép és adat",IF(H892=0,"Nincs kép","Nincs adat")))</f>
        <v/>
      </c>
      <c r="L892" s="6" t="inlineStr">
        <is>
          <t>Igen</t>
        </is>
      </c>
      <c r="M892" s="7" t="inlineStr">
        <is>
          <t>Ital Accessori teljes PDF katalógus (ital-accessori.sk)</t>
        </is>
      </c>
      <c r="N892" s="7" t="inlineStr">
        <is>
          <t>Megtalálva: Oceľová konzola pre držiak rezervy pozink - nikel 350 mm Steel support bracket for wheel carrier zinc - nickel 350 mm (kód: 353550)</t>
        </is>
      </c>
      <c r="O892" s="11" t="inlineStr">
        <is>
          <t>https://www.ital-accessori.sk/katalog/book/KOMP/664/</t>
        </is>
      </c>
      <c r="P892" s="11" t="inlineStr">
        <is>
          <t>https://website-9ib.pages.dev/termek/353550-potkerektarto-felfogatas-355/</t>
        </is>
      </c>
      <c r="Q892" s="12" t="inlineStr"/>
      <c r="R892" s="13" t="inlineStr"/>
      <c r="S892" s="6" t="inlineStr">
        <is>
          <t>353550-potkerektarto-felfogatas-355</t>
        </is>
      </c>
    </row>
    <row r="893">
      <c r="A893" s="6" t="inlineStr">
        <is>
          <t>353530</t>
        </is>
      </c>
      <c r="B893" s="7" t="inlineStr">
        <is>
          <t>Pótkeréktartó, dupla</t>
        </is>
      </c>
      <c r="C893" s="6" t="inlineStr">
        <is>
          <t>Platós alkatrészek és kiegészítők</t>
        </is>
      </c>
      <c r="D893" s="6" t="inlineStr">
        <is>
          <t>Pótkerék tartók</t>
        </is>
      </c>
      <c r="E893" s="6" t="inlineStr">
        <is>
          <t>Ital Accessori</t>
        </is>
      </c>
      <c r="F893" s="6" t="inlineStr">
        <is>
          <t>353530</t>
        </is>
      </c>
      <c r="G893" s="6" t="inlineStr">
        <is>
          <t>Quadris Excel</t>
        </is>
      </c>
      <c r="H893" s="6" t="n">
        <v>1</v>
      </c>
      <c r="I893" s="6" t="n">
        <v>3</v>
      </c>
      <c r="J893" s="6" t="inlineStr">
        <is>
          <t>nincs</t>
        </is>
      </c>
      <c r="K893" s="6">
        <f>IF(AND(H893&gt;0,I893&gt;0),"Rendben",IF(AND(H893=0,I893=0),"Nincs kép és adat",IF(H893=0,"Nincs kép","Nincs adat")))</f>
        <v/>
      </c>
      <c r="L893" s="6" t="inlineStr">
        <is>
          <t>Igen</t>
        </is>
      </c>
      <c r="M893" s="7" t="inlineStr">
        <is>
          <t>Ital Accessori teljes PDF katalógus (ital-accessori.sk)</t>
        </is>
      </c>
      <c r="N893" s="7" t="inlineStr">
        <is>
          <t>Megtalálva: Ital Accessori (kód: 353530)</t>
        </is>
      </c>
      <c r="O893" s="11" t="inlineStr">
        <is>
          <t>https://www.ital-accessori.sk/katalog/book/KOMP/663/</t>
        </is>
      </c>
      <c r="P893" s="11" t="inlineStr">
        <is>
          <t>https://website-9ib.pages.dev/termek/353530-potkerektarto-dupla/</t>
        </is>
      </c>
      <c r="Q893" s="12" t="inlineStr"/>
      <c r="R893" s="13" t="inlineStr"/>
      <c r="S893" s="6" t="inlineStr">
        <is>
          <t>353530-potkerektarto-dupla</t>
        </is>
      </c>
    </row>
    <row r="894">
      <c r="A894" s="6" t="inlineStr">
        <is>
          <t>353510</t>
        </is>
      </c>
      <c r="B894" s="7" t="inlineStr">
        <is>
          <t>Pótkeréktartó, szimpla</t>
        </is>
      </c>
      <c r="C894" s="6" t="inlineStr">
        <is>
          <t>Platós alkatrészek és kiegészítők</t>
        </is>
      </c>
      <c r="D894" s="6" t="inlineStr">
        <is>
          <t>Pótkerék tartók</t>
        </is>
      </c>
      <c r="E894" s="6" t="inlineStr">
        <is>
          <t>Ital Accessori</t>
        </is>
      </c>
      <c r="F894" s="6" t="inlineStr">
        <is>
          <t>353510</t>
        </is>
      </c>
      <c r="G894" s="6" t="inlineStr">
        <is>
          <t>Quadris Excel</t>
        </is>
      </c>
      <c r="H894" s="6" t="n">
        <v>1</v>
      </c>
      <c r="I894" s="6" t="n">
        <v>3</v>
      </c>
      <c r="J894" s="6" t="inlineStr">
        <is>
          <t>nincs</t>
        </is>
      </c>
      <c r="K894" s="6">
        <f>IF(AND(H894&gt;0,I894&gt;0),"Rendben",IF(AND(H894=0,I894=0),"Nincs kép és adat",IF(H894=0,"Nincs kép","Nincs adat")))</f>
        <v/>
      </c>
      <c r="L894" s="6" t="inlineStr">
        <is>
          <t>Igen</t>
        </is>
      </c>
      <c r="M894" s="7" t="inlineStr">
        <is>
          <t>Ital Accessori teljes PDF katalógus (ital-accessori.sk)</t>
        </is>
      </c>
      <c r="N894" s="7" t="inlineStr">
        <is>
          <t>Megtalálva: Ital Accessori (kód: 353510)</t>
        </is>
      </c>
      <c r="O894" s="11" t="inlineStr">
        <is>
          <t>https://www.ital-accessori.sk/katalog/book/KOMP/663/</t>
        </is>
      </c>
      <c r="P894" s="11" t="inlineStr">
        <is>
          <t>https://website-9ib.pages.dev/termek/353510-potkerektarto-szimpla/</t>
        </is>
      </c>
      <c r="Q894" s="12" t="inlineStr"/>
      <c r="R894" s="13" t="inlineStr"/>
      <c r="S894" s="6" t="inlineStr">
        <is>
          <t>353510-potkerektarto-szimpla</t>
        </is>
      </c>
    </row>
    <row r="895">
      <c r="A895" s="6" t="inlineStr">
        <is>
          <t>152751</t>
        </is>
      </c>
      <c r="B895" s="7" t="inlineStr">
        <is>
          <t>TIR-zsanér Alu ház</t>
        </is>
      </c>
      <c r="C895" s="6" t="inlineStr">
        <is>
          <t>Platós alkatrészek és kiegészítők</t>
        </is>
      </c>
      <c r="D895" s="6" t="inlineStr">
        <is>
          <t>TIR zsanérok</t>
        </is>
      </c>
      <c r="E895" s="6" t="inlineStr">
        <is>
          <t>Ital Accessori</t>
        </is>
      </c>
      <c r="F895" s="6" t="inlineStr">
        <is>
          <t>15275101</t>
        </is>
      </c>
      <c r="G895" s="6" t="inlineStr">
        <is>
          <t>Quadris Excel</t>
        </is>
      </c>
      <c r="H895" s="6" t="n">
        <v>0</v>
      </c>
      <c r="I895" s="6" t="n">
        <v>0</v>
      </c>
      <c r="J895" s="6" t="inlineStr">
        <is>
          <t>nincs</t>
        </is>
      </c>
      <c r="K895" s="6">
        <f>IF(AND(H895&gt;0,I895&gt;0),"Rendben",IF(AND(H895=0,I895=0),"Nincs kép és adat",IF(H895=0,"Nincs kép","Nincs adat")))</f>
        <v/>
      </c>
      <c r="L895" s="6" t="inlineStr">
        <is>
          <t>Igen</t>
        </is>
      </c>
      <c r="M895" s="7" t="inlineStr">
        <is>
          <t>Ital Accessori teljes PDF katalógus (ital-accessori.sk)</t>
        </is>
      </c>
      <c r="N895" s="7" t="inlineStr">
        <is>
          <t>Nem találtuk: Ital Accessori teljes PDF katalógus (ital-accessori.sk)</t>
        </is>
      </c>
      <c r="O895" s="6" t="inlineStr"/>
      <c r="P895" s="11" t="inlineStr">
        <is>
          <t>https://website-9ib.pages.dev/termek/152751-tir-zsaner-alu-haz/</t>
        </is>
      </c>
      <c r="Q895" s="12" t="inlineStr"/>
      <c r="R895" s="13" t="inlineStr"/>
      <c r="S895" s="6" t="inlineStr">
        <is>
          <t>152751-tir-zsaner-alu-haz</t>
        </is>
      </c>
    </row>
    <row r="896">
      <c r="A896" s="6" t="inlineStr">
        <is>
          <t>152761</t>
        </is>
      </c>
      <c r="B896" s="7" t="inlineStr">
        <is>
          <t>TIR-zsanér garnitúra Alu házas</t>
        </is>
      </c>
      <c r="C896" s="6" t="inlineStr">
        <is>
          <t>Platós alkatrészek és kiegészítők</t>
        </is>
      </c>
      <c r="D896" s="6" t="inlineStr">
        <is>
          <t>TIR zsanérok</t>
        </is>
      </c>
      <c r="E896" s="6" t="inlineStr">
        <is>
          <t>Ital Accessori</t>
        </is>
      </c>
      <c r="F896" s="6" t="inlineStr"/>
      <c r="G896" s="6" t="inlineStr">
        <is>
          <t>Quadris Excel</t>
        </is>
      </c>
      <c r="H896" s="6" t="n">
        <v>0</v>
      </c>
      <c r="I896" s="6" t="n">
        <v>0</v>
      </c>
      <c r="J896" s="6" t="inlineStr">
        <is>
          <t>nincs</t>
        </is>
      </c>
      <c r="K896" s="6">
        <f>IF(AND(H896&gt;0,I896&gt;0),"Rendben",IF(AND(H896=0,I896=0),"Nincs kép és adat",IF(H896=0,"Nincs kép","Nincs adat")))</f>
        <v/>
      </c>
      <c r="L896" s="6" t="inlineStr">
        <is>
          <t>Igen</t>
        </is>
      </c>
      <c r="M896" s="7" t="inlineStr">
        <is>
          <t>Ital Accessori teljes PDF katalógus (ital-accessori.sk)</t>
        </is>
      </c>
      <c r="N896" s="7" t="inlineStr">
        <is>
          <t>Nem találtuk: Ital Accessori teljes PDF katalógus (ital-accessori.sk)</t>
        </is>
      </c>
      <c r="O896" s="6" t="inlineStr"/>
      <c r="P896" s="11" t="inlineStr">
        <is>
          <t>https://website-9ib.pages.dev/termek/152761-tir-zsaner-garnitura-alu-hazas/</t>
        </is>
      </c>
      <c r="Q896" s="12" t="inlineStr"/>
      <c r="R896" s="13" t="inlineStr"/>
      <c r="S896" s="6" t="inlineStr">
        <is>
          <t>152761-tir-zsaner-garnitura-alu-hazas</t>
        </is>
      </c>
    </row>
    <row r="897">
      <c r="A897" s="6" t="inlineStr">
        <is>
          <t>223085</t>
        </is>
      </c>
      <c r="B897" s="7" t="inlineStr">
        <is>
          <t>"h" szegő, kiugrós 30 mm elox</t>
        </is>
      </c>
      <c r="C897" s="6" t="inlineStr">
        <is>
          <t>Platós és ponyvás oldalfal profilok és szegők</t>
        </is>
      </c>
      <c r="D897" s="6" t="inlineStr">
        <is>
          <t>Szegő profilok</t>
        </is>
      </c>
      <c r="E897" s="6" t="inlineStr">
        <is>
          <t>Ital Accessori</t>
        </is>
      </c>
      <c r="F897" s="6" t="inlineStr">
        <is>
          <t>463085</t>
        </is>
      </c>
      <c r="G897" s="6" t="inlineStr">
        <is>
          <t>Quadris Excel</t>
        </is>
      </c>
      <c r="H897" s="6" t="n">
        <v>0</v>
      </c>
      <c r="I897" s="6" t="n">
        <v>0</v>
      </c>
      <c r="J897" s="6" t="inlineStr">
        <is>
          <t>nincs</t>
        </is>
      </c>
      <c r="K897" s="6">
        <f>IF(AND(H897&gt;0,I897&gt;0),"Rendben",IF(AND(H897=0,I897=0),"Nincs kép és adat",IF(H897=0,"Nincs kép","Nincs adat")))</f>
        <v/>
      </c>
      <c r="L897" s="6" t="inlineStr">
        <is>
          <t>Igen</t>
        </is>
      </c>
      <c r="M897" s="7" t="inlineStr">
        <is>
          <t>Ital Accessori teljes PDF katalógus (ital-accessori.sk)</t>
        </is>
      </c>
      <c r="N897" s="7" t="inlineStr">
        <is>
          <t>Nem találtuk: Ital Accessori teljes PDF katalógus (ital-accessori.sk)</t>
        </is>
      </c>
      <c r="O897" s="6" t="inlineStr"/>
      <c r="P897" s="11" t="inlineStr">
        <is>
          <t>https://website-9ib.pages.dev/termek/223085-h-szego-kiugros-30-mm-elox/</t>
        </is>
      </c>
      <c r="Q897" s="12" t="inlineStr"/>
      <c r="R897" s="13" t="inlineStr"/>
      <c r="S897" s="6" t="inlineStr">
        <is>
          <t>223085-h-szego-kiugros-30-mm-elox</t>
        </is>
      </c>
    </row>
    <row r="898">
      <c r="A898" s="6" t="inlineStr">
        <is>
          <t>226215</t>
        </is>
      </c>
      <c r="B898" s="7" t="inlineStr">
        <is>
          <t>"u" 40 mm szegő profil</t>
        </is>
      </c>
      <c r="C898" s="6" t="inlineStr">
        <is>
          <t>Platós és ponyvás oldalfal profilok és szegők</t>
        </is>
      </c>
      <c r="D898" s="6" t="inlineStr">
        <is>
          <t>Szegő profilok</t>
        </is>
      </c>
      <c r="E898" s="6" t="inlineStr">
        <is>
          <t>Ital Accessori</t>
        </is>
      </c>
      <c r="F898" s="6" t="inlineStr">
        <is>
          <t>4616215</t>
        </is>
      </c>
      <c r="G898" s="6" t="inlineStr">
        <is>
          <t>Quadris Excel</t>
        </is>
      </c>
      <c r="H898" s="6" t="n">
        <v>0</v>
      </c>
      <c r="I898" s="6" t="n">
        <v>0</v>
      </c>
      <c r="J898" s="6" t="inlineStr">
        <is>
          <t>nincs</t>
        </is>
      </c>
      <c r="K898" s="6">
        <f>IF(AND(H898&gt;0,I898&gt;0),"Rendben",IF(AND(H898=0,I898=0),"Nincs kép és adat",IF(H898=0,"Nincs kép","Nincs adat")))</f>
        <v/>
      </c>
      <c r="L898" s="6" t="inlineStr">
        <is>
          <t>Igen</t>
        </is>
      </c>
      <c r="M898" s="7" t="inlineStr">
        <is>
          <t>Ital Accessori teljes PDF katalógus (ital-accessori.sk)</t>
        </is>
      </c>
      <c r="N898" s="7" t="inlineStr">
        <is>
          <t>Nem találtuk: Ital Accessori teljes PDF katalógus (ital-accessori.sk)</t>
        </is>
      </c>
      <c r="O898" s="6" t="inlineStr"/>
      <c r="P898" s="11" t="inlineStr">
        <is>
          <t>https://website-9ib.pages.dev/termek/226215-u-40-mm-szego-profil/</t>
        </is>
      </c>
      <c r="Q898" s="12" t="inlineStr"/>
      <c r="R898" s="13" t="inlineStr"/>
      <c r="S898" s="6" t="inlineStr">
        <is>
          <t>226215-u-40-mm-szego-profil</t>
        </is>
      </c>
    </row>
    <row r="899">
      <c r="A899" s="6" t="inlineStr">
        <is>
          <t>226701</t>
        </is>
      </c>
      <c r="B899" s="7" t="inlineStr">
        <is>
          <t>Tömítés 40 "u" szegőhöz</t>
        </is>
      </c>
      <c r="C899" s="6" t="inlineStr">
        <is>
          <t>Platós és ponyvás oldalfal profilok és szegők</t>
        </is>
      </c>
      <c r="D899" s="6" t="inlineStr">
        <is>
          <t>Szegő profilok</t>
        </is>
      </c>
      <c r="E899" s="6" t="inlineStr">
        <is>
          <t>Ital Accessori</t>
        </is>
      </c>
      <c r="F899" s="6" t="inlineStr">
        <is>
          <t>BT67001</t>
        </is>
      </c>
      <c r="G899" s="6" t="inlineStr">
        <is>
          <t>Quadris Excel</t>
        </is>
      </c>
      <c r="H899" s="6" t="n">
        <v>0</v>
      </c>
      <c r="I899" s="6" t="n">
        <v>0</v>
      </c>
      <c r="J899" s="6" t="inlineStr">
        <is>
          <t>nincs</t>
        </is>
      </c>
      <c r="K899" s="6">
        <f>IF(AND(H899&gt;0,I899&gt;0),"Rendben",IF(AND(H899=0,I899=0),"Nincs kép és adat",IF(H899=0,"Nincs kép","Nincs adat")))</f>
        <v/>
      </c>
      <c r="L899" s="6" t="inlineStr">
        <is>
          <t>Igen</t>
        </is>
      </c>
      <c r="M899" s="7" t="inlineStr">
        <is>
          <t>Ital Accessori teljes PDF katalógus (ital-accessori.sk)</t>
        </is>
      </c>
      <c r="N899" s="7" t="inlineStr">
        <is>
          <t>Nem találtuk: Ital Accessori teljes PDF katalógus (ital-accessori.sk)</t>
        </is>
      </c>
      <c r="O899" s="6" t="inlineStr"/>
      <c r="P899" s="11" t="inlineStr">
        <is>
          <t>https://website-9ib.pages.dev/termek/226701-tomites-40-u-szegohoz/</t>
        </is>
      </c>
      <c r="Q899" s="12" t="inlineStr"/>
      <c r="R899" s="13" t="inlineStr"/>
      <c r="S899" s="6" t="inlineStr">
        <is>
          <t>226701-tomites-40-u-szegohoz</t>
        </is>
      </c>
    </row>
    <row r="900">
      <c r="A900" s="6" t="inlineStr">
        <is>
          <t>226240</t>
        </is>
      </c>
      <c r="B900" s="7" t="inlineStr">
        <is>
          <t>Tömítéses "u" szegő 40 mm</t>
        </is>
      </c>
      <c r="C900" s="6" t="inlineStr">
        <is>
          <t>Platós és ponyvás oldalfal profilok és szegők</t>
        </is>
      </c>
      <c r="D900" s="6" t="inlineStr">
        <is>
          <t>Szegő profilok</t>
        </is>
      </c>
      <c r="E900" s="6" t="inlineStr">
        <is>
          <t>Ital Accessori</t>
        </is>
      </c>
      <c r="F900" s="6" t="inlineStr">
        <is>
          <t>4616240</t>
        </is>
      </c>
      <c r="G900" s="6" t="inlineStr">
        <is>
          <t>Quadris Excel</t>
        </is>
      </c>
      <c r="H900" s="6" t="n">
        <v>0</v>
      </c>
      <c r="I900" s="6" t="n">
        <v>0</v>
      </c>
      <c r="J900" s="6" t="inlineStr">
        <is>
          <t>nincs</t>
        </is>
      </c>
      <c r="K900" s="6">
        <f>IF(AND(H900&gt;0,I900&gt;0),"Rendben",IF(AND(H900=0,I900=0),"Nincs kép és adat",IF(H900=0,"Nincs kép","Nincs adat")))</f>
        <v/>
      </c>
      <c r="L900" s="6" t="inlineStr">
        <is>
          <t>Igen</t>
        </is>
      </c>
      <c r="M900" s="7" t="inlineStr">
        <is>
          <t>Ital Accessori teljes PDF katalógus (ital-accessori.sk)</t>
        </is>
      </c>
      <c r="N900" s="7" t="inlineStr">
        <is>
          <t>Nem találtuk: Ital Accessori teljes PDF katalógus (ital-accessori.sk)</t>
        </is>
      </c>
      <c r="O900" s="6" t="inlineStr"/>
      <c r="P900" s="11" t="inlineStr">
        <is>
          <t>https://website-9ib.pages.dev/termek/226240-tomiteses-u-szego-40-mm/</t>
        </is>
      </c>
      <c r="Q900" s="12" t="inlineStr"/>
      <c r="R900" s="13" t="inlineStr"/>
      <c r="S900" s="6" t="inlineStr">
        <is>
          <t>226240-tomiteses-u-szego-40-mm</t>
        </is>
      </c>
    </row>
    <row r="901">
      <c r="A901" s="6" t="inlineStr">
        <is>
          <t>125311</t>
        </is>
      </c>
      <c r="B901" s="7" t="inlineStr">
        <is>
          <t>2-részes rakományrögzítő gyűrű + lefogatás</t>
        </is>
      </c>
      <c r="C901" s="6" t="inlineStr">
        <is>
          <t>Rakományrögzítés</t>
        </is>
      </c>
      <c r="D901" s="6" t="inlineStr">
        <is>
          <t>Rakományrögzítés</t>
        </is>
      </c>
      <c r="E901" s="6" t="inlineStr">
        <is>
          <t>Ital Accessori</t>
        </is>
      </c>
      <c r="F901" s="6" t="inlineStr">
        <is>
          <t>45095311</t>
        </is>
      </c>
      <c r="G901" s="6" t="inlineStr">
        <is>
          <t>Quadris Excel</t>
        </is>
      </c>
      <c r="H901" s="6" t="n">
        <v>0</v>
      </c>
      <c r="I901" s="6" t="n">
        <v>0</v>
      </c>
      <c r="J901" s="6" t="inlineStr">
        <is>
          <t>nincs</t>
        </is>
      </c>
      <c r="K901" s="6">
        <f>IF(AND(H901&gt;0,I901&gt;0),"Rendben",IF(AND(H901=0,I901=0),"Nincs kép és adat",IF(H901=0,"Nincs kép","Nincs adat")))</f>
        <v/>
      </c>
      <c r="L901" s="6" t="inlineStr">
        <is>
          <t>Igen</t>
        </is>
      </c>
      <c r="M901" s="7" t="inlineStr">
        <is>
          <t>Ital Accessori teljes PDF katalógus (ital-accessori.sk)</t>
        </is>
      </c>
      <c r="N901" s="7" t="inlineStr">
        <is>
          <t>Nem találtuk: Ital Accessori teljes PDF katalógus (ital-accessori.sk)</t>
        </is>
      </c>
      <c r="O901" s="6" t="inlineStr"/>
      <c r="P901" s="11" t="inlineStr">
        <is>
          <t>https://website-9ib.pages.dev/termek/125311-2-reszes-rakomanyrogzito-gyuru-lefogatas/</t>
        </is>
      </c>
      <c r="Q901" s="12" t="inlineStr"/>
      <c r="R901" s="13" t="inlineStr"/>
      <c r="S901" s="6" t="inlineStr">
        <is>
          <t>125311-2-reszes-rakomanyrogzito-gyuru-lefogatas</t>
        </is>
      </c>
    </row>
    <row r="902">
      <c r="A902" s="6" t="inlineStr">
        <is>
          <t>127706</t>
        </is>
      </c>
      <c r="B902" s="7" t="inlineStr">
        <is>
          <t>Acél rak. rögzítő kampós sülly.</t>
        </is>
      </c>
      <c r="C902" s="6" t="inlineStr">
        <is>
          <t>Rakományrögzítés</t>
        </is>
      </c>
      <c r="D902" s="6" t="inlineStr">
        <is>
          <t>Rakományrögzítés</t>
        </is>
      </c>
      <c r="E902" s="6" t="inlineStr">
        <is>
          <t>Ital Accessori</t>
        </is>
      </c>
      <c r="F902" s="6" t="inlineStr">
        <is>
          <t>070706</t>
        </is>
      </c>
      <c r="G902" s="6" t="inlineStr">
        <is>
          <t>Quadris Excel</t>
        </is>
      </c>
      <c r="H902" s="6" t="n">
        <v>0</v>
      </c>
      <c r="I902" s="6" t="n">
        <v>0</v>
      </c>
      <c r="J902" s="6" t="inlineStr">
        <is>
          <t>nincs</t>
        </is>
      </c>
      <c r="K902" s="6">
        <f>IF(AND(H902&gt;0,I902&gt;0),"Rendben",IF(AND(H902=0,I902=0),"Nincs kép és adat",IF(H902=0,"Nincs kép","Nincs adat")))</f>
        <v/>
      </c>
      <c r="L902" s="6" t="inlineStr">
        <is>
          <t>Igen</t>
        </is>
      </c>
      <c r="M902" s="7" t="inlineStr">
        <is>
          <t>Ital Accessori teljes PDF katalógus (ital-accessori.sk)</t>
        </is>
      </c>
      <c r="N902" s="7" t="inlineStr">
        <is>
          <t>Nem találtuk: Ital Accessori teljes PDF katalógus (ital-accessori.sk)</t>
        </is>
      </c>
      <c r="O902" s="6" t="inlineStr"/>
      <c r="P902" s="11" t="inlineStr">
        <is>
          <t>https://website-9ib.pages.dev/termek/127706-acel-rak-rogzito-kampos-sully/</t>
        </is>
      </c>
      <c r="Q902" s="12" t="inlineStr"/>
      <c r="R902" s="13" t="inlineStr"/>
      <c r="S902" s="6" t="inlineStr">
        <is>
          <t>127706-acel-rak-rogzito-kampos-sully</t>
        </is>
      </c>
    </row>
    <row r="903">
      <c r="A903" s="6" t="inlineStr">
        <is>
          <t>127184</t>
        </is>
      </c>
      <c r="B903" s="7" t="inlineStr">
        <is>
          <t>Talpas térelválasztó rakományrögzítő rúd D42 ALU</t>
        </is>
      </c>
      <c r="C903" s="6" t="inlineStr">
        <is>
          <t>Rakományrögzítés</t>
        </is>
      </c>
      <c r="D903" s="6" t="inlineStr">
        <is>
          <t>Rakományrögzítés</t>
        </is>
      </c>
      <c r="E903" s="6" t="inlineStr">
        <is>
          <t>Ital Accessori</t>
        </is>
      </c>
      <c r="F903" s="6" t="inlineStr">
        <is>
          <t>50071084</t>
        </is>
      </c>
      <c r="G903" s="6" t="inlineStr">
        <is>
          <t>Quadris Excel</t>
        </is>
      </c>
      <c r="H903" s="6" t="n">
        <v>0</v>
      </c>
      <c r="I903" s="6" t="n">
        <v>0</v>
      </c>
      <c r="J903" s="6" t="inlineStr">
        <is>
          <t>nincs</t>
        </is>
      </c>
      <c r="K903" s="6">
        <f>IF(AND(H903&gt;0,I903&gt;0),"Rendben",IF(AND(H903=0,I903=0),"Nincs kép és adat",IF(H903=0,"Nincs kép","Nincs adat")))</f>
        <v/>
      </c>
      <c r="L903" s="6" t="inlineStr">
        <is>
          <t>Igen</t>
        </is>
      </c>
      <c r="M903" s="7" t="inlineStr">
        <is>
          <t>Ital Accessori teljes PDF katalógus (ital-accessori.sk)</t>
        </is>
      </c>
      <c r="N903" s="7" t="inlineStr">
        <is>
          <t>Nem találtuk: Ital Accessori teljes PDF katalógus (ital-accessori.sk)</t>
        </is>
      </c>
      <c r="O903" s="6" t="inlineStr"/>
      <c r="P903" s="11" t="inlineStr">
        <is>
          <t>https://website-9ib.pages.dev/termek/127184-talpas-terelvalaszto-rakomanyrogzito-rud-d42-alu/</t>
        </is>
      </c>
      <c r="Q903" s="12" t="inlineStr"/>
      <c r="R903" s="13" t="inlineStr"/>
      <c r="S903" s="6" t="inlineStr">
        <is>
          <t>127184-talpas-terelvalaszto-rakomanyrogzito-rud-d42-alu</t>
        </is>
      </c>
    </row>
    <row r="904">
      <c r="A904" s="6" t="inlineStr">
        <is>
          <t>702</t>
        </is>
      </c>
      <c r="B904" s="7" t="inlineStr">
        <is>
          <t>Reflex szalag dobozra, fehér STX</t>
        </is>
      </c>
      <c r="C904" s="6" t="inlineStr">
        <is>
          <t>Speciális felépítmény alkatrészek</t>
        </is>
      </c>
      <c r="D904" s="6" t="inlineStr">
        <is>
          <t>Egyéb</t>
        </is>
      </c>
      <c r="E904" s="6" t="inlineStr">
        <is>
          <t>Ital Accessori</t>
        </is>
      </c>
      <c r="F904" s="6" t="inlineStr">
        <is>
          <t>970702</t>
        </is>
      </c>
      <c r="G904" s="6" t="inlineStr">
        <is>
          <t>Quadris Excel</t>
        </is>
      </c>
      <c r="H904" s="6" t="n">
        <v>1</v>
      </c>
      <c r="I904" s="6" t="n">
        <v>3</v>
      </c>
      <c r="J904" s="6" t="inlineStr">
        <is>
          <t>nincs</t>
        </is>
      </c>
      <c r="K904" s="6">
        <f>IF(AND(H904&gt;0,I904&gt;0),"Rendben",IF(AND(H904=0,I904=0),"Nincs kép és adat",IF(H904=0,"Nincs kép","Nincs adat")))</f>
        <v/>
      </c>
      <c r="L904" s="6" t="inlineStr">
        <is>
          <t>Igen</t>
        </is>
      </c>
      <c r="M904" s="7" t="inlineStr">
        <is>
          <t>Ital Accessori teljes PDF katalógus (ital-accessori.sk)</t>
        </is>
      </c>
      <c r="N904" s="7" t="inlineStr">
        <is>
          <t>Megtalálva: Reflexný pás pre pevný povrch Reflective tape for rigid surfaces (kód: 970702)</t>
        </is>
      </c>
      <c r="O904" s="11" t="inlineStr">
        <is>
          <t>https://www.ital-accessori.sk/katalog/book/KOMP/685/</t>
        </is>
      </c>
      <c r="P904" s="11" t="inlineStr">
        <is>
          <t>https://website-9ib.pages.dev/termek/702-reflex-szalag-dobozra-feher-stx/</t>
        </is>
      </c>
      <c r="Q904" s="12" t="inlineStr"/>
      <c r="R904" s="13" t="inlineStr"/>
      <c r="S904" s="6" t="inlineStr">
        <is>
          <t>702-reflex-szalag-dobozra-feher-stx</t>
        </is>
      </c>
    </row>
    <row r="905">
      <c r="A905" s="6" t="inlineStr">
        <is>
          <t>703</t>
        </is>
      </c>
      <c r="B905" s="7" t="inlineStr">
        <is>
          <t>Reflex szalag dobozra, piros</t>
        </is>
      </c>
      <c r="C905" s="6" t="inlineStr">
        <is>
          <t>Speciális felépítmény alkatrészek</t>
        </is>
      </c>
      <c r="D905" s="6" t="inlineStr">
        <is>
          <t>Egyéb</t>
        </is>
      </c>
      <c r="E905" s="6" t="inlineStr">
        <is>
          <t>Ital Accessori</t>
        </is>
      </c>
      <c r="F905" s="6" t="inlineStr">
        <is>
          <t>970703</t>
        </is>
      </c>
      <c r="G905" s="6" t="inlineStr">
        <is>
          <t>Quadris Excel</t>
        </is>
      </c>
      <c r="H905" s="6" t="n">
        <v>1</v>
      </c>
      <c r="I905" s="6" t="n">
        <v>3</v>
      </c>
      <c r="J905" s="6" t="inlineStr">
        <is>
          <t>nincs</t>
        </is>
      </c>
      <c r="K905" s="6">
        <f>IF(AND(H905&gt;0,I905&gt;0),"Rendben",IF(AND(H905=0,I905=0),"Nincs kép és adat",IF(H905=0,"Nincs kép","Nincs adat")))</f>
        <v/>
      </c>
      <c r="L905" s="6" t="inlineStr">
        <is>
          <t>Igen</t>
        </is>
      </c>
      <c r="M905" s="7" t="inlineStr">
        <is>
          <t>Ital Accessori teljes PDF katalógus (ital-accessori.sk)</t>
        </is>
      </c>
      <c r="N905" s="7" t="inlineStr">
        <is>
          <t>Megtalálva: Reflexný pás pre pevný povrch Reflective tape for rigid surfaces (kód: 970703)</t>
        </is>
      </c>
      <c r="O905" s="11" t="inlineStr">
        <is>
          <t>https://www.ital-accessori.sk/katalog/book/KOMP/685/</t>
        </is>
      </c>
      <c r="P905" s="11" t="inlineStr">
        <is>
          <t>https://website-9ib.pages.dev/termek/703-reflex-szalag-dobozra-piros/</t>
        </is>
      </c>
      <c r="Q905" s="12" t="inlineStr"/>
      <c r="R905" s="13" t="inlineStr"/>
      <c r="S905" s="6" t="inlineStr">
        <is>
          <t>703-reflex-szalag-dobozra-piros</t>
        </is>
      </c>
    </row>
    <row r="906">
      <c r="A906" s="6" t="inlineStr">
        <is>
          <t>703</t>
        </is>
      </c>
      <c r="B906" s="7" t="inlineStr">
        <is>
          <t>Reflex szalag dobozra, piros STX</t>
        </is>
      </c>
      <c r="C906" s="6" t="inlineStr">
        <is>
          <t>Speciális felépítmény alkatrészek</t>
        </is>
      </c>
      <c r="D906" s="6" t="inlineStr">
        <is>
          <t>Egyéb</t>
        </is>
      </c>
      <c r="E906" s="6" t="inlineStr">
        <is>
          <t>Ital Accessori</t>
        </is>
      </c>
      <c r="F906" s="6" t="inlineStr">
        <is>
          <t>970703</t>
        </is>
      </c>
      <c r="G906" s="6" t="inlineStr">
        <is>
          <t>Quadris Excel</t>
        </is>
      </c>
      <c r="H906" s="6" t="n">
        <v>1</v>
      </c>
      <c r="I906" s="6" t="n">
        <v>3</v>
      </c>
      <c r="J906" s="6" t="inlineStr">
        <is>
          <t>nincs</t>
        </is>
      </c>
      <c r="K906" s="6">
        <f>IF(AND(H906&gt;0,I906&gt;0),"Rendben",IF(AND(H906=0,I906=0),"Nincs kép és adat",IF(H906=0,"Nincs kép","Nincs adat")))</f>
        <v/>
      </c>
      <c r="L906" s="6" t="inlineStr">
        <is>
          <t>Igen</t>
        </is>
      </c>
      <c r="M906" s="7" t="inlineStr">
        <is>
          <t>Ital Accessori teljes PDF katalógus (ital-accessori.sk)</t>
        </is>
      </c>
      <c r="N906" s="7" t="inlineStr">
        <is>
          <t>Megtalálva: Reflexný pás pre pevný povrch Reflective tape for rigid surfaces (kód: 970703)</t>
        </is>
      </c>
      <c r="O906" s="11" t="inlineStr">
        <is>
          <t>https://www.ital-accessori.sk/katalog/book/KOMP/685/</t>
        </is>
      </c>
      <c r="P906" s="11" t="inlineStr">
        <is>
          <t>https://website-9ib.pages.dev/termek/703-reflex-szalag-dobozra-piros-stx/</t>
        </is>
      </c>
      <c r="Q906" s="12" t="inlineStr"/>
      <c r="R906" s="13" t="inlineStr"/>
      <c r="S906" s="6" t="inlineStr">
        <is>
          <t>703-reflex-szalag-dobozra-piros-stx</t>
        </is>
      </c>
    </row>
    <row r="907">
      <c r="A907" s="6" t="inlineStr">
        <is>
          <t>701</t>
        </is>
      </c>
      <c r="B907" s="7" t="inlineStr">
        <is>
          <t>Reflex szalag dobozra, sárga</t>
        </is>
      </c>
      <c r="C907" s="6" t="inlineStr">
        <is>
          <t>Speciális felépítmény alkatrészek</t>
        </is>
      </c>
      <c r="D907" s="6" t="inlineStr">
        <is>
          <t>Egyéb</t>
        </is>
      </c>
      <c r="E907" s="6" t="inlineStr">
        <is>
          <t>Ital Accessori</t>
        </is>
      </c>
      <c r="F907" s="6" t="inlineStr">
        <is>
          <t>970701</t>
        </is>
      </c>
      <c r="G907" s="6" t="inlineStr">
        <is>
          <t>Quadris Excel</t>
        </is>
      </c>
      <c r="H907" s="6" t="n">
        <v>1</v>
      </c>
      <c r="I907" s="6" t="n">
        <v>3</v>
      </c>
      <c r="J907" s="6" t="inlineStr">
        <is>
          <t>nincs</t>
        </is>
      </c>
      <c r="K907" s="6">
        <f>IF(AND(H907&gt;0,I907&gt;0),"Rendben",IF(AND(H907=0,I907=0),"Nincs kép és adat",IF(H907=0,"Nincs kép","Nincs adat")))</f>
        <v/>
      </c>
      <c r="L907" s="6" t="inlineStr">
        <is>
          <t>Igen</t>
        </is>
      </c>
      <c r="M907" s="7" t="inlineStr">
        <is>
          <t>Ital Accessori teljes PDF katalógus (ital-accessori.sk)</t>
        </is>
      </c>
      <c r="N907" s="7" t="inlineStr">
        <is>
          <t>Megtalálva: Reflexný pás pre pevný povrch Reflective tape for rigid surfaces (kód: 970701)</t>
        </is>
      </c>
      <c r="O907" s="11" t="inlineStr">
        <is>
          <t>https://www.ital-accessori.sk/katalog/book/KOMP/685/</t>
        </is>
      </c>
      <c r="P907" s="11" t="inlineStr">
        <is>
          <t>https://website-9ib.pages.dev/termek/701-reflex-szalag-dobozra-sarga/</t>
        </is>
      </c>
      <c r="Q907" s="12" t="inlineStr"/>
      <c r="R907" s="13" t="inlineStr"/>
      <c r="S907" s="6" t="inlineStr">
        <is>
          <t>701-reflex-szalag-dobozra-sarga</t>
        </is>
      </c>
    </row>
    <row r="908">
      <c r="A908" s="6" t="inlineStr">
        <is>
          <t>753</t>
        </is>
      </c>
      <c r="B908" s="7" t="inlineStr">
        <is>
          <t>Reflex szalag piros ponyvára</t>
        </is>
      </c>
      <c r="C908" s="6" t="inlineStr">
        <is>
          <t>Speciális felépítmény alkatrészek</t>
        </is>
      </c>
      <c r="D908" s="6" t="inlineStr">
        <is>
          <t>Egyéb</t>
        </is>
      </c>
      <c r="E908" s="6" t="inlineStr">
        <is>
          <t>Ital Accessori</t>
        </is>
      </c>
      <c r="F908" s="6" t="inlineStr"/>
      <c r="G908" s="6" t="inlineStr">
        <is>
          <t>Quadris Excel</t>
        </is>
      </c>
      <c r="H908" s="6" t="n">
        <v>0</v>
      </c>
      <c r="I908" s="6" t="n">
        <v>0</v>
      </c>
      <c r="J908" s="6" t="inlineStr">
        <is>
          <t>nincs</t>
        </is>
      </c>
      <c r="K908" s="6">
        <f>IF(AND(H908&gt;0,I908&gt;0),"Rendben",IF(AND(H908=0,I908=0),"Nincs kép és adat",IF(H908=0,"Nincs kép","Nincs adat")))</f>
        <v/>
      </c>
      <c r="L908" s="6" t="inlineStr">
        <is>
          <t>Igen</t>
        </is>
      </c>
      <c r="M908" s="7" t="inlineStr">
        <is>
          <t>Ital Accessori teljes PDF katalógus (ital-accessori.sk)</t>
        </is>
      </c>
      <c r="N908" s="7" t="inlineStr">
        <is>
          <t>Nem találtuk: Ital Accessori teljes PDF katalógus (ital-accessori.sk)</t>
        </is>
      </c>
      <c r="O908" s="6" t="inlineStr"/>
      <c r="P908" s="11" t="inlineStr">
        <is>
          <t>https://website-9ib.pages.dev/termek/753-reflex-szalag-piros-ponyvara/</t>
        </is>
      </c>
      <c r="Q908" s="12" t="inlineStr"/>
      <c r="R908" s="13" t="inlineStr"/>
      <c r="S908" s="6" t="inlineStr">
        <is>
          <t>753-reflex-szalag-piros-ponyvara</t>
        </is>
      </c>
    </row>
    <row r="909">
      <c r="A909" s="6" t="inlineStr">
        <is>
          <t>752</t>
        </is>
      </c>
      <c r="B909" s="7" t="inlineStr">
        <is>
          <t>Reflex szalag ponyvára, fehér</t>
        </is>
      </c>
      <c r="C909" s="6" t="inlineStr">
        <is>
          <t>Speciális felépítmény alkatrészek</t>
        </is>
      </c>
      <c r="D909" s="6" t="inlineStr">
        <is>
          <t>Egyéb</t>
        </is>
      </c>
      <c r="E909" s="6" t="inlineStr">
        <is>
          <t>Ital Accessori</t>
        </is>
      </c>
      <c r="F909" s="6" t="inlineStr"/>
      <c r="G909" s="6" t="inlineStr">
        <is>
          <t>Quadris Excel</t>
        </is>
      </c>
      <c r="H909" s="6" t="n">
        <v>0</v>
      </c>
      <c r="I909" s="6" t="n">
        <v>0</v>
      </c>
      <c r="J909" s="6" t="inlineStr">
        <is>
          <t>nincs</t>
        </is>
      </c>
      <c r="K909" s="6">
        <f>IF(AND(H909&gt;0,I909&gt;0),"Rendben",IF(AND(H909=0,I909=0),"Nincs kép és adat",IF(H909=0,"Nincs kép","Nincs adat")))</f>
        <v/>
      </c>
      <c r="L909" s="6" t="inlineStr">
        <is>
          <t>Igen</t>
        </is>
      </c>
      <c r="M909" s="7" t="inlineStr">
        <is>
          <t>Ital Accessori teljes PDF katalógus (ital-accessori.sk)</t>
        </is>
      </c>
      <c r="N909" s="7" t="inlineStr">
        <is>
          <t>Nem találtuk: Ital Accessori teljes PDF katalógus (ital-accessori.sk)</t>
        </is>
      </c>
      <c r="O909" s="6" t="inlineStr"/>
      <c r="P909" s="11" t="inlineStr">
        <is>
          <t>https://website-9ib.pages.dev/termek/752-reflex-szalag-ponyvara-feher/</t>
        </is>
      </c>
      <c r="Q909" s="12" t="inlineStr"/>
      <c r="R909" s="13" t="inlineStr"/>
      <c r="S909" s="6" t="inlineStr">
        <is>
          <t>752-reflex-szalag-ponyvara-feher</t>
        </is>
      </c>
    </row>
    <row r="910">
      <c r="A910" s="6" t="inlineStr">
        <is>
          <t>751</t>
        </is>
      </c>
      <c r="B910" s="7" t="inlineStr">
        <is>
          <t>Reflex szalag ponyvára, sárga</t>
        </is>
      </c>
      <c r="C910" s="6" t="inlineStr">
        <is>
          <t>Speciális felépítmény alkatrészek</t>
        </is>
      </c>
      <c r="D910" s="6" t="inlineStr">
        <is>
          <t>Egyéb</t>
        </is>
      </c>
      <c r="E910" s="6" t="inlineStr">
        <is>
          <t>Ital Accessori</t>
        </is>
      </c>
      <c r="F910" s="6" t="inlineStr"/>
      <c r="G910" s="6" t="inlineStr">
        <is>
          <t>Quadris Excel</t>
        </is>
      </c>
      <c r="H910" s="6" t="n">
        <v>0</v>
      </c>
      <c r="I910" s="6" t="n">
        <v>0</v>
      </c>
      <c r="J910" s="6" t="inlineStr">
        <is>
          <t>nincs</t>
        </is>
      </c>
      <c r="K910" s="6">
        <f>IF(AND(H910&gt;0,I910&gt;0),"Rendben",IF(AND(H910=0,I910=0),"Nincs kép és adat",IF(H910=0,"Nincs kép","Nincs adat")))</f>
        <v/>
      </c>
      <c r="L910" s="6" t="inlineStr">
        <is>
          <t>Igen</t>
        </is>
      </c>
      <c r="M910" s="7" t="inlineStr">
        <is>
          <t>Ital Accessori teljes PDF katalógus (ital-accessori.sk)</t>
        </is>
      </c>
      <c r="N910" s="7" t="inlineStr">
        <is>
          <t>Nem találtuk: Ital Accessori teljes PDF katalógus (ital-accessori.sk)</t>
        </is>
      </c>
      <c r="O910" s="6" t="inlineStr"/>
      <c r="P910" s="11" t="inlineStr">
        <is>
          <t>https://website-9ib.pages.dev/termek/751-reflex-szalag-ponyvara-sarga/</t>
        </is>
      </c>
      <c r="Q910" s="12" t="inlineStr"/>
      <c r="R910" s="13" t="inlineStr"/>
      <c r="S910" s="6" t="inlineStr">
        <is>
          <t>751-reflex-szalag-ponyvara-sarga</t>
        </is>
      </c>
    </row>
    <row r="911">
      <c r="A911" s="6" t="inlineStr">
        <is>
          <t>722</t>
        </is>
      </c>
      <c r="B911" s="7" t="inlineStr">
        <is>
          <t>Reflex szalag szekcionált fehér</t>
        </is>
      </c>
      <c r="C911" s="6" t="inlineStr">
        <is>
          <t>Speciális felépítmény alkatrészek</t>
        </is>
      </c>
      <c r="D911" s="6" t="inlineStr">
        <is>
          <t>Egyéb</t>
        </is>
      </c>
      <c r="E911" s="6" t="inlineStr">
        <is>
          <t>Ital Accessori</t>
        </is>
      </c>
      <c r="F911" s="6" t="inlineStr">
        <is>
          <t>970792</t>
        </is>
      </c>
      <c r="G911" s="6" t="inlineStr">
        <is>
          <t>Quadris Excel</t>
        </is>
      </c>
      <c r="H911" s="6" t="n">
        <v>1</v>
      </c>
      <c r="I911" s="6" t="n">
        <v>3</v>
      </c>
      <c r="J911" s="6" t="inlineStr">
        <is>
          <t>nincs</t>
        </is>
      </c>
      <c r="K911" s="6">
        <f>IF(AND(H911&gt;0,I911&gt;0),"Rendben",IF(AND(H911=0,I911=0),"Nincs kép és adat",IF(H911=0,"Nincs kép","Nincs adat")))</f>
        <v/>
      </c>
      <c r="L911" s="6" t="inlineStr">
        <is>
          <t>Igen</t>
        </is>
      </c>
      <c r="M911" s="7" t="inlineStr">
        <is>
          <t>Ital Accessori teljes PDF katalógus (ital-accessori.sk)</t>
        </is>
      </c>
      <c r="N911" s="7" t="inlineStr">
        <is>
          <t>Megtalálva: Reflexný pás pre plachtovinový povrch - segmentovaný Reflective tape for canvas surfaces - segmented (kód: 970792)</t>
        </is>
      </c>
      <c r="O911" s="11" t="inlineStr">
        <is>
          <t>https://www.ital-accessori.sk/katalog/book/KOMP/685/</t>
        </is>
      </c>
      <c r="P911" s="11" t="inlineStr">
        <is>
          <t>https://website-9ib.pages.dev/termek/722-reflex-szalag-szekcionalt-feher/</t>
        </is>
      </c>
      <c r="Q911" s="12" t="inlineStr"/>
      <c r="R911" s="13" t="inlineStr"/>
      <c r="S911" s="6" t="inlineStr">
        <is>
          <t>722-reflex-szalag-szekcionalt-feher</t>
        </is>
      </c>
    </row>
    <row r="912">
      <c r="A912" s="6" t="inlineStr">
        <is>
          <t>723</t>
        </is>
      </c>
      <c r="B912" s="7" t="inlineStr">
        <is>
          <t>Reflex szalag szekcionált piros</t>
        </is>
      </c>
      <c r="C912" s="6" t="inlineStr">
        <is>
          <t>Speciális felépítmény alkatrészek</t>
        </is>
      </c>
      <c r="D912" s="6" t="inlineStr">
        <is>
          <t>Egyéb</t>
        </is>
      </c>
      <c r="E912" s="6" t="inlineStr">
        <is>
          <t>Ital Accessori</t>
        </is>
      </c>
      <c r="F912" s="6" t="inlineStr">
        <is>
          <t>970793</t>
        </is>
      </c>
      <c r="G912" s="6" t="inlineStr">
        <is>
          <t>Quadris Excel</t>
        </is>
      </c>
      <c r="H912" s="6" t="n">
        <v>1</v>
      </c>
      <c r="I912" s="6" t="n">
        <v>3</v>
      </c>
      <c r="J912" s="6" t="inlineStr">
        <is>
          <t>nincs</t>
        </is>
      </c>
      <c r="K912" s="6">
        <f>IF(AND(H912&gt;0,I912&gt;0),"Rendben",IF(AND(H912=0,I912=0),"Nincs kép és adat",IF(H912=0,"Nincs kép","Nincs adat")))</f>
        <v/>
      </c>
      <c r="L912" s="6" t="inlineStr">
        <is>
          <t>Igen</t>
        </is>
      </c>
      <c r="M912" s="7" t="inlineStr">
        <is>
          <t>Ital Accessori teljes PDF katalógus (ital-accessori.sk)</t>
        </is>
      </c>
      <c r="N912" s="7" t="inlineStr">
        <is>
          <t>Megtalálva: Reflexný pás pre plachtovinový povrch - segmentovaný Reflective tape for canvas surfaces - segmented (kód: 970793)</t>
        </is>
      </c>
      <c r="O912" s="11" t="inlineStr">
        <is>
          <t>https://www.ital-accessori.sk/katalog/book/KOMP/685/</t>
        </is>
      </c>
      <c r="P912" s="11" t="inlineStr">
        <is>
          <t>https://website-9ib.pages.dev/termek/723-reflex-szalag-szekcionalt-piros/</t>
        </is>
      </c>
      <c r="Q912" s="12" t="inlineStr"/>
      <c r="R912" s="13" t="inlineStr"/>
      <c r="S912" s="6" t="inlineStr">
        <is>
          <t>723-reflex-szalag-szekcionalt-piros</t>
        </is>
      </c>
    </row>
    <row r="913">
      <c r="A913" s="6" t="inlineStr">
        <is>
          <t>721</t>
        </is>
      </c>
      <c r="B913" s="7" t="inlineStr">
        <is>
          <t>Reflex szalag szekcionált sárga</t>
        </is>
      </c>
      <c r="C913" s="6" t="inlineStr">
        <is>
          <t>Speciális felépítmény alkatrészek</t>
        </is>
      </c>
      <c r="D913" s="6" t="inlineStr">
        <is>
          <t>Egyéb</t>
        </is>
      </c>
      <c r="E913" s="6" t="inlineStr">
        <is>
          <t>Ital Accessori</t>
        </is>
      </c>
      <c r="F913" s="6" t="inlineStr">
        <is>
          <t>970791</t>
        </is>
      </c>
      <c r="G913" s="6" t="inlineStr">
        <is>
          <t>Quadris Excel</t>
        </is>
      </c>
      <c r="H913" s="6" t="n">
        <v>1</v>
      </c>
      <c r="I913" s="6" t="n">
        <v>3</v>
      </c>
      <c r="J913" s="6" t="inlineStr">
        <is>
          <t>nincs</t>
        </is>
      </c>
      <c r="K913" s="6">
        <f>IF(AND(H913&gt;0,I913&gt;0),"Rendben",IF(AND(H913=0,I913=0),"Nincs kép és adat",IF(H913=0,"Nincs kép","Nincs adat")))</f>
        <v/>
      </c>
      <c r="L913" s="6" t="inlineStr">
        <is>
          <t>Igen</t>
        </is>
      </c>
      <c r="M913" s="7" t="inlineStr">
        <is>
          <t>Ital Accessori teljes PDF katalógus (ital-accessori.sk)</t>
        </is>
      </c>
      <c r="N913" s="7" t="inlineStr">
        <is>
          <t>Megtalálva: Reflexný pás pre plachtovinový povrch - segmentovaný Reflective tape for canvas surfaces - segmented (kód: 970791)</t>
        </is>
      </c>
      <c r="O913" s="11" t="inlineStr">
        <is>
          <t>https://www.ital-accessori.sk/katalog/book/KOMP/685/</t>
        </is>
      </c>
      <c r="P913" s="11" t="inlineStr">
        <is>
          <t>https://website-9ib.pages.dev/termek/721-reflex-szalag-szekcionalt-sarga/</t>
        </is>
      </c>
      <c r="Q913" s="12" t="inlineStr"/>
      <c r="R913" s="13" t="inlineStr"/>
      <c r="S913" s="6" t="inlineStr">
        <is>
          <t>721-reflex-szalag-szekcionalt-sarga</t>
        </is>
      </c>
    </row>
    <row r="914">
      <c r="A914" s="6" t="inlineStr">
        <is>
          <t>990160</t>
        </is>
      </c>
      <c r="B914" s="7" t="inlineStr">
        <is>
          <t>Reflex tábla 565x140x0,8 ECE70/01</t>
        </is>
      </c>
      <c r="C914" s="6" t="inlineStr">
        <is>
          <t>Speciális felépítmény alkatrészek</t>
        </is>
      </c>
      <c r="D914" s="6" t="inlineStr">
        <is>
          <t>Egyéb</t>
        </is>
      </c>
      <c r="E914" s="6" t="inlineStr">
        <is>
          <t>Ital Accessori</t>
        </is>
      </c>
      <c r="F914" s="6" t="inlineStr">
        <is>
          <t>990160</t>
        </is>
      </c>
      <c r="G914" s="6" t="inlineStr">
        <is>
          <t>Quadris Excel</t>
        </is>
      </c>
      <c r="H914" s="6" t="n">
        <v>1</v>
      </c>
      <c r="I914" s="6" t="n">
        <v>3</v>
      </c>
      <c r="J914" s="6" t="inlineStr">
        <is>
          <t>nincs</t>
        </is>
      </c>
      <c r="K914" s="6">
        <f>IF(AND(H914&gt;0,I914&gt;0),"Rendben",IF(AND(H914=0,I914=0),"Nincs kép és adat",IF(H914=0,"Nincs kép","Nincs adat")))</f>
        <v/>
      </c>
      <c r="L914" s="6" t="inlineStr">
        <is>
          <t>Igen</t>
        </is>
      </c>
      <c r="M914" s="7" t="inlineStr">
        <is>
          <t>Ital Accessori teljes PDF katalógus (ital-accessori.sk)</t>
        </is>
      </c>
      <c r="N914" s="7" t="inlineStr">
        <is>
          <t>Megtalálva: Ital Accessori katalógus 683. oldal (kód: 990160)</t>
        </is>
      </c>
      <c r="O914" s="11" t="inlineStr">
        <is>
          <t>https://www.ital-accessori.sk/katalog/book/KOMP/683/</t>
        </is>
      </c>
      <c r="P914" s="11" t="inlineStr">
        <is>
          <t>https://website-9ib.pages.dev/termek/990160-reflex-tabla-565x140x0-8-ece70-01/</t>
        </is>
      </c>
      <c r="Q914" s="12" t="inlineStr"/>
      <c r="R914" s="13" t="inlineStr"/>
      <c r="S914" s="6" t="inlineStr">
        <is>
          <t>990160-reflex-tabla-565x140x0-8-ece70-01</t>
        </is>
      </c>
    </row>
    <row r="915">
      <c r="A915" s="6" t="inlineStr"/>
      <c r="B915" s="7" t="inlineStr">
        <is>
          <t>DAKEN láda 500x350x400 mm</t>
        </is>
      </c>
      <c r="C915" s="6" t="inlineStr">
        <is>
          <t>Sárvédők, szerszámosládák</t>
        </is>
      </c>
      <c r="D915" s="6" t="inlineStr">
        <is>
          <t>Dobozok + tartó konzolok</t>
        </is>
      </c>
      <c r="E915" s="6" t="inlineStr">
        <is>
          <t>Ital Accessori</t>
        </is>
      </c>
      <c r="F915" s="6" t="inlineStr"/>
      <c r="G915" s="6" t="inlineStr">
        <is>
          <t>Quadris Excel</t>
        </is>
      </c>
      <c r="H915" s="6" t="n">
        <v>0</v>
      </c>
      <c r="I915" s="6" t="n">
        <v>0</v>
      </c>
      <c r="J915" s="6" t="inlineStr">
        <is>
          <t>nincs</t>
        </is>
      </c>
      <c r="K915" s="6">
        <f>IF(AND(H915&gt;0,I915&gt;0),"Rendben",IF(AND(H915=0,I915=0),"Nincs kép és adat",IF(H915=0,"Nincs kép","Nincs adat")))</f>
        <v/>
      </c>
      <c r="L915" s="6" t="inlineStr">
        <is>
          <t>Igen</t>
        </is>
      </c>
      <c r="M915" s="7" t="inlineStr">
        <is>
          <t>Ital Accessori teljes PDF katalógus (ital-accessori.sk)</t>
        </is>
      </c>
      <c r="N915" s="7" t="inlineStr">
        <is>
          <t>Nem találtuk: Ital Accessori teljes PDF katalógus (ital-accessori.sk)</t>
        </is>
      </c>
      <c r="O915" s="6" t="inlineStr"/>
      <c r="P915" s="11" t="inlineStr">
        <is>
          <t>https://website-9ib.pages.dev/termek/daken-lada-500x350x400-mm/</t>
        </is>
      </c>
      <c r="Q915" s="12" t="inlineStr"/>
      <c r="R915" s="13" t="inlineStr"/>
      <c r="S915" s="6" t="inlineStr">
        <is>
          <t>daken-lada-500x350x400-mm</t>
        </is>
      </c>
    </row>
    <row r="916">
      <c r="A916" s="6" t="inlineStr"/>
      <c r="B916" s="7" t="inlineStr">
        <is>
          <t>J101030 Negyed íves sárvédő 700x650</t>
        </is>
      </c>
      <c r="C916" s="6" t="inlineStr">
        <is>
          <t>Sárvédők, szerszámosládák</t>
        </is>
      </c>
      <c r="D916" s="6" t="inlineStr">
        <is>
          <t>Sárvédők</t>
        </is>
      </c>
      <c r="E916" s="6" t="inlineStr">
        <is>
          <t>Ital Accessori</t>
        </is>
      </c>
      <c r="F916" s="6" t="inlineStr">
        <is>
          <t>101030</t>
        </is>
      </c>
      <c r="G916" s="6" t="inlineStr">
        <is>
          <t>Quadris Excel</t>
        </is>
      </c>
      <c r="H916" s="6" t="n">
        <v>1</v>
      </c>
      <c r="I916" s="6" t="n">
        <v>7</v>
      </c>
      <c r="J916" s="6" t="inlineStr">
        <is>
          <t>nincs</t>
        </is>
      </c>
      <c r="K916" s="6">
        <f>IF(AND(H916&gt;0,I916&gt;0),"Rendben",IF(AND(H916=0,I916=0),"Nincs kép és adat",IF(H916=0,"Nincs kép","Nincs adat")))</f>
        <v/>
      </c>
      <c r="L916" s="6" t="inlineStr">
        <is>
          <t>Igen</t>
        </is>
      </c>
      <c r="M916" s="7" t="inlineStr">
        <is>
          <t>Ital Accessori teljes PDF katalógus (ital-accessori.sk)</t>
        </is>
      </c>
      <c r="N916" s="7" t="inlineStr">
        <is>
          <t>Megtalálva: Plastový 1/2 blatník Plastic half wing mudguard (kód: 101030)</t>
        </is>
      </c>
      <c r="O916" s="11" t="inlineStr">
        <is>
          <t>https://www.ital-accessori.sk/katalog/book/KOMP/501/</t>
        </is>
      </c>
      <c r="P916" s="11" t="inlineStr">
        <is>
          <t>https://website-9ib.pages.dev/termek/j101030-negyed-ives-sarvedo-700x650/</t>
        </is>
      </c>
      <c r="Q916" s="12" t="inlineStr"/>
      <c r="R916" s="13" t="inlineStr"/>
      <c r="S916" s="6" t="inlineStr">
        <is>
          <t>j101030-negyed-ives-sarvedo-700x650</t>
        </is>
      </c>
    </row>
    <row r="917">
      <c r="A917" s="6" t="inlineStr"/>
      <c r="B917" s="7" t="inlineStr">
        <is>
          <t>J101135 Negyed íves sárvédő 800x430</t>
        </is>
      </c>
      <c r="C917" s="6" t="inlineStr">
        <is>
          <t>Sárvédők, szerszámosládák</t>
        </is>
      </c>
      <c r="D917" s="6" t="inlineStr">
        <is>
          <t>Sárvédők</t>
        </is>
      </c>
      <c r="E917" s="6" t="inlineStr">
        <is>
          <t>Ital Accessori</t>
        </is>
      </c>
      <c r="F917" s="6" t="inlineStr">
        <is>
          <t>101135</t>
        </is>
      </c>
      <c r="G917" s="6" t="inlineStr">
        <is>
          <t>Quadris Excel</t>
        </is>
      </c>
      <c r="H917" s="6" t="n">
        <v>1</v>
      </c>
      <c r="I917" s="6" t="n">
        <v>7</v>
      </c>
      <c r="J917" s="6" t="inlineStr">
        <is>
          <t>nincs</t>
        </is>
      </c>
      <c r="K917" s="6">
        <f>IF(AND(H917&gt;0,I917&gt;0),"Rendben",IF(AND(H917=0,I917=0),"Nincs kép és adat",IF(H917=0,"Nincs kép","Nincs adat")))</f>
        <v/>
      </c>
      <c r="L917" s="6" t="inlineStr">
        <is>
          <t>Igen</t>
        </is>
      </c>
      <c r="M917" s="7" t="inlineStr">
        <is>
          <t>Ital Accessori teljes PDF katalógus (ital-accessori.sk)</t>
        </is>
      </c>
      <c r="N917" s="7" t="inlineStr">
        <is>
          <t>Megtalálva: Plastový 1/2 blatník s bielym okrajom Plastic half wing mudguard with white border (kód: 101135)</t>
        </is>
      </c>
      <c r="O917" s="11" t="inlineStr">
        <is>
          <t>https://www.ital-accessori.sk/katalog/book/KOMP/501/</t>
        </is>
      </c>
      <c r="P917" s="11" t="inlineStr">
        <is>
          <t>https://website-9ib.pages.dev/termek/j101135-negyed-ives-sarvedo-800x430/</t>
        </is>
      </c>
      <c r="Q917" s="12" t="inlineStr"/>
      <c r="R917" s="13" t="inlineStr"/>
      <c r="S917" s="6" t="inlineStr">
        <is>
          <t>j101135-negyed-ives-sarvedo-800x430</t>
        </is>
      </c>
    </row>
    <row r="918">
      <c r="A918" s="6" t="inlineStr"/>
      <c r="B918" s="7" t="inlineStr">
        <is>
          <t>J101510D Íves sárvédő 270/1300/420</t>
        </is>
      </c>
      <c r="C918" s="6" t="inlineStr">
        <is>
          <t>Sárvédők, szerszámosládák</t>
        </is>
      </c>
      <c r="D918" s="6" t="inlineStr">
        <is>
          <t>Sárvédők</t>
        </is>
      </c>
      <c r="E918" s="6" t="inlineStr">
        <is>
          <t>Ital Accessori</t>
        </is>
      </c>
      <c r="F918" s="6" t="inlineStr">
        <is>
          <t>101510</t>
        </is>
      </c>
      <c r="G918" s="6" t="inlineStr">
        <is>
          <t>Quadris Excel</t>
        </is>
      </c>
      <c r="H918" s="6" t="n">
        <v>1</v>
      </c>
      <c r="I918" s="6" t="n">
        <v>7</v>
      </c>
      <c r="J918" s="6" t="inlineStr">
        <is>
          <t>nincs</t>
        </is>
      </c>
      <c r="K918" s="6">
        <f>IF(AND(H918&gt;0,I918&gt;0),"Rendben",IF(AND(H918=0,I918=0),"Nincs kép és adat",IF(H918=0,"Nincs kép","Nincs adat")))</f>
        <v/>
      </c>
      <c r="L918" s="6" t="inlineStr">
        <is>
          <t>Igen</t>
        </is>
      </c>
      <c r="M918" s="7" t="inlineStr">
        <is>
          <t>Ital Accessori teljes PDF katalógus (ital-accessori.sk)</t>
        </is>
      </c>
      <c r="N918" s="7" t="inlineStr">
        <is>
          <t>Megtalálva: Plastový blatník Plastic mudguard (kód: 101510)</t>
        </is>
      </c>
      <c r="O918" s="11" t="inlineStr">
        <is>
          <t>https://www.ital-accessori.sk/katalog/book/KOMP/494/</t>
        </is>
      </c>
      <c r="P918" s="11" t="inlineStr">
        <is>
          <t>https://website-9ib.pages.dev/termek/j101510d-ives-sarvedo-270-1300-420/</t>
        </is>
      </c>
      <c r="Q918" s="12" t="inlineStr"/>
      <c r="R918" s="13" t="inlineStr"/>
      <c r="S918" s="6" t="inlineStr">
        <is>
          <t>j101510d-ives-sarvedo-270-1300-420</t>
        </is>
      </c>
    </row>
    <row r="919">
      <c r="A919" s="6" t="inlineStr"/>
      <c r="B919" s="7" t="inlineStr">
        <is>
          <t>J101530D Íves sárvédő 500/1620/500</t>
        </is>
      </c>
      <c r="C919" s="6" t="inlineStr">
        <is>
          <t>Sárvédők, szerszámosládák</t>
        </is>
      </c>
      <c r="D919" s="6" t="inlineStr">
        <is>
          <t>Sárvédők</t>
        </is>
      </c>
      <c r="E919" s="6" t="inlineStr">
        <is>
          <t>Ital Accessori</t>
        </is>
      </c>
      <c r="F919" s="6" t="inlineStr"/>
      <c r="G919" s="6" t="inlineStr">
        <is>
          <t>Quadris Excel</t>
        </is>
      </c>
      <c r="H919" s="6" t="n">
        <v>1</v>
      </c>
      <c r="I919" s="6" t="n">
        <v>7</v>
      </c>
      <c r="J919" s="6" t="inlineStr">
        <is>
          <t>nincs</t>
        </is>
      </c>
      <c r="K919" s="6">
        <f>IF(AND(H919&gt;0,I919&gt;0),"Rendben",IF(AND(H919=0,I919=0),"Nincs kép és adat",IF(H919=0,"Nincs kép","Nincs adat")))</f>
        <v/>
      </c>
      <c r="L919" s="6" t="inlineStr">
        <is>
          <t>Igen</t>
        </is>
      </c>
      <c r="M919" s="7" t="inlineStr">
        <is>
          <t>Ital Accessori teljes PDF katalógus (ital-accessori.sk)</t>
        </is>
      </c>
      <c r="N919" s="7" t="inlineStr">
        <is>
          <t>Megtalálva: Plastový blatník Plastic mudguard (kód: 101530)</t>
        </is>
      </c>
      <c r="O919" s="11" t="inlineStr">
        <is>
          <t>https://www.ital-accessori.sk/katalog/book/KOMP/494/</t>
        </is>
      </c>
      <c r="P919" s="11" t="inlineStr">
        <is>
          <t>https://website-9ib.pages.dev/termek/j101530d-ives-sarvedo-500-1620-500/</t>
        </is>
      </c>
      <c r="Q919" s="12" t="inlineStr"/>
      <c r="R919" s="13" t="inlineStr"/>
      <c r="S919" s="6" t="inlineStr">
        <is>
          <t>j101530d-ives-sarvedo-500-1620-500</t>
        </is>
      </c>
    </row>
    <row r="920">
      <c r="A920" s="6" t="inlineStr"/>
      <c r="B920" s="7" t="inlineStr">
        <is>
          <t>J101620D Íves sárvédő 450/1350/430</t>
        </is>
      </c>
      <c r="C920" s="6" t="inlineStr">
        <is>
          <t>Sárvédők, szerszámosládák</t>
        </is>
      </c>
      <c r="D920" s="6" t="inlineStr">
        <is>
          <t>Sárvédők</t>
        </is>
      </c>
      <c r="E920" s="6" t="inlineStr">
        <is>
          <t>Ital Accessori</t>
        </is>
      </c>
      <c r="F920" s="6" t="inlineStr">
        <is>
          <t>101620</t>
        </is>
      </c>
      <c r="G920" s="6" t="inlineStr">
        <is>
          <t>Quadris Excel</t>
        </is>
      </c>
      <c r="H920" s="6" t="n">
        <v>1</v>
      </c>
      <c r="I920" s="6" t="n">
        <v>7</v>
      </c>
      <c r="J920" s="6" t="inlineStr">
        <is>
          <t>nincs</t>
        </is>
      </c>
      <c r="K920" s="6">
        <f>IF(AND(H920&gt;0,I920&gt;0),"Rendben",IF(AND(H920=0,I920=0),"Nincs kép és adat",IF(H920=0,"Nincs kép","Nincs adat")))</f>
        <v/>
      </c>
      <c r="L920" s="6" t="inlineStr">
        <is>
          <t>Igen</t>
        </is>
      </c>
      <c r="M920" s="7" t="inlineStr">
        <is>
          <t>Ital Accessori teljes PDF katalógus (ital-accessori.sk)</t>
        </is>
      </c>
      <c r="N920" s="7" t="inlineStr">
        <is>
          <t>Megtalálva: Plastový blatník s bielym okrajom Plastic mudguard with white border (kód: 101620)</t>
        </is>
      </c>
      <c r="O920" s="11" t="inlineStr">
        <is>
          <t>https://www.ital-accessori.sk/katalog/book/KOMP/494/</t>
        </is>
      </c>
      <c r="P920" s="11" t="inlineStr">
        <is>
          <t>https://website-9ib.pages.dev/termek/j101620d-ives-sarvedo-450-1350-430/</t>
        </is>
      </c>
      <c r="Q920" s="12" t="inlineStr"/>
      <c r="R920" s="13" t="inlineStr"/>
      <c r="S920" s="6" t="inlineStr">
        <is>
          <t>j101620d-ives-sarvedo-450-1350-430</t>
        </is>
      </c>
    </row>
    <row r="921">
      <c r="A921" s="6" t="inlineStr"/>
      <c r="B921" s="7" t="inlineStr">
        <is>
          <t>J101670D Íves sárvédő 650/1900/630</t>
        </is>
      </c>
      <c r="C921" s="6" t="inlineStr">
        <is>
          <t>Sárvédők, szerszámosládák</t>
        </is>
      </c>
      <c r="D921" s="6" t="inlineStr">
        <is>
          <t>Sárvédők</t>
        </is>
      </c>
      <c r="E921" s="6" t="inlineStr">
        <is>
          <t>Ital Accessori</t>
        </is>
      </c>
      <c r="F921" s="6" t="inlineStr"/>
      <c r="G921" s="6" t="inlineStr">
        <is>
          <t>Quadris Excel</t>
        </is>
      </c>
      <c r="H921" s="6" t="n">
        <v>1</v>
      </c>
      <c r="I921" s="6" t="n">
        <v>7</v>
      </c>
      <c r="J921" s="6" t="inlineStr">
        <is>
          <t>nincs</t>
        </is>
      </c>
      <c r="K921" s="6">
        <f>IF(AND(H921&gt;0,I921&gt;0),"Rendben",IF(AND(H921=0,I921=0),"Nincs kép és adat",IF(H921=0,"Nincs kép","Nincs adat")))</f>
        <v/>
      </c>
      <c r="L921" s="6" t="inlineStr">
        <is>
          <t>Igen</t>
        </is>
      </c>
      <c r="M921" s="7" t="inlineStr">
        <is>
          <t>Ital Accessori teljes PDF katalógus (ital-accessori.sk)</t>
        </is>
      </c>
      <c r="N921" s="7" t="inlineStr">
        <is>
          <t>Megtalálva: Plastový blatník s bielym okrajom Plastic mudguard with white border (kód: 101670)</t>
        </is>
      </c>
      <c r="O921" s="11" t="inlineStr">
        <is>
          <t>https://www.ital-accessori.sk/katalog/book/KOMP/494/</t>
        </is>
      </c>
      <c r="P921" s="11" t="inlineStr">
        <is>
          <t>https://website-9ib.pages.dev/termek/j101670d-ives-sarvedo-650-1900-630/</t>
        </is>
      </c>
      <c r="Q921" s="12" t="inlineStr"/>
      <c r="R921" s="13" t="inlineStr"/>
      <c r="S921" s="6" t="inlineStr">
        <is>
          <t>j101670d-ives-sarvedo-650-1900-630</t>
        </is>
      </c>
    </row>
    <row r="922">
      <c r="A922" s="6" t="inlineStr"/>
      <c r="B922" s="7" t="inlineStr">
        <is>
          <t>J101680D Íves sárvédő 430/2125/650</t>
        </is>
      </c>
      <c r="C922" s="6" t="inlineStr">
        <is>
          <t>Sárvédők, szerszámosládák</t>
        </is>
      </c>
      <c r="D922" s="6" t="inlineStr">
        <is>
          <t>Sárvédők</t>
        </is>
      </c>
      <c r="E922" s="6" t="inlineStr">
        <is>
          <t>Ital Accessori</t>
        </is>
      </c>
      <c r="F922" s="6" t="inlineStr"/>
      <c r="G922" s="6" t="inlineStr">
        <is>
          <t>Quadris Excel</t>
        </is>
      </c>
      <c r="H922" s="6" t="n">
        <v>1</v>
      </c>
      <c r="I922" s="6" t="n">
        <v>7</v>
      </c>
      <c r="J922" s="6" t="inlineStr">
        <is>
          <t>nincs</t>
        </is>
      </c>
      <c r="K922" s="6">
        <f>IF(AND(H922&gt;0,I922&gt;0),"Rendben",IF(AND(H922=0,I922=0),"Nincs kép és adat",IF(H922=0,"Nincs kép","Nincs adat")))</f>
        <v/>
      </c>
      <c r="L922" s="6" t="inlineStr">
        <is>
          <t>Igen</t>
        </is>
      </c>
      <c r="M922" s="7" t="inlineStr">
        <is>
          <t>Ital Accessori teljes PDF katalógus (ital-accessori.sk)</t>
        </is>
      </c>
      <c r="N922" s="7" t="inlineStr">
        <is>
          <t>Megtalálva: Plastový blatník s bielym okrajom Plastic mudguard with white border (kód: 101680)</t>
        </is>
      </c>
      <c r="O922" s="11" t="inlineStr">
        <is>
          <t>https://www.ital-accessori.sk/katalog/book/KOMP/494/</t>
        </is>
      </c>
      <c r="P922" s="11" t="inlineStr">
        <is>
          <t>https://website-9ib.pages.dev/termek/j101680d-ives-sarvedo-430-2125-650/</t>
        </is>
      </c>
      <c r="Q922" s="12" t="inlineStr"/>
      <c r="R922" s="13" t="inlineStr"/>
      <c r="S922" s="6" t="inlineStr">
        <is>
          <t>j101680d-ives-sarvedo-430-2125-650</t>
        </is>
      </c>
    </row>
    <row r="923">
      <c r="A923" s="6" t="inlineStr"/>
      <c r="B923" s="7" t="inlineStr">
        <is>
          <t>J103110D FT sárvédő 260/1450/380</t>
        </is>
      </c>
      <c r="C923" s="6" t="inlineStr">
        <is>
          <t>Sárvédők, szerszámosládák</t>
        </is>
      </c>
      <c r="D923" s="6" t="inlineStr">
        <is>
          <t>Sárvédők</t>
        </is>
      </c>
      <c r="E923" s="6" t="inlineStr">
        <is>
          <t>Ital Accessori</t>
        </is>
      </c>
      <c r="F923" s="6" t="inlineStr"/>
      <c r="G923" s="6" t="inlineStr">
        <is>
          <t>Quadris Excel</t>
        </is>
      </c>
      <c r="H923" s="6" t="n">
        <v>1</v>
      </c>
      <c r="I923" s="6" t="n">
        <v>6</v>
      </c>
      <c r="J923" s="6" t="inlineStr">
        <is>
          <t>nincs</t>
        </is>
      </c>
      <c r="K923" s="6">
        <f>IF(AND(H923&gt;0,I923&gt;0),"Rendben",IF(AND(H923=0,I923=0),"Nincs kép és adat",IF(H923=0,"Nincs kép","Nincs adat")))</f>
        <v/>
      </c>
      <c r="L923" s="6" t="inlineStr">
        <is>
          <t>Igen</t>
        </is>
      </c>
      <c r="M923" s="7" t="inlineStr">
        <is>
          <t>Ital Accessori teljes PDF katalógus (ital-accessori.sk)</t>
        </is>
      </c>
      <c r="N923" s="7" t="inlineStr">
        <is>
          <t>Megtalálva: Ital Accessori (kód: 103110)</t>
        </is>
      </c>
      <c r="O923" s="11" t="inlineStr">
        <is>
          <t>https://www.ital-accessori.sk/katalog/book/KOMP/493/</t>
        </is>
      </c>
      <c r="P923" s="11" t="inlineStr">
        <is>
          <t>https://website-9ib.pages.dev/termek/j103110d-ft-sarvedo-260-1450-380/</t>
        </is>
      </c>
      <c r="Q923" s="12" t="inlineStr"/>
      <c r="R923" s="13" t="inlineStr"/>
      <c r="S923" s="6" t="inlineStr">
        <is>
          <t>j103110d-ft-sarvedo-260-1450-380</t>
        </is>
      </c>
    </row>
    <row r="924">
      <c r="A924" s="6" t="inlineStr"/>
      <c r="B924" s="7" t="inlineStr">
        <is>
          <t>J103115D 450 FT sárvédő</t>
        </is>
      </c>
      <c r="C924" s="6" t="inlineStr">
        <is>
          <t>Sárvédők, szerszámosládák</t>
        </is>
      </c>
      <c r="D924" s="6" t="inlineStr">
        <is>
          <t>Sárvédők</t>
        </is>
      </c>
      <c r="E924" s="6" t="inlineStr">
        <is>
          <t>Ital Accessori</t>
        </is>
      </c>
      <c r="F924" s="6" t="inlineStr">
        <is>
          <t>103115</t>
        </is>
      </c>
      <c r="G924" s="6" t="inlineStr">
        <is>
          <t>Quadris Excel</t>
        </is>
      </c>
      <c r="H924" s="6" t="n">
        <v>1</v>
      </c>
      <c r="I924" s="6" t="n">
        <v>6</v>
      </c>
      <c r="J924" s="6" t="inlineStr">
        <is>
          <t>nincs</t>
        </is>
      </c>
      <c r="K924" s="6">
        <f>IF(AND(H924&gt;0,I924&gt;0),"Rendben",IF(AND(H924=0,I924=0),"Nincs kép és adat",IF(H924=0,"Nincs kép","Nincs adat")))</f>
        <v/>
      </c>
      <c r="L924" s="6" t="inlineStr">
        <is>
          <t>Igen</t>
        </is>
      </c>
      <c r="M924" s="7" t="inlineStr">
        <is>
          <t>Ital Accessori teljes PDF katalógus (ital-accessori.sk)</t>
        </is>
      </c>
      <c r="N924" s="7" t="inlineStr">
        <is>
          <t>Megtalálva: Ital Accessori (kód: 103115)</t>
        </is>
      </c>
      <c r="O924" s="11" t="inlineStr">
        <is>
          <t>https://www.ital-accessori.sk/katalog/book/KOMP/493/</t>
        </is>
      </c>
      <c r="P924" s="11" t="inlineStr">
        <is>
          <t>https://website-9ib.pages.dev/termek/j103115d-450-ft-sarvedo/</t>
        </is>
      </c>
      <c r="Q924" s="12" t="inlineStr"/>
      <c r="R924" s="13" t="inlineStr"/>
      <c r="S924" s="6" t="inlineStr">
        <is>
          <t>j103115d-450-ft-sarvedo</t>
        </is>
      </c>
    </row>
    <row r="925">
      <c r="A925" s="6" t="inlineStr"/>
      <c r="B925" s="7" t="inlineStr">
        <is>
          <t>J103120D FT sárvédő 510/1770/510</t>
        </is>
      </c>
      <c r="C925" s="6" t="inlineStr">
        <is>
          <t>Sárvédők, szerszámosládák</t>
        </is>
      </c>
      <c r="D925" s="6" t="inlineStr">
        <is>
          <t>Sárvédők</t>
        </is>
      </c>
      <c r="E925" s="6" t="inlineStr">
        <is>
          <t>Ital Accessori</t>
        </is>
      </c>
      <c r="F925" s="6" t="inlineStr">
        <is>
          <t>103120</t>
        </is>
      </c>
      <c r="G925" s="6" t="inlineStr">
        <is>
          <t>Quadris Excel</t>
        </is>
      </c>
      <c r="H925" s="6" t="n">
        <v>1</v>
      </c>
      <c r="I925" s="6" t="n">
        <v>6</v>
      </c>
      <c r="J925" s="6" t="inlineStr">
        <is>
          <t>nincs</t>
        </is>
      </c>
      <c r="K925" s="6">
        <f>IF(AND(H925&gt;0,I925&gt;0),"Rendben",IF(AND(H925=0,I925=0),"Nincs kép és adat",IF(H925=0,"Nincs kép","Nincs adat")))</f>
        <v/>
      </c>
      <c r="L925" s="6" t="inlineStr">
        <is>
          <t>Igen</t>
        </is>
      </c>
      <c r="M925" s="7" t="inlineStr">
        <is>
          <t>Ital Accessori teljes PDF katalógus (ital-accessori.sk)</t>
        </is>
      </c>
      <c r="N925" s="7" t="inlineStr">
        <is>
          <t>Megtalálva: Ital Accessori (kód: 103120)</t>
        </is>
      </c>
      <c r="O925" s="11" t="inlineStr">
        <is>
          <t>https://www.ital-accessori.sk/katalog/book/KOMP/493/</t>
        </is>
      </c>
      <c r="P925" s="11" t="inlineStr">
        <is>
          <t>https://website-9ib.pages.dev/termek/j103120d-ft-sarvedo-510-1770-510/</t>
        </is>
      </c>
      <c r="Q925" s="12" t="inlineStr"/>
      <c r="R925" s="13" t="inlineStr"/>
      <c r="S925" s="6" t="inlineStr">
        <is>
          <t>j103120d-ft-sarvedo-510-1770-510</t>
        </is>
      </c>
    </row>
    <row r="926">
      <c r="A926" s="6" t="inlineStr"/>
      <c r="B926" s="7" t="inlineStr">
        <is>
          <t>J105215 Acél tandem sárvédő 2740x650x3500</t>
        </is>
      </c>
      <c r="C926" s="6" t="inlineStr">
        <is>
          <t>Sárvédők, szerszámosládák</t>
        </is>
      </c>
      <c r="D926" s="6" t="inlineStr">
        <is>
          <t>Sárvédők</t>
        </is>
      </c>
      <c r="E926" s="6" t="inlineStr">
        <is>
          <t>Ital Accessori</t>
        </is>
      </c>
      <c r="F926" s="6" t="inlineStr">
        <is>
          <t>105215</t>
        </is>
      </c>
      <c r="G926" s="6" t="inlineStr">
        <is>
          <t>Quadris Excel</t>
        </is>
      </c>
      <c r="H926" s="6" t="n">
        <v>1</v>
      </c>
      <c r="I926" s="6" t="n">
        <v>5</v>
      </c>
      <c r="J926" s="6" t="inlineStr">
        <is>
          <t>nincs</t>
        </is>
      </c>
      <c r="K926" s="6">
        <f>IF(AND(H926&gt;0,I926&gt;0),"Rendben",IF(AND(H926=0,I926=0),"Nincs kép és adat",IF(H926=0,"Nincs kép","Nincs adat")))</f>
        <v/>
      </c>
      <c r="L926" s="6" t="inlineStr">
        <is>
          <t>Igen</t>
        </is>
      </c>
      <c r="M926" s="7" t="inlineStr">
        <is>
          <t>Ital Accessori teljes PDF katalógus (ital-accessori.sk)</t>
        </is>
      </c>
      <c r="N926" s="7" t="inlineStr">
        <is>
          <t>Megtalálva: Oceľový blatník s gumovým okrajom Steel mudguard with rubber edge (kód: 105215)</t>
        </is>
      </c>
      <c r="O926" s="11" t="inlineStr">
        <is>
          <t>https://www.ital-accessori.sk/katalog/book/KOMP/514/</t>
        </is>
      </c>
      <c r="P926" s="11" t="inlineStr">
        <is>
          <t>https://website-9ib.pages.dev/termek/j105215-acel-tandem-sarvedo-2740x650x3500/</t>
        </is>
      </c>
      <c r="Q926" s="12" t="inlineStr"/>
      <c r="R926" s="13" t="inlineStr"/>
      <c r="S926" s="6" t="inlineStr">
        <is>
          <t>j105215-acel-tandem-sarvedo-2740x650x3500</t>
        </is>
      </c>
    </row>
    <row r="927">
      <c r="A927" s="6" t="inlineStr"/>
      <c r="B927" s="7" t="inlineStr">
        <is>
          <t>J105222D FT sárvédő 300/1500/447</t>
        </is>
      </c>
      <c r="C927" s="6" t="inlineStr">
        <is>
          <t>Sárvédők, szerszámosládák</t>
        </is>
      </c>
      <c r="D927" s="6" t="inlineStr">
        <is>
          <t>Sárvédők</t>
        </is>
      </c>
      <c r="E927" s="6" t="inlineStr">
        <is>
          <t>Ital Accessori</t>
        </is>
      </c>
      <c r="F927" s="6" t="inlineStr"/>
      <c r="G927" s="6" t="inlineStr">
        <is>
          <t>Quadris Excel</t>
        </is>
      </c>
      <c r="H927" s="6" t="n">
        <v>1</v>
      </c>
      <c r="I927" s="6" t="n">
        <v>5</v>
      </c>
      <c r="J927" s="6" t="inlineStr">
        <is>
          <t>nincs</t>
        </is>
      </c>
      <c r="K927" s="6">
        <f>IF(AND(H927&gt;0,I927&gt;0),"Rendben",IF(AND(H927=0,I927=0),"Nincs kép és adat",IF(H927=0,"Nincs kép","Nincs adat")))</f>
        <v/>
      </c>
      <c r="L927" s="6" t="inlineStr">
        <is>
          <t>Igen</t>
        </is>
      </c>
      <c r="M927" s="7" t="inlineStr">
        <is>
          <t>Ital Accessori teljes PDF katalógus (ital-accessori.sk)</t>
        </is>
      </c>
      <c r="N927" s="7" t="inlineStr">
        <is>
          <t>Megtalálva: Ital Accessori (kód: 105222)</t>
        </is>
      </c>
      <c r="O927" s="11" t="inlineStr">
        <is>
          <t>https://www.ital-accessori.sk/katalog/book/KOMP/493/</t>
        </is>
      </c>
      <c r="P927" s="11" t="inlineStr">
        <is>
          <t>https://website-9ib.pages.dev/termek/j105222d-ft-sarvedo-300-1500-447/</t>
        </is>
      </c>
      <c r="Q927" s="12" t="inlineStr"/>
      <c r="R927" s="13" t="inlineStr"/>
      <c r="S927" s="6" t="inlineStr">
        <is>
          <t>j105222d-ft-sarvedo-300-1500-447</t>
        </is>
      </c>
    </row>
    <row r="928">
      <c r="A928" s="6" t="inlineStr"/>
      <c r="B928" s="7" t="inlineStr">
        <is>
          <t>J108524 D42-es FF 1p. sárvédőtartó cső 580 mm</t>
        </is>
      </c>
      <c r="C928" s="6" t="inlineStr">
        <is>
          <t>Sárvédők, szerszámosládák</t>
        </is>
      </c>
      <c r="D928" s="6" t="inlineStr">
        <is>
          <t>Felfogatások</t>
        </is>
      </c>
      <c r="E928" s="6" t="inlineStr">
        <is>
          <t>Ital Accessori</t>
        </is>
      </c>
      <c r="F928" s="6" t="inlineStr">
        <is>
          <t>108524</t>
        </is>
      </c>
      <c r="G928" s="6" t="inlineStr">
        <is>
          <t>Quadris Excel</t>
        </is>
      </c>
      <c r="H928" s="6" t="n">
        <v>1</v>
      </c>
      <c r="I928" s="6" t="n">
        <v>5</v>
      </c>
      <c r="J928" s="6" t="inlineStr">
        <is>
          <t>nincs</t>
        </is>
      </c>
      <c r="K928" s="6">
        <f>IF(AND(H928&gt;0,I928&gt;0),"Rendben",IF(AND(H928=0,I928=0),"Nincs kép és adat",IF(H928=0,"Nincs kép","Nincs adat")))</f>
        <v/>
      </c>
      <c r="L928" s="6" t="inlineStr">
        <is>
          <t>Igen</t>
        </is>
      </c>
      <c r="M928" s="7" t="inlineStr">
        <is>
          <t>Ital Accessori teljes PDF katalógus (ital-accessori.sk)</t>
        </is>
      </c>
      <c r="N928" s="7" t="inlineStr">
        <is>
          <t>Megtalálva: Trubka oceľová ohnutá so skrutkou - čierny komaxit Curved black powder coated steel stay (kód: 108524)</t>
        </is>
      </c>
      <c r="O928" s="11" t="inlineStr">
        <is>
          <t>https://www.ital-accessori.sk/katalog/book/KOMP/520/</t>
        </is>
      </c>
      <c r="P928" s="11" t="inlineStr">
        <is>
          <t>https://website-9ib.pages.dev/termek/j108524-d42-es-ff-1p-sarvedotarto-cso-580-mm/</t>
        </is>
      </c>
      <c r="Q928" s="12" t="inlineStr"/>
      <c r="R928" s="13" t="inlineStr"/>
      <c r="S928" s="6" t="inlineStr">
        <is>
          <t>j108524-d42-es-ff-1p-sarvedotarto-cso-580-mm</t>
        </is>
      </c>
    </row>
    <row r="929">
      <c r="A929" s="6" t="inlineStr"/>
      <c r="B929" s="7" t="inlineStr">
        <is>
          <t>J202460 1000X500X500 RM láda</t>
        </is>
      </c>
      <c r="C929" s="6" t="inlineStr">
        <is>
          <t>Sárvédők, szerszámosládák</t>
        </is>
      </c>
      <c r="D929" s="6" t="inlineStr">
        <is>
          <t>Dobozok + tartó konzolok</t>
        </is>
      </c>
      <c r="E929" s="6" t="inlineStr">
        <is>
          <t>Ital Accessori</t>
        </is>
      </c>
      <c r="F929" s="6" t="inlineStr">
        <is>
          <t>202460</t>
        </is>
      </c>
      <c r="G929" s="6" t="inlineStr">
        <is>
          <t>Quadris Excel</t>
        </is>
      </c>
      <c r="H929" s="6" t="n">
        <v>1</v>
      </c>
      <c r="I929" s="6" t="n">
        <v>4</v>
      </c>
      <c r="J929" s="6" t="inlineStr">
        <is>
          <t>nincs</t>
        </is>
      </c>
      <c r="K929" s="6">
        <f>IF(AND(H929&gt;0,I929&gt;0),"Rendben",IF(AND(H929=0,I929=0),"Nincs kép és adat",IF(H929=0,"Nincs kép","Nincs adat")))</f>
        <v/>
      </c>
      <c r="L929" s="6" t="inlineStr">
        <is>
          <t>Igen</t>
        </is>
      </c>
      <c r="M929" s="7" t="inlineStr">
        <is>
          <t>Ital Accessori teljes PDF katalógus (ital-accessori.sk)</t>
        </is>
      </c>
      <c r="N929" s="7" t="inlineStr">
        <is>
          <t>Megtalálva: Matná nerezová skrinka na náradie ZEN s plastovými uzávermi NEXT a nylonovými pántmi ZEN matte stainless steel toolbox with plastic NEXT locks and nylon hinges (kód: 202460)</t>
        </is>
      </c>
      <c r="O929" s="11" t="inlineStr">
        <is>
          <t>https://www.ital-accessori.sk/katalog/book/KOMP/547/</t>
        </is>
      </c>
      <c r="P929" s="11" t="inlineStr">
        <is>
          <t>https://website-9ib.pages.dev/termek/j202460-1000x500x500-rm-lada/</t>
        </is>
      </c>
      <c r="Q929" s="12" t="inlineStr"/>
      <c r="R929" s="13" t="inlineStr"/>
      <c r="S929" s="6" t="inlineStr">
        <is>
          <t>j202460-1000x500x500-rm-lada</t>
        </is>
      </c>
    </row>
    <row r="930">
      <c r="A930" s="6" t="inlineStr"/>
      <c r="B930" s="7" t="inlineStr">
        <is>
          <t>J205010 DAKEN láda 410x330x340 mm</t>
        </is>
      </c>
      <c r="C930" s="6" t="inlineStr">
        <is>
          <t>Sárvédők, szerszámosládák</t>
        </is>
      </c>
      <c r="D930" s="6" t="inlineStr">
        <is>
          <t>Dobozok + tartó konzolok</t>
        </is>
      </c>
      <c r="E930" s="6" t="inlineStr">
        <is>
          <t>Ital Accessori</t>
        </is>
      </c>
      <c r="F930" s="6" t="inlineStr">
        <is>
          <t>205010</t>
        </is>
      </c>
      <c r="G930" s="6" t="inlineStr">
        <is>
          <t>Quadris Excel</t>
        </is>
      </c>
      <c r="H930" s="6" t="n">
        <v>1</v>
      </c>
      <c r="I930" s="6" t="n">
        <v>3</v>
      </c>
      <c r="J930" s="6" t="inlineStr">
        <is>
          <t>nincs</t>
        </is>
      </c>
      <c r="K930" s="6">
        <f>IF(AND(H930&gt;0,I930&gt;0),"Rendben",IF(AND(H930=0,I930=0),"Nincs kép és adat",IF(H930=0,"Nincs kép","Nincs adat")))</f>
        <v/>
      </c>
      <c r="L930" s="6" t="inlineStr">
        <is>
          <t>Igen</t>
        </is>
      </c>
      <c r="M930" s="7" t="inlineStr">
        <is>
          <t>Ital Accessori teljes PDF katalógus (ital-accessori.sk)</t>
        </is>
      </c>
      <c r="N930" s="7" t="inlineStr">
        <is>
          <t>Megtalálva: Plastová skrinka na náradie „WELVET“, 28,8 l Plastic toolbox „WELVET“, 28,8 l Rozmery/dimensions: 410 x 348 x 340 mm (A x B x C) (kód: 205010)</t>
        </is>
      </c>
      <c r="O930" s="11" t="inlineStr">
        <is>
          <t>https://www.ital-accessori.sk/katalog/book/KOMP/537/</t>
        </is>
      </c>
      <c r="P930" s="11" t="inlineStr">
        <is>
          <t>https://website-9ib.pages.dev/termek/j205010-daken-lada-410x330x340-mm/</t>
        </is>
      </c>
      <c r="Q930" s="12" t="inlineStr"/>
      <c r="R930" s="13" t="inlineStr"/>
      <c r="S930" s="6" t="inlineStr">
        <is>
          <t>j205010-daken-lada-410x330x340-mm</t>
        </is>
      </c>
    </row>
    <row r="931">
      <c r="A931" s="6" t="inlineStr"/>
      <c r="B931" s="7" t="inlineStr">
        <is>
          <t>J205040 DAKEN WELVET láda 630x450x480 mm</t>
        </is>
      </c>
      <c r="C931" s="6" t="inlineStr">
        <is>
          <t>Sárvédők, szerszámosládák</t>
        </is>
      </c>
      <c r="D931" s="6" t="inlineStr">
        <is>
          <t>Dobozok + tartó konzolok</t>
        </is>
      </c>
      <c r="E931" s="6" t="inlineStr">
        <is>
          <t>Ital Accessori</t>
        </is>
      </c>
      <c r="F931" s="6" t="inlineStr">
        <is>
          <t>205040</t>
        </is>
      </c>
      <c r="G931" s="6" t="inlineStr">
        <is>
          <t>Quadris Excel</t>
        </is>
      </c>
      <c r="H931" s="6" t="n">
        <v>1</v>
      </c>
      <c r="I931" s="6" t="n">
        <v>3</v>
      </c>
      <c r="J931" s="6" t="inlineStr">
        <is>
          <t>nincs</t>
        </is>
      </c>
      <c r="K931" s="6">
        <f>IF(AND(H931&gt;0,I931&gt;0),"Rendben",IF(AND(H931=0,I931=0),"Nincs kép és adat",IF(H931=0,"Nincs kép","Nincs adat")))</f>
        <v/>
      </c>
      <c r="L931" s="6" t="inlineStr">
        <is>
          <t>Igen</t>
        </is>
      </c>
      <c r="M931" s="7" t="inlineStr">
        <is>
          <t>Ital Accessori teljes PDF katalógus (ital-accessori.sk)</t>
        </is>
      </c>
      <c r="N931" s="7" t="inlineStr">
        <is>
          <t>Megtalálva: Plastová skrinka na náradie „WELVET“, 78,5 l Plastic toolbox „WELVET“, 78,5 l Rozmery/Dimensions: 630 x 450 x 480 mm (A x B x C) (kód: 205040)</t>
        </is>
      </c>
      <c r="O931" s="11" t="inlineStr">
        <is>
          <t>https://www.ital-accessori.sk/katalog/book/KOMP/537/</t>
        </is>
      </c>
      <c r="P931" s="11" t="inlineStr">
        <is>
          <t>https://website-9ib.pages.dev/termek/j205040-daken-welvet-lada-630x450x480-mm/</t>
        </is>
      </c>
      <c r="Q931" s="12" t="inlineStr"/>
      <c r="R931" s="13" t="inlineStr"/>
      <c r="S931" s="6" t="inlineStr">
        <is>
          <t>j205040-daken-welvet-lada-630x450x480-mm</t>
        </is>
      </c>
    </row>
    <row r="932">
      <c r="A932" s="6" t="inlineStr"/>
      <c r="B932" s="7" t="inlineStr">
        <is>
          <t>J205042 DAKEN ARKA láda 655x450x470 mm</t>
        </is>
      </c>
      <c r="C932" s="6" t="inlineStr">
        <is>
          <t>Sárvédők, szerszámosládák</t>
        </is>
      </c>
      <c r="D932" s="6" t="inlineStr">
        <is>
          <t>Dobozok + tartó konzolok</t>
        </is>
      </c>
      <c r="E932" s="6" t="inlineStr">
        <is>
          <t>Ital Accessori</t>
        </is>
      </c>
      <c r="F932" s="6" t="inlineStr">
        <is>
          <t>205042</t>
        </is>
      </c>
      <c r="G932" s="6" t="inlineStr">
        <is>
          <t>Quadris Excel</t>
        </is>
      </c>
      <c r="H932" s="6" t="n">
        <v>1</v>
      </c>
      <c r="I932" s="6" t="n">
        <v>3</v>
      </c>
      <c r="J932" s="6" t="inlineStr">
        <is>
          <t>nincs</t>
        </is>
      </c>
      <c r="K932" s="6">
        <f>IF(AND(H932&gt;0,I932&gt;0),"Rendben",IF(AND(H932=0,I932=0),"Nincs kép és adat",IF(H932=0,"Nincs kép","Nincs adat")))</f>
        <v/>
      </c>
      <c r="L932" s="6" t="inlineStr">
        <is>
          <t>Igen</t>
        </is>
      </c>
      <c r="M932" s="7" t="inlineStr">
        <is>
          <t>Ital Accessori teljes PDF katalógus (ital-accessori.sk)</t>
        </is>
      </c>
      <c r="N932" s="7" t="inlineStr">
        <is>
          <t>Megtalálva: Plastová skrinka na náradie „ARKA“, 74 l Plastic toolbox „ARKA“, 74 l Rozmery/Dimensions: 655 x 450 x 470 mm (A x B x C) (kód: 205042)</t>
        </is>
      </c>
      <c r="O932" s="11" t="inlineStr">
        <is>
          <t>https://www.ital-accessori.sk/katalog/book/KOMP/538/</t>
        </is>
      </c>
      <c r="P932" s="11" t="inlineStr">
        <is>
          <t>https://website-9ib.pages.dev/termek/j205042-daken-arka-lada-655x450x470-mm/</t>
        </is>
      </c>
      <c r="Q932" s="12" t="inlineStr"/>
      <c r="R932" s="13" t="inlineStr"/>
      <c r="S932" s="6" t="inlineStr">
        <is>
          <t>j205042-daken-arka-lada-655x450x470-mm</t>
        </is>
      </c>
    </row>
    <row r="933">
      <c r="A933" s="6" t="inlineStr"/>
      <c r="B933" s="7" t="inlineStr">
        <is>
          <t>J205060 DAKEN láda 1030x500x455 mm</t>
        </is>
      </c>
      <c r="C933" s="6" t="inlineStr">
        <is>
          <t>Sárvédők, szerszámosládák</t>
        </is>
      </c>
      <c r="D933" s="6" t="inlineStr">
        <is>
          <t>Dobozok + tartó konzolok</t>
        </is>
      </c>
      <c r="E933" s="6" t="inlineStr">
        <is>
          <t>Ital Accessori</t>
        </is>
      </c>
      <c r="F933" s="6" t="inlineStr">
        <is>
          <t>205060</t>
        </is>
      </c>
      <c r="G933" s="6" t="inlineStr">
        <is>
          <t>Quadris Excel</t>
        </is>
      </c>
      <c r="H933" s="6" t="n">
        <v>1</v>
      </c>
      <c r="I933" s="6" t="n">
        <v>3</v>
      </c>
      <c r="J933" s="6" t="inlineStr">
        <is>
          <t>nincs</t>
        </is>
      </c>
      <c r="K933" s="6">
        <f>IF(AND(H933&gt;0,I933&gt;0),"Rendben",IF(AND(H933=0,I933=0),"Nincs kép és adat",IF(H933=0,"Nincs kép","Nincs adat")))</f>
        <v/>
      </c>
      <c r="L933" s="6" t="inlineStr">
        <is>
          <t>Igen</t>
        </is>
      </c>
      <c r="M933" s="7" t="inlineStr">
        <is>
          <t>Ital Accessori teljes PDF katalógus (ital-accessori.sk)</t>
        </is>
      </c>
      <c r="N933" s="7" t="inlineStr">
        <is>
          <t>Megtalálva: Plastová skrinka na náradie „WELVET“, 147 l Plastic toolbox „WELVET“, 147 l Rozmery/Dimensions: 1030 x 500 x 455 mm (A x B x C) (kód: 205060)</t>
        </is>
      </c>
      <c r="O933" s="11" t="inlineStr">
        <is>
          <t>https://www.ital-accessori.sk/katalog/book/KOMP/537/</t>
        </is>
      </c>
      <c r="P933" s="11" t="inlineStr">
        <is>
          <t>https://website-9ib.pages.dev/termek/j205060-daken-lada-1030x500x455-mm/</t>
        </is>
      </c>
      <c r="Q933" s="12" t="inlineStr"/>
      <c r="R933" s="13" t="inlineStr"/>
      <c r="S933" s="6" t="inlineStr">
        <is>
          <t>j205060-daken-lada-1030x500x455-mm</t>
        </is>
      </c>
    </row>
    <row r="934">
      <c r="A934" s="6" t="inlineStr"/>
      <c r="B934" s="7" t="inlineStr">
        <is>
          <t>J205065 DAKEN láda 1250x524x500 mm</t>
        </is>
      </c>
      <c r="C934" s="6" t="inlineStr">
        <is>
          <t>Sárvédők, szerszámosládák</t>
        </is>
      </c>
      <c r="D934" s="6" t="inlineStr">
        <is>
          <t>Dobozok + tartó konzolok</t>
        </is>
      </c>
      <c r="E934" s="6" t="inlineStr">
        <is>
          <t>Ital Accessori</t>
        </is>
      </c>
      <c r="F934" s="6" t="inlineStr">
        <is>
          <t>205065</t>
        </is>
      </c>
      <c r="G934" s="6" t="inlineStr">
        <is>
          <t>Quadris Excel</t>
        </is>
      </c>
      <c r="H934" s="6" t="n">
        <v>1</v>
      </c>
      <c r="I934" s="6" t="n">
        <v>3</v>
      </c>
      <c r="J934" s="6" t="inlineStr">
        <is>
          <t>nincs</t>
        </is>
      </c>
      <c r="K934" s="6">
        <f>IF(AND(H934&gt;0,I934&gt;0),"Rendben",IF(AND(H934=0,I934=0),"Nincs kép és adat",IF(H934=0,"Nincs kép","Nincs adat")))</f>
        <v/>
      </c>
      <c r="L934" s="6" t="inlineStr">
        <is>
          <t>Igen</t>
        </is>
      </c>
      <c r="M934" s="7" t="inlineStr">
        <is>
          <t>Ital Accessori teljes PDF katalógus (ital-accessori.sk)</t>
        </is>
      </c>
      <c r="N934" s="7" t="inlineStr">
        <is>
          <t>Megtalálva: Plastová skrinka na náradie „ARKA“, 203 l Plastic toolbox „ARKA“, 203 l Rozmery/Dimensions: 1250 x 522 x 500 mm (A x B x C) (kód: 205065)</t>
        </is>
      </c>
      <c r="O934" s="11" t="inlineStr">
        <is>
          <t>https://www.ital-accessori.sk/katalog/book/KOMP/538/</t>
        </is>
      </c>
      <c r="P934" s="11" t="inlineStr">
        <is>
          <t>https://website-9ib.pages.dev/termek/j205065-daken-lada-1250x524x500-mm/</t>
        </is>
      </c>
      <c r="Q934" s="12" t="inlineStr"/>
      <c r="R934" s="13" t="inlineStr"/>
      <c r="S934" s="6" t="inlineStr">
        <is>
          <t>j205065-daken-lada-1250x524x500-mm</t>
        </is>
      </c>
    </row>
    <row r="935">
      <c r="A935" s="6" t="inlineStr"/>
      <c r="B935" s="7" t="inlineStr">
        <is>
          <t>J205540 DAKEN láda 600x415x460 mm</t>
        </is>
      </c>
      <c r="C935" s="6" t="inlineStr">
        <is>
          <t>Sárvédők, szerszámosládák</t>
        </is>
      </c>
      <c r="D935" s="6" t="inlineStr">
        <is>
          <t>Dobozok + tartó konzolok</t>
        </is>
      </c>
      <c r="E935" s="6" t="inlineStr">
        <is>
          <t>Ital Accessori</t>
        </is>
      </c>
      <c r="F935" s="6" t="inlineStr">
        <is>
          <t>205540</t>
        </is>
      </c>
      <c r="G935" s="6" t="inlineStr">
        <is>
          <t>Quadris Excel</t>
        </is>
      </c>
      <c r="H935" s="6" t="n">
        <v>1</v>
      </c>
      <c r="I935" s="6" t="n">
        <v>3</v>
      </c>
      <c r="J935" s="6" t="inlineStr">
        <is>
          <t>nincs</t>
        </is>
      </c>
      <c r="K935" s="6">
        <f>IF(AND(H935&gt;0,I935&gt;0),"Rendben",IF(AND(H935=0,I935=0),"Nincs kép és adat",IF(H935=0,"Nincs kép","Nincs adat")))</f>
        <v/>
      </c>
      <c r="L935" s="6" t="inlineStr">
        <is>
          <t>Igen</t>
        </is>
      </c>
      <c r="M935" s="7" t="inlineStr">
        <is>
          <t>Ital Accessori teljes PDF katalógus (ital-accessori.sk)</t>
        </is>
      </c>
      <c r="N935" s="7" t="inlineStr">
        <is>
          <t>Megtalálva: Plastová skrinka na náradie "JUST", 70 l Plastic toolbox "JUST", 70 l Rozmery/Dimensions: 600 x 415 x 460 mm (kód: 205540)</t>
        </is>
      </c>
      <c r="O935" s="11" t="inlineStr">
        <is>
          <t>https://www.ital-accessori.sk/katalog/book/KOMP/539/</t>
        </is>
      </c>
      <c r="P935" s="11" t="inlineStr">
        <is>
          <t>https://website-9ib.pages.dev/termek/j205540-daken-lada-600x415x460-mm/</t>
        </is>
      </c>
      <c r="Q935" s="12" t="inlineStr"/>
      <c r="R935" s="13" t="inlineStr"/>
      <c r="S935" s="6" t="inlineStr">
        <is>
          <t>j205540-daken-lada-600x415x460-mm</t>
        </is>
      </c>
    </row>
    <row r="936">
      <c r="A936" s="6" t="inlineStr"/>
      <c r="B936" s="7" t="inlineStr">
        <is>
          <t>J205575 DAKEN láda 750x350x450 mm</t>
        </is>
      </c>
      <c r="C936" s="6" t="inlineStr">
        <is>
          <t>Sárvédők, szerszámosládák</t>
        </is>
      </c>
      <c r="D936" s="6" t="inlineStr">
        <is>
          <t>Dobozok + tartó konzolok</t>
        </is>
      </c>
      <c r="E936" s="6" t="inlineStr">
        <is>
          <t>Ital Accessori</t>
        </is>
      </c>
      <c r="F936" s="6" t="inlineStr">
        <is>
          <t>JUST</t>
        </is>
      </c>
      <c r="G936" s="6" t="inlineStr">
        <is>
          <t>Quadris Excel</t>
        </is>
      </c>
      <c r="H936" s="6" t="n">
        <v>1</v>
      </c>
      <c r="I936" s="6" t="n">
        <v>3</v>
      </c>
      <c r="J936" s="6" t="inlineStr">
        <is>
          <t>nincs</t>
        </is>
      </c>
      <c r="K936" s="6">
        <f>IF(AND(H936&gt;0,I936&gt;0),"Rendben",IF(AND(H936=0,I936=0),"Nincs kép és adat",IF(H936=0,"Nincs kép","Nincs adat")))</f>
        <v/>
      </c>
      <c r="L936" s="6" t="inlineStr">
        <is>
          <t>Igen</t>
        </is>
      </c>
      <c r="M936" s="7" t="inlineStr">
        <is>
          <t>Ital Accessori teljes PDF katalógus (ital-accessori.sk)</t>
        </is>
      </c>
      <c r="N936" s="7" t="inlineStr">
        <is>
          <t>Megtalálva: Plastová skrinka na náradie "JUST", 74,5 l Plastic toolbox "JUST", 74,5 l Rozmery/Dimensions: 750 x 350 x 450 mm (kód: 205575)</t>
        </is>
      </c>
      <c r="O936" s="11" t="inlineStr">
        <is>
          <t>https://www.ital-accessori.sk/katalog/book/KOMP/539/</t>
        </is>
      </c>
      <c r="P936" s="11" t="inlineStr">
        <is>
          <t>https://website-9ib.pages.dev/termek/j205575-daken-lada-750x350x450-mm/</t>
        </is>
      </c>
      <c r="Q936" s="12" t="inlineStr"/>
      <c r="R936" s="13" t="inlineStr"/>
      <c r="S936" s="6" t="inlineStr">
        <is>
          <t>j205575-daken-lada-750x350x450-mm</t>
        </is>
      </c>
    </row>
    <row r="937">
      <c r="A937" s="6" t="inlineStr"/>
      <c r="B937" s="7" t="inlineStr">
        <is>
          <t>J205590 DAKEN láda 900x367x300 mm</t>
        </is>
      </c>
      <c r="C937" s="6" t="inlineStr">
        <is>
          <t>Sárvédők, szerszámosládák</t>
        </is>
      </c>
      <c r="D937" s="6" t="inlineStr">
        <is>
          <t>Dobozok + tartó konzolok</t>
        </is>
      </c>
      <c r="E937" s="6" t="inlineStr">
        <is>
          <t>Ital Accessori</t>
        </is>
      </c>
      <c r="F937" s="6" t="inlineStr">
        <is>
          <t>205590</t>
        </is>
      </c>
      <c r="G937" s="6" t="inlineStr">
        <is>
          <t>Quadris Excel</t>
        </is>
      </c>
      <c r="H937" s="6" t="n">
        <v>1</v>
      </c>
      <c r="I937" s="6" t="n">
        <v>3</v>
      </c>
      <c r="J937" s="6" t="inlineStr">
        <is>
          <t>nincs</t>
        </is>
      </c>
      <c r="K937" s="6">
        <f>IF(AND(H937&gt;0,I937&gt;0),"Rendben",IF(AND(H937=0,I937=0),"Nincs kép és adat",IF(H937=0,"Nincs kép","Nincs adat")))</f>
        <v/>
      </c>
      <c r="L937" s="6" t="inlineStr">
        <is>
          <t>Igen</t>
        </is>
      </c>
      <c r="M937" s="7" t="inlineStr">
        <is>
          <t>Ital Accessori teljes PDF katalógus (ital-accessori.sk)</t>
        </is>
      </c>
      <c r="N937" s="7" t="inlineStr">
        <is>
          <t>Megtalálva: Plastová skrinka na náradie "JUST", 57,5 l Plastic toolbox "JUST", 57,5 l Rozmery/Dimensions: 900 x 367 x 300 mm (kód: 205590)</t>
        </is>
      </c>
      <c r="O937" s="11" t="inlineStr">
        <is>
          <t>https://www.ital-accessori.sk/katalog/book/KOMP/540/</t>
        </is>
      </c>
      <c r="P937" s="11" t="inlineStr">
        <is>
          <t>https://website-9ib.pages.dev/termek/j205590-daken-lada-900x367x300-mm/</t>
        </is>
      </c>
      <c r="Q937" s="12" t="inlineStr"/>
      <c r="R937" s="13" t="inlineStr"/>
      <c r="S937" s="6" t="inlineStr">
        <is>
          <t>j205590-daken-lada-900x367x300-mm</t>
        </is>
      </c>
    </row>
    <row r="938">
      <c r="A938" s="6" t="inlineStr"/>
      <c r="B938" s="7" t="inlineStr">
        <is>
          <t>J205599 DAKEN láda 1020x500x460 mm</t>
        </is>
      </c>
      <c r="C938" s="6" t="inlineStr">
        <is>
          <t>Sárvédők, szerszámosládák</t>
        </is>
      </c>
      <c r="D938" s="6" t="inlineStr">
        <is>
          <t>Dobozok + tartó konzolok</t>
        </is>
      </c>
      <c r="E938" s="6" t="inlineStr">
        <is>
          <t>Ital Accessori</t>
        </is>
      </c>
      <c r="F938" s="6" t="inlineStr">
        <is>
          <t>205599</t>
        </is>
      </c>
      <c r="G938" s="6" t="inlineStr">
        <is>
          <t>Quadris Excel</t>
        </is>
      </c>
      <c r="H938" s="6" t="n">
        <v>1</v>
      </c>
      <c r="I938" s="6" t="n">
        <v>3</v>
      </c>
      <c r="J938" s="6" t="inlineStr">
        <is>
          <t>nincs</t>
        </is>
      </c>
      <c r="K938" s="6">
        <f>IF(AND(H938&gt;0,I938&gt;0),"Rendben",IF(AND(H938=0,I938=0),"Nincs kép és adat",IF(H938=0,"Nincs kép","Nincs adat")))</f>
        <v/>
      </c>
      <c r="L938" s="6" t="inlineStr">
        <is>
          <t>Igen</t>
        </is>
      </c>
      <c r="M938" s="7" t="inlineStr">
        <is>
          <t>Ital Accessori teljes PDF katalógus (ital-accessori.sk)</t>
        </is>
      </c>
      <c r="N938" s="7" t="inlineStr">
        <is>
          <t>Megtalálva: Plastová skrinka na náradie "JUST", 153 l Plastic toolbox "JUST", 153 l Rozmery/Dimensions: 1020 x 500 x 460 mm (kód: 205599)</t>
        </is>
      </c>
      <c r="O938" s="11" t="inlineStr">
        <is>
          <t>https://www.ital-accessori.sk/katalog/book/KOMP/540/</t>
        </is>
      </c>
      <c r="P938" s="11" t="inlineStr">
        <is>
          <t>https://website-9ib.pages.dev/termek/j205599-daken-lada-1020x500x460-mm/</t>
        </is>
      </c>
      <c r="Q938" s="12" t="inlineStr"/>
      <c r="R938" s="13" t="inlineStr"/>
      <c r="S938" s="6" t="inlineStr">
        <is>
          <t>j205599-daken-lada-1020x500x460-mm</t>
        </is>
      </c>
    </row>
    <row r="939">
      <c r="A939" s="6" t="inlineStr"/>
      <c r="B939" s="7" t="inlineStr">
        <is>
          <t>J258207 P/P poroltó tartó, 6 kg-os</t>
        </is>
      </c>
      <c r="C939" s="6" t="inlineStr">
        <is>
          <t>Sárvédők, szerszámosládák</t>
        </is>
      </c>
      <c r="D939" s="6" t="inlineStr">
        <is>
          <t>Poroltótartó</t>
        </is>
      </c>
      <c r="E939" s="6" t="inlineStr">
        <is>
          <t>Ital Accessori</t>
        </is>
      </c>
      <c r="F939" s="6" t="inlineStr">
        <is>
          <t>258207</t>
        </is>
      </c>
      <c r="G939" s="6" t="inlineStr">
        <is>
          <t>Quadris Excel</t>
        </is>
      </c>
      <c r="H939" s="6" t="n">
        <v>1</v>
      </c>
      <c r="I939" s="6" t="n">
        <v>4</v>
      </c>
      <c r="J939" s="6" t="inlineStr">
        <is>
          <t>nincs</t>
        </is>
      </c>
      <c r="K939" s="6">
        <f>IF(AND(H939&gt;0,I939&gt;0),"Rendben",IF(AND(H939=0,I939=0),"Nincs kép és adat",IF(H939=0,"Nincs kép","Nincs adat")))</f>
        <v/>
      </c>
      <c r="L939" s="6" t="inlineStr">
        <is>
          <t>Igen</t>
        </is>
      </c>
      <c r="M939" s="7" t="inlineStr">
        <is>
          <t>Ital Accessori teljes PDF katalógus (ital-accessori.sk)</t>
        </is>
      </c>
      <c r="N939" s="7" t="inlineStr">
        <is>
          <t>Megtalálva: Plastová skrinka ADAMANT pre hasiaci prístroj 6 kg, 310 x 611 x 250 mm s okienkom Fire extinguisher plastic box 6 kg ADAMANT, 310 x 611 x 250 mm with window (kód: 258207)</t>
        </is>
      </c>
      <c r="O939" s="11" t="inlineStr">
        <is>
          <t>https://www.ital-accessori.sk/katalog/book/KOMP/567/</t>
        </is>
      </c>
      <c r="P939" s="11" t="inlineStr">
        <is>
          <t>https://website-9ib.pages.dev/termek/j258207-p-p-porolto-tarto-6-kg-os/</t>
        </is>
      </c>
      <c r="Q939" s="12" t="inlineStr"/>
      <c r="R939" s="13" t="inlineStr"/>
      <c r="S939" s="6" t="inlineStr">
        <is>
          <t>j258207-p-p-porolto-tarto-6-kg-os</t>
        </is>
      </c>
    </row>
    <row r="940">
      <c r="A940" s="6" t="inlineStr"/>
      <c r="B940" s="7" t="inlineStr">
        <is>
          <t>J258217 P/F poroltó tartó, 6 kg-os</t>
        </is>
      </c>
      <c r="C940" s="6" t="inlineStr">
        <is>
          <t>Sárvédők, szerszámosládák</t>
        </is>
      </c>
      <c r="D940" s="6" t="inlineStr">
        <is>
          <t>Poroltótartó</t>
        </is>
      </c>
      <c r="E940" s="6" t="inlineStr">
        <is>
          <t>Ital Accessori</t>
        </is>
      </c>
      <c r="F940" s="6" t="inlineStr">
        <is>
          <t>258217</t>
        </is>
      </c>
      <c r="G940" s="6" t="inlineStr">
        <is>
          <t>Quadris Excel</t>
        </is>
      </c>
      <c r="H940" s="6" t="n">
        <v>1</v>
      </c>
      <c r="I940" s="6" t="n">
        <v>4</v>
      </c>
      <c r="J940" s="6" t="inlineStr">
        <is>
          <t>nincs</t>
        </is>
      </c>
      <c r="K940" s="6">
        <f>IF(AND(H940&gt;0,I940&gt;0),"Rendben",IF(AND(H940=0,I940=0),"Nincs kép és adat",IF(H940=0,"Nincs kép","Nincs adat")))</f>
        <v/>
      </c>
      <c r="L940" s="6" t="inlineStr">
        <is>
          <t>Igen</t>
        </is>
      </c>
      <c r="M940" s="7" t="inlineStr">
        <is>
          <t>Ital Accessori teljes PDF katalógus (ital-accessori.sk)</t>
        </is>
      </c>
      <c r="N940" s="7" t="inlineStr">
        <is>
          <t>Megtalálva: Plastová skrinka Regon pre hasiaci prístroj 6 kg, 620 x 335 x 240 mm Fire extinguisher plastic box Regon 6 kg, 620 x 335 x 240 mm (kód: 258217)</t>
        </is>
      </c>
      <c r="O940" s="11" t="inlineStr">
        <is>
          <t>https://www.ital-accessori.sk/katalog/book/KOMP/568/</t>
        </is>
      </c>
      <c r="P940" s="11" t="inlineStr">
        <is>
          <t>https://website-9ib.pages.dev/termek/j258217-p-f-porolto-tarto-6-kg-os/</t>
        </is>
      </c>
      <c r="Q940" s="12" t="inlineStr"/>
      <c r="R940" s="13" t="inlineStr"/>
      <c r="S940" s="6" t="inlineStr">
        <is>
          <t>j258217-p-f-porolto-tarto-6-kg-os</t>
        </is>
      </c>
    </row>
    <row r="941">
      <c r="A941" s="6" t="inlineStr"/>
      <c r="B941" s="7" t="inlineStr">
        <is>
          <t>J258412 Felül nyíló P poroltó tartó, 6 kg-os</t>
        </is>
      </c>
      <c r="C941" s="6" t="inlineStr">
        <is>
          <t>Sárvédők, szerszámosládák</t>
        </is>
      </c>
      <c r="D941" s="6" t="inlineStr">
        <is>
          <t>Poroltótartó</t>
        </is>
      </c>
      <c r="E941" s="6" t="inlineStr">
        <is>
          <t>Ital Accessori</t>
        </is>
      </c>
      <c r="F941" s="6" t="inlineStr">
        <is>
          <t>258412</t>
        </is>
      </c>
      <c r="G941" s="6" t="inlineStr">
        <is>
          <t>Quadris Excel</t>
        </is>
      </c>
      <c r="H941" s="6" t="n">
        <v>1</v>
      </c>
      <c r="I941" s="6" t="n">
        <v>4</v>
      </c>
      <c r="J941" s="6" t="inlineStr">
        <is>
          <t>nincs</t>
        </is>
      </c>
      <c r="K941" s="6">
        <f>IF(AND(H941&gt;0,I941&gt;0),"Rendben",IF(AND(H941=0,I941=0),"Nincs kép és adat",IF(H941=0,"Nincs kép","Nincs adat")))</f>
        <v/>
      </c>
      <c r="L941" s="6" t="inlineStr">
        <is>
          <t>Igen</t>
        </is>
      </c>
      <c r="M941" s="7" t="inlineStr">
        <is>
          <t>Ital Accessori teljes PDF katalógus (ital-accessori.sk)</t>
        </is>
      </c>
      <c r="N941" s="7" t="inlineStr">
        <is>
          <t>Megtalálva: Plastová skrinka SLIDEN pre hasiaci prístroj 6 kg, 265 x 280 x 595 mm (A x B x C) Fire extinguisher SLIDEN plastic box 6 kg, 265 x 280 x 595 mm (A x B x C) (kód: 258412)</t>
        </is>
      </c>
      <c r="O941" s="11" t="inlineStr">
        <is>
          <t>https://www.ital-accessori.sk/katalog/book/KOMP/570/</t>
        </is>
      </c>
      <c r="P941" s="11" t="inlineStr">
        <is>
          <t>https://website-9ib.pages.dev/termek/j258412-felul-nyilo-p-porolto-tarto-6-kg-os/</t>
        </is>
      </c>
      <c r="Q941" s="12" t="inlineStr"/>
      <c r="R941" s="13" t="inlineStr"/>
      <c r="S941" s="6" t="inlineStr">
        <is>
          <t>j258412-felul-nyilo-p-porolto-tarto-6-kg-os</t>
        </is>
      </c>
    </row>
    <row r="942">
      <c r="A942" s="6" t="inlineStr"/>
      <c r="B942" s="7" t="inlineStr">
        <is>
          <t>J4535 Sárfogó lap 450x350 mm + felfogatás</t>
        </is>
      </c>
      <c r="C942" s="6" t="inlineStr">
        <is>
          <t>Sárvédők, szerszámosládák</t>
        </is>
      </c>
      <c r="D942" s="6" t="inlineStr">
        <is>
          <t>Sárfogólapok</t>
        </is>
      </c>
      <c r="E942" s="6" t="inlineStr">
        <is>
          <t>Ital Accessori</t>
        </is>
      </c>
      <c r="F942" s="6" t="inlineStr">
        <is>
          <t>150256</t>
        </is>
      </c>
      <c r="G942" s="6" t="inlineStr">
        <is>
          <t>Quadris Excel</t>
        </is>
      </c>
      <c r="H942" s="6" t="n">
        <v>1</v>
      </c>
      <c r="I942" s="6" t="n">
        <v>3</v>
      </c>
      <c r="J942" s="6" t="inlineStr">
        <is>
          <t>nincs</t>
        </is>
      </c>
      <c r="K942" s="6">
        <f>IF(AND(H942&gt;0,I942&gt;0),"Rendben",IF(AND(H942=0,I942=0),"Nincs kép és adat",IF(H942=0,"Nincs kép","Nincs adat")))</f>
        <v/>
      </c>
      <c r="L942" s="6" t="inlineStr">
        <is>
          <t>Igen</t>
        </is>
      </c>
      <c r="M942" s="7" t="inlineStr">
        <is>
          <t>Ital Accessori teljes PDF katalógus (ital-accessori.sk)</t>
        </is>
      </c>
      <c r="N942" s="7" t="inlineStr">
        <is>
          <t>Megtalálva: Zásterky čierne pre nákladné vozidlá Black mudflaps for trucks (kód: 150256)</t>
        </is>
      </c>
      <c r="O942" s="11" t="inlineStr">
        <is>
          <t>https://www.ital-accessori.sk/katalog/book/KOMP/529/</t>
        </is>
      </c>
      <c r="P942" s="11" t="inlineStr">
        <is>
          <t>https://website-9ib.pages.dev/termek/j4535-sarfogo-lap-450x350-mm-felfogatas/</t>
        </is>
      </c>
      <c r="Q942" s="12" t="inlineStr"/>
      <c r="R942" s="13" t="inlineStr"/>
      <c r="S942" s="6" t="inlineStr">
        <is>
          <t>j4535-sarfogo-lap-450x350-mm-felfogatas</t>
        </is>
      </c>
    </row>
    <row r="943">
      <c r="A943" s="6" t="inlineStr"/>
      <c r="B943" s="7" t="inlineStr">
        <is>
          <t>J5337 Sárfogó lap 530x370</t>
        </is>
      </c>
      <c r="C943" s="6" t="inlineStr">
        <is>
          <t>Sárvédők, szerszámosládák</t>
        </is>
      </c>
      <c r="D943" s="6" t="inlineStr">
        <is>
          <t>Sárfogólapok</t>
        </is>
      </c>
      <c r="E943" s="6" t="inlineStr">
        <is>
          <t>Ital Accessori</t>
        </is>
      </c>
      <c r="F943" s="6" t="inlineStr">
        <is>
          <t>150266</t>
        </is>
      </c>
      <c r="G943" s="6" t="inlineStr">
        <is>
          <t>Quadris Excel</t>
        </is>
      </c>
      <c r="H943" s="6" t="n">
        <v>1</v>
      </c>
      <c r="I943" s="6" t="n">
        <v>3</v>
      </c>
      <c r="J943" s="6" t="inlineStr">
        <is>
          <t>nincs</t>
        </is>
      </c>
      <c r="K943" s="6">
        <f>IF(AND(H943&gt;0,I943&gt;0),"Rendben",IF(AND(H943=0,I943=0),"Nincs kép és adat",IF(H943=0,"Nincs kép","Nincs adat")))</f>
        <v/>
      </c>
      <c r="L943" s="6" t="inlineStr">
        <is>
          <t>Igen</t>
        </is>
      </c>
      <c r="M943" s="7" t="inlineStr">
        <is>
          <t>Ital Accessori teljes PDF katalógus (ital-accessori.sk)</t>
        </is>
      </c>
      <c r="N943" s="7" t="inlineStr">
        <is>
          <t>Megtalálva: Zásterky čierne pre nákladné vozidlá Black mudflaps for trucks (kód: 150266)</t>
        </is>
      </c>
      <c r="O943" s="11" t="inlineStr">
        <is>
          <t>https://www.ital-accessori.sk/katalog/book/KOMP/529/</t>
        </is>
      </c>
      <c r="P943" s="11" t="inlineStr">
        <is>
          <t>https://website-9ib.pages.dev/termek/j5337-sarfogo-lap-530x370/</t>
        </is>
      </c>
      <c r="Q943" s="12" t="inlineStr"/>
      <c r="R943" s="13" t="inlineStr"/>
      <c r="S943" s="6" t="inlineStr">
        <is>
          <t>j5337-sarfogo-lap-530x370</t>
        </is>
      </c>
    </row>
    <row r="944">
      <c r="A944" s="6" t="inlineStr"/>
      <c r="B944" s="7" t="inlineStr">
        <is>
          <t>J6030 Sárfogó lap 600x300</t>
        </is>
      </c>
      <c r="C944" s="6" t="inlineStr">
        <is>
          <t>Sárvédők, szerszámosládák</t>
        </is>
      </c>
      <c r="D944" s="6" t="inlineStr">
        <is>
          <t>Sárfogólapok</t>
        </is>
      </c>
      <c r="E944" s="6" t="inlineStr">
        <is>
          <t>Ital Accessori</t>
        </is>
      </c>
      <c r="F944" s="6" t="inlineStr"/>
      <c r="G944" s="6" t="inlineStr">
        <is>
          <t>Quadris Excel</t>
        </is>
      </c>
      <c r="H944" s="6" t="n">
        <v>0</v>
      </c>
      <c r="I944" s="6" t="n">
        <v>0</v>
      </c>
      <c r="J944" s="6" t="inlineStr">
        <is>
          <t>nincs</t>
        </is>
      </c>
      <c r="K944" s="6">
        <f>IF(AND(H944&gt;0,I944&gt;0),"Rendben",IF(AND(H944=0,I944=0),"Nincs kép és adat",IF(H944=0,"Nincs kép","Nincs adat")))</f>
        <v/>
      </c>
      <c r="L944" s="6" t="inlineStr">
        <is>
          <t>Igen</t>
        </is>
      </c>
      <c r="M944" s="7" t="inlineStr">
        <is>
          <t>Ital Accessori teljes PDF katalógus (ital-accessori.sk)</t>
        </is>
      </c>
      <c r="N944" s="7" t="inlineStr">
        <is>
          <t>Nem találtuk: Ital Accessori teljes PDF katalógus (ital-accessori.sk)</t>
        </is>
      </c>
      <c r="O944" s="6" t="inlineStr"/>
      <c r="P944" s="11" t="inlineStr">
        <is>
          <t>https://website-9ib.pages.dev/termek/j6030-sarfogo-lap-600x300/</t>
        </is>
      </c>
      <c r="Q944" s="12" t="inlineStr"/>
      <c r="R944" s="13" t="inlineStr"/>
      <c r="S944" s="6" t="inlineStr">
        <is>
          <t>j6030-sarfogo-lap-600x300</t>
        </is>
      </c>
    </row>
    <row r="945">
      <c r="A945" s="6" t="inlineStr"/>
      <c r="B945" s="7" t="inlineStr">
        <is>
          <t>J6040 Sárfogó lap 600x400</t>
        </is>
      </c>
      <c r="C945" s="6" t="inlineStr">
        <is>
          <t>Sárvédők, szerszámosládák</t>
        </is>
      </c>
      <c r="D945" s="6" t="inlineStr">
        <is>
          <t>Sárfogólapok</t>
        </is>
      </c>
      <c r="E945" s="6" t="inlineStr">
        <is>
          <t>Ital Accessori</t>
        </is>
      </c>
      <c r="F945" s="6" t="inlineStr"/>
      <c r="G945" s="6" t="inlineStr">
        <is>
          <t>Quadris Excel</t>
        </is>
      </c>
      <c r="H945" s="6" t="n">
        <v>0</v>
      </c>
      <c r="I945" s="6" t="n">
        <v>0</v>
      </c>
      <c r="J945" s="6" t="inlineStr">
        <is>
          <t>nincs</t>
        </is>
      </c>
      <c r="K945" s="6">
        <f>IF(AND(H945&gt;0,I945&gt;0),"Rendben",IF(AND(H945=0,I945=0),"Nincs kép és adat",IF(H945=0,"Nincs kép","Nincs adat")))</f>
        <v/>
      </c>
      <c r="L945" s="6" t="inlineStr">
        <is>
          <t>Igen</t>
        </is>
      </c>
      <c r="M945" s="7" t="inlineStr">
        <is>
          <t>Ital Accessori teljes PDF katalógus (ital-accessori.sk)</t>
        </is>
      </c>
      <c r="N945" s="7" t="inlineStr">
        <is>
          <t>Nem találtuk: Ital Accessori teljes PDF katalógus (ital-accessori.sk)</t>
        </is>
      </c>
      <c r="O945" s="6" t="inlineStr"/>
      <c r="P945" s="11" t="inlineStr">
        <is>
          <t>https://website-9ib.pages.dev/termek/j6040-sarfogo-lap-600x400/</t>
        </is>
      </c>
      <c r="Q945" s="12" t="inlineStr"/>
      <c r="R945" s="13" t="inlineStr"/>
      <c r="S945" s="6" t="inlineStr">
        <is>
          <t>j6040-sarfogo-lap-600x400</t>
        </is>
      </c>
    </row>
    <row r="946">
      <c r="A946" s="6" t="inlineStr"/>
      <c r="B946" s="7" t="inlineStr">
        <is>
          <t>J608031 TH 42-es sárvédőtartó cső 750 mm 3p.</t>
        </is>
      </c>
      <c r="C946" s="6" t="inlineStr">
        <is>
          <t>Sárvédők, szerszámosládák</t>
        </is>
      </c>
      <c r="D946" s="6" t="inlineStr">
        <is>
          <t>Felfogatások</t>
        </is>
      </c>
      <c r="E946" s="6" t="inlineStr">
        <is>
          <t>Ital Accessori</t>
        </is>
      </c>
      <c r="F946" s="6" t="inlineStr">
        <is>
          <t>108031</t>
        </is>
      </c>
      <c r="G946" s="6" t="inlineStr">
        <is>
          <t>Quadris Excel</t>
        </is>
      </c>
      <c r="H946" s="6" t="n">
        <v>1</v>
      </c>
      <c r="I946" s="6" t="n">
        <v>5</v>
      </c>
      <c r="J946" s="6" t="inlineStr">
        <is>
          <t>nincs</t>
        </is>
      </c>
      <c r="K946" s="6">
        <f>IF(AND(H946&gt;0,I946&gt;0),"Rendben",IF(AND(H946=0,I946=0),"Nincs kép és adat",IF(H946=0,"Nincs kép","Nincs adat")))</f>
        <v/>
      </c>
      <c r="L946" s="6" t="inlineStr">
        <is>
          <t>Igen</t>
        </is>
      </c>
      <c r="M946" s="7" t="inlineStr">
        <is>
          <t>Ital Accessori teljes PDF katalógus (ital-accessori.sk)</t>
        </is>
      </c>
      <c r="N946" s="7" t="inlineStr">
        <is>
          <t>Megtalálva: Trubka oceľová rovná - čierny komaxit s konzolou s 3 otvormi Straight black powder coated steel stay 3 holes attachment (kód: 108031)</t>
        </is>
      </c>
      <c r="O946" s="11" t="inlineStr">
        <is>
          <t>https://www.ital-accessori.sk/katalog/book/KOMP/521/</t>
        </is>
      </c>
      <c r="P946" s="11" t="inlineStr">
        <is>
          <t>https://website-9ib.pages.dev/termek/j608031-th-42-es-sarvedotarto-cso-750-mm-3p/</t>
        </is>
      </c>
      <c r="Q946" s="12" t="inlineStr"/>
      <c r="R946" s="13" t="inlineStr"/>
      <c r="S946" s="6" t="inlineStr">
        <is>
          <t>j608031-th-42-es-sarvedotarto-cso-750-mm-3p</t>
        </is>
      </c>
    </row>
    <row r="947">
      <c r="A947" s="6" t="inlineStr"/>
      <c r="B947" s="7" t="inlineStr">
        <is>
          <t>J6530 Sárfogó lap 650x300 + felfogatás</t>
        </is>
      </c>
      <c r="C947" s="6" t="inlineStr">
        <is>
          <t>Sárvédők, szerszámosládák</t>
        </is>
      </c>
      <c r="D947" s="6" t="inlineStr">
        <is>
          <t>Sárfogólapok</t>
        </is>
      </c>
      <c r="E947" s="6" t="inlineStr">
        <is>
          <t>Ital Accessori</t>
        </is>
      </c>
      <c r="F947" s="6" t="inlineStr">
        <is>
          <t>150226</t>
        </is>
      </c>
      <c r="G947" s="6" t="inlineStr">
        <is>
          <t>Quadris Excel</t>
        </is>
      </c>
      <c r="H947" s="6" t="n">
        <v>1</v>
      </c>
      <c r="I947" s="6" t="n">
        <v>3</v>
      </c>
      <c r="J947" s="6" t="inlineStr">
        <is>
          <t>nincs</t>
        </is>
      </c>
      <c r="K947" s="6">
        <f>IF(AND(H947&gt;0,I947&gt;0),"Rendben",IF(AND(H947=0,I947=0),"Nincs kép és adat",IF(H947=0,"Nincs kép","Nincs adat")))</f>
        <v/>
      </c>
      <c r="L947" s="6" t="inlineStr">
        <is>
          <t>Igen</t>
        </is>
      </c>
      <c r="M947" s="7" t="inlineStr">
        <is>
          <t>Ital Accessori teljes PDF katalógus (ital-accessori.sk)</t>
        </is>
      </c>
      <c r="N947" s="7" t="inlineStr">
        <is>
          <t>Megtalálva: Zásterky čierne lisované pre nákladné vozidlá Black mudflaps for trucks (kód: 150226)</t>
        </is>
      </c>
      <c r="O947" s="11" t="inlineStr">
        <is>
          <t>https://www.ital-accessori.sk/katalog/book/KOMP/529/</t>
        </is>
      </c>
      <c r="P947" s="11" t="inlineStr">
        <is>
          <t>https://website-9ib.pages.dev/termek/j6530-sarfogo-lap-650x300-felfogatas/</t>
        </is>
      </c>
      <c r="Q947" s="12" t="inlineStr"/>
      <c r="R947" s="13" t="inlineStr"/>
      <c r="S947" s="6" t="inlineStr">
        <is>
          <t>j6530-sarfogo-lap-650x300-felfogatas</t>
        </is>
      </c>
    </row>
    <row r="948">
      <c r="A948" s="6" t="inlineStr">
        <is>
          <t>302550</t>
        </is>
      </c>
      <c r="B948" s="7" t="inlineStr">
        <is>
          <t>Konzol Víztartályhoz</t>
        </is>
      </c>
      <c r="C948" s="6" t="inlineStr">
        <is>
          <t>Sárvédők, szerszámosládák</t>
        </is>
      </c>
      <c r="D948" s="6" t="inlineStr">
        <is>
          <t>Víztartály</t>
        </is>
      </c>
      <c r="E948" s="6" t="inlineStr">
        <is>
          <t>Ital Accessori</t>
        </is>
      </c>
      <c r="F948" s="6" t="inlineStr"/>
      <c r="G948" s="6" t="inlineStr">
        <is>
          <t>Quadris Excel</t>
        </is>
      </c>
      <c r="H948" s="6" t="n">
        <v>0</v>
      </c>
      <c r="I948" s="6" t="n">
        <v>0</v>
      </c>
      <c r="J948" s="6" t="inlineStr">
        <is>
          <t>nincs</t>
        </is>
      </c>
      <c r="K948" s="6">
        <f>IF(AND(H948&gt;0,I948&gt;0),"Rendben",IF(AND(H948=0,I948=0),"Nincs kép és adat",IF(H948=0,"Nincs kép","Nincs adat")))</f>
        <v/>
      </c>
      <c r="L948" s="6" t="inlineStr">
        <is>
          <t>Igen</t>
        </is>
      </c>
      <c r="M948" s="7" t="inlineStr">
        <is>
          <t>Ital Accessori teljes PDF katalógus (ital-accessori.sk)</t>
        </is>
      </c>
      <c r="N948" s="7" t="inlineStr">
        <is>
          <t>Nem találtuk: Ital Accessori teljes PDF katalógus (ital-accessori.sk)</t>
        </is>
      </c>
      <c r="O948" s="6" t="inlineStr"/>
      <c r="P948" s="11" t="inlineStr">
        <is>
          <t>https://website-9ib.pages.dev/termek/302550-konzol-viztartalyhoz/</t>
        </is>
      </c>
      <c r="Q948" s="12" t="inlineStr"/>
      <c r="R948" s="13" t="inlineStr"/>
      <c r="S948" s="6" t="inlineStr">
        <is>
          <t>302550-konzol-viztartalyhoz</t>
        </is>
      </c>
    </row>
    <row r="949">
      <c r="A949" s="6" t="inlineStr">
        <is>
          <t>302340</t>
        </is>
      </c>
      <c r="B949" s="7" t="inlineStr">
        <is>
          <t>Víztartály 18L</t>
        </is>
      </c>
      <c r="C949" s="6" t="inlineStr">
        <is>
          <t>Sárvédők, szerszámosládák</t>
        </is>
      </c>
      <c r="D949" s="6" t="inlineStr">
        <is>
          <t>Víztartály</t>
        </is>
      </c>
      <c r="E949" s="6" t="inlineStr">
        <is>
          <t>Ital Accessori</t>
        </is>
      </c>
      <c r="F949" s="6" t="inlineStr">
        <is>
          <t>302340</t>
        </is>
      </c>
      <c r="G949" s="6" t="inlineStr">
        <is>
          <t>Quadris Excel</t>
        </is>
      </c>
      <c r="H949" s="6" t="n">
        <v>2</v>
      </c>
      <c r="I949" s="6" t="n">
        <v>4</v>
      </c>
      <c r="J949" s="6" t="inlineStr">
        <is>
          <t>nincs</t>
        </is>
      </c>
      <c r="K949" s="6">
        <f>IF(AND(H949&gt;0,I949&gt;0),"Rendben",IF(AND(H949=0,I949=0),"Nincs kép és adat",IF(H949=0,"Nincs kép","Nincs adat")))</f>
        <v/>
      </c>
      <c r="L949" s="6" t="inlineStr">
        <is>
          <t>Igen</t>
        </is>
      </c>
      <c r="M949" s="7" t="inlineStr">
        <is>
          <t>Ital Accessori teljes PDF katalógus (ital-accessori.sk)</t>
        </is>
      </c>
      <c r="N949" s="7" t="inlineStr">
        <is>
          <t>Megtalálva: Ital Accessori katalógus 579. oldal (kód: 302340)</t>
        </is>
      </c>
      <c r="O949" s="11" t="inlineStr">
        <is>
          <t>https://www.ital-accessori.sk/katalog/book/KOMP/579/</t>
        </is>
      </c>
      <c r="P949" s="11" t="inlineStr">
        <is>
          <t>https://website-9ib.pages.dev/termek/302340-viztartaly-18l/</t>
        </is>
      </c>
      <c r="Q949" s="12" t="inlineStr"/>
      <c r="R949" s="13" t="inlineStr"/>
      <c r="S949" s="6" t="inlineStr">
        <is>
          <t>302340-viztartaly-18l</t>
        </is>
      </c>
    </row>
    <row r="950">
      <c r="A950" s="6" t="inlineStr">
        <is>
          <t>302341</t>
        </is>
      </c>
      <c r="B950" s="7" t="inlineStr">
        <is>
          <t>Víztartály 18L + szappan adagoló</t>
        </is>
      </c>
      <c r="C950" s="6" t="inlineStr">
        <is>
          <t>Sárvédők, szerszámosládák</t>
        </is>
      </c>
      <c r="D950" s="6" t="inlineStr">
        <is>
          <t>Víztartály</t>
        </is>
      </c>
      <c r="E950" s="6" t="inlineStr">
        <is>
          <t>Ital Accessori</t>
        </is>
      </c>
      <c r="F950" s="6" t="inlineStr">
        <is>
          <t>RSTIDRO18SN0</t>
        </is>
      </c>
      <c r="G950" s="6" t="inlineStr">
        <is>
          <t>Quadris Excel</t>
        </is>
      </c>
      <c r="H950" s="6" t="n">
        <v>2</v>
      </c>
      <c r="I950" s="6" t="n">
        <v>4</v>
      </c>
      <c r="J950" s="6" t="inlineStr">
        <is>
          <t>nincs</t>
        </is>
      </c>
      <c r="K950" s="6">
        <f>IF(AND(H950&gt;0,I950&gt;0),"Rendben",IF(AND(H950=0,I950=0),"Nincs kép és adat",IF(H950=0,"Nincs kép","Nincs adat")))</f>
        <v/>
      </c>
      <c r="L950" s="6" t="inlineStr">
        <is>
          <t>Igen</t>
        </is>
      </c>
      <c r="M950" s="7" t="inlineStr">
        <is>
          <t>Ital Accessori teljes PDF katalógus (ital-accessori.sk)</t>
        </is>
      </c>
      <c r="N950" s="7" t="inlineStr">
        <is>
          <t>Megtalálva: Ital Accessori katalógus 579. oldal (kód: RSTIDRO18SN0)</t>
        </is>
      </c>
      <c r="O950" s="11" t="inlineStr">
        <is>
          <t>https://www.ital-accessori.sk/katalog/book/KOMP/579/</t>
        </is>
      </c>
      <c r="P950" s="11" t="inlineStr">
        <is>
          <t>https://website-9ib.pages.dev/termek/302341-viztartaly-18l-szappan-adagolo/</t>
        </is>
      </c>
      <c r="Q950" s="12" t="inlineStr"/>
      <c r="R950" s="13" t="inlineStr"/>
      <c r="S950" s="6" t="inlineStr">
        <is>
          <t>302341-viztartaly-18l-szappan-adagolo</t>
        </is>
      </c>
    </row>
    <row r="951">
      <c r="A951" s="6" t="inlineStr">
        <is>
          <t>302515</t>
        </is>
      </c>
      <c r="B951" s="7" t="inlineStr">
        <is>
          <t>Víztartály 30L + szappantartó</t>
        </is>
      </c>
      <c r="C951" s="6" t="inlineStr">
        <is>
          <t>Sárvédők, szerszámosládák</t>
        </is>
      </c>
      <c r="D951" s="6" t="inlineStr">
        <is>
          <t>Víztartály</t>
        </is>
      </c>
      <c r="E951" s="6" t="inlineStr">
        <is>
          <t>Ital Accessori</t>
        </is>
      </c>
      <c r="F951" s="6" t="inlineStr"/>
      <c r="G951" s="6" t="inlineStr">
        <is>
          <t>Quadris Excel</t>
        </is>
      </c>
      <c r="H951" s="6" t="n">
        <v>0</v>
      </c>
      <c r="I951" s="6" t="n">
        <v>0</v>
      </c>
      <c r="J951" s="6" t="inlineStr">
        <is>
          <t>nincs</t>
        </is>
      </c>
      <c r="K951" s="6">
        <f>IF(AND(H951&gt;0,I951&gt;0),"Rendben",IF(AND(H951=0,I951=0),"Nincs kép és adat",IF(H951=0,"Nincs kép","Nincs adat")))</f>
        <v/>
      </c>
      <c r="L951" s="6" t="inlineStr">
        <is>
          <t>Igen</t>
        </is>
      </c>
      <c r="M951" s="7" t="inlineStr">
        <is>
          <t>Ital Accessori teljes PDF katalógus (ital-accessori.sk)</t>
        </is>
      </c>
      <c r="N951" s="7" t="inlineStr">
        <is>
          <t>Nem találtuk: Ital Accessori teljes PDF katalógus (ital-accessori.sk)</t>
        </is>
      </c>
      <c r="O951" s="6" t="inlineStr"/>
      <c r="P951" s="11" t="inlineStr">
        <is>
          <t>https://website-9ib.pages.dev/termek/302515-viztartaly-30l-szappantarto/</t>
        </is>
      </c>
      <c r="Q951" s="12" t="inlineStr"/>
      <c r="R951" s="13" t="inlineStr"/>
      <c r="S951" s="6" t="inlineStr">
        <is>
          <t>302515-viztartaly-30l-szappantarto</t>
        </is>
      </c>
    </row>
    <row r="952">
      <c r="A952" s="6" t="inlineStr"/>
      <c r="B952" s="7" t="inlineStr">
        <is>
          <t>260FT Csapott tetejű sárvédő</t>
        </is>
      </c>
      <c r="C952" s="6" t="inlineStr">
        <is>
          <t>Sárvédők, szerszámosládák</t>
        </is>
      </c>
      <c r="D952" s="6" t="inlineStr">
        <is>
          <t>Sárvédők</t>
        </is>
      </c>
      <c r="E952" s="6" t="inlineStr">
        <is>
          <t>JONESCO</t>
        </is>
      </c>
      <c r="F952" s="6" t="inlineStr">
        <is>
          <t>JX06F</t>
        </is>
      </c>
      <c r="G952" s="6" t="inlineStr">
        <is>
          <t>Quadris Excel</t>
        </is>
      </c>
      <c r="H952" s="6" t="n">
        <v>3</v>
      </c>
      <c r="I952" s="6" t="n">
        <v>5</v>
      </c>
      <c r="J952" s="6" t="inlineStr">
        <is>
          <t>van</t>
        </is>
      </c>
      <c r="K952" s="6">
        <f>IF(AND(H952&gt;0,I952&gt;0),"Rendben",IF(AND(H952=0,I952=0),"Nincs kép és adat",IF(H952=0,"Nincs kép","Nincs adat")))</f>
        <v/>
      </c>
      <c r="L952" s="6" t="inlineStr">
        <is>
          <t>Igen</t>
        </is>
      </c>
      <c r="M952" s="7" t="inlineStr">
        <is>
          <t>jonesco-plastics.com termékoldalak</t>
        </is>
      </c>
      <c r="N952" s="7" t="inlineStr">
        <is>
          <t>Megtalálva: JX06F (flat-top-xgard) (kód: JX06F)</t>
        </is>
      </c>
      <c r="O952" s="11" t="inlineStr">
        <is>
          <t>https://jonesco-plastics.com/products/commercial-vehicle/mudguards/flat-top-xgard</t>
        </is>
      </c>
      <c r="P952" s="11" t="inlineStr">
        <is>
          <t>https://website-9ib.pages.dev/termek/260ft-csapott-teteju-sarvedo/</t>
        </is>
      </c>
      <c r="Q952" s="12" t="inlineStr"/>
      <c r="R952" s="13" t="inlineStr"/>
      <c r="S952" s="6" t="inlineStr">
        <is>
          <t>260ft-csapott-teteju-sarvedo</t>
        </is>
      </c>
    </row>
    <row r="953">
      <c r="A953" s="6" t="inlineStr"/>
      <c r="B953" s="7" t="inlineStr">
        <is>
          <t>400x700 mm sárvédő lap StopSpay</t>
        </is>
      </c>
      <c r="C953" s="6" t="inlineStr">
        <is>
          <t>Sárvédők, szerszámosládák</t>
        </is>
      </c>
      <c r="D953" s="6" t="inlineStr">
        <is>
          <t>Sárfogólapok</t>
        </is>
      </c>
      <c r="E953" s="6" t="inlineStr">
        <is>
          <t>JONESCO</t>
        </is>
      </c>
      <c r="F953" s="6" t="inlineStr">
        <is>
          <t>JF4070</t>
        </is>
      </c>
      <c r="G953" s="6" t="inlineStr">
        <is>
          <t>Quadris Excel</t>
        </is>
      </c>
      <c r="H953" s="6" t="n">
        <v>3</v>
      </c>
      <c r="I953" s="6" t="n">
        <v>2</v>
      </c>
      <c r="J953" s="6" t="inlineStr">
        <is>
          <t>van</t>
        </is>
      </c>
      <c r="K953" s="6">
        <f>IF(AND(H953&gt;0,I953&gt;0),"Rendben",IF(AND(H953=0,I953=0),"Nincs kép és adat",IF(H953=0,"Nincs kép","Nincs adat")))</f>
        <v/>
      </c>
      <c r="L953" s="6" t="inlineStr">
        <is>
          <t>Igen</t>
        </is>
      </c>
      <c r="M953" s="7" t="inlineStr">
        <is>
          <t>jonesco-plastics.com termékoldalak</t>
        </is>
      </c>
      <c r="N953" s="7" t="inlineStr">
        <is>
          <t>Megtalálva: JF4070 (antispray-mudflaps) (kód: JF4070)</t>
        </is>
      </c>
      <c r="O953" s="11" t="inlineStr">
        <is>
          <t>https://jonesco-plastics.com/products/commercial-vehicle/mudflaps/antispray-mudflaps</t>
        </is>
      </c>
      <c r="P953" s="11" t="inlineStr">
        <is>
          <t>https://website-9ib.pages.dev/termek/400x700-mm-sarvedo-lap-stopspay/</t>
        </is>
      </c>
      <c r="Q953" s="12" t="inlineStr"/>
      <c r="R953" s="13" t="inlineStr"/>
      <c r="S953" s="6" t="inlineStr">
        <is>
          <t>400x700-mm-sarvedo-lap-stopspay</t>
        </is>
      </c>
    </row>
    <row r="954">
      <c r="A954" s="6" t="inlineStr"/>
      <c r="B954" s="7" t="inlineStr">
        <is>
          <t>550FT Csapott tetejű sárvédő</t>
        </is>
      </c>
      <c r="C954" s="6" t="inlineStr">
        <is>
          <t>Sárvédők, szerszámosládák</t>
        </is>
      </c>
      <c r="D954" s="6" t="inlineStr">
        <is>
          <t>Sárvédők</t>
        </is>
      </c>
      <c r="E954" s="6" t="inlineStr">
        <is>
          <t>JONESCO</t>
        </is>
      </c>
      <c r="F954" s="6" t="inlineStr">
        <is>
          <t>J41F</t>
        </is>
      </c>
      <c r="G954" s="6" t="inlineStr">
        <is>
          <t>Quadris Excel</t>
        </is>
      </c>
      <c r="H954" s="6" t="n">
        <v>3</v>
      </c>
      <c r="I954" s="6" t="n">
        <v>5</v>
      </c>
      <c r="J954" s="6" t="inlineStr">
        <is>
          <t>van</t>
        </is>
      </c>
      <c r="K954" s="6">
        <f>IF(AND(H954&gt;0,I954&gt;0),"Rendben",IF(AND(H954=0,I954=0),"Nincs kép és adat",IF(H954=0,"Nincs kép","Nincs adat")))</f>
        <v/>
      </c>
      <c r="L954" s="6" t="inlineStr">
        <is>
          <t>Igen</t>
        </is>
      </c>
      <c r="M954" s="7" t="inlineStr">
        <is>
          <t>jonesco-plastics.com termékoldalak</t>
        </is>
      </c>
      <c r="N954" s="7" t="inlineStr">
        <is>
          <t>Megtalálva: J41F (flat-top-j-wing) (kód: J41F)</t>
        </is>
      </c>
      <c r="O954" s="11" t="inlineStr">
        <is>
          <t>https://jonesco-plastics.com/products/commercial-vehicle/mudguards/flat-top-j-wing</t>
        </is>
      </c>
      <c r="P954" s="11" t="inlineStr">
        <is>
          <t>https://website-9ib.pages.dev/termek/550ft-csapott-teteju-sarvedo/</t>
        </is>
      </c>
      <c r="Q954" s="12" t="inlineStr"/>
      <c r="R954" s="13" t="inlineStr"/>
      <c r="S954" s="6" t="inlineStr">
        <is>
          <t>550ft-csapott-teteju-sarvedo</t>
        </is>
      </c>
    </row>
    <row r="955">
      <c r="A955" s="6" t="inlineStr"/>
      <c r="B955" s="7" t="inlineStr">
        <is>
          <t>600 FT Csapott tetejű sárvédő</t>
        </is>
      </c>
      <c r="C955" s="6" t="inlineStr">
        <is>
          <t>Sárvédők, szerszámosládák</t>
        </is>
      </c>
      <c r="D955" s="6" t="inlineStr">
        <is>
          <t>Sárvédők</t>
        </is>
      </c>
      <c r="E955" s="6" t="inlineStr">
        <is>
          <t>JONESCO</t>
        </is>
      </c>
      <c r="F955" s="6" t="inlineStr">
        <is>
          <t>J43F</t>
        </is>
      </c>
      <c r="G955" s="6" t="inlineStr">
        <is>
          <t>Quadris Excel</t>
        </is>
      </c>
      <c r="H955" s="6" t="n">
        <v>3</v>
      </c>
      <c r="I955" s="6" t="n">
        <v>5</v>
      </c>
      <c r="J955" s="6" t="inlineStr">
        <is>
          <t>van</t>
        </is>
      </c>
      <c r="K955" s="6">
        <f>IF(AND(H955&gt;0,I955&gt;0),"Rendben",IF(AND(H955=0,I955=0),"Nincs kép és adat",IF(H955=0,"Nincs kép","Nincs adat")))</f>
        <v/>
      </c>
      <c r="L955" s="6" t="inlineStr">
        <is>
          <t>Igen</t>
        </is>
      </c>
      <c r="M955" s="7" t="inlineStr">
        <is>
          <t>jonesco-plastics.com termékoldalak</t>
        </is>
      </c>
      <c r="N955" s="7" t="inlineStr">
        <is>
          <t>Megtalálva: J43F (flat-top-j-wing) (kód: J43F)</t>
        </is>
      </c>
      <c r="O955" s="11" t="inlineStr">
        <is>
          <t>https://jonesco-plastics.com/products/commercial-vehicle/mudguards/flat-top-j-wing</t>
        </is>
      </c>
      <c r="P955" s="11" t="inlineStr">
        <is>
          <t>https://website-9ib.pages.dev/termek/600-ft-csapott-teteju-sarvedo/</t>
        </is>
      </c>
      <c r="Q955" s="12" t="inlineStr"/>
      <c r="R955" s="13" t="inlineStr"/>
      <c r="S955" s="6" t="inlineStr">
        <is>
          <t>600-ft-csapott-teteju-sarvedo</t>
        </is>
      </c>
    </row>
    <row r="956">
      <c r="A956" s="6" t="inlineStr"/>
      <c r="B956" s="7" t="inlineStr">
        <is>
          <t>660x1220 mm sárvédő lap StopSpray</t>
        </is>
      </c>
      <c r="C956" s="6" t="inlineStr">
        <is>
          <t>Sárvédők, szerszámosládák</t>
        </is>
      </c>
      <c r="D956" s="6" t="inlineStr">
        <is>
          <t>Sárfogólapok</t>
        </is>
      </c>
      <c r="E956" s="6" t="inlineStr">
        <is>
          <t>JONESCO</t>
        </is>
      </c>
      <c r="F956" s="6" t="inlineStr">
        <is>
          <t>JF66122</t>
        </is>
      </c>
      <c r="G956" s="6" t="inlineStr">
        <is>
          <t>Quadris Excel</t>
        </is>
      </c>
      <c r="H956" s="6" t="n">
        <v>3</v>
      </c>
      <c r="I956" s="6" t="n">
        <v>2</v>
      </c>
      <c r="J956" s="6" t="inlineStr">
        <is>
          <t>van</t>
        </is>
      </c>
      <c r="K956" s="6">
        <f>IF(AND(H956&gt;0,I956&gt;0),"Rendben",IF(AND(H956=0,I956=0),"Nincs kép és adat",IF(H956=0,"Nincs kép","Nincs adat")))</f>
        <v/>
      </c>
      <c r="L956" s="6" t="inlineStr">
        <is>
          <t>Igen</t>
        </is>
      </c>
      <c r="M956" s="7" t="inlineStr">
        <is>
          <t>jonesco-plastics.com termékoldalak</t>
        </is>
      </c>
      <c r="N956" s="7" t="inlineStr">
        <is>
          <t>Megtalálva: JF66122 (antispray-mudflaps) (kód: JF66122)</t>
        </is>
      </c>
      <c r="O956" s="11" t="inlineStr">
        <is>
          <t>https://jonesco-plastics.com/products/commercial-vehicle/mudflaps/antispray-mudflaps</t>
        </is>
      </c>
      <c r="P956" s="11" t="inlineStr">
        <is>
          <t>https://website-9ib.pages.dev/termek/660x1220-mm-sarvedo-lap-stopspray/</t>
        </is>
      </c>
      <c r="Q956" s="12" t="inlineStr"/>
      <c r="R956" s="13" t="inlineStr"/>
      <c r="S956" s="6" t="inlineStr">
        <is>
          <t>660x1220-mm-sarvedo-lap-stopspray</t>
        </is>
      </c>
    </row>
    <row r="957">
      <c r="A957" s="6" t="inlineStr"/>
      <c r="B957" s="7" t="inlineStr">
        <is>
          <t>710x560 mm sárvédő lap StopSpray</t>
        </is>
      </c>
      <c r="C957" s="6" t="inlineStr">
        <is>
          <t>Sárvédők, szerszámosládák</t>
        </is>
      </c>
      <c r="D957" s="6" t="inlineStr">
        <is>
          <t>Sárfogólapok</t>
        </is>
      </c>
      <c r="E957" s="6" t="inlineStr">
        <is>
          <t>JONESCO</t>
        </is>
      </c>
      <c r="F957" s="6" t="inlineStr">
        <is>
          <t>JF7156</t>
        </is>
      </c>
      <c r="G957" s="6" t="inlineStr">
        <is>
          <t>Quadris Excel</t>
        </is>
      </c>
      <c r="H957" s="6" t="n">
        <v>3</v>
      </c>
      <c r="I957" s="6" t="n">
        <v>2</v>
      </c>
      <c r="J957" s="6" t="inlineStr">
        <is>
          <t>van</t>
        </is>
      </c>
      <c r="K957" s="6">
        <f>IF(AND(H957&gt;0,I957&gt;0),"Rendben",IF(AND(H957=0,I957=0),"Nincs kép és adat",IF(H957=0,"Nincs kép","Nincs adat")))</f>
        <v/>
      </c>
      <c r="L957" s="6" t="inlineStr">
        <is>
          <t>Igen</t>
        </is>
      </c>
      <c r="M957" s="7" t="inlineStr">
        <is>
          <t>jonesco-plastics.com termékoldalak</t>
        </is>
      </c>
      <c r="N957" s="7" t="inlineStr">
        <is>
          <t>Megtalálva: JF7156 (antispray-mudflaps) (kód: JF7156)</t>
        </is>
      </c>
      <c r="O957" s="11" t="inlineStr">
        <is>
          <t>https://jonesco-plastics.com/products/commercial-vehicle/mudflaps/antispray-mudflaps</t>
        </is>
      </c>
      <c r="P957" s="11" t="inlineStr">
        <is>
          <t>https://website-9ib.pages.dev/termek/710x560-mm-sarvedo-lap-stopspray/</t>
        </is>
      </c>
      <c r="Q957" s="12" t="inlineStr"/>
      <c r="R957" s="13" t="inlineStr"/>
      <c r="S957" s="6" t="inlineStr">
        <is>
          <t>710x560-mm-sarvedo-lap-stopspray</t>
        </is>
      </c>
    </row>
    <row r="958">
      <c r="A958" s="6" t="inlineStr"/>
      <c r="B958" s="7" t="inlineStr">
        <is>
          <t>J09 Íves sárvédő 270/1280/410</t>
        </is>
      </c>
      <c r="C958" s="6" t="inlineStr">
        <is>
          <t>Sárvédők, szerszámosládák</t>
        </is>
      </c>
      <c r="D958" s="6" t="inlineStr">
        <is>
          <t>Sárvédők</t>
        </is>
      </c>
      <c r="E958" s="6" t="inlineStr">
        <is>
          <t>JONESCO</t>
        </is>
      </c>
      <c r="F958" s="6" t="inlineStr"/>
      <c r="G958" s="6" t="inlineStr">
        <is>
          <t>Quadris Excel</t>
        </is>
      </c>
      <c r="H958" s="6" t="n">
        <v>3</v>
      </c>
      <c r="I958" s="6" t="n">
        <v>7</v>
      </c>
      <c r="J958" s="6" t="inlineStr">
        <is>
          <t>van</t>
        </is>
      </c>
      <c r="K958" s="6">
        <f>IF(AND(H958&gt;0,I958&gt;0),"Rendben",IF(AND(H958=0,I958=0),"Nincs kép és adat",IF(H958=0,"Nincs kép","Nincs adat")))</f>
        <v/>
      </c>
      <c r="L958" s="6" t="inlineStr">
        <is>
          <t>Igen</t>
        </is>
      </c>
      <c r="M958" s="7" t="inlineStr">
        <is>
          <t>jonesco-plastics.com termékoldalak</t>
        </is>
      </c>
      <c r="N958" s="7" t="inlineStr">
        <is>
          <t>Megtalálva: HL09 (single-arch-highgard) (kód: HL09)</t>
        </is>
      </c>
      <c r="O958" s="11" t="inlineStr">
        <is>
          <t>https://jonesco-plastics.com/products/commercial-vehicle/mudguards/single-arch-highgard</t>
        </is>
      </c>
      <c r="P958" s="11" t="inlineStr">
        <is>
          <t>https://website-9ib.pages.dev/termek/j09-ives-sarvedo-270-1280-410/</t>
        </is>
      </c>
      <c r="Q958" s="12" t="inlineStr"/>
      <c r="R958" s="13" t="inlineStr"/>
      <c r="S958" s="6" t="inlineStr">
        <is>
          <t>j09-ives-sarvedo-270-1280-410</t>
        </is>
      </c>
    </row>
    <row r="959">
      <c r="A959" s="6" t="inlineStr"/>
      <c r="B959" s="7" t="inlineStr">
        <is>
          <t>J27 Íves sárvédő 475/1430/430</t>
        </is>
      </c>
      <c r="C959" s="6" t="inlineStr">
        <is>
          <t>Sárvédők, szerszámosládák</t>
        </is>
      </c>
      <c r="D959" s="6" t="inlineStr">
        <is>
          <t>Sárvédők</t>
        </is>
      </c>
      <c r="E959" s="6" t="inlineStr">
        <is>
          <t>JONESCO</t>
        </is>
      </c>
      <c r="F959" s="6" t="inlineStr"/>
      <c r="G959" s="6" t="inlineStr">
        <is>
          <t>Quadris Excel</t>
        </is>
      </c>
      <c r="H959" s="6" t="n">
        <v>3</v>
      </c>
      <c r="I959" s="6" t="n">
        <v>7</v>
      </c>
      <c r="J959" s="6" t="inlineStr">
        <is>
          <t>van</t>
        </is>
      </c>
      <c r="K959" s="6">
        <f>IF(AND(H959&gt;0,I959&gt;0),"Rendben",IF(AND(H959=0,I959=0),"Nincs kép és adat",IF(H959=0,"Nincs kép","Nincs adat")))</f>
        <v/>
      </c>
      <c r="L959" s="6" t="inlineStr">
        <is>
          <t>Igen</t>
        </is>
      </c>
      <c r="M959" s="7" t="inlineStr">
        <is>
          <t>jonesco-plastics.com termékoldalak</t>
        </is>
      </c>
      <c r="N959" s="7" t="inlineStr">
        <is>
          <t>Megtalálva: HL27 (single-arch-highgard) (kód: HL27)</t>
        </is>
      </c>
      <c r="O959" s="11" t="inlineStr">
        <is>
          <t>https://jonesco-plastics.com/products/commercial-vehicle/mudguards/single-arch-highgard</t>
        </is>
      </c>
      <c r="P959" s="11" t="inlineStr">
        <is>
          <t>https://website-9ib.pages.dev/termek/j27-ives-sarvedo-475-1430-430/</t>
        </is>
      </c>
      <c r="Q959" s="12" t="inlineStr"/>
      <c r="R959" s="13" t="inlineStr"/>
      <c r="S959" s="6" t="inlineStr">
        <is>
          <t>j27-ives-sarvedo-475-1430-430</t>
        </is>
      </c>
    </row>
    <row r="960">
      <c r="A960" s="6" t="inlineStr"/>
      <c r="B960" s="7" t="inlineStr">
        <is>
          <t>J27F 450FT Csapott tetejű sárvédő</t>
        </is>
      </c>
      <c r="C960" s="6" t="inlineStr">
        <is>
          <t>Sárvédők, szerszámosládák</t>
        </is>
      </c>
      <c r="D960" s="6" t="inlineStr">
        <is>
          <t>Sárvédők</t>
        </is>
      </c>
      <c r="E960" s="6" t="inlineStr">
        <is>
          <t>JONESCO</t>
        </is>
      </c>
      <c r="F960" s="6" t="inlineStr"/>
      <c r="G960" s="6" t="inlineStr">
        <is>
          <t>Quadris Excel</t>
        </is>
      </c>
      <c r="H960" s="6" t="n">
        <v>3</v>
      </c>
      <c r="I960" s="6" t="n">
        <v>5</v>
      </c>
      <c r="J960" s="6" t="inlineStr">
        <is>
          <t>van</t>
        </is>
      </c>
      <c r="K960" s="6">
        <f>IF(AND(H960&gt;0,I960&gt;0),"Rendben",IF(AND(H960=0,I960=0),"Nincs kép és adat",IF(H960=0,"Nincs kép","Nincs adat")))</f>
        <v/>
      </c>
      <c r="L960" s="6" t="inlineStr">
        <is>
          <t>Igen</t>
        </is>
      </c>
      <c r="M960" s="7" t="inlineStr">
        <is>
          <t>jonesco-plastics.com termékoldalak</t>
        </is>
      </c>
      <c r="N960" s="7" t="inlineStr">
        <is>
          <t>Megtalálva: J27F (flat-top-j-wing) (kód: J27F)</t>
        </is>
      </c>
      <c r="O960" s="11" t="inlineStr">
        <is>
          <t>https://jonesco-plastics.com/products/commercial-vehicle/mudguards/flat-top-j-wing</t>
        </is>
      </c>
      <c r="P960" s="11" t="inlineStr">
        <is>
          <t>https://website-9ib.pages.dev/termek/j27f-450ft-csapott-teteju-sarvedo/</t>
        </is>
      </c>
      <c r="Q960" s="12" t="inlineStr"/>
      <c r="R960" s="13" t="inlineStr"/>
      <c r="S960" s="6" t="inlineStr">
        <is>
          <t>j27f-450ft-csapott-teteju-sarvedo</t>
        </is>
      </c>
    </row>
    <row r="961">
      <c r="A961" s="6" t="inlineStr"/>
      <c r="B961" s="7" t="inlineStr">
        <is>
          <t>J28F 455FT Csapott tetejű sárvédő</t>
        </is>
      </c>
      <c r="C961" s="6" t="inlineStr">
        <is>
          <t>Sárvédők, szerszámosládák</t>
        </is>
      </c>
      <c r="D961" s="6" t="inlineStr">
        <is>
          <t>Sárvédők</t>
        </is>
      </c>
      <c r="E961" s="6" t="inlineStr">
        <is>
          <t>JONESCO</t>
        </is>
      </c>
      <c r="F961" s="6" t="inlineStr"/>
      <c r="G961" s="6" t="inlineStr">
        <is>
          <t>Quadris Excel</t>
        </is>
      </c>
      <c r="H961" s="6" t="n">
        <v>3</v>
      </c>
      <c r="I961" s="6" t="n">
        <v>5</v>
      </c>
      <c r="J961" s="6" t="inlineStr">
        <is>
          <t>van</t>
        </is>
      </c>
      <c r="K961" s="6">
        <f>IF(AND(H961&gt;0,I961&gt;0),"Rendben",IF(AND(H961=0,I961=0),"Nincs kép és adat",IF(H961=0,"Nincs kép","Nincs adat")))</f>
        <v/>
      </c>
      <c r="L961" s="6" t="inlineStr">
        <is>
          <t>Igen</t>
        </is>
      </c>
      <c r="M961" s="7" t="inlineStr">
        <is>
          <t>jonesco-plastics.com termékoldalak</t>
        </is>
      </c>
      <c r="N961" s="7" t="inlineStr">
        <is>
          <t>Megtalálva: J28F (flat-top-j-wing) (kód: J28F)</t>
        </is>
      </c>
      <c r="O961" s="11" t="inlineStr">
        <is>
          <t>https://jonesco-plastics.com/products/commercial-vehicle/mudguards/flat-top-j-wing</t>
        </is>
      </c>
      <c r="P961" s="11" t="inlineStr">
        <is>
          <t>https://website-9ib.pages.dev/termek/j28f-455ft-csapott-teteju-sarvedo/</t>
        </is>
      </c>
      <c r="Q961" s="12" t="inlineStr"/>
      <c r="R961" s="13" t="inlineStr"/>
      <c r="S961" s="6" t="inlineStr">
        <is>
          <t>j28f-455ft-csapott-teteju-sarvedo</t>
        </is>
      </c>
    </row>
    <row r="962">
      <c r="A962" s="6" t="inlineStr"/>
      <c r="B962" s="7" t="inlineStr">
        <is>
          <t>J39B 530 Íves sárvédő</t>
        </is>
      </c>
      <c r="C962" s="6" t="inlineStr">
        <is>
          <t>Sárvédők, szerszámosládák</t>
        </is>
      </c>
      <c r="D962" s="6" t="inlineStr">
        <is>
          <t>Sárvédők</t>
        </is>
      </c>
      <c r="E962" s="6" t="inlineStr">
        <is>
          <t>JONESCO</t>
        </is>
      </c>
      <c r="F962" s="6" t="inlineStr"/>
      <c r="G962" s="6" t="inlineStr">
        <is>
          <t>Quadris Excel</t>
        </is>
      </c>
      <c r="H962" s="6" t="n">
        <v>3</v>
      </c>
      <c r="I962" s="6" t="n">
        <v>7</v>
      </c>
      <c r="J962" s="6" t="inlineStr">
        <is>
          <t>van</t>
        </is>
      </c>
      <c r="K962" s="6">
        <f>IF(AND(H962&gt;0,I962&gt;0),"Rendben",IF(AND(H962=0,I962=0),"Nincs kép és adat",IF(H962=0,"Nincs kép","Nincs adat")))</f>
        <v/>
      </c>
      <c r="L962" s="6" t="inlineStr">
        <is>
          <t>Igen</t>
        </is>
      </c>
      <c r="M962" s="7" t="inlineStr">
        <is>
          <t>jonesco-plastics.com termékoldalak</t>
        </is>
      </c>
      <c r="N962" s="7" t="inlineStr">
        <is>
          <t>Megtalálva: HL39B (single-arch-highgard) (kód: HL39B)</t>
        </is>
      </c>
      <c r="O962" s="11" t="inlineStr">
        <is>
          <t>https://jonesco-plastics.com/products/commercial-vehicle/mudguards/single-arch-highgard</t>
        </is>
      </c>
      <c r="P962" s="11" t="inlineStr">
        <is>
          <t>https://website-9ib.pages.dev/termek/j39b-530-ives-sarvedo/</t>
        </is>
      </c>
      <c r="Q962" s="12" t="inlineStr"/>
      <c r="R962" s="13" t="inlineStr"/>
      <c r="S962" s="6" t="inlineStr">
        <is>
          <t>j39b-530-ives-sarvedo</t>
        </is>
      </c>
    </row>
    <row r="963">
      <c r="A963" s="6" t="inlineStr"/>
      <c r="B963" s="7" t="inlineStr">
        <is>
          <t>J4030 Sárfogó lap 400x300 mm</t>
        </is>
      </c>
      <c r="C963" s="6" t="inlineStr">
        <is>
          <t>Sárvédők, szerszámosládák</t>
        </is>
      </c>
      <c r="D963" s="6" t="inlineStr">
        <is>
          <t>Sárfogólapok</t>
        </is>
      </c>
      <c r="E963" s="6" t="inlineStr">
        <is>
          <t>JONESCO</t>
        </is>
      </c>
      <c r="F963" s="6" t="inlineStr"/>
      <c r="G963" s="6" t="inlineStr">
        <is>
          <t>Quadris Excel</t>
        </is>
      </c>
      <c r="H963" s="6" t="n">
        <v>3</v>
      </c>
      <c r="I963" s="6" t="n">
        <v>2</v>
      </c>
      <c r="J963" s="6" t="inlineStr">
        <is>
          <t>van</t>
        </is>
      </c>
      <c r="K963" s="6">
        <f>IF(AND(H963&gt;0,I963&gt;0),"Rendben",IF(AND(H963=0,I963=0),"Nincs kép és adat",IF(H963=0,"Nincs kép","Nincs adat")))</f>
        <v/>
      </c>
      <c r="L963" s="6" t="inlineStr">
        <is>
          <t>Igen</t>
        </is>
      </c>
      <c r="M963" s="7" t="inlineStr">
        <is>
          <t>jonesco-plastics.com termékoldalak</t>
        </is>
      </c>
      <c r="N963" s="7" t="inlineStr">
        <is>
          <t>Megtalálva: 214030 (plain-mudflaps) (kód: 214030)</t>
        </is>
      </c>
      <c r="O963" s="11" t="inlineStr">
        <is>
          <t>https://jonesco-plastics.com/products/commercial-vehicle/mudflaps/plain-mudflaps</t>
        </is>
      </c>
      <c r="P963" s="11" t="inlineStr">
        <is>
          <t>https://website-9ib.pages.dev/termek/j4030-sarfogo-lap-400x300-mm/</t>
        </is>
      </c>
      <c r="Q963" s="12" t="inlineStr"/>
      <c r="R963" s="13" t="inlineStr"/>
      <c r="S963" s="6" t="inlineStr">
        <is>
          <t>j4030-sarfogo-lap-400x300-mm</t>
        </is>
      </c>
    </row>
    <row r="964">
      <c r="A964" s="6" t="inlineStr"/>
      <c r="B964" s="7" t="inlineStr">
        <is>
          <t>J43B Íves sárvédő 610/1830/550</t>
        </is>
      </c>
      <c r="C964" s="6" t="inlineStr">
        <is>
          <t>Sárvédők, szerszámosládák</t>
        </is>
      </c>
      <c r="D964" s="6" t="inlineStr">
        <is>
          <t>Sárvédők</t>
        </is>
      </c>
      <c r="E964" s="6" t="inlineStr">
        <is>
          <t>JONESCO</t>
        </is>
      </c>
      <c r="F964" s="6" t="inlineStr"/>
      <c r="G964" s="6" t="inlineStr">
        <is>
          <t>Quadris Excel</t>
        </is>
      </c>
      <c r="H964" s="6" t="n">
        <v>3</v>
      </c>
      <c r="I964" s="6" t="n">
        <v>7</v>
      </c>
      <c r="J964" s="6" t="inlineStr">
        <is>
          <t>van</t>
        </is>
      </c>
      <c r="K964" s="6">
        <f>IF(AND(H964&gt;0,I964&gt;0),"Rendben",IF(AND(H964=0,I964=0),"Nincs kép és adat",IF(H964=0,"Nincs kép","Nincs adat")))</f>
        <v/>
      </c>
      <c r="L964" s="6" t="inlineStr">
        <is>
          <t>Igen</t>
        </is>
      </c>
      <c r="M964" s="7" t="inlineStr">
        <is>
          <t>jonesco-plastics.com termékoldalak</t>
        </is>
      </c>
      <c r="N964" s="7" t="inlineStr">
        <is>
          <t>Megtalálva: HL43B (single-arch-highgard) (kód: HL43B)</t>
        </is>
      </c>
      <c r="O964" s="11" t="inlineStr">
        <is>
          <t>https://jonesco-plastics.com/products/commercial-vehicle/mudguards/single-arch-highgard</t>
        </is>
      </c>
      <c r="P964" s="11" t="inlineStr">
        <is>
          <t>https://website-9ib.pages.dev/termek/j43b-ives-sarvedo-610-1830-550/</t>
        </is>
      </c>
      <c r="Q964" s="12" t="inlineStr"/>
      <c r="R964" s="13" t="inlineStr"/>
      <c r="S964" s="6" t="inlineStr">
        <is>
          <t>j43b-ives-sarvedo-610-1830-550</t>
        </is>
      </c>
    </row>
    <row r="965">
      <c r="A965" s="6" t="inlineStr"/>
      <c r="B965" s="7" t="inlineStr">
        <is>
          <t>J45A 650 Íves sárvédő</t>
        </is>
      </c>
      <c r="C965" s="6" t="inlineStr">
        <is>
          <t>Sárvédők, szerszámosládák</t>
        </is>
      </c>
      <c r="D965" s="6" t="inlineStr">
        <is>
          <t>Sárvédők</t>
        </is>
      </c>
      <c r="E965" s="6" t="inlineStr">
        <is>
          <t>JONESCO</t>
        </is>
      </c>
      <c r="F965" s="6" t="inlineStr"/>
      <c r="G965" s="6" t="inlineStr">
        <is>
          <t>Quadris Excel</t>
        </is>
      </c>
      <c r="H965" s="6" t="n">
        <v>3</v>
      </c>
      <c r="I965" s="6" t="n">
        <v>7</v>
      </c>
      <c r="J965" s="6" t="inlineStr">
        <is>
          <t>van</t>
        </is>
      </c>
      <c r="K965" s="6">
        <f>IF(AND(H965&gt;0,I965&gt;0),"Rendben",IF(AND(H965=0,I965=0),"Nincs kép és adat",IF(H965=0,"Nincs kép","Nincs adat")))</f>
        <v/>
      </c>
      <c r="L965" s="6" t="inlineStr">
        <is>
          <t>Igen</t>
        </is>
      </c>
      <c r="M965" s="7" t="inlineStr">
        <is>
          <t>jonesco-plastics.com termékoldalak</t>
        </is>
      </c>
      <c r="N965" s="7" t="inlineStr">
        <is>
          <t>Megtalálva: HL45A (single-arch-highgard) (kód: HL45A)</t>
        </is>
      </c>
      <c r="O965" s="11" t="inlineStr">
        <is>
          <t>https://jonesco-plastics.com/products/commercial-vehicle/mudguards/single-arch-highgard</t>
        </is>
      </c>
      <c r="P965" s="11" t="inlineStr">
        <is>
          <t>https://website-9ib.pages.dev/termek/j45a-650-ives-sarvedo/</t>
        </is>
      </c>
      <c r="Q965" s="12" t="inlineStr"/>
      <c r="R965" s="13" t="inlineStr"/>
      <c r="S965" s="6" t="inlineStr">
        <is>
          <t>j45a-650-ives-sarvedo</t>
        </is>
      </c>
    </row>
    <row r="966">
      <c r="A966" s="6" t="inlineStr"/>
      <c r="B966" s="7" t="inlineStr">
        <is>
          <t>J45B 635 Íves sárvédő</t>
        </is>
      </c>
      <c r="C966" s="6" t="inlineStr">
        <is>
          <t>Sárvédők, szerszámosládák</t>
        </is>
      </c>
      <c r="D966" s="6" t="inlineStr">
        <is>
          <t>Sárvédők</t>
        </is>
      </c>
      <c r="E966" s="6" t="inlineStr">
        <is>
          <t>JONESCO</t>
        </is>
      </c>
      <c r="F966" s="6" t="inlineStr"/>
      <c r="G966" s="6" t="inlineStr">
        <is>
          <t>Quadris Excel</t>
        </is>
      </c>
      <c r="H966" s="6" t="n">
        <v>3</v>
      </c>
      <c r="I966" s="6" t="n">
        <v>7</v>
      </c>
      <c r="J966" s="6" t="inlineStr">
        <is>
          <t>van</t>
        </is>
      </c>
      <c r="K966" s="6">
        <f>IF(AND(H966&gt;0,I966&gt;0),"Rendben",IF(AND(H966=0,I966=0),"Nincs kép és adat",IF(H966=0,"Nincs kép","Nincs adat")))</f>
        <v/>
      </c>
      <c r="L966" s="6" t="inlineStr">
        <is>
          <t>Igen</t>
        </is>
      </c>
      <c r="M966" s="7" t="inlineStr">
        <is>
          <t>jonesco-plastics.com termékoldalak</t>
        </is>
      </c>
      <c r="N966" s="7" t="inlineStr">
        <is>
          <t>Megtalálva: HL45B (single-arch-highgard) (kód: HL45B)</t>
        </is>
      </c>
      <c r="O966" s="11" t="inlineStr">
        <is>
          <t>https://jonesco-plastics.com/products/commercial-vehicle/mudguards/single-arch-highgard</t>
        </is>
      </c>
      <c r="P966" s="11" t="inlineStr">
        <is>
          <t>https://website-9ib.pages.dev/termek/j45b-635-ives-sarvedo/</t>
        </is>
      </c>
      <c r="Q966" s="12" t="inlineStr"/>
      <c r="R966" s="13" t="inlineStr"/>
      <c r="S966" s="6" t="inlineStr">
        <is>
          <t>j45b-635-ives-sarvedo</t>
        </is>
      </c>
    </row>
    <row r="967">
      <c r="A967" s="6" t="inlineStr"/>
      <c r="B967" s="7" t="inlineStr">
        <is>
          <t>J46F 640FT Csapott tetejű sárvédő</t>
        </is>
      </c>
      <c r="C967" s="6" t="inlineStr">
        <is>
          <t>Sárvédők, szerszámosládák</t>
        </is>
      </c>
      <c r="D967" s="6" t="inlineStr">
        <is>
          <t>Sárvédők</t>
        </is>
      </c>
      <c r="E967" s="6" t="inlineStr">
        <is>
          <t>JONESCO</t>
        </is>
      </c>
      <c r="F967" s="6" t="inlineStr"/>
      <c r="G967" s="6" t="inlineStr">
        <is>
          <t>Quadris Excel</t>
        </is>
      </c>
      <c r="H967" s="6" t="n">
        <v>3</v>
      </c>
      <c r="I967" s="6" t="n">
        <v>5</v>
      </c>
      <c r="J967" s="6" t="inlineStr">
        <is>
          <t>van</t>
        </is>
      </c>
      <c r="K967" s="6">
        <f>IF(AND(H967&gt;0,I967&gt;0),"Rendben",IF(AND(H967=0,I967=0),"Nincs kép és adat",IF(H967=0,"Nincs kép","Nincs adat")))</f>
        <v/>
      </c>
      <c r="L967" s="6" t="inlineStr">
        <is>
          <t>Igen</t>
        </is>
      </c>
      <c r="M967" s="7" t="inlineStr">
        <is>
          <t>jonesco-plastics.com termékoldalak</t>
        </is>
      </c>
      <c r="N967" s="7" t="inlineStr">
        <is>
          <t>Megtalálva: J46F (flat-top-j-wing) (kód: J46F)</t>
        </is>
      </c>
      <c r="O967" s="11" t="inlineStr">
        <is>
          <t>https://jonesco-plastics.com/products/commercial-vehicle/mudguards/flat-top-j-wing</t>
        </is>
      </c>
      <c r="P967" s="11" t="inlineStr">
        <is>
          <t>https://website-9ib.pages.dev/termek/j46f-640ft-csapott-teteju-sarvedo/</t>
        </is>
      </c>
      <c r="Q967" s="12" t="inlineStr"/>
      <c r="R967" s="13" t="inlineStr"/>
      <c r="S967" s="6" t="inlineStr">
        <is>
          <t>j46f-640ft-csapott-teteju-sarvedo</t>
        </is>
      </c>
    </row>
    <row r="968">
      <c r="A968" s="6" t="inlineStr"/>
      <c r="B968" s="7" t="inlineStr">
        <is>
          <t>J47 Íves sárvédő 670/2110/690</t>
        </is>
      </c>
      <c r="C968" s="6" t="inlineStr">
        <is>
          <t>Sárvédők, szerszámosládák</t>
        </is>
      </c>
      <c r="D968" s="6" t="inlineStr">
        <is>
          <t>Sárvédők</t>
        </is>
      </c>
      <c r="E968" s="6" t="inlineStr">
        <is>
          <t>JONESCO</t>
        </is>
      </c>
      <c r="F968" s="6" t="inlineStr"/>
      <c r="G968" s="6" t="inlineStr">
        <is>
          <t>Quadris Excel</t>
        </is>
      </c>
      <c r="H968" s="6" t="n">
        <v>3</v>
      </c>
      <c r="I968" s="6" t="n">
        <v>7</v>
      </c>
      <c r="J968" s="6" t="inlineStr">
        <is>
          <t>van</t>
        </is>
      </c>
      <c r="K968" s="6">
        <f>IF(AND(H968&gt;0,I968&gt;0),"Rendben",IF(AND(H968=0,I968=0),"Nincs kép és adat",IF(H968=0,"Nincs kép","Nincs adat")))</f>
        <v/>
      </c>
      <c r="L968" s="6" t="inlineStr">
        <is>
          <t>Igen</t>
        </is>
      </c>
      <c r="M968" s="7" t="inlineStr">
        <is>
          <t>jonesco-plastics.com termékoldalak</t>
        </is>
      </c>
      <c r="N968" s="7" t="inlineStr">
        <is>
          <t>Megtalálva: HL47 (single-arch-highgard) (kód: HL47)</t>
        </is>
      </c>
      <c r="O968" s="11" t="inlineStr">
        <is>
          <t>https://jonesco-plastics.com/products/commercial-vehicle/mudguards/single-arch-highgard</t>
        </is>
      </c>
      <c r="P968" s="11" t="inlineStr">
        <is>
          <t>https://website-9ib.pages.dev/termek/j47-ives-sarvedo-670-2110-690/</t>
        </is>
      </c>
      <c r="Q968" s="12" t="inlineStr"/>
      <c r="R968" s="13" t="inlineStr"/>
      <c r="S968" s="6" t="inlineStr">
        <is>
          <t>j47-ives-sarvedo-670-2110-690</t>
        </is>
      </c>
    </row>
    <row r="969">
      <c r="A969" s="6" t="inlineStr"/>
      <c r="B969" s="7" t="inlineStr">
        <is>
          <t>J6540 Sárfogó lap 650x400</t>
        </is>
      </c>
      <c r="C969" s="6" t="inlineStr">
        <is>
          <t>Sárvédők, szerszámosládák</t>
        </is>
      </c>
      <c r="D969" s="6" t="inlineStr">
        <is>
          <t>Sárfogólapok</t>
        </is>
      </c>
      <c r="E969" s="6" t="inlineStr">
        <is>
          <t>JONESCO</t>
        </is>
      </c>
      <c r="F969" s="6" t="inlineStr">
        <is>
          <t>216540</t>
        </is>
      </c>
      <c r="G969" s="6" t="inlineStr">
        <is>
          <t>Quadris Excel</t>
        </is>
      </c>
      <c r="H969" s="6" t="n">
        <v>3</v>
      </c>
      <c r="I969" s="6" t="n">
        <v>2</v>
      </c>
      <c r="J969" s="6" t="inlineStr">
        <is>
          <t>van</t>
        </is>
      </c>
      <c r="K969" s="6">
        <f>IF(AND(H969&gt;0,I969&gt;0),"Rendben",IF(AND(H969=0,I969=0),"Nincs kép és adat",IF(H969=0,"Nincs kép","Nincs adat")))</f>
        <v/>
      </c>
      <c r="L969" s="6" t="inlineStr">
        <is>
          <t>Igen</t>
        </is>
      </c>
      <c r="M969" s="7" t="inlineStr">
        <is>
          <t>jonesco-plastics.com termékoldalak</t>
        </is>
      </c>
      <c r="N969" s="7" t="inlineStr">
        <is>
          <t>Megtalálva: 216540 (plain-mudflaps) (kód: 216540)</t>
        </is>
      </c>
      <c r="O969" s="11" t="inlineStr">
        <is>
          <t>https://jonesco-plastics.com/products/commercial-vehicle/mudflaps/plain-mudflaps</t>
        </is>
      </c>
      <c r="P969" s="11" t="inlineStr">
        <is>
          <t>https://website-9ib.pages.dev/termek/j6540-sarfogo-lap-650x400/</t>
        </is>
      </c>
      <c r="Q969" s="12" t="inlineStr"/>
      <c r="R969" s="13" t="inlineStr"/>
      <c r="S969" s="6" t="inlineStr">
        <is>
          <t>j6540-sarfogo-lap-650x400</t>
        </is>
      </c>
    </row>
    <row r="970">
      <c r="A970" s="6" t="inlineStr"/>
      <c r="B970" s="7" t="inlineStr">
        <is>
          <t>JBX100 Szerszámos láda</t>
        </is>
      </c>
      <c r="C970" s="6" t="inlineStr">
        <is>
          <t>Sárvédők, szerszámosládák</t>
        </is>
      </c>
      <c r="D970" s="6" t="inlineStr">
        <is>
          <t>Dobozok + tartó konzolok</t>
        </is>
      </c>
      <c r="E970" s="6" t="inlineStr">
        <is>
          <t>JONESCO</t>
        </is>
      </c>
      <c r="F970" s="6" t="inlineStr"/>
      <c r="G970" s="6" t="inlineStr">
        <is>
          <t>Quadris Excel</t>
        </is>
      </c>
      <c r="H970" s="6" t="n">
        <v>3</v>
      </c>
      <c r="I970" s="6" t="n">
        <v>6</v>
      </c>
      <c r="J970" s="6" t="inlineStr">
        <is>
          <t>van</t>
        </is>
      </c>
      <c r="K970" s="6">
        <f>IF(AND(H970&gt;0,I970&gt;0),"Rendben",IF(AND(H970=0,I970=0),"Nincs kép és adat",IF(H970=0,"Nincs kép","Nincs adat")))</f>
        <v/>
      </c>
      <c r="L970" s="6" t="inlineStr">
        <is>
          <t>Igen</t>
        </is>
      </c>
      <c r="M970" s="7" t="inlineStr">
        <is>
          <t>jonesco-plastics.com termékoldalak</t>
        </is>
      </c>
      <c r="N970" s="7" t="inlineStr">
        <is>
          <t>Megtalálva: JBZ1000 (1000mm-toolbox) (kód: JBZ1000)</t>
        </is>
      </c>
      <c r="O970" s="11" t="inlineStr">
        <is>
          <t>https://jonesco-plastics.com/products/commercial-vehicle/on-board-storage/1000mm-toolbox</t>
        </is>
      </c>
      <c r="P970" s="11" t="inlineStr">
        <is>
          <t>https://website-9ib.pages.dev/termek/jbx100-szerszamos-lada/</t>
        </is>
      </c>
      <c r="Q970" s="12" t="inlineStr"/>
      <c r="R970" s="13" t="inlineStr"/>
      <c r="S970" s="6" t="inlineStr">
        <is>
          <t>jbx100-szerszamos-lada</t>
        </is>
      </c>
    </row>
    <row r="971">
      <c r="A971" s="6" t="inlineStr"/>
      <c r="B971" s="7" t="inlineStr">
        <is>
          <t>JBX400 D Szerszámos láda</t>
        </is>
      </c>
      <c r="C971" s="6" t="inlineStr">
        <is>
          <t>Sárvédők, szerszámosládák</t>
        </is>
      </c>
      <c r="D971" s="6" t="inlineStr">
        <is>
          <t>Dobozok + tartó konzolok</t>
        </is>
      </c>
      <c r="E971" s="6" t="inlineStr">
        <is>
          <t>JONESCO</t>
        </is>
      </c>
      <c r="F971" s="6" t="inlineStr"/>
      <c r="G971" s="6" t="inlineStr">
        <is>
          <t>Quadris Excel</t>
        </is>
      </c>
      <c r="H971" s="6" t="n">
        <v>3</v>
      </c>
      <c r="I971" s="6" t="n">
        <v>4</v>
      </c>
      <c r="J971" s="6" t="inlineStr">
        <is>
          <t>van</t>
        </is>
      </c>
      <c r="K971" s="6">
        <f>IF(AND(H971&gt;0,I971&gt;0),"Rendben",IF(AND(H971=0,I971=0),"Nincs kép és adat",IF(H971=0,"Nincs kép","Nincs adat")))</f>
        <v/>
      </c>
      <c r="L971" s="6" t="inlineStr">
        <is>
          <t>Igen</t>
        </is>
      </c>
      <c r="M971" s="7" t="inlineStr">
        <is>
          <t>jonesco-plastics.com termékoldalak</t>
        </is>
      </c>
      <c r="N971" s="7" t="inlineStr">
        <is>
          <t>Megtalálva: JBC40 (compact-storage-box) (kód: JBC40)</t>
        </is>
      </c>
      <c r="O971" s="11" t="inlineStr">
        <is>
          <t>https://jonesco-plastics.com/products/commercial-vehicle/on-board-storage/compact-storage-box</t>
        </is>
      </c>
      <c r="P971" s="11" t="inlineStr">
        <is>
          <t>https://website-9ib.pages.dev/termek/jbx400-d-szerszamos-lada/</t>
        </is>
      </c>
      <c r="Q971" s="12" t="inlineStr"/>
      <c r="R971" s="13" t="inlineStr"/>
      <c r="S971" s="6" t="inlineStr">
        <is>
          <t>jbx400-d-szerszamos-lada</t>
        </is>
      </c>
    </row>
    <row r="972">
      <c r="A972" s="6" t="inlineStr"/>
      <c r="B972" s="7" t="inlineStr">
        <is>
          <t>JBX45 Szerszámos láda</t>
        </is>
      </c>
      <c r="C972" s="6" t="inlineStr">
        <is>
          <t>Sárvédők, szerszámosládák</t>
        </is>
      </c>
      <c r="D972" s="6" t="inlineStr">
        <is>
          <t>Dobozok + tartó konzolok</t>
        </is>
      </c>
      <c r="E972" s="6" t="inlineStr">
        <is>
          <t>JONESCO</t>
        </is>
      </c>
      <c r="F972" s="6" t="inlineStr"/>
      <c r="G972" s="6" t="inlineStr">
        <is>
          <t>Quadris Excel</t>
        </is>
      </c>
      <c r="H972" s="6" t="n">
        <v>3</v>
      </c>
      <c r="I972" s="6" t="n">
        <v>5</v>
      </c>
      <c r="J972" s="6" t="inlineStr">
        <is>
          <t>van</t>
        </is>
      </c>
      <c r="K972" s="6">
        <f>IF(AND(H972&gt;0,I972&gt;0),"Rendben",IF(AND(H972=0,I972=0),"Nincs kép és adat",IF(H972=0,"Nincs kép","Nincs adat")))</f>
        <v/>
      </c>
      <c r="L972" s="6" t="inlineStr">
        <is>
          <t>Igen</t>
        </is>
      </c>
      <c r="M972" s="7" t="inlineStr">
        <is>
          <t>jonesco-plastics.com termékoldalak</t>
        </is>
      </c>
      <c r="N972" s="7" t="inlineStr">
        <is>
          <t>Megtalálva: JBZ450 (450mm-toolbox) (kód: JBZ450)</t>
        </is>
      </c>
      <c r="O972" s="11" t="inlineStr">
        <is>
          <t>https://jonesco-plastics.com/products/commercial-vehicle/on-board-storage/450mm-toolbox</t>
        </is>
      </c>
      <c r="P972" s="11" t="inlineStr">
        <is>
          <t>https://website-9ib.pages.dev/termek/jbx45-szerszamos-lada/</t>
        </is>
      </c>
      <c r="Q972" s="12" t="inlineStr"/>
      <c r="R972" s="13" t="inlineStr"/>
      <c r="S972" s="6" t="inlineStr">
        <is>
          <t>jbx45-szerszamos-lada</t>
        </is>
      </c>
    </row>
    <row r="973">
      <c r="A973" s="6" t="inlineStr"/>
      <c r="B973" s="7" t="inlineStr">
        <is>
          <t>JBX52 Szerszámos láda</t>
        </is>
      </c>
      <c r="C973" s="6" t="inlineStr">
        <is>
          <t>Sárvédők, szerszámosládák</t>
        </is>
      </c>
      <c r="D973" s="6" t="inlineStr">
        <is>
          <t>Dobozok + tartó konzolok</t>
        </is>
      </c>
      <c r="E973" s="6" t="inlineStr">
        <is>
          <t>JONESCO</t>
        </is>
      </c>
      <c r="F973" s="6" t="inlineStr"/>
      <c r="G973" s="6" t="inlineStr">
        <is>
          <t>Quadris Excel</t>
        </is>
      </c>
      <c r="H973" s="6" t="n">
        <v>3</v>
      </c>
      <c r="I973" s="6" t="n">
        <v>5</v>
      </c>
      <c r="J973" s="6" t="inlineStr">
        <is>
          <t>van</t>
        </is>
      </c>
      <c r="K973" s="6">
        <f>IF(AND(H973&gt;0,I973&gt;0),"Rendben",IF(AND(H973=0,I973=0),"Nincs kép és adat",IF(H973=0,"Nincs kép","Nincs adat")))</f>
        <v/>
      </c>
      <c r="L973" s="6" t="inlineStr">
        <is>
          <t>Igen</t>
        </is>
      </c>
      <c r="M973" s="7" t="inlineStr">
        <is>
          <t>jonesco-plastics.com termékoldalak</t>
        </is>
      </c>
      <c r="N973" s="7" t="inlineStr">
        <is>
          <t>Megtalálva: JBZ520 (520mm-toolbox) (kód: JBZ520)</t>
        </is>
      </c>
      <c r="O973" s="11" t="inlineStr">
        <is>
          <t>https://jonesco-plastics.com/products/commercial-vehicle/on-board-storage/520mm-toolbox</t>
        </is>
      </c>
      <c r="P973" s="11" t="inlineStr">
        <is>
          <t>https://website-9ib.pages.dev/termek/jbx52-szerszamos-lada/</t>
        </is>
      </c>
      <c r="Q973" s="12" t="inlineStr"/>
      <c r="R973" s="13" t="inlineStr"/>
      <c r="S973" s="6" t="inlineStr">
        <is>
          <t>jbx52-szerszamos-lada</t>
        </is>
      </c>
    </row>
    <row r="974">
      <c r="A974" s="6" t="inlineStr"/>
      <c r="B974" s="7" t="inlineStr">
        <is>
          <t>JBX65 Szerszámos láda</t>
        </is>
      </c>
      <c r="C974" s="6" t="inlineStr">
        <is>
          <t>Sárvédők, szerszámosládák</t>
        </is>
      </c>
      <c r="D974" s="6" t="inlineStr">
        <is>
          <t>Dobozok + tartó konzolok</t>
        </is>
      </c>
      <c r="E974" s="6" t="inlineStr">
        <is>
          <t>JONESCO</t>
        </is>
      </c>
      <c r="F974" s="6" t="inlineStr"/>
      <c r="G974" s="6" t="inlineStr">
        <is>
          <t>Quadris Excel</t>
        </is>
      </c>
      <c r="H974" s="6" t="n">
        <v>3</v>
      </c>
      <c r="I974" s="6" t="n">
        <v>6</v>
      </c>
      <c r="J974" s="6" t="inlineStr">
        <is>
          <t>van</t>
        </is>
      </c>
      <c r="K974" s="6">
        <f>IF(AND(H974&gt;0,I974&gt;0),"Rendben",IF(AND(H974=0,I974=0),"Nincs kép és adat",IF(H974=0,"Nincs kép","Nincs adat")))</f>
        <v/>
      </c>
      <c r="L974" s="6" t="inlineStr">
        <is>
          <t>Igen</t>
        </is>
      </c>
      <c r="M974" s="7" t="inlineStr">
        <is>
          <t>jonesco-plastics.com termékoldalak</t>
        </is>
      </c>
      <c r="N974" s="7" t="inlineStr">
        <is>
          <t>Megtalálva: JBZ650 (650mm-toolbox) (kód: JBZ650)</t>
        </is>
      </c>
      <c r="O974" s="11" t="inlineStr">
        <is>
          <t>https://jonesco-plastics.com/products/commercial-vehicle/on-board-storage/650mm-toolbox</t>
        </is>
      </c>
      <c r="P974" s="11" t="inlineStr">
        <is>
          <t>https://website-9ib.pages.dev/termek/jbx65-szerszamos-lada/</t>
        </is>
      </c>
      <c r="Q974" s="12" t="inlineStr"/>
      <c r="R974" s="13" t="inlineStr"/>
      <c r="S974" s="6" t="inlineStr">
        <is>
          <t>jbx65-szerszamos-lada</t>
        </is>
      </c>
    </row>
    <row r="975">
      <c r="A975" s="6" t="inlineStr"/>
      <c r="B975" s="7" t="inlineStr">
        <is>
          <t>JBZ52 Szerszámos láda</t>
        </is>
      </c>
      <c r="C975" s="6" t="inlineStr">
        <is>
          <t>Sárvédők, szerszámosládák</t>
        </is>
      </c>
      <c r="D975" s="6" t="inlineStr">
        <is>
          <t>Dobozok + tartó konzolok</t>
        </is>
      </c>
      <c r="E975" s="6" t="inlineStr">
        <is>
          <t>JONESCO</t>
        </is>
      </c>
      <c r="F975" s="6" t="inlineStr"/>
      <c r="G975" s="6" t="inlineStr">
        <is>
          <t>Quadris Excel</t>
        </is>
      </c>
      <c r="H975" s="6" t="n">
        <v>3</v>
      </c>
      <c r="I975" s="6" t="n">
        <v>5</v>
      </c>
      <c r="J975" s="6" t="inlineStr">
        <is>
          <t>van</t>
        </is>
      </c>
      <c r="K975" s="6">
        <f>IF(AND(H975&gt;0,I975&gt;0),"Rendben",IF(AND(H975=0,I975=0),"Nincs kép és adat",IF(H975=0,"Nincs kép","Nincs adat")))</f>
        <v/>
      </c>
      <c r="L975" s="6" t="inlineStr">
        <is>
          <t>Igen</t>
        </is>
      </c>
      <c r="M975" s="7" t="inlineStr">
        <is>
          <t>jonesco-plastics.com termékoldalak</t>
        </is>
      </c>
      <c r="N975" s="7" t="inlineStr">
        <is>
          <t>Megtalálva: JBZ520 (520mm-toolbox) (kód: JBZ520)</t>
        </is>
      </c>
      <c r="O975" s="11" t="inlineStr">
        <is>
          <t>https://jonesco-plastics.com/products/commercial-vehicle/on-board-storage/520mm-toolbox</t>
        </is>
      </c>
      <c r="P975" s="11" t="inlineStr">
        <is>
          <t>https://website-9ib.pages.dev/termek/jbz52-szerszamos-lada/</t>
        </is>
      </c>
      <c r="Q975" s="12" t="inlineStr"/>
      <c r="R975" s="13" t="inlineStr"/>
      <c r="S975" s="6" t="inlineStr">
        <is>
          <t>jbz52-szerszamos-lada</t>
        </is>
      </c>
    </row>
    <row r="976">
      <c r="A976" s="6" t="inlineStr"/>
      <c r="B976" s="7" t="inlineStr">
        <is>
          <t>JBZ60 Szerszámos láda</t>
        </is>
      </c>
      <c r="C976" s="6" t="inlineStr">
        <is>
          <t>Sárvédők, szerszámosládák</t>
        </is>
      </c>
      <c r="D976" s="6" t="inlineStr">
        <is>
          <t>Dobozok + tartó konzolok</t>
        </is>
      </c>
      <c r="E976" s="6" t="inlineStr">
        <is>
          <t>JONESCO</t>
        </is>
      </c>
      <c r="F976" s="6" t="inlineStr"/>
      <c r="G976" s="6" t="inlineStr">
        <is>
          <t>Quadris Excel</t>
        </is>
      </c>
      <c r="H976" s="6" t="n">
        <v>3</v>
      </c>
      <c r="I976" s="6" t="n">
        <v>5</v>
      </c>
      <c r="J976" s="6" t="inlineStr">
        <is>
          <t>van</t>
        </is>
      </c>
      <c r="K976" s="6">
        <f>IF(AND(H976&gt;0,I976&gt;0),"Rendben",IF(AND(H976=0,I976=0),"Nincs kép és adat",IF(H976=0,"Nincs kép","Nincs adat")))</f>
        <v/>
      </c>
      <c r="L976" s="6" t="inlineStr">
        <is>
          <t>Igen</t>
        </is>
      </c>
      <c r="M976" s="7" t="inlineStr">
        <is>
          <t>jonesco-plastics.com termékoldalak</t>
        </is>
      </c>
      <c r="N976" s="7" t="inlineStr">
        <is>
          <t>Megtalálva: JBZ600 (600mm-toolbox) (kód: JBZ600)</t>
        </is>
      </c>
      <c r="O976" s="11" t="inlineStr">
        <is>
          <t>https://jonesco-plastics.com/products/commercial-vehicle/on-board-storage/600mm-toolbox</t>
        </is>
      </c>
      <c r="P976" s="11" t="inlineStr">
        <is>
          <t>https://website-9ib.pages.dev/termek/jbz60-szerszamos-lada/</t>
        </is>
      </c>
      <c r="Q976" s="12" t="inlineStr"/>
      <c r="R976" s="13" t="inlineStr"/>
      <c r="S976" s="6" t="inlineStr">
        <is>
          <t>jbz60-szerszamos-lada</t>
        </is>
      </c>
    </row>
    <row r="977">
      <c r="A977" s="6" t="inlineStr"/>
      <c r="B977" s="7" t="inlineStr">
        <is>
          <t>JF45106 450x1060 mm sárvédő lap</t>
        </is>
      </c>
      <c r="C977" s="6" t="inlineStr">
        <is>
          <t>Sárvédők, szerszámosládák</t>
        </is>
      </c>
      <c r="D977" s="6" t="inlineStr">
        <is>
          <t>Sárfogólapok</t>
        </is>
      </c>
      <c r="E977" s="6" t="inlineStr">
        <is>
          <t>JONESCO</t>
        </is>
      </c>
      <c r="F977" s="6" t="inlineStr"/>
      <c r="G977" s="6" t="inlineStr">
        <is>
          <t>Quadris Excel</t>
        </is>
      </c>
      <c r="H977" s="6" t="n">
        <v>0</v>
      </c>
      <c r="I977" s="6" t="n">
        <v>0</v>
      </c>
      <c r="J977" s="6" t="inlineStr">
        <is>
          <t>nincs</t>
        </is>
      </c>
      <c r="K977" s="6">
        <f>IF(AND(H977&gt;0,I977&gt;0),"Rendben",IF(AND(H977=0,I977=0),"Nincs kép és adat",IF(H977=0,"Nincs kép","Nincs adat")))</f>
        <v/>
      </c>
      <c r="L977" s="6" t="inlineStr">
        <is>
          <t>Igen</t>
        </is>
      </c>
      <c r="M977" s="7" t="inlineStr">
        <is>
          <t>jonesco-plastics.com termékoldalak</t>
        </is>
      </c>
      <c r="N977" s="7" t="inlineStr">
        <is>
          <t>Nem találtuk: jonesco-plastics.com termékoldalak</t>
        </is>
      </c>
      <c r="O977" s="6" t="inlineStr"/>
      <c r="P977" s="11" t="inlineStr">
        <is>
          <t>https://website-9ib.pages.dev/termek/jf45106-450x1060-mm-sarvedo-lap/</t>
        </is>
      </c>
      <c r="Q977" s="12" t="inlineStr"/>
      <c r="R977" s="13" t="inlineStr"/>
      <c r="S977" s="6" t="inlineStr">
        <is>
          <t>jf45106-450x1060-mm-sarvedo-lap</t>
        </is>
      </c>
    </row>
    <row r="978">
      <c r="A978" s="6" t="inlineStr"/>
      <c r="B978" s="7" t="inlineStr">
        <is>
          <t>JF6092 Spriccelésvédő</t>
        </is>
      </c>
      <c r="C978" s="6" t="inlineStr">
        <is>
          <t>Sárvédők, szerszámosládák</t>
        </is>
      </c>
      <c r="D978" s="6" t="inlineStr">
        <is>
          <t>Sárfogólapok</t>
        </is>
      </c>
      <c r="E978" s="6" t="inlineStr">
        <is>
          <t>JONESCO</t>
        </is>
      </c>
      <c r="F978" s="6" t="inlineStr"/>
      <c r="G978" s="6" t="inlineStr">
        <is>
          <t>Quadris Excel</t>
        </is>
      </c>
      <c r="H978" s="6" t="n">
        <v>3</v>
      </c>
      <c r="I978" s="6" t="n">
        <v>2</v>
      </c>
      <c r="J978" s="6" t="inlineStr">
        <is>
          <t>van</t>
        </is>
      </c>
      <c r="K978" s="6">
        <f>IF(AND(H978&gt;0,I978&gt;0),"Rendben",IF(AND(H978=0,I978=0),"Nincs kép és adat",IF(H978=0,"Nincs kép","Nincs adat")))</f>
        <v/>
      </c>
      <c r="L978" s="6" t="inlineStr">
        <is>
          <t>Igen</t>
        </is>
      </c>
      <c r="M978" s="7" t="inlineStr">
        <is>
          <t>jonesco-plastics.com termékoldalak</t>
        </is>
      </c>
      <c r="N978" s="7" t="inlineStr">
        <is>
          <t>Megtalálva: 216092 (plain-mudflaps) (kód: 216092)</t>
        </is>
      </c>
      <c r="O978" s="11" t="inlineStr">
        <is>
          <t>https://jonesco-plastics.com/products/commercial-vehicle/mudflaps/plain-mudflaps</t>
        </is>
      </c>
      <c r="P978" s="11" t="inlineStr">
        <is>
          <t>https://website-9ib.pages.dev/termek/jf6092-spriccelesvedo/</t>
        </is>
      </c>
      <c r="Q978" s="12" t="inlineStr"/>
      <c r="R978" s="13" t="inlineStr"/>
      <c r="S978" s="6" t="inlineStr">
        <is>
          <t>jf6092-spriccelesvedo</t>
        </is>
      </c>
    </row>
    <row r="979">
      <c r="A979" s="6" t="inlineStr"/>
      <c r="B979" s="7" t="inlineStr">
        <is>
          <t>JF61122 610x1220 mm sárvédő lap StopSray</t>
        </is>
      </c>
      <c r="C979" s="6" t="inlineStr">
        <is>
          <t>Sárvédők, szerszámosládák</t>
        </is>
      </c>
      <c r="D979" s="6" t="inlineStr">
        <is>
          <t>Sárfogólapok</t>
        </is>
      </c>
      <c r="E979" s="6" t="inlineStr">
        <is>
          <t>JONESCO</t>
        </is>
      </c>
      <c r="F979" s="6" t="inlineStr"/>
      <c r="G979" s="6" t="inlineStr">
        <is>
          <t>Quadris Excel</t>
        </is>
      </c>
      <c r="H979" s="6" t="n">
        <v>3</v>
      </c>
      <c r="I979" s="6" t="n">
        <v>2</v>
      </c>
      <c r="J979" s="6" t="inlineStr">
        <is>
          <t>van</t>
        </is>
      </c>
      <c r="K979" s="6">
        <f>IF(AND(H979&gt;0,I979&gt;0),"Rendben",IF(AND(H979=0,I979=0),"Nincs kép és adat",IF(H979=0,"Nincs kép","Nincs adat")))</f>
        <v/>
      </c>
      <c r="L979" s="6" t="inlineStr">
        <is>
          <t>Igen</t>
        </is>
      </c>
      <c r="M979" s="7" t="inlineStr">
        <is>
          <t>jonesco-plastics.com termékoldalak</t>
        </is>
      </c>
      <c r="N979" s="7" t="inlineStr">
        <is>
          <t>Megtalálva: JF61122 (antispray-mudflaps) (kód: JF61122)</t>
        </is>
      </c>
      <c r="O979" s="11" t="inlineStr">
        <is>
          <t>https://jonesco-plastics.com/products/commercial-vehicle/mudflaps/antispray-mudflaps</t>
        </is>
      </c>
      <c r="P979" s="11" t="inlineStr">
        <is>
          <t>https://website-9ib.pages.dev/termek/jf61122-610x1220-mm-sarvedo-lap-stopsray/</t>
        </is>
      </c>
      <c r="Q979" s="12" t="inlineStr"/>
      <c r="R979" s="13" t="inlineStr"/>
      <c r="S979" s="6" t="inlineStr">
        <is>
          <t>jf61122-610x1220-mm-sarvedo-lap-stopsray</t>
        </is>
      </c>
    </row>
    <row r="980">
      <c r="A980" s="6" t="inlineStr"/>
      <c r="B980" s="7" t="inlineStr">
        <is>
          <t>JHLS47 Negyedíves sárvédő 670</t>
        </is>
      </c>
      <c r="C980" s="6" t="inlineStr">
        <is>
          <t>Sárvédők, szerszámosládák</t>
        </is>
      </c>
      <c r="D980" s="6" t="inlineStr">
        <is>
          <t>Sárvédők</t>
        </is>
      </c>
      <c r="E980" s="6" t="inlineStr">
        <is>
          <t>JONESCO</t>
        </is>
      </c>
      <c r="F980" s="6" t="inlineStr">
        <is>
          <t>HLS47</t>
        </is>
      </c>
      <c r="G980" s="6" t="inlineStr">
        <is>
          <t>Quadris Excel</t>
        </is>
      </c>
      <c r="H980" s="6" t="n">
        <v>3</v>
      </c>
      <c r="I980" s="6" t="n">
        <v>5</v>
      </c>
      <c r="J980" s="6" t="inlineStr">
        <is>
          <t>van</t>
        </is>
      </c>
      <c r="K980" s="6">
        <f>IF(AND(H980&gt;0,I980&gt;0),"Rendben",IF(AND(H980=0,I980=0),"Nincs kép és adat",IF(H980=0,"Nincs kép","Nincs adat")))</f>
        <v/>
      </c>
      <c r="L980" s="6" t="inlineStr">
        <is>
          <t>Igen</t>
        </is>
      </c>
      <c r="M980" s="7" t="inlineStr">
        <is>
          <t>jonesco-plastics.com termékoldalak</t>
        </is>
      </c>
      <c r="N980" s="7" t="inlineStr">
        <is>
          <t>Megtalálva: HLS47 (section-highgard) (kód: HLS47)</t>
        </is>
      </c>
      <c r="O980" s="11" t="inlineStr">
        <is>
          <t>https://jonesco-plastics.com/products/commercial-vehicle/mudguards/section-highgard</t>
        </is>
      </c>
      <c r="P980" s="11" t="inlineStr">
        <is>
          <t>https://website-9ib.pages.dev/termek/jhls47-negyedives-sarvedo-670/</t>
        </is>
      </c>
      <c r="Q980" s="12" t="inlineStr"/>
      <c r="R980" s="13" t="inlineStr"/>
      <c r="S980" s="6" t="inlineStr">
        <is>
          <t>jhls47-negyedives-sarvedo-670</t>
        </is>
      </c>
    </row>
    <row r="981">
      <c r="A981" s="6" t="inlineStr"/>
      <c r="B981" s="7" t="inlineStr">
        <is>
          <t>JKITXPF42 42-es műanyag csőtartó</t>
        </is>
      </c>
      <c r="C981" s="6" t="inlineStr">
        <is>
          <t>Sárvédők, szerszámosládák</t>
        </is>
      </c>
      <c r="D981" s="6" t="inlineStr">
        <is>
          <t>Felfogatások</t>
        </is>
      </c>
      <c r="E981" s="6" t="inlineStr">
        <is>
          <t>JONESCO</t>
        </is>
      </c>
      <c r="F981" s="6" t="inlineStr">
        <is>
          <t>KITXP42</t>
        </is>
      </c>
      <c r="G981" s="6" t="inlineStr">
        <is>
          <t>Quadris Excel</t>
        </is>
      </c>
      <c r="H981" s="6" t="n">
        <v>3</v>
      </c>
      <c r="I981" s="6" t="n">
        <v>1</v>
      </c>
      <c r="J981" s="6" t="inlineStr">
        <is>
          <t>van</t>
        </is>
      </c>
      <c r="K981" s="6">
        <f>IF(AND(H981&gt;0,I981&gt;0),"Rendben",IF(AND(H981=0,I981=0),"Nincs kép és adat",IF(H981=0,"Nincs kép","Nincs adat")))</f>
        <v/>
      </c>
      <c r="L981" s="6" t="inlineStr">
        <is>
          <t>Igen</t>
        </is>
      </c>
      <c r="M981" s="7" t="inlineStr">
        <is>
          <t>jonesco-plastics.com termékoldalak</t>
        </is>
      </c>
      <c r="N981" s="7" t="inlineStr">
        <is>
          <t>Megtalálva: KITXPF42 (xpf-fixing-kit) (kód: KITXPF42)</t>
        </is>
      </c>
      <c r="O981" s="11" t="inlineStr">
        <is>
          <t>https://jonesco-plastics.com/products/commercial-vehicle/fixing-systems/xpf-fixing-kit</t>
        </is>
      </c>
      <c r="P981" s="11" t="inlineStr">
        <is>
          <t>https://website-9ib.pages.dev/termek/jkitxpf42-42-es-muanyag-csotarto/</t>
        </is>
      </c>
      <c r="Q981" s="12" t="inlineStr"/>
      <c r="R981" s="13" t="inlineStr"/>
      <c r="S981" s="6" t="inlineStr">
        <is>
          <t>jkitxpf42-42-es-muanyag-csotarto</t>
        </is>
      </c>
    </row>
    <row r="982">
      <c r="A982" s="6" t="inlineStr"/>
      <c r="B982" s="7" t="inlineStr">
        <is>
          <t>JS43EB Festett fekete sárvédőtartó 42 mm</t>
        </is>
      </c>
      <c r="C982" s="6" t="inlineStr">
        <is>
          <t>Sárvédők, szerszámosládák</t>
        </is>
      </c>
      <c r="D982" s="6" t="inlineStr">
        <is>
          <t>Felfogatások</t>
        </is>
      </c>
      <c r="E982" s="6" t="inlineStr">
        <is>
          <t>JONESCO</t>
        </is>
      </c>
      <c r="F982" s="6" t="inlineStr"/>
      <c r="G982" s="6" t="inlineStr">
        <is>
          <t>Quadris Excel</t>
        </is>
      </c>
      <c r="H982" s="6" t="n">
        <v>3</v>
      </c>
      <c r="I982" s="6" t="n">
        <v>2</v>
      </c>
      <c r="J982" s="6" t="inlineStr">
        <is>
          <t>van</t>
        </is>
      </c>
      <c r="K982" s="6">
        <f>IF(AND(H982&gt;0,I982&gt;0),"Rendben",IF(AND(H982=0,I982=0),"Nincs kép és adat",IF(H982=0,"Nincs kép","Nincs adat")))</f>
        <v/>
      </c>
      <c r="L982" s="6" t="inlineStr">
        <is>
          <t>Igen</t>
        </is>
      </c>
      <c r="M982" s="7" t="inlineStr">
        <is>
          <t>jonesco-plastics.com termékoldalak</t>
        </is>
      </c>
      <c r="N982" s="7" t="inlineStr">
        <is>
          <t>Megtalálva: JS43E (stay-with-hexagonal-flange) (kód: JS43E)</t>
        </is>
      </c>
      <c r="O982" s="11" t="inlineStr">
        <is>
          <t>https://jonesco-plastics.com/products/commercial-vehicle/fixing-systems/stay-with-hexagonal-flange</t>
        </is>
      </c>
      <c r="P982" s="11" t="inlineStr">
        <is>
          <t>https://website-9ib.pages.dev/termek/js43eb-festett-fekete-sarvedotarto-42-mm/</t>
        </is>
      </c>
      <c r="Q982" s="12" t="inlineStr"/>
      <c r="R982" s="13" t="inlineStr"/>
      <c r="S982" s="6" t="inlineStr">
        <is>
          <t>js43eb-festett-fekete-sarvedotarto-42-mm</t>
        </is>
      </c>
    </row>
    <row r="983">
      <c r="A983" s="6" t="inlineStr"/>
      <c r="B983" s="7" t="inlineStr">
        <is>
          <t>JVG26A Íves sárvédő 420x1900x1270</t>
        </is>
      </c>
      <c r="C983" s="6" t="inlineStr">
        <is>
          <t>Sárvédők, szerszámosládák</t>
        </is>
      </c>
      <c r="D983" s="6" t="inlineStr">
        <is>
          <t>Sárvédők</t>
        </is>
      </c>
      <c r="E983" s="6" t="inlineStr">
        <is>
          <t>JONESCO</t>
        </is>
      </c>
      <c r="F983" s="6" t="inlineStr"/>
      <c r="G983" s="6" t="inlineStr">
        <is>
          <t>Quadris Excel</t>
        </is>
      </c>
      <c r="H983" s="6" t="n">
        <v>3</v>
      </c>
      <c r="I983" s="6" t="n">
        <v>7</v>
      </c>
      <c r="J983" s="6" t="inlineStr">
        <is>
          <t>van</t>
        </is>
      </c>
      <c r="K983" s="6">
        <f>IF(AND(H983&gt;0,I983&gt;0),"Rendben",IF(AND(H983=0,I983=0),"Nincs kép és adat",IF(H983=0,"Nincs kép","Nincs adat")))</f>
        <v/>
      </c>
      <c r="L983" s="6" t="inlineStr">
        <is>
          <t>Igen</t>
        </is>
      </c>
      <c r="M983" s="7" t="inlineStr">
        <is>
          <t>jonesco-plastics.com termékoldalak</t>
        </is>
      </c>
      <c r="N983" s="7" t="inlineStr">
        <is>
          <t>Megtalálva: HL26A (single-arch-highgard) (kód: HL26A)</t>
        </is>
      </c>
      <c r="O983" s="11" t="inlineStr">
        <is>
          <t>https://jonesco-plastics.com/products/commercial-vehicle/mudguards/single-arch-highgard</t>
        </is>
      </c>
      <c r="P983" s="11" t="inlineStr">
        <is>
          <t>https://website-9ib.pages.dev/termek/jvg26a-ives-sarvedo-420x1900x1270/</t>
        </is>
      </c>
      <c r="Q983" s="12" t="inlineStr"/>
      <c r="R983" s="13" t="inlineStr"/>
      <c r="S983" s="6" t="inlineStr">
        <is>
          <t>jvg26a-ives-sarvedo-420x1900x1270</t>
        </is>
      </c>
    </row>
    <row r="984">
      <c r="A984" s="6" t="inlineStr"/>
      <c r="B984" s="7" t="inlineStr">
        <is>
          <t>JVG39B 530 Íves sárvédő</t>
        </is>
      </c>
      <c r="C984" s="6" t="inlineStr">
        <is>
          <t>Sárvédők, szerszámosládák</t>
        </is>
      </c>
      <c r="D984" s="6" t="inlineStr">
        <is>
          <t>Sárvédők</t>
        </is>
      </c>
      <c r="E984" s="6" t="inlineStr">
        <is>
          <t>JONESCO</t>
        </is>
      </c>
      <c r="F984" s="6" t="inlineStr"/>
      <c r="G984" s="6" t="inlineStr">
        <is>
          <t>Quadris Excel</t>
        </is>
      </c>
      <c r="H984" s="6" t="n">
        <v>3</v>
      </c>
      <c r="I984" s="6" t="n">
        <v>7</v>
      </c>
      <c r="J984" s="6" t="inlineStr">
        <is>
          <t>van</t>
        </is>
      </c>
      <c r="K984" s="6">
        <f>IF(AND(H984&gt;0,I984&gt;0),"Rendben",IF(AND(H984=0,I984=0),"Nincs kép és adat",IF(H984=0,"Nincs kép","Nincs adat")))</f>
        <v/>
      </c>
      <c r="L984" s="6" t="inlineStr">
        <is>
          <t>Igen</t>
        </is>
      </c>
      <c r="M984" s="7" t="inlineStr">
        <is>
          <t>jonesco-plastics.com termékoldalak</t>
        </is>
      </c>
      <c r="N984" s="7" t="inlineStr">
        <is>
          <t>Megtalálva: HL39B (single-arch-highgard) (kód: HL39B)</t>
        </is>
      </c>
      <c r="O984" s="11" t="inlineStr">
        <is>
          <t>https://jonesco-plastics.com/products/commercial-vehicle/mudguards/single-arch-highgard</t>
        </is>
      </c>
      <c r="P984" s="11" t="inlineStr">
        <is>
          <t>https://website-9ib.pages.dev/termek/jvg39b-530-ives-sarvedo/</t>
        </is>
      </c>
      <c r="Q984" s="12" t="inlineStr"/>
      <c r="R984" s="13" t="inlineStr"/>
      <c r="S984" s="6" t="inlineStr">
        <is>
          <t>jvg39b-530-ives-sarvedo</t>
        </is>
      </c>
    </row>
    <row r="985">
      <c r="A985" s="6" t="inlineStr"/>
      <c r="B985" s="7" t="inlineStr">
        <is>
          <t>JVG43D 610 Íves sárvédő</t>
        </is>
      </c>
      <c r="C985" s="6" t="inlineStr">
        <is>
          <t>Sárvédők, szerszámosládák</t>
        </is>
      </c>
      <c r="D985" s="6" t="inlineStr">
        <is>
          <t>Sárvédők</t>
        </is>
      </c>
      <c r="E985" s="6" t="inlineStr">
        <is>
          <t>JONESCO</t>
        </is>
      </c>
      <c r="F985" s="6" t="inlineStr"/>
      <c r="G985" s="6" t="inlineStr">
        <is>
          <t>Quadris Excel</t>
        </is>
      </c>
      <c r="H985" s="6" t="n">
        <v>3</v>
      </c>
      <c r="I985" s="6" t="n">
        <v>7</v>
      </c>
      <c r="J985" s="6" t="inlineStr">
        <is>
          <t>van</t>
        </is>
      </c>
      <c r="K985" s="6">
        <f>IF(AND(H985&gt;0,I985&gt;0),"Rendben",IF(AND(H985=0,I985=0),"Nincs kép és adat",IF(H985=0,"Nincs kép","Nincs adat")))</f>
        <v/>
      </c>
      <c r="L985" s="6" t="inlineStr">
        <is>
          <t>Igen</t>
        </is>
      </c>
      <c r="M985" s="7" t="inlineStr">
        <is>
          <t>jonesco-plastics.com termékoldalak</t>
        </is>
      </c>
      <c r="N985" s="7" t="inlineStr">
        <is>
          <t>Megtalálva: HL43D (single-arch-highgard) (kód: HL43D)</t>
        </is>
      </c>
      <c r="O985" s="11" t="inlineStr">
        <is>
          <t>https://jonesco-plastics.com/products/commercial-vehicle/mudguards/single-arch-highgard</t>
        </is>
      </c>
      <c r="P985" s="11" t="inlineStr">
        <is>
          <t>https://website-9ib.pages.dev/termek/jvg43d-610-ives-sarvedo/</t>
        </is>
      </c>
      <c r="Q985" s="12" t="inlineStr"/>
      <c r="R985" s="13" t="inlineStr"/>
      <c r="S985" s="6" t="inlineStr">
        <is>
          <t>jvg43d-610-ives-sarvedo</t>
        </is>
      </c>
    </row>
    <row r="986">
      <c r="A986" s="6" t="inlineStr"/>
      <c r="B986" s="7" t="inlineStr">
        <is>
          <t>JVG47 670 Íves sárvédő</t>
        </is>
      </c>
      <c r="C986" s="6" t="inlineStr">
        <is>
          <t>Sárvédők, szerszámosládák</t>
        </is>
      </c>
      <c r="D986" s="6" t="inlineStr">
        <is>
          <t>Sárvédők</t>
        </is>
      </c>
      <c r="E986" s="6" t="inlineStr">
        <is>
          <t>JONESCO</t>
        </is>
      </c>
      <c r="F986" s="6" t="inlineStr">
        <is>
          <t>vg47</t>
        </is>
      </c>
      <c r="G986" s="6" t="inlineStr">
        <is>
          <t>Quadris Excel</t>
        </is>
      </c>
      <c r="H986" s="6" t="n">
        <v>3</v>
      </c>
      <c r="I986" s="6" t="n">
        <v>7</v>
      </c>
      <c r="J986" s="6" t="inlineStr">
        <is>
          <t>van</t>
        </is>
      </c>
      <c r="K986" s="6">
        <f>IF(AND(H986&gt;0,I986&gt;0),"Rendben",IF(AND(H986=0,I986=0),"Nincs kép és adat",IF(H986=0,"Nincs kép","Nincs adat")))</f>
        <v/>
      </c>
      <c r="L986" s="6" t="inlineStr">
        <is>
          <t>Igen</t>
        </is>
      </c>
      <c r="M986" s="7" t="inlineStr">
        <is>
          <t>jonesco-plastics.com termékoldalak</t>
        </is>
      </c>
      <c r="N986" s="7" t="inlineStr">
        <is>
          <t>Megtalálva: HL47 (single-arch-highgard) (kód: HL47)</t>
        </is>
      </c>
      <c r="O986" s="11" t="inlineStr">
        <is>
          <t>https://jonesco-plastics.com/products/commercial-vehicle/mudguards/single-arch-highgard</t>
        </is>
      </c>
      <c r="P986" s="11" t="inlineStr">
        <is>
          <t>https://website-9ib.pages.dev/termek/jvg47-670-ives-sarvedo/</t>
        </is>
      </c>
      <c r="Q986" s="12" t="inlineStr"/>
      <c r="R986" s="13" t="inlineStr"/>
      <c r="S986" s="6" t="inlineStr">
        <is>
          <t>jvg47-670-ives-sarvedo</t>
        </is>
      </c>
    </row>
    <row r="987">
      <c r="A987" s="6" t="inlineStr"/>
      <c r="B987" s="7" t="inlineStr">
        <is>
          <t>JX37F 510FT Csapott tetejű sárvédő</t>
        </is>
      </c>
      <c r="C987" s="6" t="inlineStr">
        <is>
          <t>Sárvédők, szerszámosládák</t>
        </is>
      </c>
      <c r="D987" s="6" t="inlineStr">
        <is>
          <t>Sárvédők</t>
        </is>
      </c>
      <c r="E987" s="6" t="inlineStr">
        <is>
          <t>JONESCO</t>
        </is>
      </c>
      <c r="F987" s="6" t="inlineStr"/>
      <c r="G987" s="6" t="inlineStr">
        <is>
          <t>Quadris Excel</t>
        </is>
      </c>
      <c r="H987" s="6" t="n">
        <v>3</v>
      </c>
      <c r="I987" s="6" t="n">
        <v>5</v>
      </c>
      <c r="J987" s="6" t="inlineStr">
        <is>
          <t>van</t>
        </is>
      </c>
      <c r="K987" s="6">
        <f>IF(AND(H987&gt;0,I987&gt;0),"Rendben",IF(AND(H987=0,I987=0),"Nincs kép és adat",IF(H987=0,"Nincs kép","Nincs adat")))</f>
        <v/>
      </c>
      <c r="L987" s="6" t="inlineStr">
        <is>
          <t>Igen</t>
        </is>
      </c>
      <c r="M987" s="7" t="inlineStr">
        <is>
          <t>jonesco-plastics.com termékoldalak</t>
        </is>
      </c>
      <c r="N987" s="7" t="inlineStr">
        <is>
          <t>Megtalálva: JX37F (flat-top-xgard) (kód: JX37F)</t>
        </is>
      </c>
      <c r="O987" s="11" t="inlineStr">
        <is>
          <t>https://jonesco-plastics.com/products/commercial-vehicle/mudguards/flat-top-xgard</t>
        </is>
      </c>
      <c r="P987" s="11" t="inlineStr">
        <is>
          <t>https://website-9ib.pages.dev/termek/jx37f-510ft-csapott-teteju-sarvedo/</t>
        </is>
      </c>
      <c r="Q987" s="12" t="inlineStr"/>
      <c r="R987" s="13" t="inlineStr"/>
      <c r="S987" s="6" t="inlineStr">
        <is>
          <t>jx37f-510ft-csapott-teteju-sarvedo</t>
        </is>
      </c>
    </row>
    <row r="988">
      <c r="A988" s="6" t="inlineStr"/>
      <c r="B988" s="7" t="inlineStr">
        <is>
          <t>Szerszámos láda</t>
        </is>
      </c>
      <c r="C988" s="6" t="inlineStr">
        <is>
          <t>Sárvédők, szerszámosládák</t>
        </is>
      </c>
      <c r="D988" s="6" t="inlineStr">
        <is>
          <t>Dobozok + tartó konzolok</t>
        </is>
      </c>
      <c r="E988" s="6" t="inlineStr">
        <is>
          <t>JONESCO</t>
        </is>
      </c>
      <c r="F988" s="6" t="inlineStr">
        <is>
          <t>JBX80</t>
        </is>
      </c>
      <c r="G988" s="6" t="inlineStr">
        <is>
          <t>Quadris Excel</t>
        </is>
      </c>
      <c r="H988" s="6" t="n">
        <v>3</v>
      </c>
      <c r="I988" s="6" t="n">
        <v>6</v>
      </c>
      <c r="J988" s="6" t="inlineStr">
        <is>
          <t>van</t>
        </is>
      </c>
      <c r="K988" s="6">
        <f>IF(AND(H988&gt;0,I988&gt;0),"Rendben",IF(AND(H988=0,I988=0),"Nincs kép és adat",IF(H988=0,"Nincs kép","Nincs adat")))</f>
        <v/>
      </c>
      <c r="L988" s="6" t="inlineStr">
        <is>
          <t>Igen</t>
        </is>
      </c>
      <c r="M988" s="7" t="inlineStr">
        <is>
          <t>jonesco-plastics.com termékoldalak</t>
        </is>
      </c>
      <c r="N988" s="7" t="inlineStr">
        <is>
          <t>Megtalálva: JBZ800 (800mm-toolbox) (kód: JBZ800)</t>
        </is>
      </c>
      <c r="O988" s="11" t="inlineStr">
        <is>
          <t>https://jonesco-plastics.com/products/commercial-vehicle/on-board-storage/800mm-toolbox</t>
        </is>
      </c>
      <c r="P988" s="11" t="inlineStr">
        <is>
          <t>https://website-9ib.pages.dev/termek/szerszamos-lada/</t>
        </is>
      </c>
      <c r="Q988" s="12" t="inlineStr"/>
      <c r="R988" s="13" t="inlineStr"/>
      <c r="S988" s="6" t="inlineStr">
        <is>
          <t>szerszamos-lada</t>
        </is>
      </c>
    </row>
    <row r="989">
      <c r="A989" s="6" t="inlineStr">
        <is>
          <t>106060</t>
        </is>
      </c>
      <c r="B989" s="7" t="inlineStr">
        <is>
          <t>D60-as acél csődugótartó fészek</t>
        </is>
      </c>
      <c r="C989" s="6" t="inlineStr">
        <is>
          <t>Ponyvarendszer kiegészítők</t>
        </is>
      </c>
      <c r="D989" s="6" t="inlineStr">
        <is>
          <t>Ponyvatartó alkatrészek</t>
        </is>
      </c>
      <c r="E989" s="6" t="inlineStr">
        <is>
          <t>Kadia</t>
        </is>
      </c>
      <c r="F989" s="6" t="inlineStr"/>
      <c r="G989" s="6" t="inlineStr">
        <is>
          <t>Quadris Excel</t>
        </is>
      </c>
      <c r="H989" s="6" t="n">
        <v>0</v>
      </c>
      <c r="I989" s="6" t="n">
        <v>0</v>
      </c>
      <c r="J989" s="6" t="inlineStr">
        <is>
          <t>nincs</t>
        </is>
      </c>
      <c r="K989" s="6">
        <f>IF(AND(H989&gt;0,I989&gt;0),"Rendben",IF(AND(H989=0,I989=0),"Nincs kép és adat",IF(H989=0,"Nincs kép","Nincs adat")))</f>
        <v/>
      </c>
      <c r="L989" s="6" t="inlineStr">
        <is>
          <t>Nem</t>
        </is>
      </c>
      <c r="M989" s="7" t="inlineStr">
        <is>
          <t>–</t>
        </is>
      </c>
      <c r="N989" s="7" t="inlineStr">
        <is>
          <t>Nem kerestük – nincs ismert weboldal vagy katalógus</t>
        </is>
      </c>
      <c r="O989" s="6" t="inlineStr"/>
      <c r="P989" s="11" t="inlineStr">
        <is>
          <t>https://website-9ib.pages.dev/termek/106060-d60-as-acel-csodugotarto-feszek/</t>
        </is>
      </c>
      <c r="Q989" s="12" t="inlineStr"/>
      <c r="R989" s="13" t="inlineStr"/>
      <c r="S989" s="6" t="inlineStr">
        <is>
          <t>106060-d60-as-acel-csodugotarto-feszek</t>
        </is>
      </c>
    </row>
    <row r="990">
      <c r="A990" s="6" t="inlineStr"/>
      <c r="B990" s="7" t="inlineStr">
        <is>
          <t>S 1,5/2x1000x2000 mm Diamond Alu lemez EN AW-3003 H224</t>
        </is>
      </c>
      <c r="C990" s="6" t="inlineStr">
        <is>
          <t>Alumínium lemezek</t>
        </is>
      </c>
      <c r="D990" s="6" t="inlineStr">
        <is>
          <t>Cseppmintás lemez</t>
        </is>
      </c>
      <c r="E990" s="6" t="inlineStr">
        <is>
          <t>Klöckner</t>
        </is>
      </c>
      <c r="F990" s="6" t="inlineStr"/>
      <c r="G990" s="6" t="inlineStr">
        <is>
          <t>Quadris Excel</t>
        </is>
      </c>
      <c r="H990" s="6" t="n">
        <v>2</v>
      </c>
      <c r="I990" s="6" t="n">
        <v>12</v>
      </c>
      <c r="J990" s="6" t="inlineStr">
        <is>
          <t>nincs</t>
        </is>
      </c>
      <c r="K990" s="6">
        <f>IF(AND(H990&gt;0,I990&gt;0),"Rendben",IF(AND(H990=0,I990=0),"Nincs kép és adat",IF(H990=0,"Nincs kép","Nincs adat")))</f>
        <v/>
      </c>
      <c r="L990" s="6" t="inlineStr">
        <is>
          <t>Igen</t>
        </is>
      </c>
      <c r="M990" s="7" t="inlineStr">
        <is>
          <t>shop.kloeckner.at webáruház</t>
        </is>
      </c>
      <c r="N990" s="7" t="inlineStr">
        <is>
          <t>Megtalálva: Aluminium Warzenbleche 000000000940014056 (kód: 000000000940014056)</t>
        </is>
      </c>
      <c r="O990" s="11" t="inlineStr">
        <is>
          <t>https://shop.kloeckner.at/aluminium-warzenbleche/p/1011072</t>
        </is>
      </c>
      <c r="P990" s="11" t="inlineStr">
        <is>
          <t>https://website-9ib.pages.dev/termek/s-1-5-2x1000x2000-mm-diamond-alu-lemez-en-aw-3003-h224/</t>
        </is>
      </c>
      <c r="Q990" s="12" t="inlineStr"/>
      <c r="R990" s="13" t="inlineStr"/>
      <c r="S990" s="6" t="inlineStr">
        <is>
          <t>s-1-5-2x1000x2000-mm-diamond-alu-lemez-en-aw-3003-h224</t>
        </is>
      </c>
    </row>
    <row r="991">
      <c r="A991" s="6" t="inlineStr"/>
      <c r="B991" s="7" t="inlineStr">
        <is>
          <t>S 1,5/2x1500x3000 mm DUETT cseppmintás Alu lemez EN AW-5754 (AlMg3) H114</t>
        </is>
      </c>
      <c r="C991" s="6" t="inlineStr">
        <is>
          <t>Alumínium lemezek</t>
        </is>
      </c>
      <c r="D991" s="6" t="inlineStr">
        <is>
          <t>Cseppmintás lemez</t>
        </is>
      </c>
      <c r="E991" s="6" t="inlineStr">
        <is>
          <t>Klöckner</t>
        </is>
      </c>
      <c r="F991" s="6" t="inlineStr"/>
      <c r="G991" s="6" t="inlineStr">
        <is>
          <t>Quadris Excel</t>
        </is>
      </c>
      <c r="H991" s="6" t="n">
        <v>2</v>
      </c>
      <c r="I991" s="6" t="n">
        <v>10</v>
      </c>
      <c r="J991" s="6" t="inlineStr">
        <is>
          <t>nincs</t>
        </is>
      </c>
      <c r="K991" s="6">
        <f>IF(AND(H991&gt;0,I991&gt;0),"Rendben",IF(AND(H991=0,I991=0),"Nincs kép és adat",IF(H991=0,"Nincs kép","Nincs adat")))</f>
        <v/>
      </c>
      <c r="L991" s="6" t="inlineStr">
        <is>
          <t>Igen</t>
        </is>
      </c>
      <c r="M991" s="7" t="inlineStr">
        <is>
          <t>shop.kloeckner.at webáruház</t>
        </is>
      </c>
      <c r="N991" s="7" t="inlineStr">
        <is>
          <t>Megtalálva: Aluminium Warzenbleche 000000000913001014</t>
        </is>
      </c>
      <c r="O991" s="11" t="inlineStr">
        <is>
          <t>https://shop.kloeckner.at/aluminium-warzenbleche/p/1011072</t>
        </is>
      </c>
      <c r="P991" s="11" t="inlineStr">
        <is>
          <t>https://website-9ib.pages.dev/termek/s-1-5-2x1500x3000-mm-duett-cseppmintas-alu-lemez-en-aw-5754-almg3-h114/</t>
        </is>
      </c>
      <c r="Q991" s="12" t="inlineStr"/>
      <c r="R991" s="13" t="inlineStr"/>
      <c r="S991" s="6" t="inlineStr">
        <is>
          <t>s-1-5-2x1500x3000-mm-duett-cseppmintas-alu-lemez-en-aw-5754-almg3-h114</t>
        </is>
      </c>
    </row>
    <row r="992">
      <c r="A992" s="6" t="inlineStr"/>
      <c r="B992" s="7" t="inlineStr">
        <is>
          <t>S 1,5x1000x2000 mm Alu lemez EN AW-1050 H24</t>
        </is>
      </c>
      <c r="C992" s="6" t="inlineStr">
        <is>
          <t>Alumínium lemezek</t>
        </is>
      </c>
      <c r="D992" s="6" t="inlineStr">
        <is>
          <t>Sima lemez</t>
        </is>
      </c>
      <c r="E992" s="6" t="inlineStr">
        <is>
          <t>Klöckner</t>
        </is>
      </c>
      <c r="F992" s="6" t="inlineStr"/>
      <c r="G992" s="6" t="inlineStr">
        <is>
          <t>Quadris Excel</t>
        </is>
      </c>
      <c r="H992" s="6" t="n">
        <v>2</v>
      </c>
      <c r="I992" s="6" t="n">
        <v>10</v>
      </c>
      <c r="J992" s="6" t="inlineStr">
        <is>
          <t>nincs</t>
        </is>
      </c>
      <c r="K992" s="6">
        <f>IF(AND(H992&gt;0,I992&gt;0),"Rendben",IF(AND(H992=0,I992=0),"Nincs kép és adat",IF(H992=0,"Nincs kép","Nincs adat")))</f>
        <v/>
      </c>
      <c r="L992" s="6" t="inlineStr">
        <is>
          <t>Igen</t>
        </is>
      </c>
      <c r="M992" s="7" t="inlineStr">
        <is>
          <t>shop.kloeckner.at webáruház</t>
        </is>
      </c>
      <c r="N992" s="7" t="inlineStr">
        <is>
          <t>Megtalálva: Aluminiumbleche 000000000913000098 (kód: 000000000913000098)</t>
        </is>
      </c>
      <c r="O992" s="11" t="inlineStr">
        <is>
          <t>https://shop.kloeckner.at/aluminiumbleche/p/1011070</t>
        </is>
      </c>
      <c r="P992" s="11" t="inlineStr">
        <is>
          <t>https://website-9ib.pages.dev/termek/s-1-5x1000x2000-mm-alu-lemez-en-aw-1050-h24/</t>
        </is>
      </c>
      <c r="Q992" s="12" t="inlineStr"/>
      <c r="R992" s="13" t="inlineStr"/>
      <c r="S992" s="6" t="inlineStr">
        <is>
          <t>s-1-5x1000x2000-mm-alu-lemez-en-aw-1050-h24</t>
        </is>
      </c>
    </row>
    <row r="993">
      <c r="A993" s="6" t="inlineStr"/>
      <c r="B993" s="7" t="inlineStr">
        <is>
          <t>S 1,5x1250x2500 mm Alu lemez EN AW-1050 H24</t>
        </is>
      </c>
      <c r="C993" s="6" t="inlineStr">
        <is>
          <t>Alumínium lemezek</t>
        </is>
      </c>
      <c r="D993" s="6" t="inlineStr">
        <is>
          <t>Sima lemez</t>
        </is>
      </c>
      <c r="E993" s="6" t="inlineStr">
        <is>
          <t>Klöckner</t>
        </is>
      </c>
      <c r="F993" s="6" t="inlineStr"/>
      <c r="G993" s="6" t="inlineStr">
        <is>
          <t>Quadris Excel</t>
        </is>
      </c>
      <c r="H993" s="6" t="n">
        <v>2</v>
      </c>
      <c r="I993" s="6" t="n">
        <v>10</v>
      </c>
      <c r="J993" s="6" t="inlineStr">
        <is>
          <t>nincs</t>
        </is>
      </c>
      <c r="K993" s="6">
        <f>IF(AND(H993&gt;0,I993&gt;0),"Rendben",IF(AND(H993=0,I993=0),"Nincs kép és adat",IF(H993=0,"Nincs kép","Nincs adat")))</f>
        <v/>
      </c>
      <c r="L993" s="6" t="inlineStr">
        <is>
          <t>Igen</t>
        </is>
      </c>
      <c r="M993" s="7" t="inlineStr">
        <is>
          <t>shop.kloeckner.at webáruház</t>
        </is>
      </c>
      <c r="N993" s="7" t="inlineStr">
        <is>
          <t>Megtalálva: Aluminiumbleche 000000000913000102 (kód: 000000000913000102)</t>
        </is>
      </c>
      <c r="O993" s="11" t="inlineStr">
        <is>
          <t>https://shop.kloeckner.at/aluminiumbleche/p/1011070</t>
        </is>
      </c>
      <c r="P993" s="11" t="inlineStr">
        <is>
          <t>https://website-9ib.pages.dev/termek/s-1-5x1250x2500-mm-alu-lemez-en-aw-1050-h24/</t>
        </is>
      </c>
      <c r="Q993" s="12" t="inlineStr"/>
      <c r="R993" s="13" t="inlineStr"/>
      <c r="S993" s="6" t="inlineStr">
        <is>
          <t>s-1-5x1250x2500-mm-alu-lemez-en-aw-1050-h24</t>
        </is>
      </c>
    </row>
    <row r="994">
      <c r="A994" s="6" t="inlineStr"/>
      <c r="B994" s="7" t="inlineStr">
        <is>
          <t>S 2,5/4x1250x2500 mm Cseppmintás EN AW-5754 H114</t>
        </is>
      </c>
      <c r="C994" s="6" t="inlineStr">
        <is>
          <t>Alumínium lemezek</t>
        </is>
      </c>
      <c r="D994" s="6" t="inlineStr">
        <is>
          <t>Cseppmintás lemez</t>
        </is>
      </c>
      <c r="E994" s="6" t="inlineStr">
        <is>
          <t>Klöckner</t>
        </is>
      </c>
      <c r="F994" s="6" t="inlineStr"/>
      <c r="G994" s="6" t="inlineStr">
        <is>
          <t>Quadris Excel</t>
        </is>
      </c>
      <c r="H994" s="6" t="n">
        <v>2</v>
      </c>
      <c r="I994" s="6" t="n">
        <v>10</v>
      </c>
      <c r="J994" s="6" t="inlineStr">
        <is>
          <t>nincs</t>
        </is>
      </c>
      <c r="K994" s="6">
        <f>IF(AND(H994&gt;0,I994&gt;0),"Rendben",IF(AND(H994=0,I994=0),"Nincs kép és adat",IF(H994=0,"Nincs kép","Nincs adat")))</f>
        <v/>
      </c>
      <c r="L994" s="6" t="inlineStr">
        <is>
          <t>Igen</t>
        </is>
      </c>
      <c r="M994" s="7" t="inlineStr">
        <is>
          <t>shop.kloeckner.at webáruház</t>
        </is>
      </c>
      <c r="N994" s="7" t="inlineStr">
        <is>
          <t>Megtalálva: Aluminium Warzenbleche 000000000913001430</t>
        </is>
      </c>
      <c r="O994" s="11" t="inlineStr">
        <is>
          <t>https://shop.kloeckner.at/aluminium-warzenbleche/p/1011072</t>
        </is>
      </c>
      <c r="P994" s="11" t="inlineStr">
        <is>
          <t>https://website-9ib.pages.dev/termek/s-2-5-4x1250x2500-mm-cseppmintas-en-aw-5754-h114/</t>
        </is>
      </c>
      <c r="Q994" s="12" t="inlineStr"/>
      <c r="R994" s="13" t="inlineStr"/>
      <c r="S994" s="6" t="inlineStr">
        <is>
          <t>s-2-5-4x1250x2500-mm-cseppmintas-en-aw-5754-h114</t>
        </is>
      </c>
    </row>
    <row r="995">
      <c r="A995" s="6" t="inlineStr"/>
      <c r="B995" s="7" t="inlineStr">
        <is>
          <t>S 2/3,5x1000x2000 mm Cseppmintás EN AW-5754 H114</t>
        </is>
      </c>
      <c r="C995" s="6" t="inlineStr">
        <is>
          <t>Alumínium lemezek</t>
        </is>
      </c>
      <c r="D995" s="6" t="inlineStr">
        <is>
          <t>Cseppmintás lemez</t>
        </is>
      </c>
      <c r="E995" s="6" t="inlineStr">
        <is>
          <t>Klöckner</t>
        </is>
      </c>
      <c r="F995" s="6" t="inlineStr"/>
      <c r="G995" s="6" t="inlineStr">
        <is>
          <t>Quadris Excel</t>
        </is>
      </c>
      <c r="H995" s="6" t="n">
        <v>2</v>
      </c>
      <c r="I995" s="6" t="n">
        <v>12</v>
      </c>
      <c r="J995" s="6" t="inlineStr">
        <is>
          <t>nincs</t>
        </is>
      </c>
      <c r="K995" s="6">
        <f>IF(AND(H995&gt;0,I995&gt;0),"Rendben",IF(AND(H995=0,I995=0),"Nincs kép és adat",IF(H995=0,"Nincs kép","Nincs adat")))</f>
        <v/>
      </c>
      <c r="L995" s="6" t="inlineStr">
        <is>
          <t>Igen</t>
        </is>
      </c>
      <c r="M995" s="7" t="inlineStr">
        <is>
          <t>shop.kloeckner.at webáruház</t>
        </is>
      </c>
      <c r="N995" s="7" t="inlineStr">
        <is>
          <t>Megtalálva: Aluminium Warzenbleche 000000000913001030 (kód: 000000000913001030)</t>
        </is>
      </c>
      <c r="O995" s="11" t="inlineStr">
        <is>
          <t>https://shop.kloeckner.at/aluminium-warzenbleche/p/1011072</t>
        </is>
      </c>
      <c r="P995" s="11" t="inlineStr">
        <is>
          <t>https://website-9ib.pages.dev/termek/s-2-3-5x1000x2000-mm-cseppmintas-en-aw-5754-h114/</t>
        </is>
      </c>
      <c r="Q995" s="12" t="inlineStr"/>
      <c r="R995" s="13" t="inlineStr"/>
      <c r="S995" s="6" t="inlineStr">
        <is>
          <t>s-2-3-5x1000x2000-mm-cseppmintas-en-aw-5754-h114</t>
        </is>
      </c>
    </row>
    <row r="996">
      <c r="A996" s="6" t="inlineStr"/>
      <c r="B996" s="7" t="inlineStr">
        <is>
          <t>S 2/3,5x1250x2500 mm Cseppmintás EN AW-5754 H114</t>
        </is>
      </c>
      <c r="C996" s="6" t="inlineStr">
        <is>
          <t>Alumínium lemezek</t>
        </is>
      </c>
      <c r="D996" s="6" t="inlineStr">
        <is>
          <t>Cseppmintás lemez</t>
        </is>
      </c>
      <c r="E996" s="6" t="inlineStr">
        <is>
          <t>Klöckner</t>
        </is>
      </c>
      <c r="F996" s="6" t="inlineStr"/>
      <c r="G996" s="6" t="inlineStr">
        <is>
          <t>Quadris Excel</t>
        </is>
      </c>
      <c r="H996" s="6" t="n">
        <v>2</v>
      </c>
      <c r="I996" s="6" t="n">
        <v>12</v>
      </c>
      <c r="J996" s="6" t="inlineStr">
        <is>
          <t>nincs</t>
        </is>
      </c>
      <c r="K996" s="6">
        <f>IF(AND(H996&gt;0,I996&gt;0),"Rendben",IF(AND(H996=0,I996=0),"Nincs kép és adat",IF(H996=0,"Nincs kép","Nincs adat")))</f>
        <v/>
      </c>
      <c r="L996" s="6" t="inlineStr">
        <is>
          <t>Igen</t>
        </is>
      </c>
      <c r="M996" s="7" t="inlineStr">
        <is>
          <t>shop.kloeckner.at webáruház</t>
        </is>
      </c>
      <c r="N996" s="7" t="inlineStr">
        <is>
          <t>Megtalálva: Aluminium Warzenbleche 000000000913001031 (kód: 000000000913001031)</t>
        </is>
      </c>
      <c r="O996" s="11" t="inlineStr">
        <is>
          <t>https://shop.kloeckner.at/aluminium-warzenbleche/p/1011072</t>
        </is>
      </c>
      <c r="P996" s="11" t="inlineStr">
        <is>
          <t>https://website-9ib.pages.dev/termek/s-2-3-5x1250x2500-mm-cseppmintas-en-aw-5754-h114/</t>
        </is>
      </c>
      <c r="Q996" s="12" t="inlineStr"/>
      <c r="R996" s="13" t="inlineStr"/>
      <c r="S996" s="6" t="inlineStr">
        <is>
          <t>s-2-3-5x1250x2500-mm-cseppmintas-en-aw-5754-h114</t>
        </is>
      </c>
    </row>
    <row r="997">
      <c r="A997" s="6" t="inlineStr"/>
      <c r="B997" s="7" t="inlineStr">
        <is>
          <t>S 2/3,5x1500x3000 mm Cseppmintás EN AW-5754 H114</t>
        </is>
      </c>
      <c r="C997" s="6" t="inlineStr">
        <is>
          <t>Alumínium lemezek</t>
        </is>
      </c>
      <c r="D997" s="6" t="inlineStr">
        <is>
          <t>Cseppmintás lemez</t>
        </is>
      </c>
      <c r="E997" s="6" t="inlineStr">
        <is>
          <t>Klöckner</t>
        </is>
      </c>
      <c r="F997" s="6" t="inlineStr"/>
      <c r="G997" s="6" t="inlineStr">
        <is>
          <t>Quadris Excel</t>
        </is>
      </c>
      <c r="H997" s="6" t="n">
        <v>2</v>
      </c>
      <c r="I997" s="6" t="n">
        <v>12</v>
      </c>
      <c r="J997" s="6" t="inlineStr">
        <is>
          <t>nincs</t>
        </is>
      </c>
      <c r="K997" s="6">
        <f>IF(AND(H997&gt;0,I997&gt;0),"Rendben",IF(AND(H997=0,I997=0),"Nincs kép és adat",IF(H997=0,"Nincs kép","Nincs adat")))</f>
        <v/>
      </c>
      <c r="L997" s="6" t="inlineStr">
        <is>
          <t>Igen</t>
        </is>
      </c>
      <c r="M997" s="7" t="inlineStr">
        <is>
          <t>shop.kloeckner.at webáruház</t>
        </is>
      </c>
      <c r="N997" s="7" t="inlineStr">
        <is>
          <t>Megtalálva: Aluminium Warzenbleche 000000000913001032 (kód: 000000000913001032)</t>
        </is>
      </c>
      <c r="O997" s="11" t="inlineStr">
        <is>
          <t>https://shop.kloeckner.at/aluminium-warzenbleche/p/1011072</t>
        </is>
      </c>
      <c r="P997" s="11" t="inlineStr">
        <is>
          <t>https://website-9ib.pages.dev/termek/s-2-3-5x1500x3000-mm-cseppmintas-en-aw-5754-h114/</t>
        </is>
      </c>
      <c r="Q997" s="12" t="inlineStr"/>
      <c r="R997" s="13" t="inlineStr"/>
      <c r="S997" s="6" t="inlineStr">
        <is>
          <t>s-2-3-5x1500x3000-mm-cseppmintas-en-aw-5754-h114</t>
        </is>
      </c>
    </row>
    <row r="998">
      <c r="A998" s="6" t="inlineStr"/>
      <c r="B998" s="7" t="inlineStr">
        <is>
          <t>S 2x1000x2000 mm Alu lemez EN AW-1050 H24</t>
        </is>
      </c>
      <c r="C998" s="6" t="inlineStr">
        <is>
          <t>Alumínium lemezek</t>
        </is>
      </c>
      <c r="D998" s="6" t="inlineStr">
        <is>
          <t>Sima lemez</t>
        </is>
      </c>
      <c r="E998" s="6" t="inlineStr">
        <is>
          <t>Klöckner</t>
        </is>
      </c>
      <c r="F998" s="6" t="inlineStr"/>
      <c r="G998" s="6" t="inlineStr">
        <is>
          <t>Quadris Excel</t>
        </is>
      </c>
      <c r="H998" s="6" t="n">
        <v>2</v>
      </c>
      <c r="I998" s="6" t="n">
        <v>10</v>
      </c>
      <c r="J998" s="6" t="inlineStr">
        <is>
          <t>nincs</t>
        </is>
      </c>
      <c r="K998" s="6">
        <f>IF(AND(H998&gt;0,I998&gt;0),"Rendben",IF(AND(H998=0,I998=0),"Nincs kép és adat",IF(H998=0,"Nincs kép","Nincs adat")))</f>
        <v/>
      </c>
      <c r="L998" s="6" t="inlineStr">
        <is>
          <t>Igen</t>
        </is>
      </c>
      <c r="M998" s="7" t="inlineStr">
        <is>
          <t>shop.kloeckner.at webáruház</t>
        </is>
      </c>
      <c r="N998" s="7" t="inlineStr">
        <is>
          <t>Megtalálva: Aluminiumbleche 000000000913000131 (kód: 000000000913000131)</t>
        </is>
      </c>
      <c r="O998" s="11" t="inlineStr">
        <is>
          <t>https://shop.kloeckner.at/aluminiumbleche/p/1011070</t>
        </is>
      </c>
      <c r="P998" s="11" t="inlineStr">
        <is>
          <t>https://website-9ib.pages.dev/termek/s-2x1000x2000-mm-alu-lemez-en-aw-1050-h24/</t>
        </is>
      </c>
      <c r="Q998" s="12" t="inlineStr"/>
      <c r="R998" s="13" t="inlineStr"/>
      <c r="S998" s="6" t="inlineStr">
        <is>
          <t>s-2x1000x2000-mm-alu-lemez-en-aw-1050-h24</t>
        </is>
      </c>
    </row>
    <row r="999">
      <c r="A999" s="6" t="inlineStr"/>
      <c r="B999" s="7" t="inlineStr">
        <is>
          <t>S 2x1000x2000 mm ELOX Alu lemez EN AW-5002</t>
        </is>
      </c>
      <c r="C999" s="6" t="inlineStr">
        <is>
          <t>Alumínium lemezek</t>
        </is>
      </c>
      <c r="D999" s="6" t="inlineStr">
        <is>
          <t>Sima lemez</t>
        </is>
      </c>
      <c r="E999" s="6" t="inlineStr">
        <is>
          <t>Klöckner</t>
        </is>
      </c>
      <c r="F999" s="6" t="inlineStr"/>
      <c r="G999" s="6" t="inlineStr">
        <is>
          <t>Quadris Excel</t>
        </is>
      </c>
      <c r="H999" s="6" t="n">
        <v>2</v>
      </c>
      <c r="I999" s="6" t="n">
        <v>9</v>
      </c>
      <c r="J999" s="6" t="inlineStr">
        <is>
          <t>nincs</t>
        </is>
      </c>
      <c r="K999" s="6">
        <f>IF(AND(H999&gt;0,I999&gt;0),"Rendben",IF(AND(H999=0,I999=0),"Nincs kép és adat",IF(H999=0,"Nincs kép","Nincs adat")))</f>
        <v/>
      </c>
      <c r="L999" s="6" t="inlineStr">
        <is>
          <t>Igen</t>
        </is>
      </c>
      <c r="M999" s="7" t="inlineStr">
        <is>
          <t>shop.kloeckner.at webáruház</t>
        </is>
      </c>
      <c r="N999" s="7" t="inlineStr">
        <is>
          <t>Megtalálva: Aluminiumbleche eloxiert 000000000940034077</t>
        </is>
      </c>
      <c r="O999" s="11" t="inlineStr">
        <is>
          <t>https://shop.kloeckner.at/aluminiumbleche-eloxiert/p/1011071</t>
        </is>
      </c>
      <c r="P999" s="11" t="inlineStr">
        <is>
          <t>https://website-9ib.pages.dev/termek/s-2x1000x2000-mm-elox-alu-lemez-en-aw-5002/</t>
        </is>
      </c>
      <c r="Q999" s="12" t="inlineStr"/>
      <c r="R999" s="13" t="inlineStr"/>
      <c r="S999" s="6" t="inlineStr">
        <is>
          <t>s-2x1000x2000-mm-elox-alu-lemez-en-aw-5002</t>
        </is>
      </c>
    </row>
    <row r="1000">
      <c r="A1000" s="6" t="inlineStr"/>
      <c r="B1000" s="7" t="inlineStr">
        <is>
          <t>S 2x1250x2500 mm Alu lemez EN AW-1050 H24</t>
        </is>
      </c>
      <c r="C1000" s="6" t="inlineStr">
        <is>
          <t>Alumínium lemezek</t>
        </is>
      </c>
      <c r="D1000" s="6" t="inlineStr">
        <is>
          <t>Sima lemez</t>
        </is>
      </c>
      <c r="E1000" s="6" t="inlineStr">
        <is>
          <t>Klöckner</t>
        </is>
      </c>
      <c r="F1000" s="6" t="inlineStr"/>
      <c r="G1000" s="6" t="inlineStr">
        <is>
          <t>Quadris Excel</t>
        </is>
      </c>
      <c r="H1000" s="6" t="n">
        <v>2</v>
      </c>
      <c r="I1000" s="6" t="n">
        <v>10</v>
      </c>
      <c r="J1000" s="6" t="inlineStr">
        <is>
          <t>nincs</t>
        </is>
      </c>
      <c r="K1000" s="6">
        <f>IF(AND(H1000&gt;0,I1000&gt;0),"Rendben",IF(AND(H1000=0,I1000=0),"Nincs kép és adat",IF(H1000=0,"Nincs kép","Nincs adat")))</f>
        <v/>
      </c>
      <c r="L1000" s="6" t="inlineStr">
        <is>
          <t>Igen</t>
        </is>
      </c>
      <c r="M1000" s="7" t="inlineStr">
        <is>
          <t>shop.kloeckner.at webáruház</t>
        </is>
      </c>
      <c r="N1000" s="7" t="inlineStr">
        <is>
          <t>Megtalálva: Aluminiumbleche 000000000913000134 (kód: 000000000913000134)</t>
        </is>
      </c>
      <c r="O1000" s="11" t="inlineStr">
        <is>
          <t>https://shop.kloeckner.at/aluminiumbleche/p/1011070</t>
        </is>
      </c>
      <c r="P1000" s="11" t="inlineStr">
        <is>
          <t>https://website-9ib.pages.dev/termek/s-2x1250x2500-mm-alu-lemez-en-aw-1050-h24/</t>
        </is>
      </c>
      <c r="Q1000" s="12" t="inlineStr"/>
      <c r="R1000" s="13" t="inlineStr"/>
      <c r="S1000" s="6" t="inlineStr">
        <is>
          <t>s-2x1250x2500-mm-alu-lemez-en-aw-1050-h24</t>
        </is>
      </c>
    </row>
    <row r="1001">
      <c r="A1001" s="6" t="inlineStr"/>
      <c r="B1001" s="7" t="inlineStr">
        <is>
          <t>S 2x1250x2500 mm Alu lemez EN AW-5754 H22</t>
        </is>
      </c>
      <c r="C1001" s="6" t="inlineStr">
        <is>
          <t>Alumínium lemezek</t>
        </is>
      </c>
      <c r="D1001" s="6" t="inlineStr">
        <is>
          <t>Sima lemez</t>
        </is>
      </c>
      <c r="E1001" s="6" t="inlineStr">
        <is>
          <t>Klöckner</t>
        </is>
      </c>
      <c r="F1001" s="6" t="inlineStr"/>
      <c r="G1001" s="6" t="inlineStr">
        <is>
          <t>Quadris Excel</t>
        </is>
      </c>
      <c r="H1001" s="6" t="n">
        <v>2</v>
      </c>
      <c r="I1001" s="6" t="n">
        <v>10</v>
      </c>
      <c r="J1001" s="6" t="inlineStr">
        <is>
          <t>nincs</t>
        </is>
      </c>
      <c r="K1001" s="6">
        <f>IF(AND(H1001&gt;0,I1001&gt;0),"Rendben",IF(AND(H1001=0,I1001=0),"Nincs kép és adat",IF(H1001=0,"Nincs kép","Nincs adat")))</f>
        <v/>
      </c>
      <c r="L1001" s="6" t="inlineStr">
        <is>
          <t>Igen</t>
        </is>
      </c>
      <c r="M1001" s="7" t="inlineStr">
        <is>
          <t>shop.kloeckner.at webáruház</t>
        </is>
      </c>
      <c r="N1001" s="7" t="inlineStr">
        <is>
          <t>Megtalálva: Aluminiumbleche 000000000913000765 (kód: 000000000913000765)</t>
        </is>
      </c>
      <c r="O1001" s="11" t="inlineStr">
        <is>
          <t>https://shop.kloeckner.at/aluminiumbleche/p/1011070</t>
        </is>
      </c>
      <c r="P1001" s="11" t="inlineStr">
        <is>
          <t>https://website-9ib.pages.dev/termek/s-2x1250x2500-mm-alu-lemez-en-aw-5754-h22/</t>
        </is>
      </c>
      <c r="Q1001" s="12" t="inlineStr"/>
      <c r="R1001" s="13" t="inlineStr"/>
      <c r="S1001" s="6" t="inlineStr">
        <is>
          <t>s-2x1250x2500-mm-alu-lemez-en-aw-5754-h22</t>
        </is>
      </c>
    </row>
    <row r="1002">
      <c r="A1002" s="6" t="inlineStr"/>
      <c r="B1002" s="7" t="inlineStr">
        <is>
          <t>S 2x1250x2500 mm ELOX Alu lemez EN AW-5005A H14</t>
        </is>
      </c>
      <c r="C1002" s="6" t="inlineStr">
        <is>
          <t>Alumínium lemezek</t>
        </is>
      </c>
      <c r="D1002" s="6" t="inlineStr">
        <is>
          <t>Sima lemez</t>
        </is>
      </c>
      <c r="E1002" s="6" t="inlineStr">
        <is>
          <t>Klöckner</t>
        </is>
      </c>
      <c r="F1002" s="6" t="inlineStr"/>
      <c r="G1002" s="6" t="inlineStr">
        <is>
          <t>Quadris Excel</t>
        </is>
      </c>
      <c r="H1002" s="6" t="n">
        <v>2</v>
      </c>
      <c r="I1002" s="6" t="n">
        <v>10</v>
      </c>
      <c r="J1002" s="6" t="inlineStr">
        <is>
          <t>nincs</t>
        </is>
      </c>
      <c r="K1002" s="6">
        <f>IF(AND(H1002&gt;0,I1002&gt;0),"Rendben",IF(AND(H1002=0,I1002=0),"Nincs kép és adat",IF(H1002=0,"Nincs kép","Nincs adat")))</f>
        <v/>
      </c>
      <c r="L1002" s="6" t="inlineStr">
        <is>
          <t>Igen</t>
        </is>
      </c>
      <c r="M1002" s="7" t="inlineStr">
        <is>
          <t>shop.kloeckner.at webáruház</t>
        </is>
      </c>
      <c r="N1002" s="7" t="inlineStr">
        <is>
          <t>Megtalálva: Aluminiumbleche eloxiert 000000000913002609 (kód: 000000000913002609)</t>
        </is>
      </c>
      <c r="O1002" s="11" t="inlineStr">
        <is>
          <t>https://shop.kloeckner.at/aluminiumbleche-eloxiert/p/1011071</t>
        </is>
      </c>
      <c r="P1002" s="11" t="inlineStr">
        <is>
          <t>https://website-9ib.pages.dev/termek/s-2x1250x2500-mm-elox-alu-lemez-en-aw-5005a-h14/</t>
        </is>
      </c>
      <c r="Q1002" s="12" t="inlineStr"/>
      <c r="R1002" s="13" t="inlineStr"/>
      <c r="S1002" s="6" t="inlineStr">
        <is>
          <t>s-2x1250x2500-mm-elox-alu-lemez-en-aw-5005a-h14</t>
        </is>
      </c>
    </row>
    <row r="1003">
      <c r="A1003" s="6" t="inlineStr"/>
      <c r="B1003" s="7" t="inlineStr">
        <is>
          <t>S 2x1500x3000 mm Alu lemez EN AW-1050 H24</t>
        </is>
      </c>
      <c r="C1003" s="6" t="inlineStr">
        <is>
          <t>Alumínium lemezek</t>
        </is>
      </c>
      <c r="D1003" s="6" t="inlineStr">
        <is>
          <t>Sima lemez</t>
        </is>
      </c>
      <c r="E1003" s="6" t="inlineStr">
        <is>
          <t>Klöckner</t>
        </is>
      </c>
      <c r="F1003" s="6" t="inlineStr"/>
      <c r="G1003" s="6" t="inlineStr">
        <is>
          <t>Quadris Excel</t>
        </is>
      </c>
      <c r="H1003" s="6" t="n">
        <v>2</v>
      </c>
      <c r="I1003" s="6" t="n">
        <v>10</v>
      </c>
      <c r="J1003" s="6" t="inlineStr">
        <is>
          <t>nincs</t>
        </is>
      </c>
      <c r="K1003" s="6">
        <f>IF(AND(H1003&gt;0,I1003&gt;0),"Rendben",IF(AND(H1003=0,I1003=0),"Nincs kép és adat",IF(H1003=0,"Nincs kép","Nincs adat")))</f>
        <v/>
      </c>
      <c r="L1003" s="6" t="inlineStr">
        <is>
          <t>Igen</t>
        </is>
      </c>
      <c r="M1003" s="7" t="inlineStr">
        <is>
          <t>shop.kloeckner.at webáruház</t>
        </is>
      </c>
      <c r="N1003" s="7" t="inlineStr">
        <is>
          <t>Megtalálva: Aluminiumbleche 000000000913000138 (kód: 000000000913000138)</t>
        </is>
      </c>
      <c r="O1003" s="11" t="inlineStr">
        <is>
          <t>https://shop.kloeckner.at/aluminiumbleche/p/1011070</t>
        </is>
      </c>
      <c r="P1003" s="11" t="inlineStr">
        <is>
          <t>https://website-9ib.pages.dev/termek/s-2x1500x3000-mm-alu-lemez-en-aw-1050-h24/</t>
        </is>
      </c>
      <c r="Q1003" s="12" t="inlineStr"/>
      <c r="R1003" s="13" t="inlineStr"/>
      <c r="S1003" s="6" t="inlineStr">
        <is>
          <t>s-2x1500x3000-mm-alu-lemez-en-aw-1050-h24</t>
        </is>
      </c>
    </row>
    <row r="1004">
      <c r="A1004" s="6" t="inlineStr"/>
      <c r="B1004" s="7" t="inlineStr">
        <is>
          <t>S 3/4,5x1250x2500 mm Cseppmintás EN AW-5754 H114</t>
        </is>
      </c>
      <c r="C1004" s="6" t="inlineStr">
        <is>
          <t>Alumínium lemezek</t>
        </is>
      </c>
      <c r="D1004" s="6" t="inlineStr">
        <is>
          <t>Cseppmintás lemez</t>
        </is>
      </c>
      <c r="E1004" s="6" t="inlineStr">
        <is>
          <t>Klöckner</t>
        </is>
      </c>
      <c r="F1004" s="6" t="inlineStr"/>
      <c r="G1004" s="6" t="inlineStr">
        <is>
          <t>Quadris Excel</t>
        </is>
      </c>
      <c r="H1004" s="6" t="n">
        <v>2</v>
      </c>
      <c r="I1004" s="6" t="n">
        <v>12</v>
      </c>
      <c r="J1004" s="6" t="inlineStr">
        <is>
          <t>nincs</t>
        </is>
      </c>
      <c r="K1004" s="6">
        <f>IF(AND(H1004&gt;0,I1004&gt;0),"Rendben",IF(AND(H1004=0,I1004=0),"Nincs kép és adat",IF(H1004=0,"Nincs kép","Nincs adat")))</f>
        <v/>
      </c>
      <c r="L1004" s="6" t="inlineStr">
        <is>
          <t>Igen</t>
        </is>
      </c>
      <c r="M1004" s="7" t="inlineStr">
        <is>
          <t>shop.kloeckner.at webáruház</t>
        </is>
      </c>
      <c r="N1004" s="7" t="inlineStr">
        <is>
          <t>Megtalálva: Aluminium Warzenbleche 000000000913001066 (kód: 000000000913001066)</t>
        </is>
      </c>
      <c r="O1004" s="11" t="inlineStr">
        <is>
          <t>https://shop.kloeckner.at/aluminium-warzenbleche/p/1011072</t>
        </is>
      </c>
      <c r="P1004" s="11" t="inlineStr">
        <is>
          <t>https://website-9ib.pages.dev/termek/s-3-4-5x1250x2500-mm-cseppmintas-en-aw-5754-h114/</t>
        </is>
      </c>
      <c r="Q1004" s="12" t="inlineStr"/>
      <c r="R1004" s="13" t="inlineStr"/>
      <c r="S1004" s="6" t="inlineStr">
        <is>
          <t>s-3-4-5x1250x2500-mm-cseppmintas-en-aw-5754-h114</t>
        </is>
      </c>
    </row>
    <row r="1005">
      <c r="A1005" s="6" t="inlineStr"/>
      <c r="B1005" s="7" t="inlineStr">
        <is>
          <t>S 3x1250x2500 mm Alu lemez EN AW-1050 H24</t>
        </is>
      </c>
      <c r="C1005" s="6" t="inlineStr">
        <is>
          <t>Alumínium lemezek</t>
        </is>
      </c>
      <c r="D1005" s="6" t="inlineStr">
        <is>
          <t>Sima lemez</t>
        </is>
      </c>
      <c r="E1005" s="6" t="inlineStr">
        <is>
          <t>Klöckner</t>
        </is>
      </c>
      <c r="F1005" s="6" t="inlineStr"/>
      <c r="G1005" s="6" t="inlineStr">
        <is>
          <t>Quadris Excel</t>
        </is>
      </c>
      <c r="H1005" s="6" t="n">
        <v>2</v>
      </c>
      <c r="I1005" s="6" t="n">
        <v>10</v>
      </c>
      <c r="J1005" s="6" t="inlineStr">
        <is>
          <t>nincs</t>
        </is>
      </c>
      <c r="K1005" s="6">
        <f>IF(AND(H1005&gt;0,I1005&gt;0),"Rendben",IF(AND(H1005=0,I1005=0),"Nincs kép és adat",IF(H1005=0,"Nincs kép","Nincs adat")))</f>
        <v/>
      </c>
      <c r="L1005" s="6" t="inlineStr">
        <is>
          <t>Igen</t>
        </is>
      </c>
      <c r="M1005" s="7" t="inlineStr">
        <is>
          <t>shop.kloeckner.at webáruház</t>
        </is>
      </c>
      <c r="N1005" s="7" t="inlineStr">
        <is>
          <t>Megtalálva: Aluminiumbleche 000000000913000158 (kód: 000000000913000158)</t>
        </is>
      </c>
      <c r="O1005" s="11" t="inlineStr">
        <is>
          <t>https://shop.kloeckner.at/aluminiumbleche/p/1011070</t>
        </is>
      </c>
      <c r="P1005" s="11" t="inlineStr">
        <is>
          <t>https://website-9ib.pages.dev/termek/s-3x1250x2500-mm-alu-lemez-en-aw-1050-h24/</t>
        </is>
      </c>
      <c r="Q1005" s="12" t="inlineStr"/>
      <c r="R1005" s="13" t="inlineStr"/>
      <c r="S1005" s="6" t="inlineStr">
        <is>
          <t>s-3x1250x2500-mm-alu-lemez-en-aw-1050-h24</t>
        </is>
      </c>
    </row>
    <row r="1006">
      <c r="A1006" s="6" t="inlineStr"/>
      <c r="B1006" s="7" t="inlineStr">
        <is>
          <t>S 3x1250x2500 mm Alu lemez EN AW-5754 H22</t>
        </is>
      </c>
      <c r="C1006" s="6" t="inlineStr">
        <is>
          <t>Alumínium lemezek</t>
        </is>
      </c>
      <c r="D1006" s="6" t="inlineStr">
        <is>
          <t>Sima lemez</t>
        </is>
      </c>
      <c r="E1006" s="6" t="inlineStr">
        <is>
          <t>Klöckner</t>
        </is>
      </c>
      <c r="F1006" s="6" t="inlineStr"/>
      <c r="G1006" s="6" t="inlineStr">
        <is>
          <t>Quadris Excel</t>
        </is>
      </c>
      <c r="H1006" s="6" t="n">
        <v>2</v>
      </c>
      <c r="I1006" s="6" t="n">
        <v>10</v>
      </c>
      <c r="J1006" s="6" t="inlineStr">
        <is>
          <t>nincs</t>
        </is>
      </c>
      <c r="K1006" s="6">
        <f>IF(AND(H1006&gt;0,I1006&gt;0),"Rendben",IF(AND(H1006=0,I1006=0),"Nincs kép és adat",IF(H1006=0,"Nincs kép","Nincs adat")))</f>
        <v/>
      </c>
      <c r="L1006" s="6" t="inlineStr">
        <is>
          <t>Igen</t>
        </is>
      </c>
      <c r="M1006" s="7" t="inlineStr">
        <is>
          <t>shop.kloeckner.at webáruház</t>
        </is>
      </c>
      <c r="N1006" s="7" t="inlineStr">
        <is>
          <t>Megtalálva: Aluminiumbleche 000000000913000902 (kód: 000000000913000902)</t>
        </is>
      </c>
      <c r="O1006" s="11" t="inlineStr">
        <is>
          <t>https://shop.kloeckner.at/aluminiumbleche/p/1011070</t>
        </is>
      </c>
      <c r="P1006" s="11" t="inlineStr">
        <is>
          <t>https://website-9ib.pages.dev/termek/s-3x1250x2500-mm-alu-lemez-en-aw-5754-h22/</t>
        </is>
      </c>
      <c r="Q1006" s="12" t="inlineStr"/>
      <c r="R1006" s="13" t="inlineStr"/>
      <c r="S1006" s="6" t="inlineStr">
        <is>
          <t>s-3x1250x2500-mm-alu-lemez-en-aw-5754-h22</t>
        </is>
      </c>
    </row>
    <row r="1007">
      <c r="A1007" s="6" t="inlineStr"/>
      <c r="B1007" s="7" t="inlineStr">
        <is>
          <t>S 3x1250x2500 mm ELOX Alu lemez EN AW-5005A H14</t>
        </is>
      </c>
      <c r="C1007" s="6" t="inlineStr">
        <is>
          <t>Alumínium lemezek</t>
        </is>
      </c>
      <c r="D1007" s="6" t="inlineStr">
        <is>
          <t>Sima lemez</t>
        </is>
      </c>
      <c r="E1007" s="6" t="inlineStr">
        <is>
          <t>Klöckner</t>
        </is>
      </c>
      <c r="F1007" s="6" t="inlineStr"/>
      <c r="G1007" s="6" t="inlineStr">
        <is>
          <t>Quadris Excel</t>
        </is>
      </c>
      <c r="H1007" s="6" t="n">
        <v>2</v>
      </c>
      <c r="I1007" s="6" t="n">
        <v>10</v>
      </c>
      <c r="J1007" s="6" t="inlineStr">
        <is>
          <t>nincs</t>
        </is>
      </c>
      <c r="K1007" s="6">
        <f>IF(AND(H1007&gt;0,I1007&gt;0),"Rendben",IF(AND(H1007=0,I1007=0),"Nincs kép és adat",IF(H1007=0,"Nincs kép","Nincs adat")))</f>
        <v/>
      </c>
      <c r="L1007" s="6" t="inlineStr">
        <is>
          <t>Igen</t>
        </is>
      </c>
      <c r="M1007" s="7" t="inlineStr">
        <is>
          <t>shop.kloeckner.at webáruház</t>
        </is>
      </c>
      <c r="N1007" s="7" t="inlineStr">
        <is>
          <t>Megtalálva: Aluminiumbleche eloxiert 000000000913000347 (kód: 000000000913000347)</t>
        </is>
      </c>
      <c r="O1007" s="11" t="inlineStr">
        <is>
          <t>https://shop.kloeckner.at/aluminiumbleche-eloxiert/p/1011071</t>
        </is>
      </c>
      <c r="P1007" s="11" t="inlineStr">
        <is>
          <t>https://website-9ib.pages.dev/termek/s-3x1250x2500-mm-elox-alu-lemez-en-aw-5005a-h14/</t>
        </is>
      </c>
      <c r="Q1007" s="12" t="inlineStr"/>
      <c r="R1007" s="13" t="inlineStr"/>
      <c r="S1007" s="6" t="inlineStr">
        <is>
          <t>s-3x1250x2500-mm-elox-alu-lemez-en-aw-5005a-h14</t>
        </is>
      </c>
    </row>
    <row r="1008">
      <c r="A1008" s="6" t="inlineStr"/>
      <c r="B1008" s="7" t="inlineStr">
        <is>
          <t>S 3x1500x3000 mm Alu lemez EN AW-1050 H24</t>
        </is>
      </c>
      <c r="C1008" s="6" t="inlineStr">
        <is>
          <t>Alumínium lemezek</t>
        </is>
      </c>
      <c r="D1008" s="6" t="inlineStr">
        <is>
          <t>Sima lemez</t>
        </is>
      </c>
      <c r="E1008" s="6" t="inlineStr">
        <is>
          <t>Klöckner</t>
        </is>
      </c>
      <c r="F1008" s="6" t="inlineStr"/>
      <c r="G1008" s="6" t="inlineStr">
        <is>
          <t>Quadris Excel</t>
        </is>
      </c>
      <c r="H1008" s="6" t="n">
        <v>2</v>
      </c>
      <c r="I1008" s="6" t="n">
        <v>10</v>
      </c>
      <c r="J1008" s="6" t="inlineStr">
        <is>
          <t>nincs</t>
        </is>
      </c>
      <c r="K1008" s="6">
        <f>IF(AND(H1008&gt;0,I1008&gt;0),"Rendben",IF(AND(H1008=0,I1008=0),"Nincs kép és adat",IF(H1008=0,"Nincs kép","Nincs adat")))</f>
        <v/>
      </c>
      <c r="L1008" s="6" t="inlineStr">
        <is>
          <t>Igen</t>
        </is>
      </c>
      <c r="M1008" s="7" t="inlineStr">
        <is>
          <t>shop.kloeckner.at webáruház</t>
        </is>
      </c>
      <c r="N1008" s="7" t="inlineStr">
        <is>
          <t>Megtalálva: Aluminiumbleche 000000000913000160 (kód: 000000000913000160)</t>
        </is>
      </c>
      <c r="O1008" s="11" t="inlineStr">
        <is>
          <t>https://shop.kloeckner.at/aluminiumbleche/p/1011070</t>
        </is>
      </c>
      <c r="P1008" s="11" t="inlineStr">
        <is>
          <t>https://website-9ib.pages.dev/termek/s-3x1500x3000-mm-alu-lemez-en-aw-1050-h24/</t>
        </is>
      </c>
      <c r="Q1008" s="12" t="inlineStr"/>
      <c r="R1008" s="13" t="inlineStr"/>
      <c r="S1008" s="6" t="inlineStr">
        <is>
          <t>s-3x1500x3000-mm-alu-lemez-en-aw-1050-h24</t>
        </is>
      </c>
    </row>
    <row r="1009">
      <c r="A1009" s="6" t="inlineStr"/>
      <c r="B1009" s="7" t="inlineStr">
        <is>
          <t>S 3x1500x3000 mm ELOX Alu lemez EN AW-5005A H14</t>
        </is>
      </c>
      <c r="C1009" s="6" t="inlineStr">
        <is>
          <t>Alumínium lemezek</t>
        </is>
      </c>
      <c r="D1009" s="6" t="inlineStr">
        <is>
          <t>Sima lemez</t>
        </is>
      </c>
      <c r="E1009" s="6" t="inlineStr">
        <is>
          <t>Klöckner</t>
        </is>
      </c>
      <c r="F1009" s="6" t="inlineStr"/>
      <c r="G1009" s="6" t="inlineStr">
        <is>
          <t>Quadris Excel</t>
        </is>
      </c>
      <c r="H1009" s="6" t="n">
        <v>2</v>
      </c>
      <c r="I1009" s="6" t="n">
        <v>10</v>
      </c>
      <c r="J1009" s="6" t="inlineStr">
        <is>
          <t>nincs</t>
        </is>
      </c>
      <c r="K1009" s="6">
        <f>IF(AND(H1009&gt;0,I1009&gt;0),"Rendben",IF(AND(H1009=0,I1009=0),"Nincs kép és adat",IF(H1009=0,"Nincs kép","Nincs adat")))</f>
        <v/>
      </c>
      <c r="L1009" s="6" t="inlineStr">
        <is>
          <t>Igen</t>
        </is>
      </c>
      <c r="M1009" s="7" t="inlineStr">
        <is>
          <t>shop.kloeckner.at webáruház</t>
        </is>
      </c>
      <c r="N1009" s="7" t="inlineStr">
        <is>
          <t>Megtalálva: Aluminiumbleche eloxiert 000000000913002615 (kód: 000000000913002615)</t>
        </is>
      </c>
      <c r="O1009" s="11" t="inlineStr">
        <is>
          <t>https://shop.kloeckner.at/aluminiumbleche-eloxiert/p/1011071</t>
        </is>
      </c>
      <c r="P1009" s="11" t="inlineStr">
        <is>
          <t>https://website-9ib.pages.dev/termek/s-3x1500x3000-mm-elox-alu-lemez-en-aw-5005a-h14/</t>
        </is>
      </c>
      <c r="Q1009" s="12" t="inlineStr"/>
      <c r="R1009" s="13" t="inlineStr"/>
      <c r="S1009" s="6" t="inlineStr">
        <is>
          <t>s-3x1500x3000-mm-elox-alu-lemez-en-aw-5005a-h14</t>
        </is>
      </c>
    </row>
    <row r="1010">
      <c r="A1010" s="6" t="inlineStr"/>
      <c r="B1010" s="7" t="inlineStr">
        <is>
          <t>S 4/5,5x1250x2500 mm Cseppmintás EN AW-5754 H114</t>
        </is>
      </c>
      <c r="C1010" s="6" t="inlineStr">
        <is>
          <t>Alumínium lemezek</t>
        </is>
      </c>
      <c r="D1010" s="6" t="inlineStr">
        <is>
          <t>Cseppmintás lemez</t>
        </is>
      </c>
      <c r="E1010" s="6" t="inlineStr">
        <is>
          <t>Klöckner</t>
        </is>
      </c>
      <c r="F1010" s="6" t="inlineStr"/>
      <c r="G1010" s="6" t="inlineStr">
        <is>
          <t>Quadris Excel</t>
        </is>
      </c>
      <c r="H1010" s="6" t="n">
        <v>2</v>
      </c>
      <c r="I1010" s="6" t="n">
        <v>12</v>
      </c>
      <c r="J1010" s="6" t="inlineStr">
        <is>
          <t>nincs</t>
        </is>
      </c>
      <c r="K1010" s="6">
        <f>IF(AND(H1010&gt;0,I1010&gt;0),"Rendben",IF(AND(H1010=0,I1010=0),"Nincs kép és adat",IF(H1010=0,"Nincs kép","Nincs adat")))</f>
        <v/>
      </c>
      <c r="L1010" s="6" t="inlineStr">
        <is>
          <t>Igen</t>
        </is>
      </c>
      <c r="M1010" s="7" t="inlineStr">
        <is>
          <t>shop.kloeckner.at webáruház</t>
        </is>
      </c>
      <c r="N1010" s="7" t="inlineStr">
        <is>
          <t>Megtalálva: Aluminium Warzenbleche 000000000913002739 (kód: 000000000913002739)</t>
        </is>
      </c>
      <c r="O1010" s="11" t="inlineStr">
        <is>
          <t>https://shop.kloeckner.at/aluminium-warzenbleche/p/1011072</t>
        </is>
      </c>
      <c r="P1010" s="11" t="inlineStr">
        <is>
          <t>https://website-9ib.pages.dev/termek/s-4-5-5x1250x2500-mm-cseppmintas-en-aw-5754-h114/</t>
        </is>
      </c>
      <c r="Q1010" s="12" t="inlineStr"/>
      <c r="R1010" s="13" t="inlineStr"/>
      <c r="S1010" s="6" t="inlineStr">
        <is>
          <t>s-4-5-5x1250x2500-mm-cseppmintas-en-aw-5754-h114</t>
        </is>
      </c>
    </row>
    <row r="1011">
      <c r="A1011" s="6" t="inlineStr"/>
      <c r="B1011" s="7" t="inlineStr">
        <is>
          <t>S 5/6,5x1250x2500 mm Cseppmintás EN AW-5754 H114</t>
        </is>
      </c>
      <c r="C1011" s="6" t="inlineStr">
        <is>
          <t>Alumínium lemezek</t>
        </is>
      </c>
      <c r="D1011" s="6" t="inlineStr">
        <is>
          <t>Cseppmintás lemez</t>
        </is>
      </c>
      <c r="E1011" s="6" t="inlineStr">
        <is>
          <t>Klöckner</t>
        </is>
      </c>
      <c r="F1011" s="6" t="inlineStr"/>
      <c r="G1011" s="6" t="inlineStr">
        <is>
          <t>Quadris Excel</t>
        </is>
      </c>
      <c r="H1011" s="6" t="n">
        <v>2</v>
      </c>
      <c r="I1011" s="6" t="n">
        <v>12</v>
      </c>
      <c r="J1011" s="6" t="inlineStr">
        <is>
          <t>nincs</t>
        </is>
      </c>
      <c r="K1011" s="6">
        <f>IF(AND(H1011&gt;0,I1011&gt;0),"Rendben",IF(AND(H1011=0,I1011=0),"Nincs kép és adat",IF(H1011=0,"Nincs kép","Nincs adat")))</f>
        <v/>
      </c>
      <c r="L1011" s="6" t="inlineStr">
        <is>
          <t>Igen</t>
        </is>
      </c>
      <c r="M1011" s="7" t="inlineStr">
        <is>
          <t>shop.kloeckner.at webáruház</t>
        </is>
      </c>
      <c r="N1011" s="7" t="inlineStr">
        <is>
          <t>Megtalálva: Aluminium Warzenbleche 000000000913001044 (kód: 000000000913001044)</t>
        </is>
      </c>
      <c r="O1011" s="11" t="inlineStr">
        <is>
          <t>https://shop.kloeckner.at/aluminium-warzenbleche/p/1011072</t>
        </is>
      </c>
      <c r="P1011" s="11" t="inlineStr">
        <is>
          <t>https://website-9ib.pages.dev/termek/s-5-6-5x1250x2500-mm-cseppmintas-en-aw-5754-h114/</t>
        </is>
      </c>
      <c r="Q1011" s="12" t="inlineStr"/>
      <c r="R1011" s="13" t="inlineStr"/>
      <c r="S1011" s="6" t="inlineStr">
        <is>
          <t>s-5-6-5x1250x2500-mm-cseppmintas-en-aw-5754-h114</t>
        </is>
      </c>
    </row>
    <row r="1012">
      <c r="A1012" s="6" t="inlineStr"/>
      <c r="B1012" s="7" t="inlineStr">
        <is>
          <t>S 6x1250x2500 mm Alu lemez EN AW-5754 H22</t>
        </is>
      </c>
      <c r="C1012" s="6" t="inlineStr">
        <is>
          <t>Alumínium lemezek</t>
        </is>
      </c>
      <c r="D1012" s="6" t="inlineStr">
        <is>
          <t>Sima lemez</t>
        </is>
      </c>
      <c r="E1012" s="6" t="inlineStr">
        <is>
          <t>Klöckner</t>
        </is>
      </c>
      <c r="F1012" s="6" t="inlineStr"/>
      <c r="G1012" s="6" t="inlineStr">
        <is>
          <t>Quadris Excel</t>
        </is>
      </c>
      <c r="H1012" s="6" t="n">
        <v>2</v>
      </c>
      <c r="I1012" s="6" t="n">
        <v>10</v>
      </c>
      <c r="J1012" s="6" t="inlineStr">
        <is>
          <t>nincs</t>
        </is>
      </c>
      <c r="K1012" s="6">
        <f>IF(AND(H1012&gt;0,I1012&gt;0),"Rendben",IF(AND(H1012=0,I1012=0),"Nincs kép és adat",IF(H1012=0,"Nincs kép","Nincs adat")))</f>
        <v/>
      </c>
      <c r="L1012" s="6" t="inlineStr">
        <is>
          <t>Igen</t>
        </is>
      </c>
      <c r="M1012" s="7" t="inlineStr">
        <is>
          <t>shop.kloeckner.at webáruház</t>
        </is>
      </c>
      <c r="N1012" s="7" t="inlineStr">
        <is>
          <t>Megtalálva: Aluminiumbleche 000000000913002695 (kód: 000000000913002695)</t>
        </is>
      </c>
      <c r="O1012" s="11" t="inlineStr">
        <is>
          <t>https://shop.kloeckner.at/aluminiumbleche/p/1011070</t>
        </is>
      </c>
      <c r="P1012" s="11" t="inlineStr">
        <is>
          <t>https://website-9ib.pages.dev/termek/s-6x1250x2500-mm-alu-lemez-en-aw-5754-h22/</t>
        </is>
      </c>
      <c r="Q1012" s="12" t="inlineStr"/>
      <c r="R1012" s="13" t="inlineStr"/>
      <c r="S1012" s="6" t="inlineStr">
        <is>
          <t>s-6x1250x2500-mm-alu-lemez-en-aw-5754-h22</t>
        </is>
      </c>
    </row>
    <row r="1013">
      <c r="A1013" s="6" t="inlineStr">
        <is>
          <t>252003</t>
        </is>
      </c>
      <c r="B1013" s="7" t="inlineStr">
        <is>
          <t>20x3 mm Alu lapos profil</t>
        </is>
      </c>
      <c r="C1013" s="6" t="inlineStr">
        <is>
          <t>Ipari félgyártmányok</t>
        </is>
      </c>
      <c r="D1013" s="6" t="inlineStr">
        <is>
          <t>Lapos profil</t>
        </is>
      </c>
      <c r="E1013" s="6" t="inlineStr">
        <is>
          <t>Klöckner</t>
        </is>
      </c>
      <c r="F1013" s="6" t="inlineStr"/>
      <c r="G1013" s="6" t="inlineStr">
        <is>
          <t>Quadris Excel</t>
        </is>
      </c>
      <c r="H1013" s="6" t="n">
        <v>3</v>
      </c>
      <c r="I1013" s="6" t="n">
        <v>9</v>
      </c>
      <c r="J1013" s="6" t="inlineStr">
        <is>
          <t>nincs</t>
        </is>
      </c>
      <c r="K1013" s="6">
        <f>IF(AND(H1013&gt;0,I1013&gt;0),"Rendben",IF(AND(H1013=0,I1013=0),"Nincs kép és adat",IF(H1013=0,"Nincs kép","Nincs adat")))</f>
        <v/>
      </c>
      <c r="L1013" s="6" t="inlineStr">
        <is>
          <t>Igen</t>
        </is>
      </c>
      <c r="M1013" s="7" t="inlineStr">
        <is>
          <t>shop.kloeckner.at webáruház</t>
        </is>
      </c>
      <c r="N1013" s="7" t="inlineStr">
        <is>
          <t>Megtalálva: Aluminium Flach 000000000913200266 (kód: 000000000913200266)</t>
        </is>
      </c>
      <c r="O1013" s="11" t="inlineStr">
        <is>
          <t>https://shop.kloeckner.at/aluminium-flach/p/1011153</t>
        </is>
      </c>
      <c r="P1013" s="11" t="inlineStr">
        <is>
          <t>https://website-9ib.pages.dev/termek/252003-20x3-mm-alu-lapos-profil/</t>
        </is>
      </c>
      <c r="Q1013" s="12" t="inlineStr"/>
      <c r="R1013" s="13" t="inlineStr"/>
      <c r="S1013" s="6" t="inlineStr">
        <is>
          <t>252003-20x3-mm-alu-lapos-profil</t>
        </is>
      </c>
    </row>
    <row r="1014">
      <c r="A1014" s="6" t="inlineStr">
        <is>
          <t>250305</t>
        </is>
      </c>
      <c r="B1014" s="7" t="inlineStr">
        <is>
          <t>30x5 mm Alu lapos profil</t>
        </is>
      </c>
      <c r="C1014" s="6" t="inlineStr">
        <is>
          <t>Ipari félgyártmányok</t>
        </is>
      </c>
      <c r="D1014" s="6" t="inlineStr">
        <is>
          <t>Lapos profil</t>
        </is>
      </c>
      <c r="E1014" s="6" t="inlineStr">
        <is>
          <t>Klöckner</t>
        </is>
      </c>
      <c r="F1014" s="6" t="inlineStr"/>
      <c r="G1014" s="6" t="inlineStr">
        <is>
          <t>Quadris Excel</t>
        </is>
      </c>
      <c r="H1014" s="6" t="n">
        <v>3</v>
      </c>
      <c r="I1014" s="6" t="n">
        <v>9</v>
      </c>
      <c r="J1014" s="6" t="inlineStr">
        <is>
          <t>nincs</t>
        </is>
      </c>
      <c r="K1014" s="6">
        <f>IF(AND(H1014&gt;0,I1014&gt;0),"Rendben",IF(AND(H1014=0,I1014=0),"Nincs kép és adat",IF(H1014=0,"Nincs kép","Nincs adat")))</f>
        <v/>
      </c>
      <c r="L1014" s="6" t="inlineStr">
        <is>
          <t>Igen</t>
        </is>
      </c>
      <c r="M1014" s="7" t="inlineStr">
        <is>
          <t>shop.kloeckner.at webáruház</t>
        </is>
      </c>
      <c r="N1014" s="7" t="inlineStr">
        <is>
          <t>Megtalálva: Aluminium Flach 000000000913200290 (kód: 000000000913200290)</t>
        </is>
      </c>
      <c r="O1014" s="11" t="inlineStr">
        <is>
          <t>https://shop.kloeckner.at/aluminium-flach/p/1011153</t>
        </is>
      </c>
      <c r="P1014" s="11" t="inlineStr">
        <is>
          <t>https://website-9ib.pages.dev/termek/250305-30x5-mm-alu-lapos-profil/</t>
        </is>
      </c>
      <c r="Q1014" s="12" t="inlineStr"/>
      <c r="R1014" s="13" t="inlineStr"/>
      <c r="S1014" s="6" t="inlineStr">
        <is>
          <t>250305-30x5-mm-alu-lapos-profil</t>
        </is>
      </c>
    </row>
    <row r="1015">
      <c r="A1015" s="6" t="inlineStr">
        <is>
          <t>252251</t>
        </is>
      </c>
      <c r="B1015" s="7" t="inlineStr">
        <is>
          <t>40x10 mm Alu lapos profil</t>
        </is>
      </c>
      <c r="C1015" s="6" t="inlineStr">
        <is>
          <t>Ipari félgyártmányok</t>
        </is>
      </c>
      <c r="D1015" s="6" t="inlineStr">
        <is>
          <t>Lapos profil</t>
        </is>
      </c>
      <c r="E1015" s="6" t="inlineStr">
        <is>
          <t>Klöckner</t>
        </is>
      </c>
      <c r="F1015" s="6" t="inlineStr">
        <is>
          <t>6060A /T6</t>
        </is>
      </c>
      <c r="G1015" s="6" t="inlineStr">
        <is>
          <t>Quadris Excel</t>
        </is>
      </c>
      <c r="H1015" s="6" t="n">
        <v>3</v>
      </c>
      <c r="I1015" s="6" t="n">
        <v>9</v>
      </c>
      <c r="J1015" s="6" t="inlineStr">
        <is>
          <t>nincs</t>
        </is>
      </c>
      <c r="K1015" s="6">
        <f>IF(AND(H1015&gt;0,I1015&gt;0),"Rendben",IF(AND(H1015=0,I1015=0),"Nincs kép és adat",IF(H1015=0,"Nincs kép","Nincs adat")))</f>
        <v/>
      </c>
      <c r="L1015" s="6" t="inlineStr">
        <is>
          <t>Igen</t>
        </is>
      </c>
      <c r="M1015" s="7" t="inlineStr">
        <is>
          <t>shop.kloeckner.at webáruház</t>
        </is>
      </c>
      <c r="N1015" s="7" t="inlineStr">
        <is>
          <t>Megtalálva: Aluminium Flach 000000000913200325 (kód: 000000000913200325)</t>
        </is>
      </c>
      <c r="O1015" s="11" t="inlineStr">
        <is>
          <t>https://shop.kloeckner.at/aluminium-flach/p/1011153</t>
        </is>
      </c>
      <c r="P1015" s="11" t="inlineStr">
        <is>
          <t>https://website-9ib.pages.dev/termek/252251-40x10-mm-alu-lapos-profil/</t>
        </is>
      </c>
      <c r="Q1015" s="12" t="inlineStr"/>
      <c r="R1015" s="13" t="inlineStr"/>
      <c r="S1015" s="6" t="inlineStr">
        <is>
          <t>252251-40x10-mm-alu-lapos-profil</t>
        </is>
      </c>
    </row>
    <row r="1016">
      <c r="A1016" s="6" t="inlineStr">
        <is>
          <t>252229</t>
        </is>
      </c>
      <c r="B1016" s="7" t="inlineStr">
        <is>
          <t>40x40x4 alu zártszelvény</t>
        </is>
      </c>
      <c r="C1016" s="6" t="inlineStr">
        <is>
          <t>Ipari félgyártmányok</t>
        </is>
      </c>
      <c r="D1016" s="6" t="inlineStr">
        <is>
          <t>Zártszelvény</t>
        </is>
      </c>
      <c r="E1016" s="6" t="inlineStr">
        <is>
          <t>Klöckner</t>
        </is>
      </c>
      <c r="F1016" s="6" t="inlineStr"/>
      <c r="G1016" s="6" t="inlineStr">
        <is>
          <t>Quadris Excel</t>
        </is>
      </c>
      <c r="H1016" s="6" t="n">
        <v>3</v>
      </c>
      <c r="I1016" s="6" t="n">
        <v>9</v>
      </c>
      <c r="J1016" s="6" t="inlineStr">
        <is>
          <t>nincs</t>
        </is>
      </c>
      <c r="K1016" s="6">
        <f>IF(AND(H1016&gt;0,I1016&gt;0),"Rendben",IF(AND(H1016=0,I1016=0),"Nincs kép és adat",IF(H1016=0,"Nincs kép","Nincs adat")))</f>
        <v/>
      </c>
      <c r="L1016" s="6" t="inlineStr">
        <is>
          <t>Igen</t>
        </is>
      </c>
      <c r="M1016" s="7" t="inlineStr">
        <is>
          <t>shop.kloeckner.at webáruház</t>
        </is>
      </c>
      <c r="N1016" s="7" t="inlineStr">
        <is>
          <t>Megtalálva: Aluminium Quadratrohr 000000000913200229 (kód: 000000000913200229)</t>
        </is>
      </c>
      <c r="O1016" s="11" t="inlineStr">
        <is>
          <t>https://shop.kloeckner.at/aluminium-quadratrohr/p/1011098</t>
        </is>
      </c>
      <c r="P1016" s="11" t="inlineStr">
        <is>
          <t>https://website-9ib.pages.dev/termek/252229-40x40x4-alu-zartszelveny/</t>
        </is>
      </c>
      <c r="Q1016" s="12" t="inlineStr"/>
      <c r="R1016" s="13" t="inlineStr"/>
      <c r="S1016" s="6" t="inlineStr">
        <is>
          <t>252229-40x40x4-alu-zartszelveny</t>
        </is>
      </c>
    </row>
    <row r="1017">
      <c r="A1017" s="6" t="inlineStr">
        <is>
          <t>250405</t>
        </is>
      </c>
      <c r="B1017" s="7" t="inlineStr">
        <is>
          <t>40x5 mm Alu lapos profil</t>
        </is>
      </c>
      <c r="C1017" s="6" t="inlineStr">
        <is>
          <t>Ipari félgyártmányok</t>
        </is>
      </c>
      <c r="D1017" s="6" t="inlineStr">
        <is>
          <t>Lapos profil</t>
        </is>
      </c>
      <c r="E1017" s="6" t="inlineStr">
        <is>
          <t>Klöckner</t>
        </is>
      </c>
      <c r="F1017" s="6" t="inlineStr">
        <is>
          <t>C01PI4005</t>
        </is>
      </c>
      <c r="G1017" s="6" t="inlineStr">
        <is>
          <t>Quadris Excel</t>
        </is>
      </c>
      <c r="H1017" s="6" t="n">
        <v>3</v>
      </c>
      <c r="I1017" s="6" t="n">
        <v>9</v>
      </c>
      <c r="J1017" s="6" t="inlineStr">
        <is>
          <t>nincs</t>
        </is>
      </c>
      <c r="K1017" s="6">
        <f>IF(AND(H1017&gt;0,I1017&gt;0),"Rendben",IF(AND(H1017=0,I1017=0),"Nincs kép és adat",IF(H1017=0,"Nincs kép","Nincs adat")))</f>
        <v/>
      </c>
      <c r="L1017" s="6" t="inlineStr">
        <is>
          <t>Igen</t>
        </is>
      </c>
      <c r="M1017" s="7" t="inlineStr">
        <is>
          <t>shop.kloeckner.at webáruház</t>
        </is>
      </c>
      <c r="N1017" s="7" t="inlineStr">
        <is>
          <t>Megtalálva: Aluminium Flach 000000000913200292 (kód: 000000000913200292)</t>
        </is>
      </c>
      <c r="O1017" s="11" t="inlineStr">
        <is>
          <t>https://shop.kloeckner.at/aluminium-flach/p/1011153</t>
        </is>
      </c>
      <c r="P1017" s="11" t="inlineStr">
        <is>
          <t>https://website-9ib.pages.dev/termek/250405-40x5-mm-alu-lapos-profil/</t>
        </is>
      </c>
      <c r="Q1017" s="12" t="inlineStr"/>
      <c r="R1017" s="13" t="inlineStr"/>
      <c r="S1017" s="6" t="inlineStr">
        <is>
          <t>250405-40x5-mm-alu-lapos-profil</t>
        </is>
      </c>
    </row>
    <row r="1018">
      <c r="A1018" s="6" t="inlineStr">
        <is>
          <t>253337</t>
        </is>
      </c>
      <c r="B1018" s="7" t="inlineStr">
        <is>
          <t>50x50x4 alu zártszelvény</t>
        </is>
      </c>
      <c r="C1018" s="6" t="inlineStr">
        <is>
          <t>Ipari félgyártmányok</t>
        </is>
      </c>
      <c r="D1018" s="6" t="inlineStr">
        <is>
          <t>Zártszelvény</t>
        </is>
      </c>
      <c r="E1018" s="6" t="inlineStr">
        <is>
          <t>Klöckner</t>
        </is>
      </c>
      <c r="F1018" s="6" t="inlineStr"/>
      <c r="G1018" s="6" t="inlineStr">
        <is>
          <t>Quadris Excel</t>
        </is>
      </c>
      <c r="H1018" s="6" t="n">
        <v>3</v>
      </c>
      <c r="I1018" s="6" t="n">
        <v>9</v>
      </c>
      <c r="J1018" s="6" t="inlineStr">
        <is>
          <t>nincs</t>
        </is>
      </c>
      <c r="K1018" s="6">
        <f>IF(AND(H1018&gt;0,I1018&gt;0),"Rendben",IF(AND(H1018=0,I1018=0),"Nincs kép és adat",IF(H1018=0,"Nincs kép","Nincs adat")))</f>
        <v/>
      </c>
      <c r="L1018" s="6" t="inlineStr">
        <is>
          <t>Igen</t>
        </is>
      </c>
      <c r="M1018" s="7" t="inlineStr">
        <is>
          <t>shop.kloeckner.at webáruház</t>
        </is>
      </c>
      <c r="N1018" s="7" t="inlineStr">
        <is>
          <t>Megtalálva: Aluminium Quadratrohr 000000000913200230 (kód: 000000000913200230)</t>
        </is>
      </c>
      <c r="O1018" s="11" t="inlineStr">
        <is>
          <t>https://shop.kloeckner.at/aluminium-quadratrohr/p/1011098</t>
        </is>
      </c>
      <c r="P1018" s="11" t="inlineStr">
        <is>
          <t>https://website-9ib.pages.dev/termek/253337-50x50x4-alu-zartszelveny/</t>
        </is>
      </c>
      <c r="Q1018" s="12" t="inlineStr"/>
      <c r="R1018" s="13" t="inlineStr"/>
      <c r="S1018" s="6" t="inlineStr">
        <is>
          <t>253337-50x50x4-alu-zartszelveny</t>
        </is>
      </c>
    </row>
    <row r="1019">
      <c r="A1019" s="6" t="inlineStr"/>
      <c r="B1019" s="7" t="inlineStr">
        <is>
          <t>121018-SL Rakományrögzítő rúd ALU 1650-2050 mm</t>
        </is>
      </c>
      <c r="C1019" s="6" t="inlineStr">
        <is>
          <t>Rakományrögzítés</t>
        </is>
      </c>
      <c r="D1019" s="6" t="inlineStr">
        <is>
          <t>Rakományrögzítés</t>
        </is>
      </c>
      <c r="E1019" s="6" t="inlineStr">
        <is>
          <t>Load Look</t>
        </is>
      </c>
      <c r="F1019" s="6" t="inlineStr">
        <is>
          <t>18AL-SL</t>
        </is>
      </c>
      <c r="G1019" s="6" t="inlineStr">
        <is>
          <t>Quadris Excel</t>
        </is>
      </c>
      <c r="H1019" s="6" t="n">
        <v>0</v>
      </c>
      <c r="I1019" s="6" t="n">
        <v>0</v>
      </c>
      <c r="J1019" s="6" t="inlineStr">
        <is>
          <t>nincs</t>
        </is>
      </c>
      <c r="K1019" s="6">
        <f>IF(AND(H1019&gt;0,I1019&gt;0),"Rendben",IF(AND(H1019=0,I1019=0),"Nincs kép és adat",IF(H1019=0,"Nincs kép","Nincs adat")))</f>
        <v/>
      </c>
      <c r="L1019" s="6" t="inlineStr">
        <is>
          <t>Nem</t>
        </is>
      </c>
      <c r="M1019" s="7" t="inlineStr">
        <is>
          <t>–</t>
        </is>
      </c>
      <c r="N1019" s="7" t="inlineStr">
        <is>
          <t>Nem kerestük – nincs ismert weboldal vagy katalógus</t>
        </is>
      </c>
      <c r="O1019" s="6" t="inlineStr"/>
      <c r="P1019" s="11" t="inlineStr">
        <is>
          <t>https://website-9ib.pages.dev/termek/121018-sl-rakomanyrogzito-rud-alu-1650-2050-mm/</t>
        </is>
      </c>
      <c r="Q1019" s="12" t="inlineStr"/>
      <c r="R1019" s="13" t="inlineStr"/>
      <c r="S1019" s="6" t="inlineStr">
        <is>
          <t>121018-sl-rakomanyrogzito-rud-alu-1650-2050-mm</t>
        </is>
      </c>
    </row>
    <row r="1020">
      <c r="A1020" s="6" t="inlineStr">
        <is>
          <t>121019</t>
        </is>
      </c>
      <c r="B1020" s="7" t="inlineStr">
        <is>
          <t>Rakományrögzítő rúd ALU 2050-2450 mm</t>
        </is>
      </c>
      <c r="C1020" s="6" t="inlineStr">
        <is>
          <t>Rakományrögzítés</t>
        </is>
      </c>
      <c r="D1020" s="6" t="inlineStr">
        <is>
          <t>Rakományrögzítés</t>
        </is>
      </c>
      <c r="E1020" s="6" t="inlineStr">
        <is>
          <t>Load Look</t>
        </is>
      </c>
      <c r="F1020" s="6" t="inlineStr">
        <is>
          <t>18AL</t>
        </is>
      </c>
      <c r="G1020" s="6" t="inlineStr">
        <is>
          <t>Quadris Excel</t>
        </is>
      </c>
      <c r="H1020" s="6" t="n">
        <v>0</v>
      </c>
      <c r="I1020" s="6" t="n">
        <v>0</v>
      </c>
      <c r="J1020" s="6" t="inlineStr">
        <is>
          <t>nincs</t>
        </is>
      </c>
      <c r="K1020" s="6">
        <f>IF(AND(H1020&gt;0,I1020&gt;0),"Rendben",IF(AND(H1020=0,I1020=0),"Nincs kép és adat",IF(H1020=0,"Nincs kép","Nincs adat")))</f>
        <v/>
      </c>
      <c r="L1020" s="6" t="inlineStr">
        <is>
          <t>Nem</t>
        </is>
      </c>
      <c r="M1020" s="7" t="inlineStr">
        <is>
          <t>–</t>
        </is>
      </c>
      <c r="N1020" s="7" t="inlineStr">
        <is>
          <t>Nem kerestük – nincs ismert weboldal vagy katalógus</t>
        </is>
      </c>
      <c r="O1020" s="6" t="inlineStr"/>
      <c r="P1020" s="11" t="inlineStr">
        <is>
          <t>https://website-9ib.pages.dev/termek/121019-rakomanyrogzito-rud-alu-2050-2450-mm/</t>
        </is>
      </c>
      <c r="Q1020" s="12" t="inlineStr"/>
      <c r="R1020" s="13" t="inlineStr"/>
      <c r="S1020" s="6" t="inlineStr">
        <is>
          <t>121019-rakomanyrogzito-rud-alu-2050-2450-mm</t>
        </is>
      </c>
    </row>
    <row r="1021">
      <c r="A1021" s="6" t="inlineStr"/>
      <c r="B1021" s="7" t="inlineStr">
        <is>
          <t>Rámpa 040x615x2500</t>
        </is>
      </c>
      <c r="C1021" s="6" t="inlineStr">
        <is>
          <t>Hátsó ajtók és áthajtó rámpák</t>
        </is>
      </c>
      <c r="D1021" s="6" t="inlineStr">
        <is>
          <t>Áthajtórámpa</t>
        </is>
      </c>
      <c r="E1021" s="6" t="inlineStr">
        <is>
          <t>MetalMec</t>
        </is>
      </c>
      <c r="F1021" s="6" t="inlineStr">
        <is>
          <t>MM045ST.60.25</t>
        </is>
      </c>
      <c r="G1021" s="6" t="inlineStr">
        <is>
          <t>Quadris Excel</t>
        </is>
      </c>
      <c r="H1021" s="6" t="n">
        <v>0</v>
      </c>
      <c r="I1021" s="6" t="n">
        <v>0</v>
      </c>
      <c r="J1021" s="6" t="inlineStr">
        <is>
          <t>nincs</t>
        </is>
      </c>
      <c r="K1021" s="6">
        <f>IF(AND(H1021&gt;0,I1021&gt;0),"Rendben",IF(AND(H1021=0,I1021=0),"Nincs kép és adat",IF(H1021=0,"Nincs kép","Nincs adat")))</f>
        <v/>
      </c>
      <c r="L1021" s="6" t="inlineStr">
        <is>
          <t>Nem</t>
        </is>
      </c>
      <c r="M1021" s="7" t="inlineStr">
        <is>
          <t>–</t>
        </is>
      </c>
      <c r="N1021" s="7" t="inlineStr">
        <is>
          <t>Nem kerestük – nincs ismert weboldal vagy katalógus</t>
        </is>
      </c>
      <c r="O1021" s="6" t="inlineStr"/>
      <c r="P1021" s="11" t="inlineStr">
        <is>
          <t>https://website-9ib.pages.dev/termek/rampa-040x615x2500/</t>
        </is>
      </c>
      <c r="Q1021" s="12" t="inlineStr"/>
      <c r="R1021" s="13" t="inlineStr"/>
      <c r="S1021" s="6" t="inlineStr">
        <is>
          <t>rampa-040x615x2500</t>
        </is>
      </c>
    </row>
    <row r="1022">
      <c r="A1022" s="6" t="inlineStr"/>
      <c r="B1022" s="7" t="inlineStr">
        <is>
          <t>Áthajtó rámpa</t>
        </is>
      </c>
      <c r="C1022" s="6" t="inlineStr">
        <is>
          <t>Hátsó ajtók és áthajtó rámpák</t>
        </is>
      </c>
      <c r="D1022" s="6" t="inlineStr">
        <is>
          <t>Áthajtórámpa</t>
        </is>
      </c>
      <c r="E1022" s="6" t="inlineStr">
        <is>
          <t>MetalMec</t>
        </is>
      </c>
      <c r="F1022" s="6" t="inlineStr">
        <is>
          <t>MS030AC</t>
        </is>
      </c>
      <c r="G1022" s="6" t="inlineStr">
        <is>
          <t>Quadris Excel</t>
        </is>
      </c>
      <c r="H1022" s="6" t="n">
        <v>0</v>
      </c>
      <c r="I1022" s="6" t="n">
        <v>0</v>
      </c>
      <c r="J1022" s="6" t="inlineStr">
        <is>
          <t>nincs</t>
        </is>
      </c>
      <c r="K1022" s="6">
        <f>IF(AND(H1022&gt;0,I1022&gt;0),"Rendben",IF(AND(H1022=0,I1022=0),"Nincs kép és adat",IF(H1022=0,"Nincs kép","Nincs adat")))</f>
        <v/>
      </c>
      <c r="L1022" s="6" t="inlineStr">
        <is>
          <t>Nem</t>
        </is>
      </c>
      <c r="M1022" s="7" t="inlineStr">
        <is>
          <t>–</t>
        </is>
      </c>
      <c r="N1022" s="7" t="inlineStr">
        <is>
          <t>Nem kerestük – nincs ismert weboldal vagy katalógus</t>
        </is>
      </c>
      <c r="O1022" s="6" t="inlineStr"/>
      <c r="P1022" s="11" t="inlineStr">
        <is>
          <t>https://website-9ib.pages.dev/termek/athajto-rampa/</t>
        </is>
      </c>
      <c r="Q1022" s="12" t="inlineStr"/>
      <c r="R1022" s="13" t="inlineStr"/>
      <c r="S1022" s="6" t="inlineStr">
        <is>
          <t>athajto-rampa</t>
        </is>
      </c>
    </row>
    <row r="1023">
      <c r="A1023" s="6" t="inlineStr">
        <is>
          <t>220326/n</t>
        </is>
      </c>
      <c r="B1023" s="7" t="inlineStr">
        <is>
          <t>"u" 25 mm szegő profil M</t>
        </is>
      </c>
      <c r="C1023" s="6" t="inlineStr">
        <is>
          <t>Platós és ponyvás oldalfal profilok és szegők</t>
        </is>
      </c>
      <c r="D1023" s="6" t="inlineStr">
        <is>
          <t>Szegő profilok</t>
        </is>
      </c>
      <c r="E1023" s="6" t="inlineStr">
        <is>
          <t>Metra</t>
        </is>
      </c>
      <c r="F1023" s="6" t="inlineStr">
        <is>
          <t>B0326</t>
        </is>
      </c>
      <c r="G1023" s="6" t="inlineStr">
        <is>
          <t>Quadris Excel</t>
        </is>
      </c>
      <c r="H1023" s="6" t="n">
        <v>1</v>
      </c>
      <c r="I1023" s="6" t="n">
        <v>7</v>
      </c>
      <c r="J1023" s="6" t="inlineStr">
        <is>
          <t>nincs</t>
        </is>
      </c>
      <c r="K1023" s="6">
        <f>IF(AND(H1023&gt;0,I1023&gt;0),"Rendben",IF(AND(H1023=0,I1023=0),"Nincs kép és adat",IF(H1023=0,"Nincs kép","Nincs adat")))</f>
        <v/>
      </c>
      <c r="L1023" s="6" t="inlineStr">
        <is>
          <t>Igen</t>
        </is>
      </c>
      <c r="M1023" s="7" t="inlineStr">
        <is>
          <t>Metra Fahrzeugbau katalógus (Drive)</t>
        </is>
      </c>
      <c r="N1023" s="7" t="inlineStr">
        <is>
          <t>Megtalálva: Metra B 326 (kód: B 326)</t>
        </is>
      </c>
      <c r="O1023" s="11" t="inlineStr">
        <is>
          <t>https://www.metraluminium.it</t>
        </is>
      </c>
      <c r="P1023" s="11" t="inlineStr">
        <is>
          <t>https://website-9ib.pages.dev/termek/220326-n-u-25-mm-szego-profil-m/</t>
        </is>
      </c>
      <c r="Q1023" s="12" t="inlineStr"/>
      <c r="R1023" s="13" t="inlineStr"/>
      <c r="S1023" s="6" t="inlineStr">
        <is>
          <t>220326-n-u-25-mm-szego-profil-m</t>
        </is>
      </c>
    </row>
    <row r="1024">
      <c r="A1024" s="6" t="inlineStr">
        <is>
          <t>220326</t>
        </is>
      </c>
      <c r="B1024" s="7" t="inlineStr">
        <is>
          <t>"u" 25 mm szegő profil elox M</t>
        </is>
      </c>
      <c r="C1024" s="6" t="inlineStr">
        <is>
          <t>Platós és ponyvás oldalfal profilok és szegők</t>
        </is>
      </c>
      <c r="D1024" s="6" t="inlineStr">
        <is>
          <t>Szegő profilok</t>
        </is>
      </c>
      <c r="E1024" s="6" t="inlineStr">
        <is>
          <t>Metra</t>
        </is>
      </c>
      <c r="F1024" s="6" t="inlineStr">
        <is>
          <t>B0326</t>
        </is>
      </c>
      <c r="G1024" s="6" t="inlineStr">
        <is>
          <t>Quadris Excel</t>
        </is>
      </c>
      <c r="H1024" s="6" t="n">
        <v>1</v>
      </c>
      <c r="I1024" s="6" t="n">
        <v>7</v>
      </c>
      <c r="J1024" s="6" t="inlineStr">
        <is>
          <t>nincs</t>
        </is>
      </c>
      <c r="K1024" s="6">
        <f>IF(AND(H1024&gt;0,I1024&gt;0),"Rendben",IF(AND(H1024=0,I1024=0),"Nincs kép és adat",IF(H1024=0,"Nincs kép","Nincs adat")))</f>
        <v/>
      </c>
      <c r="L1024" s="6" t="inlineStr">
        <is>
          <t>Igen</t>
        </is>
      </c>
      <c r="M1024" s="7" t="inlineStr">
        <is>
          <t>Metra Fahrzeugbau katalógus (Drive)</t>
        </is>
      </c>
      <c r="N1024" s="7" t="inlineStr">
        <is>
          <t>Megtalálva: Metra B 326 (kód: B 326)</t>
        </is>
      </c>
      <c r="O1024" s="11" t="inlineStr">
        <is>
          <t>https://www.metraluminium.it</t>
        </is>
      </c>
      <c r="P1024" s="11" t="inlineStr">
        <is>
          <t>https://website-9ib.pages.dev/termek/220326-u-25-mm-szego-profil-elox-m/</t>
        </is>
      </c>
      <c r="Q1024" s="12" t="inlineStr"/>
      <c r="R1024" s="13" t="inlineStr"/>
      <c r="S1024" s="6" t="inlineStr">
        <is>
          <t>220326-u-25-mm-szego-profil-elox-m</t>
        </is>
      </c>
    </row>
    <row r="1025">
      <c r="A1025" s="6" t="inlineStr">
        <is>
          <t>226830</t>
        </is>
      </c>
      <c r="B1025" s="7" t="inlineStr">
        <is>
          <t>300 mm MONO profil elox</t>
        </is>
      </c>
      <c r="C1025" s="6" t="inlineStr">
        <is>
          <t>Platós és ponyvás oldalfal profilok és szegők</t>
        </is>
      </c>
      <c r="D1025" s="6" t="inlineStr">
        <is>
          <t>25 mm monó profilok</t>
        </is>
      </c>
      <c r="E1025" s="6" t="inlineStr">
        <is>
          <t>Metra</t>
        </is>
      </c>
      <c r="F1025" s="6" t="inlineStr">
        <is>
          <t>R6830</t>
        </is>
      </c>
      <c r="G1025" s="6" t="inlineStr">
        <is>
          <t>Quadris Excel</t>
        </is>
      </c>
      <c r="H1025" s="6" t="n">
        <v>1</v>
      </c>
      <c r="I1025" s="6" t="n">
        <v>9</v>
      </c>
      <c r="J1025" s="6" t="inlineStr">
        <is>
          <t>nincs</t>
        </is>
      </c>
      <c r="K1025" s="6">
        <f>IF(AND(H1025&gt;0,I1025&gt;0),"Rendben",IF(AND(H1025=0,I1025=0),"Nincs kép és adat",IF(H1025=0,"Nincs kép","Nincs adat")))</f>
        <v/>
      </c>
      <c r="L1025" s="6" t="inlineStr">
        <is>
          <t>Igen</t>
        </is>
      </c>
      <c r="M1025" s="7" t="inlineStr">
        <is>
          <t>Metra Fahrzeugbau katalógus (Drive)</t>
        </is>
      </c>
      <c r="N1025" s="7" t="inlineStr">
        <is>
          <t>Megtalálva: Metra R 6830 (kód: R 6830)</t>
        </is>
      </c>
      <c r="O1025" s="11" t="inlineStr">
        <is>
          <t>https://www.metraluminium.it</t>
        </is>
      </c>
      <c r="P1025" s="11" t="inlineStr">
        <is>
          <t>https://website-9ib.pages.dev/termek/226830-300-mm-mono-profil-elox/</t>
        </is>
      </c>
      <c r="Q1025" s="12" t="inlineStr"/>
      <c r="R1025" s="13" t="inlineStr"/>
      <c r="S1025" s="6" t="inlineStr">
        <is>
          <t>226830-300-mm-mono-profil-elox</t>
        </is>
      </c>
    </row>
    <row r="1026">
      <c r="A1026" s="6" t="inlineStr">
        <is>
          <t>223350</t>
        </is>
      </c>
      <c r="B1026" s="7" t="inlineStr">
        <is>
          <t>350 mm MONO profil szakálas elox</t>
        </is>
      </c>
      <c r="C1026" s="6" t="inlineStr">
        <is>
          <t>Platós és ponyvás oldalfal profilok és szegők</t>
        </is>
      </c>
      <c r="D1026" s="6" t="inlineStr">
        <is>
          <t>25 mm monó profilok</t>
        </is>
      </c>
      <c r="E1026" s="6" t="inlineStr">
        <is>
          <t>Metra</t>
        </is>
      </c>
      <c r="F1026" s="6" t="inlineStr">
        <is>
          <t>R7784</t>
        </is>
      </c>
      <c r="G1026" s="6" t="inlineStr">
        <is>
          <t>Quadris Excel</t>
        </is>
      </c>
      <c r="H1026" s="6" t="n">
        <v>1</v>
      </c>
      <c r="I1026" s="6" t="n">
        <v>9</v>
      </c>
      <c r="J1026" s="6" t="inlineStr">
        <is>
          <t>nincs</t>
        </is>
      </c>
      <c r="K1026" s="6">
        <f>IF(AND(H1026&gt;0,I1026&gt;0),"Rendben",IF(AND(H1026=0,I1026=0),"Nincs kép és adat",IF(H1026=0,"Nincs kép","Nincs adat")))</f>
        <v/>
      </c>
      <c r="L1026" s="6" t="inlineStr">
        <is>
          <t>Igen</t>
        </is>
      </c>
      <c r="M1026" s="7" t="inlineStr">
        <is>
          <t>Metra Fahrzeugbau katalógus (Drive)</t>
        </is>
      </c>
      <c r="N1026" s="7" t="inlineStr">
        <is>
          <t>Megtalálva: Metra R 7784 (kód: R 7784)</t>
        </is>
      </c>
      <c r="O1026" s="11" t="inlineStr">
        <is>
          <t>https://www.metraluminium.it</t>
        </is>
      </c>
      <c r="P1026" s="11" t="inlineStr">
        <is>
          <t>https://website-9ib.pages.dev/termek/223350-350-mm-mono-profil-szakalas-elox/</t>
        </is>
      </c>
      <c r="Q1026" s="12" t="inlineStr"/>
      <c r="R1026" s="13" t="inlineStr"/>
      <c r="S1026" s="6" t="inlineStr">
        <is>
          <t>223350-350-mm-mono-profil-szakalas-elox</t>
        </is>
      </c>
    </row>
    <row r="1027">
      <c r="A1027" s="6" t="inlineStr">
        <is>
          <t>223367</t>
        </is>
      </c>
      <c r="B1027" s="7" t="inlineStr">
        <is>
          <t>400 mm peremes MONOprofil elox</t>
        </is>
      </c>
      <c r="C1027" s="6" t="inlineStr">
        <is>
          <t>Platós és ponyvás oldalfal profilok és szegők</t>
        </is>
      </c>
      <c r="D1027" s="6" t="inlineStr">
        <is>
          <t>25 mm monó profilok</t>
        </is>
      </c>
      <c r="E1027" s="6" t="inlineStr">
        <is>
          <t>Metra</t>
        </is>
      </c>
      <c r="F1027" s="6" t="inlineStr">
        <is>
          <t>3367</t>
        </is>
      </c>
      <c r="G1027" s="6" t="inlineStr">
        <is>
          <t>Quadris Excel</t>
        </is>
      </c>
      <c r="H1027" s="6" t="n">
        <v>1</v>
      </c>
      <c r="I1027" s="6" t="n">
        <v>9</v>
      </c>
      <c r="J1027" s="6" t="inlineStr">
        <is>
          <t>nincs</t>
        </is>
      </c>
      <c r="K1027" s="6">
        <f>IF(AND(H1027&gt;0,I1027&gt;0),"Rendben",IF(AND(H1027=0,I1027=0),"Nincs kép és adat",IF(H1027=0,"Nincs kép","Nincs adat")))</f>
        <v/>
      </c>
      <c r="L1027" s="6" t="inlineStr">
        <is>
          <t>Igen</t>
        </is>
      </c>
      <c r="M1027" s="7" t="inlineStr">
        <is>
          <t>Metra Fahrzeugbau katalógus (Drive)</t>
        </is>
      </c>
      <c r="N1027" s="7" t="inlineStr">
        <is>
          <t>Megtalálva: Metra R 3367 (kód: R 3367)</t>
        </is>
      </c>
      <c r="O1027" s="11" t="inlineStr">
        <is>
          <t>https://www.metraluminium.it</t>
        </is>
      </c>
      <c r="P1027" s="11" t="inlineStr">
        <is>
          <t>https://website-9ib.pages.dev/termek/223367-400-mm-peremes-monoprofil-elox/</t>
        </is>
      </c>
      <c r="Q1027" s="12" t="inlineStr"/>
      <c r="R1027" s="13" t="inlineStr"/>
      <c r="S1027" s="6" t="inlineStr">
        <is>
          <t>223367-400-mm-peremes-monoprofil-elox</t>
        </is>
      </c>
    </row>
    <row r="1028">
      <c r="A1028" s="6" t="inlineStr">
        <is>
          <t>221304</t>
        </is>
      </c>
      <c r="B1028" s="7" t="inlineStr">
        <is>
          <t>50x25 mm Ponyvatartó zártszelvény M</t>
        </is>
      </c>
      <c r="C1028" s="6" t="inlineStr">
        <is>
          <t>Ponyvarendszer kiegészítők</t>
        </is>
      </c>
      <c r="D1028" s="6" t="inlineStr">
        <is>
          <t>Ponyvatartó zártszelvények</t>
        </is>
      </c>
      <c r="E1028" s="6" t="inlineStr">
        <is>
          <t>Metra</t>
        </is>
      </c>
      <c r="F1028" s="6" t="inlineStr">
        <is>
          <t>R1304</t>
        </is>
      </c>
      <c r="G1028" s="6" t="inlineStr">
        <is>
          <t>Quadris Excel</t>
        </is>
      </c>
      <c r="H1028" s="6" t="n">
        <v>1</v>
      </c>
      <c r="I1028" s="6" t="n">
        <v>8</v>
      </c>
      <c r="J1028" s="6" t="inlineStr">
        <is>
          <t>nincs</t>
        </is>
      </c>
      <c r="K1028" s="6">
        <f>IF(AND(H1028&gt;0,I1028&gt;0),"Rendben",IF(AND(H1028=0,I1028=0),"Nincs kép és adat",IF(H1028=0,"Nincs kép","Nincs adat")))</f>
        <v/>
      </c>
      <c r="L1028" s="6" t="inlineStr">
        <is>
          <t>Igen</t>
        </is>
      </c>
      <c r="M1028" s="7" t="inlineStr">
        <is>
          <t>Metra Fahrzeugbau katalógus (Drive)</t>
        </is>
      </c>
      <c r="N1028" s="7" t="inlineStr">
        <is>
          <t>Megtalálva: Metra R 1304 (kód: R 1304)</t>
        </is>
      </c>
      <c r="O1028" s="11" t="inlineStr">
        <is>
          <t>https://www.metraluminium.it</t>
        </is>
      </c>
      <c r="P1028" s="11" t="inlineStr">
        <is>
          <t>https://website-9ib.pages.dev/termek/221304-50x25-mm-ponyvatarto-zartszelveny-m/</t>
        </is>
      </c>
      <c r="Q1028" s="12" t="inlineStr"/>
      <c r="R1028" s="13" t="inlineStr"/>
      <c r="S1028" s="6" t="inlineStr">
        <is>
          <t>221304-50x25-mm-ponyvatarto-zartszelveny-m</t>
        </is>
      </c>
    </row>
    <row r="1029">
      <c r="A1029" s="6" t="inlineStr"/>
      <c r="B1029" s="7" t="inlineStr">
        <is>
          <t>S 1,2x1250x2500mm Fehér festett lemez RAL9016</t>
        </is>
      </c>
      <c r="C1029" s="6" t="inlineStr">
        <is>
          <t>Alumínium lemezek</t>
        </is>
      </c>
      <c r="D1029" s="6" t="inlineStr">
        <is>
          <t>Festett lemez</t>
        </is>
      </c>
      <c r="E1029" s="6" t="inlineStr">
        <is>
          <t>Novelis</t>
        </is>
      </c>
      <c r="F1029" s="6" t="inlineStr"/>
      <c r="G1029" s="6" t="inlineStr">
        <is>
          <t>Quadris Excel</t>
        </is>
      </c>
      <c r="H1029" s="6" t="n">
        <v>3</v>
      </c>
      <c r="I1029" s="6" t="n">
        <v>6</v>
      </c>
      <c r="J1029" s="6" t="inlineStr">
        <is>
          <t>nincs</t>
        </is>
      </c>
      <c r="K1029" s="6">
        <f>IF(AND(H1029&gt;0,I1029&gt;0),"Rendben",IF(AND(H1029=0,I1029=0),"Nincs kép és adat",IF(H1029=0,"Nincs kép","Nincs adat")))</f>
        <v/>
      </c>
      <c r="L1029" s="6" t="inlineStr">
        <is>
          <t>Nem</t>
        </is>
      </c>
      <c r="M1029" s="7" t="inlineStr">
        <is>
          <t>Quadris-megnevezés (nincs beszállítói forrás)</t>
        </is>
      </c>
      <c r="N1029" s="7" t="inlineStr">
        <is>
          <t>Beszállítói forrás nincs – adatlap a Quadris-megnevezésből (méretek, elméleti tömeg)</t>
        </is>
      </c>
      <c r="O1029" s="6" t="inlineStr"/>
      <c r="P1029" s="11" t="inlineStr">
        <is>
          <t>https://website-9ib.pages.dev/termek/s-1-2x1250x2500mm-feher-festett-lemez-ral9016/</t>
        </is>
      </c>
      <c r="Q1029" s="12" t="inlineStr"/>
      <c r="R1029" s="13" t="inlineStr"/>
      <c r="S1029" s="6" t="inlineStr">
        <is>
          <t>s-1-2x1250x2500mm-feher-festett-lemez-ral9016</t>
        </is>
      </c>
    </row>
    <row r="1030">
      <c r="A1030" s="6" t="inlineStr"/>
      <c r="B1030" s="7" t="inlineStr">
        <is>
          <t>S 1,2x1500x2500mm Fehér festett lemez RAL9016</t>
        </is>
      </c>
      <c r="C1030" s="6" t="inlineStr">
        <is>
          <t>Alumínium lemezek</t>
        </is>
      </c>
      <c r="D1030" s="6" t="inlineStr">
        <is>
          <t>Festett lemez</t>
        </is>
      </c>
      <c r="E1030" s="6" t="inlineStr">
        <is>
          <t>Novelis</t>
        </is>
      </c>
      <c r="F1030" s="6" t="inlineStr"/>
      <c r="G1030" s="6" t="inlineStr">
        <is>
          <t>Quadris Excel</t>
        </is>
      </c>
      <c r="H1030" s="6" t="n">
        <v>3</v>
      </c>
      <c r="I1030" s="6" t="n">
        <v>6</v>
      </c>
      <c r="J1030" s="6" t="inlineStr">
        <is>
          <t>nincs</t>
        </is>
      </c>
      <c r="K1030" s="6">
        <f>IF(AND(H1030&gt;0,I1030&gt;0),"Rendben",IF(AND(H1030=0,I1030=0),"Nincs kép és adat",IF(H1030=0,"Nincs kép","Nincs adat")))</f>
        <v/>
      </c>
      <c r="L1030" s="6" t="inlineStr">
        <is>
          <t>Nem</t>
        </is>
      </c>
      <c r="M1030" s="7" t="inlineStr">
        <is>
          <t>Quadris-megnevezés (nincs beszállítói forrás)</t>
        </is>
      </c>
      <c r="N1030" s="7" t="inlineStr">
        <is>
          <t>Beszállítói forrás nincs – adatlap a Quadris-megnevezésből (méretek, elméleti tömeg)</t>
        </is>
      </c>
      <c r="O1030" s="6" t="inlineStr"/>
      <c r="P1030" s="11" t="inlineStr">
        <is>
          <t>https://website-9ib.pages.dev/termek/s-1-2x1500x2500mm-feher-festett-lemez-ral9016/</t>
        </is>
      </c>
      <c r="Q1030" s="12" t="inlineStr"/>
      <c r="R1030" s="13" t="inlineStr"/>
      <c r="S1030" s="6" t="inlineStr">
        <is>
          <t>s-1-2x1500x2500mm-feher-festett-lemez-ral9016</t>
        </is>
      </c>
    </row>
    <row r="1031">
      <c r="A1031" s="6" t="inlineStr"/>
      <c r="B1031" s="7" t="inlineStr">
        <is>
          <t>S 1,2x1500x3000mm Fehér festett lemez RAL9016</t>
        </is>
      </c>
      <c r="C1031" s="6" t="inlineStr">
        <is>
          <t>Alumínium lemezek</t>
        </is>
      </c>
      <c r="D1031" s="6" t="inlineStr">
        <is>
          <t>Festett lemez</t>
        </is>
      </c>
      <c r="E1031" s="6" t="inlineStr">
        <is>
          <t>Novelis</t>
        </is>
      </c>
      <c r="F1031" s="6" t="inlineStr"/>
      <c r="G1031" s="6" t="inlineStr">
        <is>
          <t>Quadris Excel</t>
        </is>
      </c>
      <c r="H1031" s="6" t="n">
        <v>3</v>
      </c>
      <c r="I1031" s="6" t="n">
        <v>6</v>
      </c>
      <c r="J1031" s="6" t="inlineStr">
        <is>
          <t>nincs</t>
        </is>
      </c>
      <c r="K1031" s="6">
        <f>IF(AND(H1031&gt;0,I1031&gt;0),"Rendben",IF(AND(H1031=0,I1031=0),"Nincs kép és adat",IF(H1031=0,"Nincs kép","Nincs adat")))</f>
        <v/>
      </c>
      <c r="L1031" s="6" t="inlineStr">
        <is>
          <t>Nem</t>
        </is>
      </c>
      <c r="M1031" s="7" t="inlineStr">
        <is>
          <t>Quadris-megnevezés (nincs beszállítói forrás)</t>
        </is>
      </c>
      <c r="N1031" s="7" t="inlineStr">
        <is>
          <t>Beszállítói forrás nincs – adatlap a Quadris-megnevezésből (méretek, elméleti tömeg)</t>
        </is>
      </c>
      <c r="O1031" s="6" t="inlineStr"/>
      <c r="P1031" s="11" t="inlineStr">
        <is>
          <t>https://website-9ib.pages.dev/termek/s-1-2x1500x3000mm-feher-festett-lemez-ral9016/</t>
        </is>
      </c>
      <c r="Q1031" s="12" t="inlineStr"/>
      <c r="R1031" s="13" t="inlineStr"/>
      <c r="S1031" s="6" t="inlineStr">
        <is>
          <t>s-1-2x1500x3000mm-feher-festett-lemez-ral9016</t>
        </is>
      </c>
    </row>
    <row r="1032">
      <c r="A1032" s="6" t="inlineStr"/>
      <c r="B1032" s="7" t="inlineStr">
        <is>
          <t>17310-1 Tetőablak 40/80 alu kerettel + kalapács</t>
        </is>
      </c>
      <c r="C1032" s="6" t="inlineStr">
        <is>
          <t>Speciális felépítmény alkatrészek</t>
        </is>
      </c>
      <c r="D1032" s="6" t="inlineStr">
        <is>
          <t>G&amp;C termékek</t>
        </is>
      </c>
      <c r="E1032" s="6" t="inlineStr">
        <is>
          <t>OTO TRIM</t>
        </is>
      </c>
      <c r="F1032" s="6" t="inlineStr">
        <is>
          <t>18-RH-17310-1</t>
        </is>
      </c>
      <c r="G1032" s="6" t="inlineStr">
        <is>
          <t>Quadris Excel</t>
        </is>
      </c>
      <c r="H1032" s="6" t="n">
        <v>0</v>
      </c>
      <c r="I1032" s="6" t="n">
        <v>0</v>
      </c>
      <c r="J1032" s="6" t="inlineStr">
        <is>
          <t>nincs</t>
        </is>
      </c>
      <c r="K1032" s="6">
        <f>IF(AND(H1032&gt;0,I1032&gt;0),"Rendben",IF(AND(H1032=0,I1032=0),"Nincs kép és adat",IF(H1032=0,"Nincs kép","Nincs adat")))</f>
        <v/>
      </c>
      <c r="L1032" s="6" t="inlineStr">
        <is>
          <t>Nem</t>
        </is>
      </c>
      <c r="M1032" s="7" t="inlineStr">
        <is>
          <t>–</t>
        </is>
      </c>
      <c r="N1032" s="7" t="inlineStr">
        <is>
          <t>Nem kerestük – nincs ismert weboldal vagy katalógus</t>
        </is>
      </c>
      <c r="O1032" s="6" t="inlineStr"/>
      <c r="P1032" s="11" t="inlineStr">
        <is>
          <t>https://website-9ib.pages.dev/termek/17310-1-tetoablak-40-80-alu-kerettel-kalapacs/</t>
        </is>
      </c>
      <c r="Q1032" s="12" t="inlineStr"/>
      <c r="R1032" s="13" t="inlineStr"/>
      <c r="S1032" s="6" t="inlineStr">
        <is>
          <t>17310-1-tetoablak-40-80-alu-kerettel-kalapacs</t>
        </is>
      </c>
    </row>
    <row r="1033">
      <c r="A1033" s="6" t="inlineStr"/>
      <c r="B1033" s="7" t="inlineStr">
        <is>
          <t>18533-1 24V E-Tetőablak 945x518 +kapcsoló</t>
        </is>
      </c>
      <c r="C1033" s="6" t="inlineStr">
        <is>
          <t>Speciális felépítmény alkatrészek</t>
        </is>
      </c>
      <c r="D1033" s="6" t="inlineStr">
        <is>
          <t>G&amp;C termékek</t>
        </is>
      </c>
      <c r="E1033" s="6" t="inlineStr">
        <is>
          <t>OTO TRIM</t>
        </is>
      </c>
      <c r="F1033" s="6" t="inlineStr">
        <is>
          <t>18-ER-18533-1</t>
        </is>
      </c>
      <c r="G1033" s="6" t="inlineStr">
        <is>
          <t>Quadris Excel</t>
        </is>
      </c>
      <c r="H1033" s="6" t="n">
        <v>0</v>
      </c>
      <c r="I1033" s="6" t="n">
        <v>0</v>
      </c>
      <c r="J1033" s="6" t="inlineStr">
        <is>
          <t>nincs</t>
        </is>
      </c>
      <c r="K1033" s="6">
        <f>IF(AND(H1033&gt;0,I1033&gt;0),"Rendben",IF(AND(H1033=0,I1033=0),"Nincs kép és adat",IF(H1033=0,"Nincs kép","Nincs adat")))</f>
        <v/>
      </c>
      <c r="L1033" s="6" t="inlineStr">
        <is>
          <t>Nem</t>
        </is>
      </c>
      <c r="M1033" s="7" t="inlineStr">
        <is>
          <t>–</t>
        </is>
      </c>
      <c r="N1033" s="7" t="inlineStr">
        <is>
          <t>Nem kerestük – nincs ismert weboldal vagy katalógus</t>
        </is>
      </c>
      <c r="O1033" s="6" t="inlineStr"/>
      <c r="P1033" s="11" t="inlineStr">
        <is>
          <t>https://website-9ib.pages.dev/termek/18533-1-24v-e-tetoablak-945x518-kapcsolo/</t>
        </is>
      </c>
      <c r="Q1033" s="12" t="inlineStr"/>
      <c r="R1033" s="13" t="inlineStr"/>
      <c r="S1033" s="6" t="inlineStr">
        <is>
          <t>18533-1-24v-e-tetoablak-945x518-kapcsolo</t>
        </is>
      </c>
    </row>
    <row r="1034">
      <c r="A1034" s="6" t="inlineStr"/>
      <c r="B1034" s="7" t="inlineStr">
        <is>
          <t>J5025135P Sárvédő 450FT</t>
        </is>
      </c>
      <c r="C1034" s="6" t="inlineStr">
        <is>
          <t>Sárvédők, szerszámosládák</t>
        </is>
      </c>
      <c r="D1034" s="6" t="inlineStr">
        <is>
          <t>Sárvédők</t>
        </is>
      </c>
      <c r="E1034" s="6" t="inlineStr">
        <is>
          <t>PARLOK</t>
        </is>
      </c>
      <c r="F1034" s="6" t="inlineStr"/>
      <c r="G1034" s="6" t="inlineStr">
        <is>
          <t>Quadris Excel</t>
        </is>
      </c>
      <c r="H1034" s="6" t="n">
        <v>2</v>
      </c>
      <c r="I1034" s="6" t="n">
        <v>5</v>
      </c>
      <c r="J1034" s="6" t="inlineStr">
        <is>
          <t>van</t>
        </is>
      </c>
      <c r="K1034" s="6">
        <f>IF(AND(H1034&gt;0,I1034&gt;0),"Rendben",IF(AND(H1034=0,I1034=0),"Nincs kép és adat",IF(H1034=0,"Nincs kép","Nincs adat")))</f>
        <v/>
      </c>
      <c r="L1034" s="6" t="inlineStr">
        <is>
          <t>Igen</t>
        </is>
      </c>
      <c r="M1034" s="7" t="inlineStr">
        <is>
          <t>parlok.com termékoldalak</t>
        </is>
      </c>
      <c r="N1034" s="7" t="inlineStr">
        <is>
          <t>Megtalálva: Mudguard 450x1400 FT (kód: 100264)</t>
        </is>
      </c>
      <c r="O1034" s="11" t="inlineStr">
        <is>
          <t>https://www.parlok.com/products/commercial-vehicles/mudguards/flat-top</t>
        </is>
      </c>
      <c r="P1034" s="11" t="inlineStr">
        <is>
          <t>https://website-9ib.pages.dev/termek/j5025135p-sarvedo-450ft/</t>
        </is>
      </c>
      <c r="Q1034" s="12" t="inlineStr"/>
      <c r="R1034" s="13" t="inlineStr"/>
      <c r="S1034" s="6" t="inlineStr">
        <is>
          <t>j5025135p-sarvedo-450ft</t>
        </is>
      </c>
    </row>
    <row r="1035">
      <c r="A1035" s="6" t="inlineStr"/>
      <c r="B1035" s="7" t="inlineStr">
        <is>
          <t>J5025137P Sárvédő 450FT</t>
        </is>
      </c>
      <c r="C1035" s="6" t="inlineStr">
        <is>
          <t>Sárvédők, szerszámosládák</t>
        </is>
      </c>
      <c r="D1035" s="6" t="inlineStr">
        <is>
          <t>Sárvédők</t>
        </is>
      </c>
      <c r="E1035" s="6" t="inlineStr">
        <is>
          <t>PARLOK</t>
        </is>
      </c>
      <c r="F1035" s="6" t="inlineStr"/>
      <c r="G1035" s="6" t="inlineStr">
        <is>
          <t>Quadris Excel</t>
        </is>
      </c>
      <c r="H1035" s="6" t="n">
        <v>2</v>
      </c>
      <c r="I1035" s="6" t="n">
        <v>5</v>
      </c>
      <c r="J1035" s="6" t="inlineStr">
        <is>
          <t>van</t>
        </is>
      </c>
      <c r="K1035" s="6">
        <f>IF(AND(H1035&gt;0,I1035&gt;0),"Rendben",IF(AND(H1035=0,I1035=0),"Nincs kép és adat",IF(H1035=0,"Nincs kép","Nincs adat")))</f>
        <v/>
      </c>
      <c r="L1035" s="6" t="inlineStr">
        <is>
          <t>Igen</t>
        </is>
      </c>
      <c r="M1035" s="7" t="inlineStr">
        <is>
          <t>parlok.com termékoldalak</t>
        </is>
      </c>
      <c r="N1035" s="7" t="inlineStr">
        <is>
          <t>Megtalálva: Mudguard 450x1570 FT (kód: 100271)</t>
        </is>
      </c>
      <c r="O1035" s="11" t="inlineStr">
        <is>
          <t>https://www.parlok.com/products/commercial-vehicles/mudguards/flat-top</t>
        </is>
      </c>
      <c r="P1035" s="11" t="inlineStr">
        <is>
          <t>https://website-9ib.pages.dev/termek/j5025137p-sarvedo-450ft/</t>
        </is>
      </c>
      <c r="Q1035" s="12" t="inlineStr"/>
      <c r="R1035" s="13" t="inlineStr"/>
      <c r="S1035" s="6" t="inlineStr">
        <is>
          <t>j5025137p-sarvedo-450ft</t>
        </is>
      </c>
    </row>
    <row r="1036">
      <c r="A1036" s="6" t="inlineStr"/>
      <c r="B1036" s="7" t="inlineStr">
        <is>
          <t>J5039700P 42-es műanyag csőtartó</t>
        </is>
      </c>
      <c r="C1036" s="6" t="inlineStr">
        <is>
          <t>Sárvédők, szerszámosládák</t>
        </is>
      </c>
      <c r="D1036" s="6" t="inlineStr">
        <is>
          <t>Felfogatások</t>
        </is>
      </c>
      <c r="E1036" s="6" t="inlineStr">
        <is>
          <t>PARLOK</t>
        </is>
      </c>
      <c r="F1036" s="6" t="inlineStr">
        <is>
          <t>5039700</t>
        </is>
      </c>
      <c r="G1036" s="6" t="inlineStr">
        <is>
          <t>Quadris Excel</t>
        </is>
      </c>
      <c r="H1036" s="6" t="n">
        <v>1</v>
      </c>
      <c r="I1036" s="6" t="n">
        <v>0</v>
      </c>
      <c r="J1036" s="6" t="inlineStr">
        <is>
          <t>van</t>
        </is>
      </c>
      <c r="K1036" s="6">
        <f>IF(AND(H1036&gt;0,I1036&gt;0),"Rendben",IF(AND(H1036=0,I1036=0),"Nincs kép és adat",IF(H1036=0,"Nincs kép","Nincs adat")))</f>
        <v/>
      </c>
      <c r="L1036" s="6" t="inlineStr">
        <is>
          <t>Igen</t>
        </is>
      </c>
      <c r="M1036" s="7" t="inlineStr">
        <is>
          <t>parlok.com termékoldalak</t>
        </is>
      </c>
      <c r="N1036" s="7" t="inlineStr">
        <is>
          <t>Megtalálva: Bracket MR42 technical thermoplastic (kód: 100422)</t>
        </is>
      </c>
      <c r="O1036" s="11" t="inlineStr">
        <is>
          <t>https://www.parlok.com/products/commercial-vehicles/brackets/bracket-mr</t>
        </is>
      </c>
      <c r="P1036" s="11" t="inlineStr">
        <is>
          <t>https://website-9ib.pages.dev/termek/j5039700p-42-es-muanyag-csotarto/</t>
        </is>
      </c>
      <c r="Q1036" s="12" t="inlineStr"/>
      <c r="R1036" s="13" t="inlineStr"/>
      <c r="S1036" s="6" t="inlineStr">
        <is>
          <t>j5039700p-42-es-muanyag-csotarto</t>
        </is>
      </c>
    </row>
    <row r="1037">
      <c r="A1037" s="6" t="inlineStr"/>
      <c r="B1037" s="7" t="inlineStr">
        <is>
          <t>J5043500P Szerszámos láda 550 mm</t>
        </is>
      </c>
      <c r="C1037" s="6" t="inlineStr">
        <is>
          <t>Sárvédők, szerszámosládák</t>
        </is>
      </c>
      <c r="D1037" s="6" t="inlineStr">
        <is>
          <t>Dobozok + tartó konzolok</t>
        </is>
      </c>
      <c r="E1037" s="6" t="inlineStr">
        <is>
          <t>PARLOK</t>
        </is>
      </c>
      <c r="F1037" s="6" t="inlineStr">
        <is>
          <t>5043500</t>
        </is>
      </c>
      <c r="G1037" s="6" t="inlineStr">
        <is>
          <t>Quadris Excel</t>
        </is>
      </c>
      <c r="H1037" s="6" t="n">
        <v>2</v>
      </c>
      <c r="I1037" s="6" t="n">
        <v>3</v>
      </c>
      <c r="J1037" s="6" t="inlineStr">
        <is>
          <t>van</t>
        </is>
      </c>
      <c r="K1037" s="6">
        <f>IF(AND(H1037&gt;0,I1037&gt;0),"Rendben",IF(AND(H1037=0,I1037=0),"Nincs kép és adat",IF(H1037=0,"Nincs kép","Nincs adat")))</f>
        <v/>
      </c>
      <c r="L1037" s="6" t="inlineStr">
        <is>
          <t>Igen</t>
        </is>
      </c>
      <c r="M1037" s="7" t="inlineStr">
        <is>
          <t>parlok.com termékoldalak</t>
        </is>
      </c>
      <c r="N1037" s="7" t="inlineStr">
        <is>
          <t>Megtalálva: Toolbox 550 SL3 w/o brackets (kód: 100451)</t>
        </is>
      </c>
      <c r="O1037" s="11" t="inlineStr">
        <is>
          <t>https://www.parlok.com/products/commercial-vehicles/toolboxes/550-sl</t>
        </is>
      </c>
      <c r="P1037" s="11" t="inlineStr">
        <is>
          <t>https://website-9ib.pages.dev/termek/j5043500p-szerszamos-lada-550-mm/</t>
        </is>
      </c>
      <c r="Q1037" s="12" t="inlineStr"/>
      <c r="R1037" s="13" t="inlineStr"/>
      <c r="S1037" s="6" t="inlineStr">
        <is>
          <t>j5043500p-szerszamos-lada-550-mm</t>
        </is>
      </c>
    </row>
    <row r="1038">
      <c r="A1038" s="6" t="inlineStr"/>
      <c r="B1038" s="7" t="inlineStr">
        <is>
          <t>J5043700P Szerszámos láda 700 mm</t>
        </is>
      </c>
      <c r="C1038" s="6" t="inlineStr">
        <is>
          <t>Sárvédők, szerszámosládák</t>
        </is>
      </c>
      <c r="D1038" s="6" t="inlineStr">
        <is>
          <t>Dobozok + tartó konzolok</t>
        </is>
      </c>
      <c r="E1038" s="6" t="inlineStr">
        <is>
          <t>PARLOK</t>
        </is>
      </c>
      <c r="F1038" s="6" t="inlineStr">
        <is>
          <t>5043700</t>
        </is>
      </c>
      <c r="G1038" s="6" t="inlineStr">
        <is>
          <t>Quadris Excel</t>
        </is>
      </c>
      <c r="H1038" s="6" t="n">
        <v>2</v>
      </c>
      <c r="I1038" s="6" t="n">
        <v>3</v>
      </c>
      <c r="J1038" s="6" t="inlineStr">
        <is>
          <t>van</t>
        </is>
      </c>
      <c r="K1038" s="6">
        <f>IF(AND(H1038&gt;0,I1038&gt;0),"Rendben",IF(AND(H1038=0,I1038=0),"Nincs kép és adat",IF(H1038=0,"Nincs kép","Nincs adat")))</f>
        <v/>
      </c>
      <c r="L1038" s="6" t="inlineStr">
        <is>
          <t>Igen</t>
        </is>
      </c>
      <c r="M1038" s="7" t="inlineStr">
        <is>
          <t>parlok.com termékoldalak</t>
        </is>
      </c>
      <c r="N1038" s="7" t="inlineStr">
        <is>
          <t>Megtalálva: Toolbox 700L SL3 w/o brackets (kód: 100453)</t>
        </is>
      </c>
      <c r="O1038" s="11" t="inlineStr">
        <is>
          <t>https://www.parlok.com/products/commercial-vehicles/toolboxes/700-l-sl</t>
        </is>
      </c>
      <c r="P1038" s="11" t="inlineStr">
        <is>
          <t>https://website-9ib.pages.dev/termek/j5043700p-szerszamos-lada-700-mm/</t>
        </is>
      </c>
      <c r="Q1038" s="12" t="inlineStr"/>
      <c r="R1038" s="13" t="inlineStr"/>
      <c r="S1038" s="6" t="inlineStr">
        <is>
          <t>j5043700p-szerszamos-lada-700-mm</t>
        </is>
      </c>
    </row>
    <row r="1039">
      <c r="A1039" s="6" t="inlineStr"/>
      <c r="B1039" s="7" t="inlineStr">
        <is>
          <t>J5044600P Szerszámos láda 600 mm</t>
        </is>
      </c>
      <c r="C1039" s="6" t="inlineStr">
        <is>
          <t>Sárvédők, szerszámosládák</t>
        </is>
      </c>
      <c r="D1039" s="6" t="inlineStr">
        <is>
          <t>Dobozok + tartó konzolok</t>
        </is>
      </c>
      <c r="E1039" s="6" t="inlineStr">
        <is>
          <t>PARLOK</t>
        </is>
      </c>
      <c r="F1039" s="6" t="inlineStr">
        <is>
          <t>100452</t>
        </is>
      </c>
      <c r="G1039" s="6" t="inlineStr">
        <is>
          <t>Quadris Excel</t>
        </is>
      </c>
      <c r="H1039" s="6" t="n">
        <v>2</v>
      </c>
      <c r="I1039" s="6" t="n">
        <v>3</v>
      </c>
      <c r="J1039" s="6" t="inlineStr">
        <is>
          <t>van</t>
        </is>
      </c>
      <c r="K1039" s="6">
        <f>IF(AND(H1039&gt;0,I1039&gt;0),"Rendben",IF(AND(H1039=0,I1039=0),"Nincs kép és adat",IF(H1039=0,"Nincs kép","Nincs adat")))</f>
        <v/>
      </c>
      <c r="L1039" s="6" t="inlineStr">
        <is>
          <t>Igen</t>
        </is>
      </c>
      <c r="M1039" s="7" t="inlineStr">
        <is>
          <t>parlok.com termékoldalak</t>
        </is>
      </c>
      <c r="N1039" s="7" t="inlineStr">
        <is>
          <t>Megtalálva: Toolbox 600 SL4 with brackets (kód: 100463)</t>
        </is>
      </c>
      <c r="O1039" s="11" t="inlineStr">
        <is>
          <t>https://www.parlok.com/products/commercial-vehicles/toolboxes/600-sl</t>
        </is>
      </c>
      <c r="P1039" s="11" t="inlineStr">
        <is>
          <t>https://website-9ib.pages.dev/termek/j5044600p-szerszamos-lada-600-mm/</t>
        </is>
      </c>
      <c r="Q1039" s="12" t="inlineStr"/>
      <c r="R1039" s="13" t="inlineStr"/>
      <c r="S1039" s="6" t="inlineStr">
        <is>
          <t>j5044600p-szerszamos-lada-600-mm</t>
        </is>
      </c>
    </row>
    <row r="1040">
      <c r="A1040" s="6" t="inlineStr"/>
      <c r="B1040" s="7" t="inlineStr">
        <is>
          <t>J5110070P 680/700 negyedíves sárvédő</t>
        </is>
      </c>
      <c r="C1040" s="6" t="inlineStr">
        <is>
          <t>Sárvédők, szerszámosládák</t>
        </is>
      </c>
      <c r="D1040" s="6" t="inlineStr">
        <is>
          <t>Sárvédők</t>
        </is>
      </c>
      <c r="E1040" s="6" t="inlineStr">
        <is>
          <t>PARLOK</t>
        </is>
      </c>
      <c r="F1040" s="6" t="inlineStr"/>
      <c r="G1040" s="6" t="inlineStr">
        <is>
          <t>Quadris Excel</t>
        </is>
      </c>
      <c r="H1040" s="6" t="n">
        <v>2</v>
      </c>
      <c r="I1040" s="6" t="n">
        <v>5</v>
      </c>
      <c r="J1040" s="6" t="inlineStr">
        <is>
          <t>van</t>
        </is>
      </c>
      <c r="K1040" s="6">
        <f>IF(AND(H1040&gt;0,I1040&gt;0),"Rendben",IF(AND(H1040=0,I1040=0),"Nincs kép és adat",IF(H1040=0,"Nincs kép","Nincs adat")))</f>
        <v/>
      </c>
      <c r="L1040" s="6" t="inlineStr">
        <is>
          <t>Igen</t>
        </is>
      </c>
      <c r="M1040" s="7" t="inlineStr">
        <is>
          <t>parlok.com termékoldalak</t>
        </is>
      </c>
      <c r="N1040" s="7" t="inlineStr">
        <is>
          <t>Megtalálva: Mudguard 680x700 R630 WL (kód: 100843)</t>
        </is>
      </c>
      <c r="O1040" s="11" t="inlineStr">
        <is>
          <t>https://www.parlok.com/products/commercial-vehicles/mudguards/wl-v-quarter</t>
        </is>
      </c>
      <c r="P1040" s="11" t="inlineStr">
        <is>
          <t>https://website-9ib.pages.dev/termek/j5110070p-680-700-negyedives-sarvedo/</t>
        </is>
      </c>
      <c r="Q1040" s="12" t="inlineStr"/>
      <c r="R1040" s="13" t="inlineStr"/>
      <c r="S1040" s="6" t="inlineStr">
        <is>
          <t>j5110070p-680-700-negyedives-sarvedo</t>
        </is>
      </c>
    </row>
    <row r="1041">
      <c r="A1041" s="6" t="inlineStr"/>
      <c r="B1041" s="7" t="inlineStr">
        <is>
          <t>J5110185P Íves sárvédő 680/1800/R580</t>
        </is>
      </c>
      <c r="C1041" s="6" t="inlineStr">
        <is>
          <t>Sárvédők, szerszámosládák</t>
        </is>
      </c>
      <c r="D1041" s="6" t="inlineStr">
        <is>
          <t>Sárvédők</t>
        </is>
      </c>
      <c r="E1041" s="6" t="inlineStr">
        <is>
          <t>PARLOK</t>
        </is>
      </c>
      <c r="F1041" s="6" t="inlineStr">
        <is>
          <t>5110185</t>
        </is>
      </c>
      <c r="G1041" s="6" t="inlineStr">
        <is>
          <t>Quadris Excel</t>
        </is>
      </c>
      <c r="H1041" s="6" t="n">
        <v>2</v>
      </c>
      <c r="I1041" s="6" t="n">
        <v>5</v>
      </c>
      <c r="J1041" s="6" t="inlineStr">
        <is>
          <t>van</t>
        </is>
      </c>
      <c r="K1041" s="6">
        <f>IF(AND(H1041&gt;0,I1041&gt;0),"Rendben",IF(AND(H1041=0,I1041=0),"Nincs kép és adat",IF(H1041=0,"Nincs kép","Nincs adat")))</f>
        <v/>
      </c>
      <c r="L1041" s="6" t="inlineStr">
        <is>
          <t>Igen</t>
        </is>
      </c>
      <c r="M1041" s="7" t="inlineStr">
        <is>
          <t>parlok.com termékoldalak</t>
        </is>
      </c>
      <c r="N1041" s="7" t="inlineStr">
        <is>
          <t>Megtalálva: Mudguard 680x1800 R580 WL (kód: 100857)</t>
        </is>
      </c>
      <c r="O1041" s="11" t="inlineStr">
        <is>
          <t>https://www.parlok.com/products/commercial-vehicles/mudguards/white-line-v</t>
        </is>
      </c>
      <c r="P1041" s="11" t="inlineStr">
        <is>
          <t>https://website-9ib.pages.dev/termek/j5110185p-ives-sarvedo-680-1800-r580/</t>
        </is>
      </c>
      <c r="Q1041" s="12" t="inlineStr"/>
      <c r="R1041" s="13" t="inlineStr"/>
      <c r="S1041" s="6" t="inlineStr">
        <is>
          <t>j5110185p-ives-sarvedo-680-1800-r580</t>
        </is>
      </c>
    </row>
    <row r="1042">
      <c r="A1042" s="6" t="inlineStr"/>
      <c r="B1042" s="7" t="inlineStr">
        <is>
          <t>J5110190P Íves sárvédő 680/1900/R630 WL</t>
        </is>
      </c>
      <c r="C1042" s="6" t="inlineStr">
        <is>
          <t>Sárvédők, szerszámosládák</t>
        </is>
      </c>
      <c r="D1042" s="6" t="inlineStr">
        <is>
          <t>Sárvédők</t>
        </is>
      </c>
      <c r="E1042" s="6" t="inlineStr">
        <is>
          <t>PARLOK</t>
        </is>
      </c>
      <c r="F1042" s="6" t="inlineStr">
        <is>
          <t>5110190</t>
        </is>
      </c>
      <c r="G1042" s="6" t="inlineStr">
        <is>
          <t>Quadris Excel</t>
        </is>
      </c>
      <c r="H1042" s="6" t="n">
        <v>2</v>
      </c>
      <c r="I1042" s="6" t="n">
        <v>5</v>
      </c>
      <c r="J1042" s="6" t="inlineStr">
        <is>
          <t>van</t>
        </is>
      </c>
      <c r="K1042" s="6">
        <f>IF(AND(H1042&gt;0,I1042&gt;0),"Rendben",IF(AND(H1042=0,I1042=0),"Nincs kép és adat",IF(H1042=0,"Nincs kép","Nincs adat")))</f>
        <v/>
      </c>
      <c r="L1042" s="6" t="inlineStr">
        <is>
          <t>Igen</t>
        </is>
      </c>
      <c r="M1042" s="7" t="inlineStr">
        <is>
          <t>parlok.com termékoldalak</t>
        </is>
      </c>
      <c r="N1042" s="7" t="inlineStr">
        <is>
          <t>Megtalálva: Mudguard 680x1900 R630 WL (kód: 100865)</t>
        </is>
      </c>
      <c r="O1042" s="11" t="inlineStr">
        <is>
          <t>https://www.parlok.com/products/commercial-vehicles/mudguards/white-line-v</t>
        </is>
      </c>
      <c r="P1042" s="11" t="inlineStr">
        <is>
          <t>https://website-9ib.pages.dev/termek/j5110190p-ives-sarvedo-680-1900-r630-wl/</t>
        </is>
      </c>
      <c r="Q1042" s="12" t="inlineStr"/>
      <c r="R1042" s="13" t="inlineStr"/>
      <c r="S1042" s="6" t="inlineStr">
        <is>
          <t>j5110190p-ives-sarvedo-680-1900-r630-wl</t>
        </is>
      </c>
    </row>
    <row r="1043">
      <c r="A1043" s="6" t="inlineStr"/>
      <c r="B1043" s="7" t="inlineStr">
        <is>
          <t>J5110217P Íves sárvédő 680+P42</t>
        </is>
      </c>
      <c r="C1043" s="6" t="inlineStr">
        <is>
          <t>Sárvédők, szerszámosládák</t>
        </is>
      </c>
      <c r="D1043" s="6" t="inlineStr">
        <is>
          <t>Sárvédők</t>
        </is>
      </c>
      <c r="E1043" s="6" t="inlineStr">
        <is>
          <t>PARLOK</t>
        </is>
      </c>
      <c r="F1043" s="6" t="inlineStr"/>
      <c r="G1043" s="6" t="inlineStr">
        <is>
          <t>Quadris Excel</t>
        </is>
      </c>
      <c r="H1043" s="6" t="n">
        <v>2</v>
      </c>
      <c r="I1043" s="6" t="n">
        <v>5</v>
      </c>
      <c r="J1043" s="6" t="inlineStr">
        <is>
          <t>van</t>
        </is>
      </c>
      <c r="K1043" s="6">
        <f>IF(AND(H1043&gt;0,I1043&gt;0),"Rendben",IF(AND(H1043=0,I1043=0),"Nincs kép és adat",IF(H1043=0,"Nincs kép","Nincs adat")))</f>
        <v/>
      </c>
      <c r="L1043" s="6" t="inlineStr">
        <is>
          <t>Igen</t>
        </is>
      </c>
      <c r="M1043" s="7" t="inlineStr">
        <is>
          <t>parlok.com termékoldalak</t>
        </is>
      </c>
      <c r="N1043" s="7" t="inlineStr">
        <is>
          <t>Megtalálva: Mudguard 680x2175 R630 WL (kód: 100924)</t>
        </is>
      </c>
      <c r="O1043" s="11" t="inlineStr">
        <is>
          <t>https://www.parlok.com/products/commercial-vehicles/mudguards/white-line-v</t>
        </is>
      </c>
      <c r="P1043" s="11" t="inlineStr">
        <is>
          <t>https://website-9ib.pages.dev/termek/j5110217p-ives-sarvedo-680-p42/</t>
        </is>
      </c>
      <c r="Q1043" s="12" t="inlineStr"/>
      <c r="R1043" s="13" t="inlineStr"/>
      <c r="S1043" s="6" t="inlineStr">
        <is>
          <t>j5110217p-ives-sarvedo-680-p42</t>
        </is>
      </c>
    </row>
    <row r="1044">
      <c r="A1044" s="6" t="inlineStr"/>
      <c r="B1044" s="7" t="inlineStr">
        <is>
          <t>J5110217P Íves sárvédő 680/2175/R630</t>
        </is>
      </c>
      <c r="C1044" s="6" t="inlineStr">
        <is>
          <t>Sárvédők, szerszámosládák</t>
        </is>
      </c>
      <c r="D1044" s="6" t="inlineStr">
        <is>
          <t>Sárvédők</t>
        </is>
      </c>
      <c r="E1044" s="6" t="inlineStr">
        <is>
          <t>PARLOK</t>
        </is>
      </c>
      <c r="F1044" s="6" t="inlineStr">
        <is>
          <t>5110217</t>
        </is>
      </c>
      <c r="G1044" s="6" t="inlineStr">
        <is>
          <t>Quadris Excel</t>
        </is>
      </c>
      <c r="H1044" s="6" t="n">
        <v>2</v>
      </c>
      <c r="I1044" s="6" t="n">
        <v>5</v>
      </c>
      <c r="J1044" s="6" t="inlineStr">
        <is>
          <t>van</t>
        </is>
      </c>
      <c r="K1044" s="6">
        <f>IF(AND(H1044&gt;0,I1044&gt;0),"Rendben",IF(AND(H1044=0,I1044=0),"Nincs kép és adat",IF(H1044=0,"Nincs kép","Nincs adat")))</f>
        <v/>
      </c>
      <c r="L1044" s="6" t="inlineStr">
        <is>
          <t>Igen</t>
        </is>
      </c>
      <c r="M1044" s="7" t="inlineStr">
        <is>
          <t>parlok.com termékoldalak</t>
        </is>
      </c>
      <c r="N1044" s="7" t="inlineStr">
        <is>
          <t>Megtalálva: Mudguard 680x2175 R630 WL (kód: 100924)</t>
        </is>
      </c>
      <c r="O1044" s="11" t="inlineStr">
        <is>
          <t>https://www.parlok.com/products/commercial-vehicles/mudguards/white-line-v</t>
        </is>
      </c>
      <c r="P1044" s="11" t="inlineStr">
        <is>
          <t>https://website-9ib.pages.dev/termek/j5110217p-ives-sarvedo-680-2175-r630/</t>
        </is>
      </c>
      <c r="Q1044" s="12" t="inlineStr"/>
      <c r="R1044" s="13" t="inlineStr"/>
      <c r="S1044" s="6" t="inlineStr">
        <is>
          <t>j5110217p-ives-sarvedo-680-2175-r630</t>
        </is>
      </c>
    </row>
    <row r="1045">
      <c r="A1045" s="6" t="inlineStr"/>
      <c r="B1045" s="7" t="inlineStr">
        <is>
          <t>J5110225P Íves sárvédő 680/1900/R630 3 részes</t>
        </is>
      </c>
      <c r="C1045" s="6" t="inlineStr">
        <is>
          <t>Sárvédők, szerszámosládák</t>
        </is>
      </c>
      <c r="D1045" s="6" t="inlineStr">
        <is>
          <t>Sárvédők</t>
        </is>
      </c>
      <c r="E1045" s="6" t="inlineStr">
        <is>
          <t>PARLOK</t>
        </is>
      </c>
      <c r="F1045" s="6" t="inlineStr">
        <is>
          <t>5110225</t>
        </is>
      </c>
      <c r="G1045" s="6" t="inlineStr">
        <is>
          <t>Quadris Excel</t>
        </is>
      </c>
      <c r="H1045" s="6" t="n">
        <v>2</v>
      </c>
      <c r="I1045" s="6" t="n">
        <v>5</v>
      </c>
      <c r="J1045" s="6" t="inlineStr">
        <is>
          <t>van</t>
        </is>
      </c>
      <c r="K1045" s="6">
        <f>IF(AND(H1045&gt;0,I1045&gt;0),"Rendben",IF(AND(H1045=0,I1045=0),"Nincs kép és adat",IF(H1045=0,"Nincs kép","Nincs adat")))</f>
        <v/>
      </c>
      <c r="L1045" s="6" t="inlineStr">
        <is>
          <t>Igen</t>
        </is>
      </c>
      <c r="M1045" s="7" t="inlineStr">
        <is>
          <t>parlok.com termékoldalak</t>
        </is>
      </c>
      <c r="N1045" s="7" t="inlineStr">
        <is>
          <t>Megtalálva: Mudguard 680x1900 R630 WL 3-piece (kód: 100943)</t>
        </is>
      </c>
      <c r="O1045" s="11" t="inlineStr">
        <is>
          <t>https://www.parlok.com/products/commercial-vehicles/mudguards/wl-v-3-piece</t>
        </is>
      </c>
      <c r="P1045" s="11" t="inlineStr">
        <is>
          <t>https://website-9ib.pages.dev/termek/j5110225p-ives-sarvedo-680-1900-r630-3-reszes/</t>
        </is>
      </c>
      <c r="Q1045" s="12" t="inlineStr"/>
      <c r="R1045" s="13" t="inlineStr"/>
      <c r="S1045" s="6" t="inlineStr">
        <is>
          <t>j5110225p-ives-sarvedo-680-1900-r630-3-reszes</t>
        </is>
      </c>
    </row>
    <row r="1046">
      <c r="A1046" s="6" t="inlineStr"/>
      <c r="B1046" s="7" t="inlineStr">
        <is>
          <t>J5110303P Íves sárvédő 670/2175/670</t>
        </is>
      </c>
      <c r="C1046" s="6" t="inlineStr">
        <is>
          <t>Sárvédők, szerszámosládák</t>
        </is>
      </c>
      <c r="D1046" s="6" t="inlineStr">
        <is>
          <t>Sárvédők</t>
        </is>
      </c>
      <c r="E1046" s="6" t="inlineStr">
        <is>
          <t>PARLOK</t>
        </is>
      </c>
      <c r="F1046" s="6" t="inlineStr"/>
      <c r="G1046" s="6" t="inlineStr">
        <is>
          <t>Quadris Excel</t>
        </is>
      </c>
      <c r="H1046" s="6" t="n">
        <v>2</v>
      </c>
      <c r="I1046" s="6" t="n">
        <v>3</v>
      </c>
      <c r="J1046" s="6" t="inlineStr">
        <is>
          <t>van</t>
        </is>
      </c>
      <c r="K1046" s="6">
        <f>IF(AND(H1046&gt;0,I1046&gt;0),"Rendben",IF(AND(H1046=0,I1046=0),"Nincs kép és adat",IF(H1046=0,"Nincs kép","Nincs adat")))</f>
        <v/>
      </c>
      <c r="L1046" s="6" t="inlineStr">
        <is>
          <t>Igen</t>
        </is>
      </c>
      <c r="M1046" s="7" t="inlineStr">
        <is>
          <t>parlok.com termékoldalak</t>
        </is>
      </c>
      <c r="N1046" s="7" t="inlineStr">
        <is>
          <t>Megtalálva: Mudguard 670x2175 R670 WL (kód: 100974)</t>
        </is>
      </c>
      <c r="O1046" s="11" t="inlineStr">
        <is>
          <t>https://www.parlok.com/products/commercial-vehicles/mudguards/white-line-v</t>
        </is>
      </c>
      <c r="P1046" s="11" t="inlineStr">
        <is>
          <t>https://website-9ib.pages.dev/termek/j5110303p-ives-sarvedo-670-2175-670/</t>
        </is>
      </c>
      <c r="Q1046" s="12" t="inlineStr"/>
      <c r="R1046" s="13" t="inlineStr"/>
      <c r="S1046" s="6" t="inlineStr">
        <is>
          <t>j5110303p-ives-sarvedo-670-2175-670</t>
        </is>
      </c>
    </row>
    <row r="1047">
      <c r="A1047" s="6" t="inlineStr"/>
      <c r="B1047" s="7" t="inlineStr">
        <is>
          <t>J5120185P Íves sárvédő 650/1800/R580 wl</t>
        </is>
      </c>
      <c r="C1047" s="6" t="inlineStr">
        <is>
          <t>Sárvédők, szerszámosládák</t>
        </is>
      </c>
      <c r="D1047" s="6" t="inlineStr">
        <is>
          <t>Sárvédők</t>
        </is>
      </c>
      <c r="E1047" s="6" t="inlineStr">
        <is>
          <t>PARLOK</t>
        </is>
      </c>
      <c r="F1047" s="6" t="inlineStr">
        <is>
          <t>5120185</t>
        </is>
      </c>
      <c r="G1047" s="6" t="inlineStr">
        <is>
          <t>Quadris Excel</t>
        </is>
      </c>
      <c r="H1047" s="6" t="n">
        <v>2</v>
      </c>
      <c r="I1047" s="6" t="n">
        <v>5</v>
      </c>
      <c r="J1047" s="6" t="inlineStr">
        <is>
          <t>van</t>
        </is>
      </c>
      <c r="K1047" s="6">
        <f>IF(AND(H1047&gt;0,I1047&gt;0),"Rendben",IF(AND(H1047=0,I1047=0),"Nincs kép és adat",IF(H1047=0,"Nincs kép","Nincs adat")))</f>
        <v/>
      </c>
      <c r="L1047" s="6" t="inlineStr">
        <is>
          <t>Igen</t>
        </is>
      </c>
      <c r="M1047" s="7" t="inlineStr">
        <is>
          <t>parlok.com termékoldalak</t>
        </is>
      </c>
      <c r="N1047" s="7" t="inlineStr">
        <is>
          <t>Megtalálva: Mudguard 650x1800 R580 WL (kód: 101047)</t>
        </is>
      </c>
      <c r="O1047" s="11" t="inlineStr">
        <is>
          <t>https://www.parlok.com/products/commercial-vehicles/mudguards/white-line-v</t>
        </is>
      </c>
      <c r="P1047" s="11" t="inlineStr">
        <is>
          <t>https://website-9ib.pages.dev/termek/j5120185p-ives-sarvedo-650-1800-r580-wl/</t>
        </is>
      </c>
      <c r="Q1047" s="12" t="inlineStr"/>
      <c r="R1047" s="13" t="inlineStr"/>
      <c r="S1047" s="6" t="inlineStr">
        <is>
          <t>j5120185p-ives-sarvedo-650-1800-r580-wl</t>
        </is>
      </c>
    </row>
    <row r="1048">
      <c r="A1048" s="6" t="inlineStr"/>
      <c r="B1048" s="7" t="inlineStr">
        <is>
          <t>J5120190P Íves sárvédő 650/1900/630</t>
        </is>
      </c>
      <c r="C1048" s="6" t="inlineStr">
        <is>
          <t>Sárvédők, szerszámosládák</t>
        </is>
      </c>
      <c r="D1048" s="6" t="inlineStr">
        <is>
          <t>Sárvédők</t>
        </is>
      </c>
      <c r="E1048" s="6" t="inlineStr">
        <is>
          <t>PARLOK</t>
        </is>
      </c>
      <c r="F1048" s="6" t="inlineStr">
        <is>
          <t>5120190</t>
        </is>
      </c>
      <c r="G1048" s="6" t="inlineStr">
        <is>
          <t>Quadris Excel</t>
        </is>
      </c>
      <c r="H1048" s="6" t="n">
        <v>2</v>
      </c>
      <c r="I1048" s="6" t="n">
        <v>5</v>
      </c>
      <c r="J1048" s="6" t="inlineStr">
        <is>
          <t>van</t>
        </is>
      </c>
      <c r="K1048" s="6">
        <f>IF(AND(H1048&gt;0,I1048&gt;0),"Rendben",IF(AND(H1048=0,I1048=0),"Nincs kép és adat",IF(H1048=0,"Nincs kép","Nincs adat")))</f>
        <v/>
      </c>
      <c r="L1048" s="6" t="inlineStr">
        <is>
          <t>Igen</t>
        </is>
      </c>
      <c r="M1048" s="7" t="inlineStr">
        <is>
          <t>parlok.com termékoldalak</t>
        </is>
      </c>
      <c r="N1048" s="7" t="inlineStr">
        <is>
          <t>Megtalálva: Mudguard 650x1900 R630 WL (kód: 101052)</t>
        </is>
      </c>
      <c r="O1048" s="11" t="inlineStr">
        <is>
          <t>https://www.parlok.com/products/commercial-vehicles/mudguards/white-line-v</t>
        </is>
      </c>
      <c r="P1048" s="11" t="inlineStr">
        <is>
          <t>https://website-9ib.pages.dev/termek/j5120190p-ives-sarvedo-650-1900-630/</t>
        </is>
      </c>
      <c r="Q1048" s="12" t="inlineStr"/>
      <c r="R1048" s="13" t="inlineStr"/>
      <c r="S1048" s="6" t="inlineStr">
        <is>
          <t>j5120190p-ives-sarvedo-650-1900-630</t>
        </is>
      </c>
    </row>
    <row r="1049">
      <c r="A1049" s="6" t="inlineStr"/>
      <c r="B1049" s="7" t="inlineStr">
        <is>
          <t>J5120940P Íves sárvédő 630/1650/R580</t>
        </is>
      </c>
      <c r="C1049" s="6" t="inlineStr">
        <is>
          <t>Sárvédők, szerszámosládák</t>
        </is>
      </c>
      <c r="D1049" s="6" t="inlineStr">
        <is>
          <t>Sárvédők</t>
        </is>
      </c>
      <c r="E1049" s="6" t="inlineStr">
        <is>
          <t>PARLOK</t>
        </is>
      </c>
      <c r="F1049" s="6" t="inlineStr">
        <is>
          <t>5120940</t>
        </is>
      </c>
      <c r="G1049" s="6" t="inlineStr">
        <is>
          <t>Quadris Excel</t>
        </is>
      </c>
      <c r="H1049" s="6" t="n">
        <v>2</v>
      </c>
      <c r="I1049" s="6" t="n">
        <v>5</v>
      </c>
      <c r="J1049" s="6" t="inlineStr">
        <is>
          <t>van</t>
        </is>
      </c>
      <c r="K1049" s="6">
        <f>IF(AND(H1049&gt;0,I1049&gt;0),"Rendben",IF(AND(H1049=0,I1049=0),"Nincs kép és adat",IF(H1049=0,"Nincs kép","Nincs adat")))</f>
        <v/>
      </c>
      <c r="L1049" s="6" t="inlineStr">
        <is>
          <t>Igen</t>
        </is>
      </c>
      <c r="M1049" s="7" t="inlineStr">
        <is>
          <t>parlok.com termékoldalak</t>
        </is>
      </c>
      <c r="N1049" s="7" t="inlineStr">
        <is>
          <t>Megtalálva: Mudguard 630x1650 R580 WL (kód: 101087)</t>
        </is>
      </c>
      <c r="O1049" s="11" t="inlineStr">
        <is>
          <t>https://www.parlok.com/products/commercial-vehicles/mudguards/white-line-v</t>
        </is>
      </c>
      <c r="P1049" s="11" t="inlineStr">
        <is>
          <t>https://website-9ib.pages.dev/termek/j5120940p-ives-sarvedo-630-1650-r580/</t>
        </is>
      </c>
      <c r="Q1049" s="12" t="inlineStr"/>
      <c r="R1049" s="13" t="inlineStr"/>
      <c r="S1049" s="6" t="inlineStr">
        <is>
          <t>j5120940p-ives-sarvedo-630-1650-r580</t>
        </is>
      </c>
    </row>
    <row r="1050">
      <c r="A1050" s="6" t="inlineStr"/>
      <c r="B1050" s="7" t="inlineStr">
        <is>
          <t>J5122170P Íves sárvédő 595/1700/550</t>
        </is>
      </c>
      <c r="C1050" s="6" t="inlineStr">
        <is>
          <t>Sárvédők, szerszámosládák</t>
        </is>
      </c>
      <c r="D1050" s="6" t="inlineStr">
        <is>
          <t>Sárvédők</t>
        </is>
      </c>
      <c r="E1050" s="6" t="inlineStr">
        <is>
          <t>PARLOK</t>
        </is>
      </c>
      <c r="F1050" s="6" t="inlineStr">
        <is>
          <t>5122170</t>
        </is>
      </c>
      <c r="G1050" s="6" t="inlineStr">
        <is>
          <t>Quadris Excel</t>
        </is>
      </c>
      <c r="H1050" s="6" t="n">
        <v>2</v>
      </c>
      <c r="I1050" s="6" t="n">
        <v>5</v>
      </c>
      <c r="J1050" s="6" t="inlineStr">
        <is>
          <t>van</t>
        </is>
      </c>
      <c r="K1050" s="6">
        <f>IF(AND(H1050&gt;0,I1050&gt;0),"Rendben",IF(AND(H1050=0,I1050=0),"Nincs kép és adat",IF(H1050=0,"Nincs kép","Nincs adat")))</f>
        <v/>
      </c>
      <c r="L1050" s="6" t="inlineStr">
        <is>
          <t>Igen</t>
        </is>
      </c>
      <c r="M1050" s="7" t="inlineStr">
        <is>
          <t>parlok.com termékoldalak</t>
        </is>
      </c>
      <c r="N1050" s="7" t="inlineStr">
        <is>
          <t>Megtalálva: Mudguard 595x1700 R550 WL (kód: 101222)</t>
        </is>
      </c>
      <c r="O1050" s="11" t="inlineStr">
        <is>
          <t>https://www.parlok.com/products/commercial-vehicles/mudguards/white-line-v</t>
        </is>
      </c>
      <c r="P1050" s="11" t="inlineStr">
        <is>
          <t>https://website-9ib.pages.dev/termek/j5122170p-ives-sarvedo-595-1700-550/</t>
        </is>
      </c>
      <c r="Q1050" s="12" t="inlineStr"/>
      <c r="R1050" s="13" t="inlineStr"/>
      <c r="S1050" s="6" t="inlineStr">
        <is>
          <t>j5122170p-ives-sarvedo-595-1700-550</t>
        </is>
      </c>
    </row>
    <row r="1051">
      <c r="A1051" s="6" t="inlineStr"/>
      <c r="B1051" s="7" t="inlineStr">
        <is>
          <t>J5123171P Íves sárvédő 550/1700/500</t>
        </is>
      </c>
      <c r="C1051" s="6" t="inlineStr">
        <is>
          <t>Sárvédők, szerszámosládák</t>
        </is>
      </c>
      <c r="D1051" s="6" t="inlineStr">
        <is>
          <t>Sárvédők</t>
        </is>
      </c>
      <c r="E1051" s="6" t="inlineStr">
        <is>
          <t>PARLOK</t>
        </is>
      </c>
      <c r="F1051" s="6" t="inlineStr">
        <is>
          <t>5123171</t>
        </is>
      </c>
      <c r="G1051" s="6" t="inlineStr">
        <is>
          <t>Quadris Excel</t>
        </is>
      </c>
      <c r="H1051" s="6" t="n">
        <v>2</v>
      </c>
      <c r="I1051" s="6" t="n">
        <v>3</v>
      </c>
      <c r="J1051" s="6" t="inlineStr">
        <is>
          <t>van</t>
        </is>
      </c>
      <c r="K1051" s="6">
        <f>IF(AND(H1051&gt;0,I1051&gt;0),"Rendben",IF(AND(H1051=0,I1051=0),"Nincs kép és adat",IF(H1051=0,"Nincs kép","Nincs adat")))</f>
        <v/>
      </c>
      <c r="L1051" s="6" t="inlineStr">
        <is>
          <t>Igen</t>
        </is>
      </c>
      <c r="M1051" s="7" t="inlineStr">
        <is>
          <t>parlok.com termékoldalak</t>
        </is>
      </c>
      <c r="N1051" s="7" t="inlineStr">
        <is>
          <t>Megtalálva: Mudguard 550x1700 R500 WL (kód: 101290)</t>
        </is>
      </c>
      <c r="O1051" s="11" t="inlineStr">
        <is>
          <t>https://www.parlok.com/products/commercial-vehicles/mudguards/white-line-v</t>
        </is>
      </c>
      <c r="P1051" s="11" t="inlineStr">
        <is>
          <t>https://website-9ib.pages.dev/termek/j5123171p-ives-sarvedo-550-1700-500/</t>
        </is>
      </c>
      <c r="Q1051" s="12" t="inlineStr"/>
      <c r="R1051" s="13" t="inlineStr"/>
      <c r="S1051" s="6" t="inlineStr">
        <is>
          <t>j5123171p-ives-sarvedo-550-1700-500</t>
        </is>
      </c>
    </row>
    <row r="1052">
      <c r="A1052" s="6" t="inlineStr"/>
      <c r="B1052" s="7" t="inlineStr">
        <is>
          <t>J5123175P Íves sárvédő 550/1700/R550 WL</t>
        </is>
      </c>
      <c r="C1052" s="6" t="inlineStr">
        <is>
          <t>Sárvédők, szerszámosládák</t>
        </is>
      </c>
      <c r="D1052" s="6" t="inlineStr">
        <is>
          <t>Sárvédők</t>
        </is>
      </c>
      <c r="E1052" s="6" t="inlineStr">
        <is>
          <t>PARLOK</t>
        </is>
      </c>
      <c r="F1052" s="6" t="inlineStr">
        <is>
          <t>5123175</t>
        </is>
      </c>
      <c r="G1052" s="6" t="inlineStr">
        <is>
          <t>Quadris Excel</t>
        </is>
      </c>
      <c r="H1052" s="6" t="n">
        <v>2</v>
      </c>
      <c r="I1052" s="6" t="n">
        <v>5</v>
      </c>
      <c r="J1052" s="6" t="inlineStr">
        <is>
          <t>van</t>
        </is>
      </c>
      <c r="K1052" s="6">
        <f>IF(AND(H1052&gt;0,I1052&gt;0),"Rendben",IF(AND(H1052=0,I1052=0),"Nincs kép és adat",IF(H1052=0,"Nincs kép","Nincs adat")))</f>
        <v/>
      </c>
      <c r="L1052" s="6" t="inlineStr">
        <is>
          <t>Igen</t>
        </is>
      </c>
      <c r="M1052" s="7" t="inlineStr">
        <is>
          <t>parlok.com termékoldalak</t>
        </is>
      </c>
      <c r="N1052" s="7" t="inlineStr">
        <is>
          <t>Megtalálva: Mudguard 550x1700 R550 WL (kód: 101299)</t>
        </is>
      </c>
      <c r="O1052" s="11" t="inlineStr">
        <is>
          <t>https://www.parlok.com/products/commercial-vehicles/mudguards/white-line-v</t>
        </is>
      </c>
      <c r="P1052" s="11" t="inlineStr">
        <is>
          <t>https://website-9ib.pages.dev/termek/j5123175p-ives-sarvedo-550-1700-r550-wl/</t>
        </is>
      </c>
      <c r="Q1052" s="12" t="inlineStr"/>
      <c r="R1052" s="13" t="inlineStr"/>
      <c r="S1052" s="6" t="inlineStr">
        <is>
          <t>j5123175p-ives-sarvedo-550-1700-r550-wl</t>
        </is>
      </c>
    </row>
    <row r="1053">
      <c r="A1053" s="6" t="inlineStr"/>
      <c r="B1053" s="7" t="inlineStr">
        <is>
          <t>J5124018P Íves sárvédő 405/1800/R580 WL</t>
        </is>
      </c>
      <c r="C1053" s="6" t="inlineStr">
        <is>
          <t>Sárvédők, szerszámosládák</t>
        </is>
      </c>
      <c r="D1053" s="6" t="inlineStr">
        <is>
          <t>Sárvédők</t>
        </is>
      </c>
      <c r="E1053" s="6" t="inlineStr">
        <is>
          <t>PARLOK</t>
        </is>
      </c>
      <c r="F1053" s="6" t="inlineStr">
        <is>
          <t>5124018</t>
        </is>
      </c>
      <c r="G1053" s="6" t="inlineStr">
        <is>
          <t>Quadris Excel</t>
        </is>
      </c>
      <c r="H1053" s="6" t="n">
        <v>2</v>
      </c>
      <c r="I1053" s="6" t="n">
        <v>5</v>
      </c>
      <c r="J1053" s="6" t="inlineStr">
        <is>
          <t>van</t>
        </is>
      </c>
      <c r="K1053" s="6">
        <f>IF(AND(H1053&gt;0,I1053&gt;0),"Rendben",IF(AND(H1053=0,I1053=0),"Nincs kép és adat",IF(H1053=0,"Nincs kép","Nincs adat")))</f>
        <v/>
      </c>
      <c r="L1053" s="6" t="inlineStr">
        <is>
          <t>Igen</t>
        </is>
      </c>
      <c r="M1053" s="7" t="inlineStr">
        <is>
          <t>parlok.com termékoldalak</t>
        </is>
      </c>
      <c r="N1053" s="7" t="inlineStr">
        <is>
          <t>Megtalálva: Mudguard 405x1800 R580 WL (kód: 101320)</t>
        </is>
      </c>
      <c r="O1053" s="11" t="inlineStr">
        <is>
          <t>https://www.parlok.com/products/commercial-vehicles/mudguards/white-line-v</t>
        </is>
      </c>
      <c r="P1053" s="11" t="inlineStr">
        <is>
          <t>https://website-9ib.pages.dev/termek/j5124018p-ives-sarvedo-405-1800-r580-wl/</t>
        </is>
      </c>
      <c r="Q1053" s="12" t="inlineStr"/>
      <c r="R1053" s="13" t="inlineStr"/>
      <c r="S1053" s="6" t="inlineStr">
        <is>
          <t>j5124018p-ives-sarvedo-405-1800-r580-wl</t>
        </is>
      </c>
    </row>
    <row r="1054">
      <c r="A1054" s="6" t="inlineStr"/>
      <c r="B1054" s="7" t="inlineStr">
        <is>
          <t>J5124160P Íves sárvédő 500/1600/500 WL</t>
        </is>
      </c>
      <c r="C1054" s="6" t="inlineStr">
        <is>
          <t>Sárvédők, szerszámosládák</t>
        </is>
      </c>
      <c r="D1054" s="6" t="inlineStr">
        <is>
          <t>Sárvédők</t>
        </is>
      </c>
      <c r="E1054" s="6" t="inlineStr">
        <is>
          <t>PARLOK</t>
        </is>
      </c>
      <c r="F1054" s="6" t="inlineStr">
        <is>
          <t>5124160</t>
        </is>
      </c>
      <c r="G1054" s="6" t="inlineStr">
        <is>
          <t>Quadris Excel</t>
        </is>
      </c>
      <c r="H1054" s="6" t="n">
        <v>2</v>
      </c>
      <c r="I1054" s="6" t="n">
        <v>5</v>
      </c>
      <c r="J1054" s="6" t="inlineStr">
        <is>
          <t>van</t>
        </is>
      </c>
      <c r="K1054" s="6">
        <f>IF(AND(H1054&gt;0,I1054&gt;0),"Rendben",IF(AND(H1054=0,I1054=0),"Nincs kép és adat",IF(H1054=0,"Nincs kép","Nincs adat")))</f>
        <v/>
      </c>
      <c r="L1054" s="6" t="inlineStr">
        <is>
          <t>Igen</t>
        </is>
      </c>
      <c r="M1054" s="7" t="inlineStr">
        <is>
          <t>parlok.com termékoldalak</t>
        </is>
      </c>
      <c r="N1054" s="7" t="inlineStr">
        <is>
          <t>Megtalálva: Mudguard 500x1600 R500 WL (kód: 101350)</t>
        </is>
      </c>
      <c r="O1054" s="11" t="inlineStr">
        <is>
          <t>https://www.parlok.com/products/commercial-vehicles/mudguards/white-line-v</t>
        </is>
      </c>
      <c r="P1054" s="11" t="inlineStr">
        <is>
          <t>https://website-9ib.pages.dev/termek/j5124160p-ives-sarvedo-500-1600-500-wl/</t>
        </is>
      </c>
      <c r="Q1054" s="12" t="inlineStr"/>
      <c r="R1054" s="13" t="inlineStr"/>
      <c r="S1054" s="6" t="inlineStr">
        <is>
          <t>j5124160p-ives-sarvedo-500-1600-500-wl</t>
        </is>
      </c>
    </row>
    <row r="1055">
      <c r="A1055" s="6" t="inlineStr"/>
      <c r="B1055" s="7" t="inlineStr">
        <is>
          <t>J5124170P Íves sárvédő 500/1700/500</t>
        </is>
      </c>
      <c r="C1055" s="6" t="inlineStr">
        <is>
          <t>Sárvédők, szerszámosládák</t>
        </is>
      </c>
      <c r="D1055" s="6" t="inlineStr">
        <is>
          <t>Sárvédők</t>
        </is>
      </c>
      <c r="E1055" s="6" t="inlineStr">
        <is>
          <t>PARLOK</t>
        </is>
      </c>
      <c r="F1055" s="6" t="inlineStr">
        <is>
          <t>5124170</t>
        </is>
      </c>
      <c r="G1055" s="6" t="inlineStr">
        <is>
          <t>Quadris Excel</t>
        </is>
      </c>
      <c r="H1055" s="6" t="n">
        <v>2</v>
      </c>
      <c r="I1055" s="6" t="n">
        <v>3</v>
      </c>
      <c r="J1055" s="6" t="inlineStr">
        <is>
          <t>van</t>
        </is>
      </c>
      <c r="K1055" s="6">
        <f>IF(AND(H1055&gt;0,I1055&gt;0),"Rendben",IF(AND(H1055=0,I1055=0),"Nincs kép és adat",IF(H1055=0,"Nincs kép","Nincs adat")))</f>
        <v/>
      </c>
      <c r="L1055" s="6" t="inlineStr">
        <is>
          <t>Igen</t>
        </is>
      </c>
      <c r="M1055" s="7" t="inlineStr">
        <is>
          <t>parlok.com termékoldalak</t>
        </is>
      </c>
      <c r="N1055" s="7" t="inlineStr">
        <is>
          <t>Megtalálva: Mudguard 500x1700 R500 WL (kód: 101353)</t>
        </is>
      </c>
      <c r="O1055" s="11" t="inlineStr">
        <is>
          <t>https://www.parlok.com/products/commercial-vehicles/mudguards/white-line-v</t>
        </is>
      </c>
      <c r="P1055" s="11" t="inlineStr">
        <is>
          <t>https://website-9ib.pages.dev/termek/j5124170p-ives-sarvedo-500-1700-500/</t>
        </is>
      </c>
      <c r="Q1055" s="12" t="inlineStr"/>
      <c r="R1055" s="13" t="inlineStr"/>
      <c r="S1055" s="6" t="inlineStr">
        <is>
          <t>j5124170p-ives-sarvedo-500-1700-500</t>
        </is>
      </c>
    </row>
    <row r="1056">
      <c r="A1056" s="6" t="inlineStr"/>
      <c r="B1056" s="7" t="inlineStr">
        <is>
          <t>J5124870P Íves sárvédő 500/1700/R550 WL</t>
        </is>
      </c>
      <c r="C1056" s="6" t="inlineStr">
        <is>
          <t>Sárvédők, szerszámosládák</t>
        </is>
      </c>
      <c r="D1056" s="6" t="inlineStr">
        <is>
          <t>Sárvédők</t>
        </is>
      </c>
      <c r="E1056" s="6" t="inlineStr">
        <is>
          <t>PARLOK</t>
        </is>
      </c>
      <c r="F1056" s="6" t="inlineStr">
        <is>
          <t>5124870</t>
        </is>
      </c>
      <c r="G1056" s="6" t="inlineStr">
        <is>
          <t>Quadris Excel</t>
        </is>
      </c>
      <c r="H1056" s="6" t="n">
        <v>2</v>
      </c>
      <c r="I1056" s="6" t="n">
        <v>5</v>
      </c>
      <c r="J1056" s="6" t="inlineStr">
        <is>
          <t>van</t>
        </is>
      </c>
      <c r="K1056" s="6">
        <f>IF(AND(H1056&gt;0,I1056&gt;0),"Rendben",IF(AND(H1056=0,I1056=0),"Nincs kép és adat",IF(H1056=0,"Nincs kép","Nincs adat")))</f>
        <v/>
      </c>
      <c r="L1056" s="6" t="inlineStr">
        <is>
          <t>Igen</t>
        </is>
      </c>
      <c r="M1056" s="7" t="inlineStr">
        <is>
          <t>parlok.com termékoldalak</t>
        </is>
      </c>
      <c r="N1056" s="7" t="inlineStr">
        <is>
          <t>Megtalálva: Mudguard 500x1700 R550 WL (kód: 101414)</t>
        </is>
      </c>
      <c r="O1056" s="11" t="inlineStr">
        <is>
          <t>https://www.parlok.com/products/commercial-vehicles/mudguards/white-line-v</t>
        </is>
      </c>
      <c r="P1056" s="11" t="inlineStr">
        <is>
          <t>https://website-9ib.pages.dev/termek/j5124870p-ives-sarvedo-500-1700-r550-wl/</t>
        </is>
      </c>
      <c r="Q1056" s="12" t="inlineStr"/>
      <c r="R1056" s="13" t="inlineStr"/>
      <c r="S1056" s="6" t="inlineStr">
        <is>
          <t>j5124870p-ives-sarvedo-500-1700-r550-wl</t>
        </is>
      </c>
    </row>
    <row r="1057">
      <c r="A1057" s="6" t="inlineStr"/>
      <c r="B1057" s="7" t="inlineStr">
        <is>
          <t>J5125140P Íves sárvédő 450/1400/R450 WL</t>
        </is>
      </c>
      <c r="C1057" s="6" t="inlineStr">
        <is>
          <t>Sárvédők, szerszámosládák</t>
        </is>
      </c>
      <c r="D1057" s="6" t="inlineStr">
        <is>
          <t>Sárvédők</t>
        </is>
      </c>
      <c r="E1057" s="6" t="inlineStr">
        <is>
          <t>PARLOK</t>
        </is>
      </c>
      <c r="F1057" s="6" t="inlineStr">
        <is>
          <t>5125140</t>
        </is>
      </c>
      <c r="G1057" s="6" t="inlineStr">
        <is>
          <t>Quadris Excel</t>
        </is>
      </c>
      <c r="H1057" s="6" t="n">
        <v>2</v>
      </c>
      <c r="I1057" s="6" t="n">
        <v>5</v>
      </c>
      <c r="J1057" s="6" t="inlineStr">
        <is>
          <t>van</t>
        </is>
      </c>
      <c r="K1057" s="6">
        <f>IF(AND(H1057&gt;0,I1057&gt;0),"Rendben",IF(AND(H1057=0,I1057=0),"Nincs kép és adat",IF(H1057=0,"Nincs kép","Nincs adat")))</f>
        <v/>
      </c>
      <c r="L1057" s="6" t="inlineStr">
        <is>
          <t>Igen</t>
        </is>
      </c>
      <c r="M1057" s="7" t="inlineStr">
        <is>
          <t>parlok.com termékoldalak</t>
        </is>
      </c>
      <c r="N1057" s="7" t="inlineStr">
        <is>
          <t>Megtalálva: Mudguard 450x1400 R420 WL (kód: 101453)</t>
        </is>
      </c>
      <c r="O1057" s="11" t="inlineStr">
        <is>
          <t>https://www.parlok.com/products/commercial-vehicles/mudguards/white-line-v</t>
        </is>
      </c>
      <c r="P1057" s="11" t="inlineStr">
        <is>
          <t>https://website-9ib.pages.dev/termek/j5125140p-ives-sarvedo-450-1400-r450-wl/</t>
        </is>
      </c>
      <c r="Q1057" s="12" t="inlineStr"/>
      <c r="R1057" s="13" t="inlineStr"/>
      <c r="S1057" s="6" t="inlineStr">
        <is>
          <t>j5125140p-ives-sarvedo-450-1400-r450-wl</t>
        </is>
      </c>
    </row>
    <row r="1058">
      <c r="A1058" s="6" t="inlineStr"/>
      <c r="B1058" s="7" t="inlineStr">
        <is>
          <t>J5126190P Íves sárvédő 430/1900/R650 WL</t>
        </is>
      </c>
      <c r="C1058" s="6" t="inlineStr">
        <is>
          <t>Sárvédők, szerszámosládák</t>
        </is>
      </c>
      <c r="D1058" s="6" t="inlineStr">
        <is>
          <t>Sárvédők</t>
        </is>
      </c>
      <c r="E1058" s="6" t="inlineStr">
        <is>
          <t>PARLOK</t>
        </is>
      </c>
      <c r="F1058" s="6" t="inlineStr">
        <is>
          <t>5126190</t>
        </is>
      </c>
      <c r="G1058" s="6" t="inlineStr">
        <is>
          <t>Quadris Excel</t>
        </is>
      </c>
      <c r="H1058" s="6" t="n">
        <v>2</v>
      </c>
      <c r="I1058" s="6" t="n">
        <v>5</v>
      </c>
      <c r="J1058" s="6" t="inlineStr">
        <is>
          <t>van</t>
        </is>
      </c>
      <c r="K1058" s="6">
        <f>IF(AND(H1058&gt;0,I1058&gt;0),"Rendben",IF(AND(H1058=0,I1058=0),"Nincs kép és adat",IF(H1058=0,"Nincs kép","Nincs adat")))</f>
        <v/>
      </c>
      <c r="L1058" s="6" t="inlineStr">
        <is>
          <t>Igen</t>
        </is>
      </c>
      <c r="M1058" s="7" t="inlineStr">
        <is>
          <t>parlok.com termékoldalak</t>
        </is>
      </c>
      <c r="N1058" s="7" t="inlineStr">
        <is>
          <t>Megtalálva: Mudguard 430x1900 R650 WL (kód: 101479)</t>
        </is>
      </c>
      <c r="O1058" s="11" t="inlineStr">
        <is>
          <t>https://www.parlok.com/products/commercial-vehicles/mudguards/white-line-v</t>
        </is>
      </c>
      <c r="P1058" s="11" t="inlineStr">
        <is>
          <t>https://website-9ib.pages.dev/termek/j5126190p-ives-sarvedo-430-1900-r650-wl/</t>
        </is>
      </c>
      <c r="Q1058" s="12" t="inlineStr"/>
      <c r="R1058" s="13" t="inlineStr"/>
      <c r="S1058" s="6" t="inlineStr">
        <is>
          <t>j5126190p-ives-sarvedo-430-1900-r650-wl</t>
        </is>
      </c>
    </row>
    <row r="1059">
      <c r="A1059" s="6" t="inlineStr"/>
      <c r="B1059" s="7" t="inlineStr">
        <is>
          <t>J5126503P Íves sárvédő 405/1900/R635 WL</t>
        </is>
      </c>
      <c r="C1059" s="6" t="inlineStr">
        <is>
          <t>Sárvédők, szerszámosládák</t>
        </is>
      </c>
      <c r="D1059" s="6" t="inlineStr">
        <is>
          <t>Sárvédők</t>
        </is>
      </c>
      <c r="E1059" s="6" t="inlineStr">
        <is>
          <t>PARLOK</t>
        </is>
      </c>
      <c r="F1059" s="6" t="inlineStr">
        <is>
          <t>5126503</t>
        </is>
      </c>
      <c r="G1059" s="6" t="inlineStr">
        <is>
          <t>Quadris Excel</t>
        </is>
      </c>
      <c r="H1059" s="6" t="n">
        <v>2</v>
      </c>
      <c r="I1059" s="6" t="n">
        <v>5</v>
      </c>
      <c r="J1059" s="6" t="inlineStr">
        <is>
          <t>van</t>
        </is>
      </c>
      <c r="K1059" s="6">
        <f>IF(AND(H1059&gt;0,I1059&gt;0),"Rendben",IF(AND(H1059=0,I1059=0),"Nincs kép és adat",IF(H1059=0,"Nincs kép","Nincs adat")))</f>
        <v/>
      </c>
      <c r="L1059" s="6" t="inlineStr">
        <is>
          <t>Igen</t>
        </is>
      </c>
      <c r="M1059" s="7" t="inlineStr">
        <is>
          <t>parlok.com termékoldalak</t>
        </is>
      </c>
      <c r="N1059" s="7" t="inlineStr">
        <is>
          <t>Megtalálva: Mudguard 405x1900 R635 WL (kód: 101616)</t>
        </is>
      </c>
      <c r="O1059" s="11" t="inlineStr">
        <is>
          <t>https://www.parlok.com/products/commercial-vehicles/mudguards/white-line-v</t>
        </is>
      </c>
      <c r="P1059" s="11" t="inlineStr">
        <is>
          <t>https://website-9ib.pages.dev/termek/j5126503p-ives-sarvedo-405-1900-r635-wl/</t>
        </is>
      </c>
      <c r="Q1059" s="12" t="inlineStr"/>
      <c r="R1059" s="13" t="inlineStr"/>
      <c r="S1059" s="6" t="inlineStr">
        <is>
          <t>j5126503p-ives-sarvedo-405-1900-r635-wl</t>
        </is>
      </c>
    </row>
    <row r="1060">
      <c r="A1060" s="6" t="inlineStr"/>
      <c r="B1060" s="7" t="inlineStr">
        <is>
          <t>J5126530P Íves sárvédő 430/1900/R650 3 részes</t>
        </is>
      </c>
      <c r="C1060" s="6" t="inlineStr">
        <is>
          <t>Sárvédők, szerszámosládák</t>
        </is>
      </c>
      <c r="D1060" s="6" t="inlineStr">
        <is>
          <t>Sárvédők</t>
        </is>
      </c>
      <c r="E1060" s="6" t="inlineStr">
        <is>
          <t>PARLOK</t>
        </is>
      </c>
      <c r="F1060" s="6" t="inlineStr">
        <is>
          <t>5126530</t>
        </is>
      </c>
      <c r="G1060" s="6" t="inlineStr">
        <is>
          <t>Quadris Excel</t>
        </is>
      </c>
      <c r="H1060" s="6" t="n">
        <v>2</v>
      </c>
      <c r="I1060" s="6" t="n">
        <v>5</v>
      </c>
      <c r="J1060" s="6" t="inlineStr">
        <is>
          <t>van</t>
        </is>
      </c>
      <c r="K1060" s="6">
        <f>IF(AND(H1060&gt;0,I1060&gt;0),"Rendben",IF(AND(H1060=0,I1060=0),"Nincs kép és adat",IF(H1060=0,"Nincs kép","Nincs adat")))</f>
        <v/>
      </c>
      <c r="L1060" s="6" t="inlineStr">
        <is>
          <t>Igen</t>
        </is>
      </c>
      <c r="M1060" s="7" t="inlineStr">
        <is>
          <t>parlok.com termékoldalak</t>
        </is>
      </c>
      <c r="N1060" s="7" t="inlineStr">
        <is>
          <t>Megtalálva: Mudguard 430x1900 R650 WL 3-piece (kód: 101678)</t>
        </is>
      </c>
      <c r="O1060" s="11" t="inlineStr">
        <is>
          <t>https://www.parlok.com/products/commercial-vehicles/mudguards/wl-v-3-piece</t>
        </is>
      </c>
      <c r="P1060" s="11" t="inlineStr">
        <is>
          <t>https://website-9ib.pages.dev/termek/j5126530p-ives-sarvedo-430-1900-r650-3-reszes/</t>
        </is>
      </c>
      <c r="Q1060" s="12" t="inlineStr"/>
      <c r="R1060" s="13" t="inlineStr"/>
      <c r="S1060" s="6" t="inlineStr">
        <is>
          <t>j5126530p-ives-sarvedo-430-1900-r650-3-reszes</t>
        </is>
      </c>
    </row>
    <row r="1061">
      <c r="A1061" s="6" t="inlineStr"/>
      <c r="B1061" s="7" t="inlineStr">
        <is>
          <t>J5165920P Íves sárvédő 595/2000/R550 Supra</t>
        </is>
      </c>
      <c r="C1061" s="6" t="inlineStr">
        <is>
          <t>Sárvédők, szerszámosládák</t>
        </is>
      </c>
      <c r="D1061" s="6" t="inlineStr">
        <is>
          <t>Sárvédők</t>
        </is>
      </c>
      <c r="E1061" s="6" t="inlineStr">
        <is>
          <t>PARLOK</t>
        </is>
      </c>
      <c r="F1061" s="6" t="inlineStr">
        <is>
          <t>5165920</t>
        </is>
      </c>
      <c r="G1061" s="6" t="inlineStr">
        <is>
          <t>Quadris Excel</t>
        </is>
      </c>
      <c r="H1061" s="6" t="n">
        <v>2</v>
      </c>
      <c r="I1061" s="6" t="n">
        <v>5</v>
      </c>
      <c r="J1061" s="6" t="inlineStr">
        <is>
          <t>van</t>
        </is>
      </c>
      <c r="K1061" s="6">
        <f>IF(AND(H1061&gt;0,I1061&gt;0),"Rendben",IF(AND(H1061=0,I1061=0),"Nincs kép és adat",IF(H1061=0,"Nincs kép","Nincs adat")))</f>
        <v/>
      </c>
      <c r="L1061" s="6" t="inlineStr">
        <is>
          <t>Igen</t>
        </is>
      </c>
      <c r="M1061" s="7" t="inlineStr">
        <is>
          <t>parlok.com termékoldalak</t>
        </is>
      </c>
      <c r="N1061" s="7" t="inlineStr">
        <is>
          <t>Megtalálva: Mudguard 595x2000 R550 WL Supra (kód: 102036)</t>
        </is>
      </c>
      <c r="O1061" s="11" t="inlineStr">
        <is>
          <t>https://www.parlok.com/products/commercial-vehicles/supra-anti-spray/white-line-v-supra</t>
        </is>
      </c>
      <c r="P1061" s="11" t="inlineStr">
        <is>
          <t>https://website-9ib.pages.dev/termek/j5165920p-ives-sarvedo-595-2000-r550-supra/</t>
        </is>
      </c>
      <c r="Q1061" s="12" t="inlineStr"/>
      <c r="R1061" s="13" t="inlineStr"/>
      <c r="S1061" s="6" t="inlineStr">
        <is>
          <t>j5165920p-ives-sarvedo-595-2000-r550-supra</t>
        </is>
      </c>
    </row>
    <row r="1062">
      <c r="A1062" s="6" t="inlineStr"/>
      <c r="B1062" s="7" t="inlineStr">
        <is>
          <t>J5166319P Íves sárvédő 630/1930/R530 Supra</t>
        </is>
      </c>
      <c r="C1062" s="6" t="inlineStr">
        <is>
          <t>Sárvédők, szerszámosládák</t>
        </is>
      </c>
      <c r="D1062" s="6" t="inlineStr">
        <is>
          <t>Sárvédők</t>
        </is>
      </c>
      <c r="E1062" s="6" t="inlineStr">
        <is>
          <t>PARLOK</t>
        </is>
      </c>
      <c r="F1062" s="6" t="inlineStr">
        <is>
          <t>5166319</t>
        </is>
      </c>
      <c r="G1062" s="6" t="inlineStr">
        <is>
          <t>Quadris Excel</t>
        </is>
      </c>
      <c r="H1062" s="6" t="n">
        <v>2</v>
      </c>
      <c r="I1062" s="6" t="n">
        <v>5</v>
      </c>
      <c r="J1062" s="6" t="inlineStr">
        <is>
          <t>van</t>
        </is>
      </c>
      <c r="K1062" s="6">
        <f>IF(AND(H1062&gt;0,I1062&gt;0),"Rendben",IF(AND(H1062=0,I1062=0),"Nincs kép és adat",IF(H1062=0,"Nincs kép","Nincs adat")))</f>
        <v/>
      </c>
      <c r="L1062" s="6" t="inlineStr">
        <is>
          <t>Igen</t>
        </is>
      </c>
      <c r="M1062" s="7" t="inlineStr">
        <is>
          <t>parlok.com termékoldalak</t>
        </is>
      </c>
      <c r="N1062" s="7" t="inlineStr">
        <is>
          <t>Megtalálva: Mudguard 630x1930 R530 WL Supra (kód: 102086)</t>
        </is>
      </c>
      <c r="O1062" s="11" t="inlineStr">
        <is>
          <t>https://www.parlok.com/products/commercial-vehicles/supra-anti-spray/white-line-v-supra</t>
        </is>
      </c>
      <c r="P1062" s="11" t="inlineStr">
        <is>
          <t>https://website-9ib.pages.dev/termek/j5166319p-ives-sarvedo-630-1930-r530-supra/</t>
        </is>
      </c>
      <c r="Q1062" s="12" t="inlineStr"/>
      <c r="R1062" s="13" t="inlineStr"/>
      <c r="S1062" s="6" t="inlineStr">
        <is>
          <t>j5166319p-ives-sarvedo-630-1930-r530-supra</t>
        </is>
      </c>
    </row>
    <row r="1063">
      <c r="A1063" s="6" t="inlineStr"/>
      <c r="B1063" s="7" t="inlineStr">
        <is>
          <t>J5166320P Íves sárvédő 630/2050/580 Supra</t>
        </is>
      </c>
      <c r="C1063" s="6" t="inlineStr">
        <is>
          <t>Sárvédők, szerszámosládák</t>
        </is>
      </c>
      <c r="D1063" s="6" t="inlineStr">
        <is>
          <t>Sárvédők</t>
        </is>
      </c>
      <c r="E1063" s="6" t="inlineStr">
        <is>
          <t>PARLOK</t>
        </is>
      </c>
      <c r="F1063" s="6" t="inlineStr"/>
      <c r="G1063" s="6" t="inlineStr">
        <is>
          <t>Quadris Excel</t>
        </is>
      </c>
      <c r="H1063" s="6" t="n">
        <v>2</v>
      </c>
      <c r="I1063" s="6" t="n">
        <v>5</v>
      </c>
      <c r="J1063" s="6" t="inlineStr">
        <is>
          <t>van</t>
        </is>
      </c>
      <c r="K1063" s="6">
        <f>IF(AND(H1063&gt;0,I1063&gt;0),"Rendben",IF(AND(H1063=0,I1063=0),"Nincs kép és adat",IF(H1063=0,"Nincs kép","Nincs adat")))</f>
        <v/>
      </c>
      <c r="L1063" s="6" t="inlineStr">
        <is>
          <t>Igen</t>
        </is>
      </c>
      <c r="M1063" s="7" t="inlineStr">
        <is>
          <t>parlok.com termékoldalak</t>
        </is>
      </c>
      <c r="N1063" s="7" t="inlineStr">
        <is>
          <t>Megtalálva: Mudguard 630x2050 R580 WL Supra (kód: 102104)</t>
        </is>
      </c>
      <c r="O1063" s="11" t="inlineStr">
        <is>
          <t>https://www.parlok.com/products/commercial-vehicles/supra-anti-spray/white-line-v-supra</t>
        </is>
      </c>
      <c r="P1063" s="11" t="inlineStr">
        <is>
          <t>https://website-9ib.pages.dev/termek/j5166320p-ives-sarvedo-630-2050-580-supra/</t>
        </is>
      </c>
      <c r="Q1063" s="12" t="inlineStr"/>
      <c r="R1063" s="13" t="inlineStr"/>
      <c r="S1063" s="6" t="inlineStr">
        <is>
          <t>j5166320p-ives-sarvedo-630-2050-580-supra</t>
        </is>
      </c>
    </row>
    <row r="1064">
      <c r="A1064" s="6" t="inlineStr"/>
      <c r="B1064" s="7" t="inlineStr">
        <is>
          <t>J5166823P Íves sárvédő 680/2300 R630 WL Supra</t>
        </is>
      </c>
      <c r="C1064" s="6" t="inlineStr">
        <is>
          <t>Sárvédők, szerszámosládák</t>
        </is>
      </c>
      <c r="D1064" s="6" t="inlineStr">
        <is>
          <t>Sárvédők</t>
        </is>
      </c>
      <c r="E1064" s="6" t="inlineStr">
        <is>
          <t>PARLOK</t>
        </is>
      </c>
      <c r="F1064" s="6" t="inlineStr">
        <is>
          <t>5166823</t>
        </is>
      </c>
      <c r="G1064" s="6" t="inlineStr">
        <is>
          <t>Quadris Excel</t>
        </is>
      </c>
      <c r="H1064" s="6" t="n">
        <v>2</v>
      </c>
      <c r="I1064" s="6" t="n">
        <v>5</v>
      </c>
      <c r="J1064" s="6" t="inlineStr">
        <is>
          <t>van</t>
        </is>
      </c>
      <c r="K1064" s="6">
        <f>IF(AND(H1064&gt;0,I1064&gt;0),"Rendben",IF(AND(H1064=0,I1064=0),"Nincs kép és adat",IF(H1064=0,"Nincs kép","Nincs adat")))</f>
        <v/>
      </c>
      <c r="L1064" s="6" t="inlineStr">
        <is>
          <t>Igen</t>
        </is>
      </c>
      <c r="M1064" s="7" t="inlineStr">
        <is>
          <t>parlok.com termékoldalak</t>
        </is>
      </c>
      <c r="N1064" s="7" t="inlineStr">
        <is>
          <t>Megtalálva: Mudguard 680x2300 R630 WL Supra (kód: 102240)</t>
        </is>
      </c>
      <c r="O1064" s="11" t="inlineStr">
        <is>
          <t>https://www.parlok.com/products/commercial-vehicles/supra-anti-spray/white-line-v-supra</t>
        </is>
      </c>
      <c r="P1064" s="11" t="inlineStr">
        <is>
          <t>https://website-9ib.pages.dev/termek/j5166823p-ives-sarvedo-680-2300-r630-wl-supra/</t>
        </is>
      </c>
      <c r="Q1064" s="12" t="inlineStr"/>
      <c r="R1064" s="13" t="inlineStr"/>
      <c r="S1064" s="6" t="inlineStr">
        <is>
          <t>j5166823p-ives-sarvedo-680-2300-r630-wl-supra</t>
        </is>
      </c>
    </row>
    <row r="1065">
      <c r="A1065" s="6" t="inlineStr"/>
      <c r="B1065" s="7" t="inlineStr">
        <is>
          <t>J5166825P Íves sárvédő 680/2575 Supra</t>
        </is>
      </c>
      <c r="C1065" s="6" t="inlineStr">
        <is>
          <t>Sárvédők, szerszámosládák</t>
        </is>
      </c>
      <c r="D1065" s="6" t="inlineStr">
        <is>
          <t>Sárvédők</t>
        </is>
      </c>
      <c r="E1065" s="6" t="inlineStr">
        <is>
          <t>PARLOK</t>
        </is>
      </c>
      <c r="F1065" s="6" t="inlineStr"/>
      <c r="G1065" s="6" t="inlineStr">
        <is>
          <t>Quadris Excel</t>
        </is>
      </c>
      <c r="H1065" s="6" t="n">
        <v>2</v>
      </c>
      <c r="I1065" s="6" t="n">
        <v>5</v>
      </c>
      <c r="J1065" s="6" t="inlineStr">
        <is>
          <t>van</t>
        </is>
      </c>
      <c r="K1065" s="6">
        <f>IF(AND(H1065&gt;0,I1065&gt;0),"Rendben",IF(AND(H1065=0,I1065=0),"Nincs kép és adat",IF(H1065=0,"Nincs kép","Nincs adat")))</f>
        <v/>
      </c>
      <c r="L1065" s="6" t="inlineStr">
        <is>
          <t>Igen</t>
        </is>
      </c>
      <c r="M1065" s="7" t="inlineStr">
        <is>
          <t>parlok.com termékoldalak</t>
        </is>
      </c>
      <c r="N1065" s="7" t="inlineStr">
        <is>
          <t>Megtalálva: Mudguard 680x2575 R630 WL Supra (kód: 102289)</t>
        </is>
      </c>
      <c r="O1065" s="11" t="inlineStr">
        <is>
          <t>https://www.parlok.com/products/commercial-vehicles/supra-anti-spray/white-line-v-supra</t>
        </is>
      </c>
      <c r="P1065" s="11" t="inlineStr">
        <is>
          <t>https://website-9ib.pages.dev/termek/j5166825p-ives-sarvedo-680-2575-supra/</t>
        </is>
      </c>
      <c r="Q1065" s="12" t="inlineStr"/>
      <c r="R1065" s="13" t="inlineStr"/>
      <c r="S1065" s="6" t="inlineStr">
        <is>
          <t>j5166825p-ives-sarvedo-680-2575-supra</t>
        </is>
      </c>
    </row>
    <row r="1066">
      <c r="A1066" s="6" t="inlineStr"/>
      <c r="B1066" s="7" t="inlineStr">
        <is>
          <t>J5942550P Szerszámos láda tartó konzol</t>
        </is>
      </c>
      <c r="C1066" s="6" t="inlineStr">
        <is>
          <t>Sárvédők, szerszámosládák</t>
        </is>
      </c>
      <c r="D1066" s="6" t="inlineStr">
        <is>
          <t>Dobozok + tartó konzolok</t>
        </is>
      </c>
      <c r="E1066" s="6" t="inlineStr">
        <is>
          <t>PARLOK</t>
        </is>
      </c>
      <c r="F1066" s="6" t="inlineStr">
        <is>
          <t>102902</t>
        </is>
      </c>
      <c r="G1066" s="6" t="inlineStr">
        <is>
          <t>Quadris Excel</t>
        </is>
      </c>
      <c r="H1066" s="6" t="n">
        <v>2</v>
      </c>
      <c r="I1066" s="6" t="n">
        <v>0</v>
      </c>
      <c r="J1066" s="6" t="inlineStr">
        <is>
          <t>van</t>
        </is>
      </c>
      <c r="K1066" s="6">
        <f>IF(AND(H1066&gt;0,I1066&gt;0),"Rendben",IF(AND(H1066=0,I1066=0),"Nincs kép és adat",IF(H1066=0,"Nincs kép","Nincs adat")))</f>
        <v/>
      </c>
      <c r="L1066" s="6" t="inlineStr">
        <is>
          <t>Igen</t>
        </is>
      </c>
      <c r="M1066" s="7" t="inlineStr">
        <is>
          <t>parlok.com termékoldalak</t>
        </is>
      </c>
      <c r="N1066" s="7" t="inlineStr">
        <is>
          <t>Megtalálva: Installation kit for toolbox 550-700L SL4 (kód: 102827)</t>
        </is>
      </c>
      <c r="O1066" s="11" t="inlineStr">
        <is>
          <t>https://www.parlok.com/products/commercial-vehicles/toolboxes/550-sl</t>
        </is>
      </c>
      <c r="P1066" s="11" t="inlineStr">
        <is>
          <t>https://website-9ib.pages.dev/termek/j5942550p-szerszamos-lada-tarto-konzol/</t>
        </is>
      </c>
      <c r="Q1066" s="12" t="inlineStr"/>
      <c r="R1066" s="13" t="inlineStr"/>
      <c r="S1066" s="6" t="inlineStr">
        <is>
          <t>j5942550p-szerszamos-lada-tarto-konzol</t>
        </is>
      </c>
    </row>
    <row r="1067">
      <c r="A1067" s="6" t="inlineStr">
        <is>
          <t>512527</t>
        </is>
      </c>
      <c r="B1067" s="7" t="inlineStr">
        <is>
          <t>55 mm-es PVC tömítés PL</t>
        </is>
      </c>
      <c r="C1067" s="6" t="inlineStr">
        <is>
          <t>Dobozos felépítmény alkatrészek</t>
        </is>
      </c>
      <c r="D1067" s="6" t="inlineStr">
        <is>
          <t>Tömítések</t>
        </is>
      </c>
      <c r="E1067" s="6" t="inlineStr">
        <is>
          <t>Pastore</t>
        </is>
      </c>
      <c r="F1067" s="6" t="inlineStr">
        <is>
          <t>072027678</t>
        </is>
      </c>
      <c r="G1067" s="6" t="inlineStr">
        <is>
          <t>Quadris Excel</t>
        </is>
      </c>
      <c r="H1067" s="6" t="n">
        <v>1</v>
      </c>
      <c r="I1067" s="6" t="n">
        <v>3</v>
      </c>
      <c r="J1067" s="6" t="inlineStr">
        <is>
          <t>nincs</t>
        </is>
      </c>
      <c r="K1067" s="6">
        <f>IF(AND(H1067&gt;0,I1067&gt;0),"Rendben",IF(AND(H1067=0,I1067=0),"Nincs kép és adat",IF(H1067=0,"Nincs kép","Nincs adat")))</f>
        <v/>
      </c>
      <c r="L1067" s="6" t="inlineStr">
        <is>
          <t>Igen</t>
        </is>
      </c>
      <c r="M1067" s="7" t="inlineStr">
        <is>
          <t>pastorelombardi.com kereső</t>
        </is>
      </c>
      <c r="N1067" s="7" t="inlineStr">
        <is>
          <t>Megtalálva: PVC profile, grey, mm.55,5 (kód: 072027678)</t>
        </is>
      </c>
      <c r="O1067" s="11" t="inlineStr">
        <is>
          <t>https://www.pastorelombardi.com/eng/cerca?chiave=072027678</t>
        </is>
      </c>
      <c r="P1067" s="11" t="inlineStr">
        <is>
          <t>https://website-9ib.pages.dev/termek/512527-55-mm-es-pvc-tomites-pl/</t>
        </is>
      </c>
      <c r="Q1067" s="12" t="inlineStr"/>
      <c r="R1067" s="13" t="inlineStr"/>
      <c r="S1067" s="6" t="inlineStr">
        <is>
          <t>512527-55-mm-es-pvc-tomites-pl</t>
        </is>
      </c>
    </row>
    <row r="1068">
      <c r="A1068" s="6" t="inlineStr">
        <is>
          <t>516913</t>
        </is>
      </c>
      <c r="B1068" s="7" t="inlineStr">
        <is>
          <t>63 mm Hűtős gumi 13M</t>
        </is>
      </c>
      <c r="C1068" s="6" t="inlineStr">
        <is>
          <t>Dobozos felépítmény alkatrészek</t>
        </is>
      </c>
      <c r="D1068" s="6" t="inlineStr">
        <is>
          <t>Tömítések</t>
        </is>
      </c>
      <c r="E1068" s="6" t="inlineStr">
        <is>
          <t>Pastore</t>
        </is>
      </c>
      <c r="F1068" s="6" t="inlineStr"/>
      <c r="G1068" s="6" t="inlineStr">
        <is>
          <t>Quadris Excel</t>
        </is>
      </c>
      <c r="H1068" s="6" t="n">
        <v>0</v>
      </c>
      <c r="I1068" s="6" t="n">
        <v>0</v>
      </c>
      <c r="J1068" s="6" t="inlineStr">
        <is>
          <t>nincs</t>
        </is>
      </c>
      <c r="K1068" s="6">
        <f>IF(AND(H1068&gt;0,I1068&gt;0),"Rendben",IF(AND(H1068=0,I1068=0),"Nincs kép és adat",IF(H1068=0,"Nincs kép","Nincs adat")))</f>
        <v/>
      </c>
      <c r="L1068" s="6" t="inlineStr">
        <is>
          <t>Igen</t>
        </is>
      </c>
      <c r="M1068" s="7" t="inlineStr">
        <is>
          <t>pastorelombardi.com kereső</t>
        </is>
      </c>
      <c r="N1068" s="7" t="inlineStr">
        <is>
          <t>Nem találtuk: pastorelombardi.com kereső</t>
        </is>
      </c>
      <c r="O1068" s="6" t="inlineStr"/>
      <c r="P1068" s="11" t="inlineStr">
        <is>
          <t>https://website-9ib.pages.dev/termek/516913-63-mm-hutos-gumi-13m/</t>
        </is>
      </c>
      <c r="Q1068" s="12" t="inlineStr"/>
      <c r="R1068" s="13" t="inlineStr"/>
      <c r="S1068" s="6" t="inlineStr">
        <is>
          <t>516913-63-mm-hutos-gumi-13m</t>
        </is>
      </c>
    </row>
    <row r="1069">
      <c r="A1069" s="6" t="inlineStr">
        <is>
          <t>511813</t>
        </is>
      </c>
      <c r="B1069" s="7" t="inlineStr">
        <is>
          <t>83 mm Hűtős gumi 13M</t>
        </is>
      </c>
      <c r="C1069" s="6" t="inlineStr">
        <is>
          <t>Dobozos felépítmény alkatrészek</t>
        </is>
      </c>
      <c r="D1069" s="6" t="inlineStr">
        <is>
          <t>Tömítések</t>
        </is>
      </c>
      <c r="E1069" s="6" t="inlineStr">
        <is>
          <t>Pastore</t>
        </is>
      </c>
      <c r="F1069" s="6" t="inlineStr"/>
      <c r="G1069" s="6" t="inlineStr">
        <is>
          <t>Quadris Excel</t>
        </is>
      </c>
      <c r="H1069" s="6" t="n">
        <v>0</v>
      </c>
      <c r="I1069" s="6" t="n">
        <v>0</v>
      </c>
      <c r="J1069" s="6" t="inlineStr">
        <is>
          <t>nincs</t>
        </is>
      </c>
      <c r="K1069" s="6">
        <f>IF(AND(H1069&gt;0,I1069&gt;0),"Rendben",IF(AND(H1069=0,I1069=0),"Nincs kép és adat",IF(H1069=0,"Nincs kép","Nincs adat")))</f>
        <v/>
      </c>
      <c r="L1069" s="6" t="inlineStr">
        <is>
          <t>Igen</t>
        </is>
      </c>
      <c r="M1069" s="7" t="inlineStr">
        <is>
          <t>pastorelombardi.com kereső</t>
        </is>
      </c>
      <c r="N1069" s="7" t="inlineStr">
        <is>
          <t>Nem találtuk: pastorelombardi.com kereső</t>
        </is>
      </c>
      <c r="O1069" s="6" t="inlineStr"/>
      <c r="P1069" s="11" t="inlineStr">
        <is>
          <t>https://website-9ib.pages.dev/termek/511813-83-mm-hutos-gumi-13m/</t>
        </is>
      </c>
      <c r="Q1069" s="12" t="inlineStr"/>
      <c r="R1069" s="13" t="inlineStr"/>
      <c r="S1069" s="6" t="inlineStr">
        <is>
          <t>511813-83-mm-hutos-gumi-13m</t>
        </is>
      </c>
    </row>
    <row r="1070">
      <c r="A1070" s="6" t="inlineStr">
        <is>
          <t>512627</t>
        </is>
      </c>
      <c r="B1070" s="7" t="inlineStr">
        <is>
          <t>85 mm-es PVC tömítés PL</t>
        </is>
      </c>
      <c r="C1070" s="6" t="inlineStr">
        <is>
          <t>Dobozos felépítmény alkatrészek</t>
        </is>
      </c>
      <c r="D1070" s="6" t="inlineStr">
        <is>
          <t>Tömítések</t>
        </is>
      </c>
      <c r="E1070" s="6" t="inlineStr">
        <is>
          <t>Pastore</t>
        </is>
      </c>
      <c r="F1070" s="6" t="inlineStr">
        <is>
          <t>072021426D</t>
        </is>
      </c>
      <c r="G1070" s="6" t="inlineStr">
        <is>
          <t>Quadris Excel</t>
        </is>
      </c>
      <c r="H1070" s="6" t="n">
        <v>1</v>
      </c>
      <c r="I1070" s="6" t="n">
        <v>3</v>
      </c>
      <c r="J1070" s="6" t="inlineStr">
        <is>
          <t>nincs</t>
        </is>
      </c>
      <c r="K1070" s="6">
        <f>IF(AND(H1070&gt;0,I1070&gt;0),"Rendben",IF(AND(H1070=0,I1070=0),"Nincs kép és adat",IF(H1070=0,"Nincs kép","Nincs adat")))</f>
        <v/>
      </c>
      <c r="L1070" s="6" t="inlineStr">
        <is>
          <t>Igen</t>
        </is>
      </c>
      <c r="M1070" s="7" t="inlineStr">
        <is>
          <t>pastorelombardi.com kereső</t>
        </is>
      </c>
      <c r="N1070" s="7" t="inlineStr">
        <is>
          <t>Megtalálva: PVC profile, grey, mm 85,5 (kód: 072021426D)</t>
        </is>
      </c>
      <c r="O1070" s="11" t="inlineStr">
        <is>
          <t>https://www.pastorelombardi.com/eng/cerca?chiave=072021426D</t>
        </is>
      </c>
      <c r="P1070" s="11" t="inlineStr">
        <is>
          <t>https://website-9ib.pages.dev/termek/512627-85-mm-es-pvc-tomites-pl/</t>
        </is>
      </c>
      <c r="Q1070" s="12" t="inlineStr"/>
      <c r="R1070" s="13" t="inlineStr"/>
      <c r="S1070" s="6" t="inlineStr">
        <is>
          <t>512627-85-mm-es-pvc-tomites-pl</t>
        </is>
      </c>
    </row>
    <row r="1071">
      <c r="A1071" s="6" t="inlineStr">
        <is>
          <t>72298</t>
        </is>
      </c>
      <c r="B1071" s="7" t="inlineStr">
        <is>
          <t>Alu csőtartó biztosító csappal</t>
        </is>
      </c>
      <c r="C1071" s="6" t="inlineStr">
        <is>
          <t>Dobozos felépítmény alkatrészek</t>
        </is>
      </c>
      <c r="D1071" s="6" t="inlineStr">
        <is>
          <t>Húspálya rendszer</t>
        </is>
      </c>
      <c r="E1071" s="6" t="inlineStr">
        <is>
          <t>Pastore</t>
        </is>
      </c>
      <c r="F1071" s="6" t="inlineStr">
        <is>
          <t>072622298</t>
        </is>
      </c>
      <c r="G1071" s="6" t="inlineStr">
        <is>
          <t>Quadris Excel</t>
        </is>
      </c>
      <c r="H1071" s="6" t="n">
        <v>3</v>
      </c>
      <c r="I1071" s="6" t="n">
        <v>2</v>
      </c>
      <c r="J1071" s="6" t="inlineStr">
        <is>
          <t>nincs</t>
        </is>
      </c>
      <c r="K1071" s="6">
        <f>IF(AND(H1071&gt;0,I1071&gt;0),"Rendben",IF(AND(H1071=0,I1071=0),"Nincs kép és adat",IF(H1071=0,"Nincs kép","Nincs adat")))</f>
        <v/>
      </c>
      <c r="L1071" s="6" t="inlineStr">
        <is>
          <t>Igen</t>
        </is>
      </c>
      <c r="M1071" s="7" t="inlineStr">
        <is>
          <t>pastorelombardi.com kereső</t>
        </is>
      </c>
      <c r="N1071" s="7" t="inlineStr">
        <is>
          <t>Megtalálva: Anodized aluminum tube support with stainless steel hook stop with pin (kód: 072622298)</t>
        </is>
      </c>
      <c r="O1071" s="11" t="inlineStr">
        <is>
          <t>https://www.pastorelombardi.com/eng/cerca?chiave=072622298</t>
        </is>
      </c>
      <c r="P1071" s="11" t="inlineStr">
        <is>
          <t>https://website-9ib.pages.dev/termek/72298-alu-csotarto-biztosito-csappal/</t>
        </is>
      </c>
      <c r="Q1071" s="12" t="inlineStr"/>
      <c r="R1071" s="13" t="inlineStr"/>
      <c r="S1071" s="6" t="inlineStr">
        <is>
          <t>72298-alu-csotarto-biztosito-csappal</t>
        </is>
      </c>
    </row>
    <row r="1072">
      <c r="A1072" s="6" t="inlineStr">
        <is>
          <t>72711</t>
        </is>
      </c>
      <c r="B1072" s="7" t="inlineStr">
        <is>
          <t>Első csővég</t>
        </is>
      </c>
      <c r="C1072" s="6" t="inlineStr">
        <is>
          <t>Dobozos felépítmény alkatrészek</t>
        </is>
      </c>
      <c r="D1072" s="6" t="inlineStr">
        <is>
          <t>Húspálya rendszer</t>
        </is>
      </c>
      <c r="E1072" s="6" t="inlineStr">
        <is>
          <t>Pastore</t>
        </is>
      </c>
      <c r="F1072" s="6" t="inlineStr">
        <is>
          <t>072621711</t>
        </is>
      </c>
      <c r="G1072" s="6" t="inlineStr">
        <is>
          <t>Quadris Excel</t>
        </is>
      </c>
      <c r="H1072" s="6" t="n">
        <v>3</v>
      </c>
      <c r="I1072" s="6" t="n">
        <v>2</v>
      </c>
      <c r="J1072" s="6" t="inlineStr">
        <is>
          <t>nincs</t>
        </is>
      </c>
      <c r="K1072" s="6">
        <f>IF(AND(H1072&gt;0,I1072&gt;0),"Rendben",IF(AND(H1072=0,I1072=0),"Nincs kép és adat",IF(H1072=0,"Nincs kép","Nincs adat")))</f>
        <v/>
      </c>
      <c r="L1072" s="6" t="inlineStr">
        <is>
          <t>Igen</t>
        </is>
      </c>
      <c r="M1072" s="7" t="inlineStr">
        <is>
          <t>pastorelombardi.com kereső</t>
        </is>
      </c>
      <c r="N1072" s="7" t="inlineStr">
        <is>
          <t>Megtalálva: Anodized aluminum front cap (kód: 072621711)</t>
        </is>
      </c>
      <c r="O1072" s="11" t="inlineStr">
        <is>
          <t>https://www.pastorelombardi.com/eng/cerca?chiave=072621711</t>
        </is>
      </c>
      <c r="P1072" s="11" t="inlineStr">
        <is>
          <t>https://website-9ib.pages.dev/termek/72711-elso-csoveg/</t>
        </is>
      </c>
      <c r="Q1072" s="12" t="inlineStr"/>
      <c r="R1072" s="13" t="inlineStr"/>
      <c r="S1072" s="6" t="inlineStr">
        <is>
          <t>72711-elso-csoveg</t>
        </is>
      </c>
    </row>
    <row r="1073">
      <c r="A1073" s="6" t="inlineStr">
        <is>
          <t>72733</t>
        </is>
      </c>
      <c r="B1073" s="7" t="inlineStr">
        <is>
          <t>Hátsó csővég</t>
        </is>
      </c>
      <c r="C1073" s="6" t="inlineStr">
        <is>
          <t>Dobozos felépítmény alkatrészek</t>
        </is>
      </c>
      <c r="D1073" s="6" t="inlineStr">
        <is>
          <t>Húspálya rendszer</t>
        </is>
      </c>
      <c r="E1073" s="6" t="inlineStr">
        <is>
          <t>Pastore</t>
        </is>
      </c>
      <c r="F1073" s="6" t="inlineStr">
        <is>
          <t>072621733</t>
        </is>
      </c>
      <c r="G1073" s="6" t="inlineStr">
        <is>
          <t>Quadris Excel</t>
        </is>
      </c>
      <c r="H1073" s="6" t="n">
        <v>3</v>
      </c>
      <c r="I1073" s="6" t="n">
        <v>2</v>
      </c>
      <c r="J1073" s="6" t="inlineStr">
        <is>
          <t>nincs</t>
        </is>
      </c>
      <c r="K1073" s="6">
        <f>IF(AND(H1073&gt;0,I1073&gt;0),"Rendben",IF(AND(H1073=0,I1073=0),"Nincs kép és adat",IF(H1073=0,"Nincs kép","Nincs adat")))</f>
        <v/>
      </c>
      <c r="L1073" s="6" t="inlineStr">
        <is>
          <t>Igen</t>
        </is>
      </c>
      <c r="M1073" s="7" t="inlineStr">
        <is>
          <t>pastorelombardi.com kereső</t>
        </is>
      </c>
      <c r="N1073" s="7" t="inlineStr">
        <is>
          <t>Megtalálva: Anodized aluminum rear cap with fixed stainless steel pin (kód: 072621733)</t>
        </is>
      </c>
      <c r="O1073" s="11" t="inlineStr">
        <is>
          <t>https://www.pastorelombardi.com/eng/cerca?chiave=072621733</t>
        </is>
      </c>
      <c r="P1073" s="11" t="inlineStr">
        <is>
          <t>https://website-9ib.pages.dev/termek/72733-hatso-csoveg/</t>
        </is>
      </c>
      <c r="Q1073" s="12" t="inlineStr"/>
      <c r="R1073" s="13" t="inlineStr"/>
      <c r="S1073" s="6" t="inlineStr">
        <is>
          <t>72733-hatso-csoveg</t>
        </is>
      </c>
    </row>
    <row r="1074">
      <c r="A1074" s="6" t="inlineStr">
        <is>
          <t>72706</t>
        </is>
      </c>
      <c r="B1074" s="7" t="inlineStr">
        <is>
          <t>Hátsó csővég rugós</t>
        </is>
      </c>
      <c r="C1074" s="6" t="inlineStr">
        <is>
          <t>Dobozos felépítmény alkatrészek</t>
        </is>
      </c>
      <c r="D1074" s="6" t="inlineStr">
        <is>
          <t>Húspálya rendszer</t>
        </is>
      </c>
      <c r="E1074" s="6" t="inlineStr">
        <is>
          <t>Pastore</t>
        </is>
      </c>
      <c r="F1074" s="6" t="inlineStr">
        <is>
          <t>072621707</t>
        </is>
      </c>
      <c r="G1074" s="6" t="inlineStr">
        <is>
          <t>Quadris Excel</t>
        </is>
      </c>
      <c r="H1074" s="6" t="n">
        <v>0</v>
      </c>
      <c r="I1074" s="6" t="n">
        <v>0</v>
      </c>
      <c r="J1074" s="6" t="inlineStr">
        <is>
          <t>nincs</t>
        </is>
      </c>
      <c r="K1074" s="6">
        <f>IF(AND(H1074&gt;0,I1074&gt;0),"Rendben",IF(AND(H1074=0,I1074=0),"Nincs kép és adat",IF(H1074=0,"Nincs kép","Nincs adat")))</f>
        <v/>
      </c>
      <c r="L1074" s="6" t="inlineStr">
        <is>
          <t>Igen</t>
        </is>
      </c>
      <c r="M1074" s="7" t="inlineStr">
        <is>
          <t>pastorelombardi.com kereső</t>
        </is>
      </c>
      <c r="N1074" s="7" t="inlineStr">
        <is>
          <t>Nem találtuk: pastorelombardi.com kereső</t>
        </is>
      </c>
      <c r="O1074" s="6" t="inlineStr"/>
      <c r="P1074" s="11" t="inlineStr">
        <is>
          <t>https://website-9ib.pages.dev/termek/72706-hatso-csoveg-rugos/</t>
        </is>
      </c>
      <c r="Q1074" s="12" t="inlineStr"/>
      <c r="R1074" s="13" t="inlineStr"/>
      <c r="S1074" s="6" t="inlineStr">
        <is>
          <t>72706-hatso-csoveg-rugos</t>
        </is>
      </c>
    </row>
    <row r="1075">
      <c r="A1075" s="6" t="inlineStr">
        <is>
          <t>72299</t>
        </is>
      </c>
      <c r="B1075" s="7" t="inlineStr">
        <is>
          <t>Kampó rögzítő profil elox</t>
        </is>
      </c>
      <c r="C1075" s="6" t="inlineStr">
        <is>
          <t>Dobozos felépítmény alkatrészek</t>
        </is>
      </c>
      <c r="D1075" s="6" t="inlineStr">
        <is>
          <t>Húspálya rendszer</t>
        </is>
      </c>
      <c r="E1075" s="6" t="inlineStr">
        <is>
          <t>Pastore</t>
        </is>
      </c>
      <c r="F1075" s="6" t="inlineStr">
        <is>
          <t>072622299</t>
        </is>
      </c>
      <c r="G1075" s="6" t="inlineStr">
        <is>
          <t>Quadris Excel</t>
        </is>
      </c>
      <c r="H1075" s="6" t="n">
        <v>3</v>
      </c>
      <c r="I1075" s="6" t="n">
        <v>2</v>
      </c>
      <c r="J1075" s="6" t="inlineStr">
        <is>
          <t>nincs</t>
        </is>
      </c>
      <c r="K1075" s="6">
        <f>IF(AND(H1075&gt;0,I1075&gt;0),"Rendben",IF(AND(H1075=0,I1075=0),"Nincs kép és adat",IF(H1075=0,"Nincs kép","Nincs adat")))</f>
        <v/>
      </c>
      <c r="L1075" s="6" t="inlineStr">
        <is>
          <t>Igen</t>
        </is>
      </c>
      <c r="M1075" s="7" t="inlineStr">
        <is>
          <t>pastorelombardi.com kereső</t>
        </is>
      </c>
      <c r="N1075" s="7" t="inlineStr">
        <is>
          <t>Megtalálva: Hook stop profile in anodized aluminium, 7 m (kód: 072622299)</t>
        </is>
      </c>
      <c r="O1075" s="11" t="inlineStr">
        <is>
          <t>https://www.pastorelombardi.com/eng/cerca?chiave=072622299</t>
        </is>
      </c>
      <c r="P1075" s="11" t="inlineStr">
        <is>
          <t>https://website-9ib.pages.dev/termek/72299-kampo-rogzito-profil-elox/</t>
        </is>
      </c>
      <c r="Q1075" s="12" t="inlineStr"/>
      <c r="R1075" s="13" t="inlineStr"/>
      <c r="S1075" s="6" t="inlineStr">
        <is>
          <t>72299-kampo-rogzito-profil-elox</t>
        </is>
      </c>
    </row>
    <row r="1076">
      <c r="A1076" s="6" t="inlineStr">
        <is>
          <t>719520</t>
        </is>
      </c>
      <c r="B1076" s="7" t="inlineStr">
        <is>
          <t>RM 27 mm nyomólapos rúdzár SET PL</t>
        </is>
      </c>
      <c r="C1076" s="6" t="inlineStr">
        <is>
          <t>Dobozos felépítmény alkatrészek</t>
        </is>
      </c>
      <c r="D1076" s="6" t="inlineStr">
        <is>
          <t>Zárak</t>
        </is>
      </c>
      <c r="E1076" s="6" t="inlineStr">
        <is>
          <t>Pastore</t>
        </is>
      </c>
      <c r="F1076" s="6" t="inlineStr">
        <is>
          <t>071226125</t>
        </is>
      </c>
      <c r="G1076" s="6" t="inlineStr">
        <is>
          <t>Quadris Excel</t>
        </is>
      </c>
      <c r="H1076" s="6" t="n">
        <v>1</v>
      </c>
      <c r="I1076" s="6" t="n">
        <v>3</v>
      </c>
      <c r="J1076" s="6" t="inlineStr">
        <is>
          <t>nincs</t>
        </is>
      </c>
      <c r="K1076" s="6">
        <f>IF(AND(H1076&gt;0,I1076&gt;0),"Rendben",IF(AND(H1076=0,I1076=0),"Nincs kép és adat",IF(H1076=0,"Nincs kép","Nincs adat")))</f>
        <v/>
      </c>
      <c r="L1076" s="6" t="inlineStr">
        <is>
          <t>Igen</t>
        </is>
      </c>
      <c r="M1076" s="7" t="inlineStr">
        <is>
          <t>pastorelombardi.com kereső</t>
        </is>
      </c>
      <c r="N1076" s="7" t="inlineStr">
        <is>
          <t>Megtalálva: External door gear kit BIG 4 Ø27 (kód: 071226125)</t>
        </is>
      </c>
      <c r="O1076" s="11" t="inlineStr">
        <is>
          <t>https://www.pastorelombardi.com/eng/cerca?chiave=071226125</t>
        </is>
      </c>
      <c r="P1076" s="11" t="inlineStr">
        <is>
          <t>https://website-9ib.pages.dev/termek/719520-rm-27-mm-nyomolapos-rudzar-set-pl/</t>
        </is>
      </c>
      <c r="Q1076" s="12" t="inlineStr"/>
      <c r="R1076" s="13" t="inlineStr"/>
      <c r="S1076" s="6" t="inlineStr">
        <is>
          <t>719520-rm-27-mm-nyomolapos-rudzar-set-pl</t>
        </is>
      </c>
    </row>
    <row r="1077">
      <c r="A1077" s="6" t="inlineStr">
        <is>
          <t>810489</t>
        </is>
      </c>
      <c r="B1077" s="7" t="inlineStr">
        <is>
          <t>RM Lapos zsanér 140/4 mm PL</t>
        </is>
      </c>
      <c r="C1077" s="6" t="inlineStr">
        <is>
          <t>Dobozos felépítmény alkatrészek</t>
        </is>
      </c>
      <c r="D1077" s="6" t="inlineStr">
        <is>
          <t>Zsanérok</t>
        </is>
      </c>
      <c r="E1077" s="6" t="inlineStr">
        <is>
          <t>Pastore</t>
        </is>
      </c>
      <c r="F1077" s="6" t="inlineStr">
        <is>
          <t>070810489B</t>
        </is>
      </c>
      <c r="G1077" s="6" t="inlineStr">
        <is>
          <t>Quadris Excel</t>
        </is>
      </c>
      <c r="H1077" s="6" t="n">
        <v>2</v>
      </c>
      <c r="I1077" s="6" t="n">
        <v>3</v>
      </c>
      <c r="J1077" s="6" t="inlineStr">
        <is>
          <t>nincs</t>
        </is>
      </c>
      <c r="K1077" s="6">
        <f>IF(AND(H1077&gt;0,I1077&gt;0),"Rendben",IF(AND(H1077=0,I1077=0),"Nincs kép és adat",IF(H1077=0,"Nincs kép","Nincs adat")))</f>
        <v/>
      </c>
      <c r="L1077" s="6" t="inlineStr">
        <is>
          <t>Igen</t>
        </is>
      </c>
      <c r="M1077" s="7" t="inlineStr">
        <is>
          <t>pastorelombardi.com kereső</t>
        </is>
      </c>
      <c r="N1077" s="7" t="inlineStr">
        <is>
          <t>Megtalálva: Flat hinge for flaps (kód: 070810489B)</t>
        </is>
      </c>
      <c r="O1077" s="11" t="inlineStr">
        <is>
          <t>https://www.pastorelombardi.com/eng/cerca?chiave=070810489B</t>
        </is>
      </c>
      <c r="P1077" s="11" t="inlineStr">
        <is>
          <t>https://website-9ib.pages.dev/termek/810489-rm-lapos-zsaner-140-4-mm-pl/</t>
        </is>
      </c>
      <c r="Q1077" s="12" t="inlineStr"/>
      <c r="R1077" s="13" t="inlineStr"/>
      <c r="S1077" s="6" t="inlineStr">
        <is>
          <t>810489-rm-lapos-zsaner-140-4-mm-pl</t>
        </is>
      </c>
    </row>
    <row r="1078">
      <c r="A1078" s="6" t="inlineStr">
        <is>
          <t>892242</t>
        </is>
      </c>
      <c r="B1078" s="7" t="inlineStr">
        <is>
          <t>RM csavarozható hátsóajtó zsanérbak+ csap 96 mm PL</t>
        </is>
      </c>
      <c r="C1078" s="6" t="inlineStr">
        <is>
          <t>Dobozos felépítmény alkatrészek</t>
        </is>
      </c>
      <c r="D1078" s="6" t="inlineStr">
        <is>
          <t>Zsanérok</t>
        </is>
      </c>
      <c r="E1078" s="6" t="inlineStr">
        <is>
          <t>Pastore</t>
        </is>
      </c>
      <c r="F1078" s="6" t="inlineStr">
        <is>
          <t>070326242</t>
        </is>
      </c>
      <c r="G1078" s="6" t="inlineStr">
        <is>
          <t>Quadris Excel</t>
        </is>
      </c>
      <c r="H1078" s="6" t="n">
        <v>3</v>
      </c>
      <c r="I1078" s="6" t="n">
        <v>3</v>
      </c>
      <c r="J1078" s="6" t="inlineStr">
        <is>
          <t>nincs</t>
        </is>
      </c>
      <c r="K1078" s="6">
        <f>IF(AND(H1078&gt;0,I1078&gt;0),"Rendben",IF(AND(H1078=0,I1078=0),"Nincs kép és adat",IF(H1078=0,"Nincs kép","Nincs adat")))</f>
        <v/>
      </c>
      <c r="L1078" s="6" t="inlineStr">
        <is>
          <t>Igen</t>
        </is>
      </c>
      <c r="M1078" s="7" t="inlineStr">
        <is>
          <t>pastorelombardi.com kereső</t>
        </is>
      </c>
      <c r="N1078" s="7" t="inlineStr">
        <is>
          <t>Megtalálva: Flat bracket with pin and nut (kód: 070326242)</t>
        </is>
      </c>
      <c r="O1078" s="11" t="inlineStr">
        <is>
          <t>https://www.pastorelombardi.com/eng/cerca?chiave=070326242</t>
        </is>
      </c>
      <c r="P1078" s="11" t="inlineStr">
        <is>
          <t>https://website-9ib.pages.dev/termek/892242-rm-csavarozhato-hatsoajto-zsanerbak-csap-96-mm-pl/</t>
        </is>
      </c>
      <c r="Q1078" s="12" t="inlineStr"/>
      <c r="R1078" s="13" t="inlineStr"/>
      <c r="S1078" s="6" t="inlineStr">
        <is>
          <t>892242-rm-csavarozhato-hatsoajto-zsanerbak-csap-96-mm-pl</t>
        </is>
      </c>
    </row>
    <row r="1079">
      <c r="A1079" s="6" t="inlineStr">
        <is>
          <t>892343</t>
        </is>
      </c>
      <c r="B1079" s="7" t="inlineStr">
        <is>
          <t>RM csavarozható hátsóajtó zsanérbak+ csap 96 mm PL</t>
        </is>
      </c>
      <c r="C1079" s="6" t="inlineStr">
        <is>
          <t>Dobozos felépítmény alkatrészek</t>
        </is>
      </c>
      <c r="D1079" s="6" t="inlineStr">
        <is>
          <t>Zsanérok</t>
        </is>
      </c>
      <c r="E1079" s="6" t="inlineStr">
        <is>
          <t>Pastore</t>
        </is>
      </c>
      <c r="F1079" s="6" t="inlineStr">
        <is>
          <t>070326343</t>
        </is>
      </c>
      <c r="G1079" s="6" t="inlineStr">
        <is>
          <t>Quadris Excel</t>
        </is>
      </c>
      <c r="H1079" s="6" t="n">
        <v>2</v>
      </c>
      <c r="I1079" s="6" t="n">
        <v>3</v>
      </c>
      <c r="J1079" s="6" t="inlineStr">
        <is>
          <t>nincs</t>
        </is>
      </c>
      <c r="K1079" s="6">
        <f>IF(AND(H1079&gt;0,I1079&gt;0),"Rendben",IF(AND(H1079=0,I1079=0),"Nincs kép és adat",IF(H1079=0,"Nincs kép","Nincs adat")))</f>
        <v/>
      </c>
      <c r="L1079" s="6" t="inlineStr">
        <is>
          <t>Igen</t>
        </is>
      </c>
      <c r="M1079" s="7" t="inlineStr">
        <is>
          <t>pastorelombardi.com kereső</t>
        </is>
      </c>
      <c r="N1079" s="7" t="inlineStr">
        <is>
          <t>Megtalálva: Inclined flat bracket with pin and nut (kód: 070326343)</t>
        </is>
      </c>
      <c r="O1079" s="11" t="inlineStr">
        <is>
          <t>https://www.pastorelombardi.com/eng/cerca?chiave=070326343</t>
        </is>
      </c>
      <c r="P1079" s="11" t="inlineStr">
        <is>
          <t>https://website-9ib.pages.dev/termek/892343-rm-csavarozhato-hatsoajto-zsanerbak-csap-96-mm-pl/</t>
        </is>
      </c>
      <c r="Q1079" s="12" t="inlineStr"/>
      <c r="R1079" s="13" t="inlineStr"/>
      <c r="S1079" s="6" t="inlineStr">
        <is>
          <t>892343-rm-csavarozhato-hatsoajto-zsanerbak-csap-96-mm-pl</t>
        </is>
      </c>
    </row>
    <row r="1080">
      <c r="A1080" s="6" t="inlineStr">
        <is>
          <t>896966/A</t>
        </is>
      </c>
      <c r="B1080" s="7" t="inlineStr">
        <is>
          <t>RM hátsóajtó zsanérlap 280/4 mm PL</t>
        </is>
      </c>
      <c r="C1080" s="6" t="inlineStr">
        <is>
          <t>Dobozos felépítmény alkatrészek</t>
        </is>
      </c>
      <c r="D1080" s="6" t="inlineStr">
        <is>
          <t>Zsanérok</t>
        </is>
      </c>
      <c r="E1080" s="6" t="inlineStr">
        <is>
          <t>Pastore</t>
        </is>
      </c>
      <c r="F1080" s="6" t="inlineStr">
        <is>
          <t>070116966A</t>
        </is>
      </c>
      <c r="G1080" s="6" t="inlineStr">
        <is>
          <t>Quadris Excel</t>
        </is>
      </c>
      <c r="H1080" s="6" t="n">
        <v>2</v>
      </c>
      <c r="I1080" s="6" t="n">
        <v>3</v>
      </c>
      <c r="J1080" s="6" t="inlineStr">
        <is>
          <t>nincs</t>
        </is>
      </c>
      <c r="K1080" s="6">
        <f>IF(AND(H1080&gt;0,I1080&gt;0),"Rendben",IF(AND(H1080=0,I1080=0),"Nincs kép és adat",IF(H1080=0,"Nincs kép","Nincs adat")))</f>
        <v/>
      </c>
      <c r="L1080" s="6" t="inlineStr">
        <is>
          <t>Igen</t>
        </is>
      </c>
      <c r="M1080" s="7" t="inlineStr">
        <is>
          <t>pastorelombardi.com kereső</t>
        </is>
      </c>
      <c r="N1080" s="7" t="inlineStr">
        <is>
          <t>Megtalálva: Hinge (kód: 070116966A)</t>
        </is>
      </c>
      <c r="O1080" s="11" t="inlineStr">
        <is>
          <t>https://www.pastorelombardi.com/eng/cerca?chiave=070116966A</t>
        </is>
      </c>
      <c r="P1080" s="11" t="inlineStr">
        <is>
          <t>https://website-9ib.pages.dev/termek/896966-a-rm-hatsoajto-zsanerlap-280-4-mm-pl/</t>
        </is>
      </c>
      <c r="Q1080" s="12" t="inlineStr"/>
      <c r="R1080" s="13" t="inlineStr"/>
      <c r="S1080" s="6" t="inlineStr">
        <is>
          <t>896966-a-rm-hatsoajto-zsanerlap-280-4-mm-pl</t>
        </is>
      </c>
    </row>
    <row r="1081">
      <c r="A1081" s="6" t="inlineStr">
        <is>
          <t>892776</t>
        </is>
      </c>
      <c r="B1081" s="7" t="inlineStr">
        <is>
          <t>RM hátsóajtó zsanérlap 312x96/4mm PL</t>
        </is>
      </c>
      <c r="C1081" s="6" t="inlineStr">
        <is>
          <t>Dobozos felépítmény alkatrészek</t>
        </is>
      </c>
      <c r="D1081" s="6" t="inlineStr">
        <is>
          <t>Zsanérok</t>
        </is>
      </c>
      <c r="E1081" s="6" t="inlineStr">
        <is>
          <t>Pastore</t>
        </is>
      </c>
      <c r="F1081" s="6" t="inlineStr">
        <is>
          <t>070120776A</t>
        </is>
      </c>
      <c r="G1081" s="6" t="inlineStr">
        <is>
          <t>Quadris Excel</t>
        </is>
      </c>
      <c r="H1081" s="6" t="n">
        <v>2</v>
      </c>
      <c r="I1081" s="6" t="n">
        <v>3</v>
      </c>
      <c r="J1081" s="6" t="inlineStr">
        <is>
          <t>nincs</t>
        </is>
      </c>
      <c r="K1081" s="6">
        <f>IF(AND(H1081&gt;0,I1081&gt;0),"Rendben",IF(AND(H1081=0,I1081=0),"Nincs kép és adat",IF(H1081=0,"Nincs kép","Nincs adat")))</f>
        <v/>
      </c>
      <c r="L1081" s="6" t="inlineStr">
        <is>
          <t>Igen</t>
        </is>
      </c>
      <c r="M1081" s="7" t="inlineStr">
        <is>
          <t>pastorelombardi.com kereső</t>
        </is>
      </c>
      <c r="N1081" s="7" t="inlineStr">
        <is>
          <t>Megtalálva: Rear door hinge BIG H=mm 33 (kód: 070120776A)</t>
        </is>
      </c>
      <c r="O1081" s="11" t="inlineStr">
        <is>
          <t>https://www.pastorelombardi.com/eng/cerca?chiave=070120776A</t>
        </is>
      </c>
      <c r="P1081" s="11" t="inlineStr">
        <is>
          <t>https://website-9ib.pages.dev/termek/892776-rm-hatsoajto-zsanerlap-312x96-4mm-pl/</t>
        </is>
      </c>
      <c r="Q1081" s="12" t="inlineStr"/>
      <c r="R1081" s="13" t="inlineStr"/>
      <c r="S1081" s="6" t="inlineStr">
        <is>
          <t>892776-rm-hatsoajto-zsanerlap-312x96-4mm-pl</t>
        </is>
      </c>
    </row>
    <row r="1082">
      <c r="A1082" s="6" t="inlineStr">
        <is>
          <t>896966</t>
        </is>
      </c>
      <c r="B1082" s="7" t="inlineStr">
        <is>
          <t>RM hátsóajtó zsanérlap+bak 280/4mm PL</t>
        </is>
      </c>
      <c r="C1082" s="6" t="inlineStr">
        <is>
          <t>Dobozos felépítmény alkatrészek</t>
        </is>
      </c>
      <c r="D1082" s="6" t="inlineStr">
        <is>
          <t>Zsanérok</t>
        </is>
      </c>
      <c r="E1082" s="6" t="inlineStr">
        <is>
          <t>Pastore</t>
        </is>
      </c>
      <c r="F1082" s="6" t="inlineStr">
        <is>
          <t>070116966A</t>
        </is>
      </c>
      <c r="G1082" s="6" t="inlineStr">
        <is>
          <t>Quadris Excel</t>
        </is>
      </c>
      <c r="H1082" s="6" t="n">
        <v>2</v>
      </c>
      <c r="I1082" s="6" t="n">
        <v>3</v>
      </c>
      <c r="J1082" s="6" t="inlineStr">
        <is>
          <t>nincs</t>
        </is>
      </c>
      <c r="K1082" s="6">
        <f>IF(AND(H1082&gt;0,I1082&gt;0),"Rendben",IF(AND(H1082=0,I1082=0),"Nincs kép és adat",IF(H1082=0,"Nincs kép","Nincs adat")))</f>
        <v/>
      </c>
      <c r="L1082" s="6" t="inlineStr">
        <is>
          <t>Igen</t>
        </is>
      </c>
      <c r="M1082" s="7" t="inlineStr">
        <is>
          <t>pastorelombardi.com kereső</t>
        </is>
      </c>
      <c r="N1082" s="7" t="inlineStr">
        <is>
          <t>Megtalálva: Hinge (kód: 070116966A)</t>
        </is>
      </c>
      <c r="O1082" s="11" t="inlineStr">
        <is>
          <t>https://www.pastorelombardi.com/eng/cerca?chiave=070116966A</t>
        </is>
      </c>
      <c r="P1082" s="11" t="inlineStr">
        <is>
          <t>https://website-9ib.pages.dev/termek/896966-rm-hatsoajto-zsanerlap-bak-280-4mm-pl/</t>
        </is>
      </c>
      <c r="Q1082" s="12" t="inlineStr"/>
      <c r="R1082" s="13" t="inlineStr"/>
      <c r="S1082" s="6" t="inlineStr">
        <is>
          <t>896966-rm-hatsoajto-zsanerlap-bak-280-4mm-pl</t>
        </is>
      </c>
    </row>
    <row r="1083">
      <c r="A1083" s="6" t="inlineStr">
        <is>
          <t>719259/48D</t>
        </is>
      </c>
      <c r="B1083" s="7" t="inlineStr">
        <is>
          <t>Rozsdamentes nyomólapos rúdzár 22mm</t>
        </is>
      </c>
      <c r="C1083" s="6" t="inlineStr">
        <is>
          <t>Dobozos felépítmény alkatrészek</t>
        </is>
      </c>
      <c r="D1083" s="6" t="inlineStr">
        <is>
          <t>Zárak</t>
        </is>
      </c>
      <c r="E1083" s="6" t="inlineStr">
        <is>
          <t>Pastore</t>
        </is>
      </c>
      <c r="F1083" s="6" t="inlineStr">
        <is>
          <t>071925948D</t>
        </is>
      </c>
      <c r="G1083" s="6" t="inlineStr">
        <is>
          <t>Quadris Excel</t>
        </is>
      </c>
      <c r="H1083" s="6" t="n">
        <v>2</v>
      </c>
      <c r="I1083" s="6" t="n">
        <v>3</v>
      </c>
      <c r="J1083" s="6" t="inlineStr">
        <is>
          <t>nincs</t>
        </is>
      </c>
      <c r="K1083" s="6">
        <f>IF(AND(H1083&gt;0,I1083&gt;0),"Rendben",IF(AND(H1083=0,I1083=0),"Nincs kép és adat",IF(H1083=0,"Nincs kép","Nincs adat")))</f>
        <v/>
      </c>
      <c r="L1083" s="6" t="inlineStr">
        <is>
          <t>Igen</t>
        </is>
      </c>
      <c r="M1083" s="7" t="inlineStr">
        <is>
          <t>pastorelombardi.com kereső</t>
        </is>
      </c>
      <c r="N1083" s="7" t="inlineStr">
        <is>
          <t>Megtalálva: External door lock Ø22 (kód: 071925948D)</t>
        </is>
      </c>
      <c r="O1083" s="11" t="inlineStr">
        <is>
          <t>https://www.pastorelombardi.com/eng/cerca?chiave=071925948D</t>
        </is>
      </c>
      <c r="P1083" s="11" t="inlineStr">
        <is>
          <t>https://website-9ib.pages.dev/termek/719259-48d-rozsdamentes-nyomolapos-rudzar-22mm/</t>
        </is>
      </c>
      <c r="Q1083" s="12" t="inlineStr"/>
      <c r="R1083" s="13" t="inlineStr"/>
      <c r="S1083" s="6" t="inlineStr">
        <is>
          <t>719259-48d-rozsdamentes-nyomolapos-rudzar-22mm</t>
        </is>
      </c>
    </row>
    <row r="1084">
      <c r="A1084" s="6" t="inlineStr">
        <is>
          <t>714859</t>
        </is>
      </c>
      <c r="B1084" s="7" t="inlineStr">
        <is>
          <t>Süllyesztett INOX rúdzár 25/16 mm PL</t>
        </is>
      </c>
      <c r="C1084" s="6" t="inlineStr">
        <is>
          <t>Dobozos felépítmény alkatrészek</t>
        </is>
      </c>
      <c r="D1084" s="6" t="inlineStr">
        <is>
          <t>Zárak</t>
        </is>
      </c>
      <c r="E1084" s="6" t="inlineStr">
        <is>
          <t>Pastore</t>
        </is>
      </c>
      <c r="F1084" s="6" t="inlineStr">
        <is>
          <t>071425859</t>
        </is>
      </c>
      <c r="G1084" s="6" t="inlineStr">
        <is>
          <t>Quadris Excel</t>
        </is>
      </c>
      <c r="H1084" s="6" t="n">
        <v>2</v>
      </c>
      <c r="I1084" s="6" t="n">
        <v>3</v>
      </c>
      <c r="J1084" s="6" t="inlineStr">
        <is>
          <t>nincs</t>
        </is>
      </c>
      <c r="K1084" s="6">
        <f>IF(AND(H1084&gt;0,I1084&gt;0),"Rendben",IF(AND(H1084=0,I1084=0),"Nincs kép és adat",IF(H1084=0,"Nincs kép","Nincs adat")))</f>
        <v/>
      </c>
      <c r="L1084" s="6" t="inlineStr">
        <is>
          <t>Igen</t>
        </is>
      </c>
      <c r="M1084" s="7" t="inlineStr">
        <is>
          <t>pastorelombardi.com kereső</t>
        </is>
      </c>
      <c r="N1084" s="7" t="inlineStr">
        <is>
          <t>Megtalálva: Recessed door lock APE CAR (kód: 071425859)</t>
        </is>
      </c>
      <c r="O1084" s="11" t="inlineStr">
        <is>
          <t>https://www.pastorelombardi.com/eng/cerca?chiave=071425859</t>
        </is>
      </c>
      <c r="P1084" s="11" t="inlineStr">
        <is>
          <t>https://website-9ib.pages.dev/termek/714859-sullyesztett-inox-rudzar-25-16-mm-pl/</t>
        </is>
      </c>
      <c r="Q1084" s="12" t="inlineStr"/>
      <c r="R1084" s="13" t="inlineStr"/>
      <c r="S1084" s="6" t="inlineStr">
        <is>
          <t>714859-sullyesztett-inox-rudzar-25-16-mm-pl</t>
        </is>
      </c>
    </row>
    <row r="1085">
      <c r="A1085" s="6" t="inlineStr">
        <is>
          <t>552050</t>
        </is>
      </c>
      <c r="B1085" s="7" t="inlineStr">
        <is>
          <t>Ütközőgumi 200x50x80</t>
        </is>
      </c>
      <c r="C1085" s="6" t="inlineStr">
        <is>
          <t>Dobozos felépítmény alkatrészek</t>
        </is>
      </c>
      <c r="D1085" s="6" t="inlineStr">
        <is>
          <t>Gumiütközők</t>
        </is>
      </c>
      <c r="E1085" s="6" t="inlineStr">
        <is>
          <t>Pastore</t>
        </is>
      </c>
      <c r="F1085" s="6" t="inlineStr"/>
      <c r="G1085" s="6" t="inlineStr">
        <is>
          <t>Quadris Excel</t>
        </is>
      </c>
      <c r="H1085" s="6" t="n">
        <v>0</v>
      </c>
      <c r="I1085" s="6" t="n">
        <v>0</v>
      </c>
      <c r="J1085" s="6" t="inlineStr">
        <is>
          <t>nincs</t>
        </is>
      </c>
      <c r="K1085" s="6">
        <f>IF(AND(H1085&gt;0,I1085&gt;0),"Rendben",IF(AND(H1085=0,I1085=0),"Nincs kép és adat",IF(H1085=0,"Nincs kép","Nincs adat")))</f>
        <v/>
      </c>
      <c r="L1085" s="6" t="inlineStr">
        <is>
          <t>Igen</t>
        </is>
      </c>
      <c r="M1085" s="7" t="inlineStr">
        <is>
          <t>pastorelombardi.com kereső</t>
        </is>
      </c>
      <c r="N1085" s="7" t="inlineStr">
        <is>
          <t>Nem találtuk: pastorelombardi.com kereső</t>
        </is>
      </c>
      <c r="O1085" s="6" t="inlineStr"/>
      <c r="P1085" s="11" t="inlineStr">
        <is>
          <t>https://website-9ib.pages.dev/termek/552050-utkozogumi-200x50x80/</t>
        </is>
      </c>
      <c r="Q1085" s="12" t="inlineStr"/>
      <c r="R1085" s="13" t="inlineStr"/>
      <c r="S1085" s="6" t="inlineStr">
        <is>
          <t>552050-utkozogumi-200x50x80</t>
        </is>
      </c>
    </row>
    <row r="1086">
      <c r="A1086" s="6" t="inlineStr">
        <is>
          <t>719220/99A</t>
        </is>
      </c>
      <c r="B1086" s="7" t="inlineStr">
        <is>
          <t>+ 719226/304 Rozsdamentes kartartó+csővezető</t>
        </is>
      </c>
      <c r="C1086" s="6" t="inlineStr">
        <is>
          <t>Speciális felépítmény alkatrészek</t>
        </is>
      </c>
      <c r="D1086" s="6" t="inlineStr">
        <is>
          <t>Zárak</t>
        </is>
      </c>
      <c r="E1086" s="6" t="inlineStr">
        <is>
          <t>Pastore</t>
        </is>
      </c>
      <c r="F1086" s="6" t="inlineStr"/>
      <c r="G1086" s="6" t="inlineStr">
        <is>
          <t>Quadris Excel</t>
        </is>
      </c>
      <c r="H1086" s="6" t="n">
        <v>0</v>
      </c>
      <c r="I1086" s="6" t="n">
        <v>0</v>
      </c>
      <c r="J1086" s="6" t="inlineStr">
        <is>
          <t>nincs</t>
        </is>
      </c>
      <c r="K1086" s="6">
        <f>IF(AND(H1086&gt;0,I1086&gt;0),"Rendben",IF(AND(H1086=0,I1086=0),"Nincs kép és adat",IF(H1086=0,"Nincs kép","Nincs adat")))</f>
        <v/>
      </c>
      <c r="L1086" s="6" t="inlineStr">
        <is>
          <t>Igen</t>
        </is>
      </c>
      <c r="M1086" s="7" t="inlineStr">
        <is>
          <t>pastorelombardi.com kereső</t>
        </is>
      </c>
      <c r="N1086" s="7" t="inlineStr">
        <is>
          <t>Nem találtuk: pastorelombardi.com kereső</t>
        </is>
      </c>
      <c r="O1086" s="6" t="inlineStr"/>
      <c r="P1086" s="11" t="inlineStr">
        <is>
          <t>https://website-9ib.pages.dev/termek/719220-99a-719226-304-rozsdamentes-kartarto-csovezeto/</t>
        </is>
      </c>
      <c r="Q1086" s="12" t="inlineStr"/>
      <c r="R1086" s="13" t="inlineStr"/>
      <c r="S1086" s="6" t="inlineStr">
        <is>
          <t>719220-99a-719226-304-rozsdamentes-kartarto-csovezeto</t>
        </is>
      </c>
    </row>
    <row r="1087">
      <c r="A1087" s="6" t="inlineStr">
        <is>
          <t>719210/19A</t>
        </is>
      </c>
      <c r="B1087" s="7" t="inlineStr">
        <is>
          <t>NYLON gyűrű 22mm kicsi</t>
        </is>
      </c>
      <c r="C1087" s="6" t="inlineStr">
        <is>
          <t>Speciális felépítmény alkatrészek</t>
        </is>
      </c>
      <c r="D1087" s="6" t="inlineStr">
        <is>
          <t>Zárak</t>
        </is>
      </c>
      <c r="E1087" s="6" t="inlineStr">
        <is>
          <t>Pastore</t>
        </is>
      </c>
      <c r="F1087" s="6" t="inlineStr">
        <is>
          <t>071921019A</t>
        </is>
      </c>
      <c r="G1087" s="6" t="inlineStr">
        <is>
          <t>Quadris Excel</t>
        </is>
      </c>
      <c r="H1087" s="6" t="n">
        <v>1</v>
      </c>
      <c r="I1087" s="6" t="n">
        <v>2</v>
      </c>
      <c r="J1087" s="6" t="inlineStr">
        <is>
          <t>nincs</t>
        </is>
      </c>
      <c r="K1087" s="6">
        <f>IF(AND(H1087&gt;0,I1087&gt;0),"Rendben",IF(AND(H1087=0,I1087=0),"Nincs kép és adat",IF(H1087=0,"Nincs kép","Nincs adat")))</f>
        <v/>
      </c>
      <c r="L1087" s="6" t="inlineStr">
        <is>
          <t>Igen</t>
        </is>
      </c>
      <c r="M1087" s="7" t="inlineStr">
        <is>
          <t>pastorelombardi.com kereső</t>
        </is>
      </c>
      <c r="N1087" s="7" t="inlineStr">
        <is>
          <t>Megtalálva: Nylon bush (kód: 071921019A)</t>
        </is>
      </c>
      <c r="O1087" s="11" t="inlineStr">
        <is>
          <t>https://www.pastorelombardi.com/eng/cerca?chiave=071921019A</t>
        </is>
      </c>
      <c r="P1087" s="11" t="inlineStr">
        <is>
          <t>https://website-9ib.pages.dev/termek/719210-19a-nylon-gyuru-22mm-kicsi/</t>
        </is>
      </c>
      <c r="Q1087" s="12" t="inlineStr"/>
      <c r="R1087" s="13" t="inlineStr"/>
      <c r="S1087" s="6" t="inlineStr">
        <is>
          <t>719210-19a-nylon-gyuru-22mm-kicsi</t>
        </is>
      </c>
    </row>
    <row r="1088">
      <c r="A1088" s="6" t="inlineStr">
        <is>
          <t>719339</t>
        </is>
      </c>
      <c r="B1088" s="7" t="inlineStr">
        <is>
          <t>Omega csőlefogató 22mm INOX</t>
        </is>
      </c>
      <c r="C1088" s="6" t="inlineStr">
        <is>
          <t>Speciális felépítmény alkatrészek</t>
        </is>
      </c>
      <c r="D1088" s="6" t="inlineStr">
        <is>
          <t>Zárak</t>
        </is>
      </c>
      <c r="E1088" s="6" t="inlineStr">
        <is>
          <t>Pastore</t>
        </is>
      </c>
      <c r="F1088" s="6" t="inlineStr">
        <is>
          <t>071924339</t>
        </is>
      </c>
      <c r="G1088" s="6" t="inlineStr">
        <is>
          <t>Quadris Excel</t>
        </is>
      </c>
      <c r="H1088" s="6" t="n">
        <v>2</v>
      </c>
      <c r="I1088" s="6" t="n">
        <v>3</v>
      </c>
      <c r="J1088" s="6" t="inlineStr">
        <is>
          <t>nincs</t>
        </is>
      </c>
      <c r="K1088" s="6">
        <f>IF(AND(H1088&gt;0,I1088&gt;0),"Rendben",IF(AND(H1088=0,I1088=0),"Nincs kép és adat",IF(H1088=0,"Nincs kép","Nincs adat")))</f>
        <v/>
      </c>
      <c r="L1088" s="6" t="inlineStr">
        <is>
          <t>Igen</t>
        </is>
      </c>
      <c r="M1088" s="7" t="inlineStr">
        <is>
          <t>pastorelombardi.com kereső</t>
        </is>
      </c>
      <c r="N1088" s="7" t="inlineStr">
        <is>
          <t>Megtalálva: Tube clamp SMALL for external door locks Ø mm 22/27 (kód: 071924339)</t>
        </is>
      </c>
      <c r="O1088" s="11" t="inlineStr">
        <is>
          <t>https://www.pastorelombardi.com/eng/cerca?chiave=071924339</t>
        </is>
      </c>
      <c r="P1088" s="11" t="inlineStr">
        <is>
          <t>https://website-9ib.pages.dev/termek/719339-omega-csolefogato-22mm-inox/</t>
        </is>
      </c>
      <c r="Q1088" s="12" t="inlineStr"/>
      <c r="R1088" s="13" t="inlineStr"/>
      <c r="S1088" s="6" t="inlineStr">
        <is>
          <t>719339-omega-csolefogato-22mm-inox</t>
        </is>
      </c>
    </row>
    <row r="1089">
      <c r="A1089" s="6" t="inlineStr">
        <is>
          <t>719210/20</t>
        </is>
      </c>
      <c r="B1089" s="7" t="inlineStr">
        <is>
          <t>Omega csőlefogató 22mm INOX kicsi</t>
        </is>
      </c>
      <c r="C1089" s="6" t="inlineStr">
        <is>
          <t>Speciális felépítmény alkatrészek</t>
        </is>
      </c>
      <c r="D1089" s="6" t="inlineStr">
        <is>
          <t>Zárak</t>
        </is>
      </c>
      <c r="E1089" s="6" t="inlineStr">
        <is>
          <t>Pastore</t>
        </is>
      </c>
      <c r="F1089" s="6" t="inlineStr">
        <is>
          <t>071921020</t>
        </is>
      </c>
      <c r="G1089" s="6" t="inlineStr">
        <is>
          <t>Quadris Excel</t>
        </is>
      </c>
      <c r="H1089" s="6" t="n">
        <v>2</v>
      </c>
      <c r="I1089" s="6" t="n">
        <v>3</v>
      </c>
      <c r="J1089" s="6" t="inlineStr">
        <is>
          <t>nincs</t>
        </is>
      </c>
      <c r="K1089" s="6">
        <f>IF(AND(H1089&gt;0,I1089&gt;0),"Rendben",IF(AND(H1089=0,I1089=0),"Nincs kép és adat",IF(H1089=0,"Nincs kép","Nincs adat")))</f>
        <v/>
      </c>
      <c r="L1089" s="6" t="inlineStr">
        <is>
          <t>Igen</t>
        </is>
      </c>
      <c r="M1089" s="7" t="inlineStr">
        <is>
          <t>pastorelombardi.com kereső</t>
        </is>
      </c>
      <c r="N1089" s="7" t="inlineStr">
        <is>
          <t>Megtalálva: Small tube clamp (kód: 071921020)</t>
        </is>
      </c>
      <c r="O1089" s="11" t="inlineStr">
        <is>
          <t>https://www.pastorelombardi.com/eng/cerca?chiave=071921020</t>
        </is>
      </c>
      <c r="P1089" s="11" t="inlineStr">
        <is>
          <t>https://website-9ib.pages.dev/termek/719210-20-omega-csolefogato-22mm-inox-kicsi/</t>
        </is>
      </c>
      <c r="Q1089" s="12" t="inlineStr"/>
      <c r="R1089" s="13" t="inlineStr"/>
      <c r="S1089" s="6" t="inlineStr">
        <is>
          <t>719210-20-omega-csolefogato-22mm-inox-kicsi</t>
        </is>
      </c>
    </row>
    <row r="1090">
      <c r="A1090" s="6" t="inlineStr">
        <is>
          <t>719130</t>
        </is>
      </c>
      <c r="B1090" s="7" t="inlineStr">
        <is>
          <t>PE gyűrű 22mm</t>
        </is>
      </c>
      <c r="C1090" s="6" t="inlineStr">
        <is>
          <t>Speciális felépítmény alkatrészek</t>
        </is>
      </c>
      <c r="D1090" s="6" t="inlineStr">
        <is>
          <t>Zárak</t>
        </is>
      </c>
      <c r="E1090" s="6" t="inlineStr">
        <is>
          <t>Pastore</t>
        </is>
      </c>
      <c r="F1090" s="6" t="inlineStr">
        <is>
          <t>071924130</t>
        </is>
      </c>
      <c r="G1090" s="6" t="inlineStr">
        <is>
          <t>Quadris Excel</t>
        </is>
      </c>
      <c r="H1090" s="6" t="n">
        <v>2</v>
      </c>
      <c r="I1090" s="6" t="n">
        <v>2</v>
      </c>
      <c r="J1090" s="6" t="inlineStr">
        <is>
          <t>nincs</t>
        </is>
      </c>
      <c r="K1090" s="6">
        <f>IF(AND(H1090&gt;0,I1090&gt;0),"Rendben",IF(AND(H1090=0,I1090=0),"Nincs kép és adat",IF(H1090=0,"Nincs kép","Nincs adat")))</f>
        <v/>
      </c>
      <c r="L1090" s="6" t="inlineStr">
        <is>
          <t>Igen</t>
        </is>
      </c>
      <c r="M1090" s="7" t="inlineStr">
        <is>
          <t>pastorelombardi.com kereső</t>
        </is>
      </c>
      <c r="N1090" s="7" t="inlineStr">
        <is>
          <t>Megtalálva: Nylon bush Ø22 (kód: 071924130)</t>
        </is>
      </c>
      <c r="O1090" s="11" t="inlineStr">
        <is>
          <t>https://www.pastorelombardi.com/eng/cerca?chiave=071924130</t>
        </is>
      </c>
      <c r="P1090" s="11" t="inlineStr">
        <is>
          <t>https://website-9ib.pages.dev/termek/719130-pe-gyuru-22mm/</t>
        </is>
      </c>
      <c r="Q1090" s="12" t="inlineStr"/>
      <c r="R1090" s="13" t="inlineStr"/>
      <c r="S1090" s="6" t="inlineStr">
        <is>
          <t>719130-pe-gyuru-22mm</t>
        </is>
      </c>
    </row>
    <row r="1091">
      <c r="A1091" s="6" t="inlineStr">
        <is>
          <t>719831</t>
        </is>
      </c>
      <c r="B1091" s="7" t="inlineStr">
        <is>
          <t>Rozsdamentes acél gyűrű 22mm PL</t>
        </is>
      </c>
      <c r="C1091" s="6" t="inlineStr">
        <is>
          <t>Speciális felépítmény alkatrészek</t>
        </is>
      </c>
      <c r="D1091" s="6" t="inlineStr">
        <is>
          <t>Zárak</t>
        </is>
      </c>
      <c r="E1091" s="6" t="inlineStr">
        <is>
          <t>Pastore</t>
        </is>
      </c>
      <c r="F1091" s="6" t="inlineStr">
        <is>
          <t>071913831</t>
        </is>
      </c>
      <c r="G1091" s="6" t="inlineStr">
        <is>
          <t>Quadris Excel</t>
        </is>
      </c>
      <c r="H1091" s="6" t="n">
        <v>2</v>
      </c>
      <c r="I1091" s="6" t="n">
        <v>3</v>
      </c>
      <c r="J1091" s="6" t="inlineStr">
        <is>
          <t>nincs</t>
        </is>
      </c>
      <c r="K1091" s="6">
        <f>IF(AND(H1091&gt;0,I1091&gt;0),"Rendben",IF(AND(H1091=0,I1091=0),"Nincs kép és adat",IF(H1091=0,"Nincs kép","Nincs adat")))</f>
        <v/>
      </c>
      <c r="L1091" s="6" t="inlineStr">
        <is>
          <t>Igen</t>
        </is>
      </c>
      <c r="M1091" s="7" t="inlineStr">
        <is>
          <t>pastorelombardi.com kereső</t>
        </is>
      </c>
      <c r="N1091" s="7" t="inlineStr">
        <is>
          <t>Megtalálva: Antirack washer (kód: 071913831)</t>
        </is>
      </c>
      <c r="O1091" s="11" t="inlineStr">
        <is>
          <t>https://www.pastorelombardi.com/eng/cerca?chiave=071913831</t>
        </is>
      </c>
      <c r="P1091" s="11" t="inlineStr">
        <is>
          <t>https://website-9ib.pages.dev/termek/719831-rozsdamentes-acel-gyuru-22mm-pl/</t>
        </is>
      </c>
      <c r="Q1091" s="12" t="inlineStr"/>
      <c r="R1091" s="13" t="inlineStr"/>
      <c r="S1091" s="6" t="inlineStr">
        <is>
          <t>719831-rozsdamentes-acel-gyuru-22mm-pl</t>
        </is>
      </c>
    </row>
    <row r="1092">
      <c r="A1092" s="6" t="inlineStr">
        <is>
          <t>719226/304</t>
        </is>
      </c>
      <c r="B1092" s="7" t="inlineStr">
        <is>
          <t>Rozsdamentes csővezető 22 mm PL</t>
        </is>
      </c>
      <c r="C1092" s="6" t="inlineStr">
        <is>
          <t>Speciális felépítmény alkatrészek</t>
        </is>
      </c>
      <c r="D1092" s="6" t="inlineStr">
        <is>
          <t>Zárak</t>
        </is>
      </c>
      <c r="E1092" s="6" t="inlineStr">
        <is>
          <t>Pastore</t>
        </is>
      </c>
      <c r="F1092" s="6" t="inlineStr">
        <is>
          <t>071226304</t>
        </is>
      </c>
      <c r="G1092" s="6" t="inlineStr">
        <is>
          <t>Quadris Excel</t>
        </is>
      </c>
      <c r="H1092" s="6" t="n">
        <v>1</v>
      </c>
      <c r="I1092" s="6" t="n">
        <v>3</v>
      </c>
      <c r="J1092" s="6" t="inlineStr">
        <is>
          <t>nincs</t>
        </is>
      </c>
      <c r="K1092" s="6">
        <f>IF(AND(H1092&gt;0,I1092&gt;0),"Rendben",IF(AND(H1092=0,I1092=0),"Nincs kép és adat",IF(H1092=0,"Nincs kép","Nincs adat")))</f>
        <v/>
      </c>
      <c r="L1092" s="6" t="inlineStr">
        <is>
          <t>Igen</t>
        </is>
      </c>
      <c r="M1092" s="7" t="inlineStr">
        <is>
          <t>pastorelombardi.com kereső</t>
        </is>
      </c>
      <c r="N1092" s="7" t="inlineStr">
        <is>
          <t>Megtalálva: Kit Lever clamp (kód: 071226304)</t>
        </is>
      </c>
      <c r="O1092" s="11" t="inlineStr">
        <is>
          <t>https://www.pastorelombardi.com/eng/cerca?chiave=071226304</t>
        </is>
      </c>
      <c r="P1092" s="11" t="inlineStr">
        <is>
          <t>https://website-9ib.pages.dev/termek/719226-304-rozsdamentes-csovezeto-22-mm-pl/</t>
        </is>
      </c>
      <c r="Q1092" s="12" t="inlineStr"/>
      <c r="R1092" s="13" t="inlineStr"/>
      <c r="S1092" s="6" t="inlineStr">
        <is>
          <t>719226-304-rozsdamentes-csovezeto-22-mm-pl</t>
        </is>
      </c>
    </row>
    <row r="1093">
      <c r="A1093" s="6" t="inlineStr">
        <is>
          <t>719220/18A</t>
        </is>
      </c>
      <c r="B1093" s="7" t="inlineStr">
        <is>
          <t>Rozsdamentes kar 22/27mm PL</t>
        </is>
      </c>
      <c r="C1093" s="6" t="inlineStr">
        <is>
          <t>Speciális felépítmény alkatrészek</t>
        </is>
      </c>
      <c r="D1093" s="6" t="inlineStr">
        <is>
          <t>Zárak</t>
        </is>
      </c>
      <c r="E1093" s="6" t="inlineStr">
        <is>
          <t>Pastore</t>
        </is>
      </c>
      <c r="F1093" s="6" t="inlineStr">
        <is>
          <t>071922018A</t>
        </is>
      </c>
      <c r="G1093" s="6" t="inlineStr">
        <is>
          <t>Quadris Excel</t>
        </is>
      </c>
      <c r="H1093" s="6" t="n">
        <v>2</v>
      </c>
      <c r="I1093" s="6" t="n">
        <v>3</v>
      </c>
      <c r="J1093" s="6" t="inlineStr">
        <is>
          <t>nincs</t>
        </is>
      </c>
      <c r="K1093" s="6">
        <f>IF(AND(H1093&gt;0,I1093&gt;0),"Rendben",IF(AND(H1093=0,I1093=0),"Nincs kép és adat",IF(H1093=0,"Nincs kép","Nincs adat")))</f>
        <v/>
      </c>
      <c r="L1093" s="6" t="inlineStr">
        <is>
          <t>Igen</t>
        </is>
      </c>
      <c r="M1093" s="7" t="inlineStr">
        <is>
          <t>pastorelombardi.com kereső</t>
        </is>
      </c>
      <c r="N1093" s="7" t="inlineStr">
        <is>
          <t>Megtalálva: S.s. flat lever with coated handle for external door locks Ø mm. 22/27 (kód: 071922018A)</t>
        </is>
      </c>
      <c r="O1093" s="11" t="inlineStr">
        <is>
          <t>https://www.pastorelombardi.com/eng/cerca?chiave=071922018A</t>
        </is>
      </c>
      <c r="P1093" s="11" t="inlineStr">
        <is>
          <t>https://website-9ib.pages.dev/termek/719220-18a-rozsdamentes-kar-22-27mm-pl/</t>
        </is>
      </c>
      <c r="Q1093" s="12" t="inlineStr"/>
      <c r="R1093" s="13" t="inlineStr"/>
      <c r="S1093" s="6" t="inlineStr">
        <is>
          <t>719220-18a-rozsdamentes-kar-22-27mm-pl</t>
        </is>
      </c>
    </row>
    <row r="1094">
      <c r="A1094" s="6" t="inlineStr">
        <is>
          <t>719220/99A</t>
        </is>
      </c>
      <c r="B1094" s="7" t="inlineStr">
        <is>
          <t>Rozsdamentes kartartó 22/27mm PL</t>
        </is>
      </c>
      <c r="C1094" s="6" t="inlineStr">
        <is>
          <t>Speciális felépítmény alkatrészek</t>
        </is>
      </c>
      <c r="D1094" s="6" t="inlineStr">
        <is>
          <t>Zárak</t>
        </is>
      </c>
      <c r="E1094" s="6" t="inlineStr">
        <is>
          <t>Pastore</t>
        </is>
      </c>
      <c r="F1094" s="6" t="inlineStr">
        <is>
          <t>071920299A</t>
        </is>
      </c>
      <c r="G1094" s="6" t="inlineStr">
        <is>
          <t>Quadris Excel</t>
        </is>
      </c>
      <c r="H1094" s="6" t="n">
        <v>2</v>
      </c>
      <c r="I1094" s="6" t="n">
        <v>3</v>
      </c>
      <c r="J1094" s="6" t="inlineStr">
        <is>
          <t>nincs</t>
        </is>
      </c>
      <c r="K1094" s="6">
        <f>IF(AND(H1094&gt;0,I1094&gt;0),"Rendben",IF(AND(H1094=0,I1094=0),"Nincs kép és adat",IF(H1094=0,"Nincs kép","Nincs adat")))</f>
        <v/>
      </c>
      <c r="L1094" s="6" t="inlineStr">
        <is>
          <t>Igen</t>
        </is>
      </c>
      <c r="M1094" s="7" t="inlineStr">
        <is>
          <t>pastorelombardi.com kereső</t>
        </is>
      </c>
      <c r="N1094" s="7" t="inlineStr">
        <is>
          <t>Megtalálva: Standard lever stay with holes Ø mm. 8,5 for external door locks Ø mm. 22/27 (kód: 071920299A)</t>
        </is>
      </c>
      <c r="O1094" s="11" t="inlineStr">
        <is>
          <t>https://www.pastorelombardi.com/eng/cerca?chiave=071920299A</t>
        </is>
      </c>
      <c r="P1094" s="11" t="inlineStr">
        <is>
          <t>https://website-9ib.pages.dev/termek/719220-99a-rozsdamentes-kartarto-22-27mm-pl/</t>
        </is>
      </c>
      <c r="Q1094" s="12" t="inlineStr"/>
      <c r="R1094" s="13" t="inlineStr"/>
      <c r="S1094" s="6" t="inlineStr">
        <is>
          <t>719220-99a-rozsdamentes-kartarto-22-27mm-pl</t>
        </is>
      </c>
    </row>
    <row r="1095">
      <c r="A1095" s="6" t="inlineStr">
        <is>
          <t>041225</t>
        </is>
      </c>
      <c r="B1095" s="7" t="inlineStr">
        <is>
          <t>Üzemanyag beöntő 245x190 zárható</t>
        </is>
      </c>
      <c r="C1095" s="6" t="inlineStr">
        <is>
          <t>Speciális felépítmény alkatrészek</t>
        </is>
      </c>
      <c r="D1095" s="6" t="inlineStr">
        <is>
          <t>Egyéb</t>
        </is>
      </c>
      <c r="E1095" s="6" t="inlineStr">
        <is>
          <t>Pastore</t>
        </is>
      </c>
      <c r="F1095" s="6" t="inlineStr">
        <is>
          <t>024120253G</t>
        </is>
      </c>
      <c r="G1095" s="6" t="inlineStr">
        <is>
          <t>Quadris Excel</t>
        </is>
      </c>
      <c r="H1095" s="6" t="n">
        <v>0</v>
      </c>
      <c r="I1095" s="6" t="n">
        <v>0</v>
      </c>
      <c r="J1095" s="6" t="inlineStr">
        <is>
          <t>nincs</t>
        </is>
      </c>
      <c r="K1095" s="6">
        <f>IF(AND(H1095&gt;0,I1095&gt;0),"Rendben",IF(AND(H1095=0,I1095=0),"Nincs kép és adat",IF(H1095=0,"Nincs kép","Nincs adat")))</f>
        <v/>
      </c>
      <c r="L1095" s="6" t="inlineStr">
        <is>
          <t>Igen</t>
        </is>
      </c>
      <c r="M1095" s="7" t="inlineStr">
        <is>
          <t>pastorelombardi.com kereső</t>
        </is>
      </c>
      <c r="N1095" s="7" t="inlineStr">
        <is>
          <t>Nem találtuk: pastorelombardi.com kereső</t>
        </is>
      </c>
      <c r="O1095" s="6" t="inlineStr"/>
      <c r="P1095" s="11" t="inlineStr">
        <is>
          <t>https://website-9ib.pages.dev/termek/041225-uzemanyag-beonto-245x190-zarhato/</t>
        </is>
      </c>
      <c r="Q1095" s="12" t="inlineStr"/>
      <c r="R1095" s="13" t="inlineStr"/>
      <c r="S1095" s="6" t="inlineStr">
        <is>
          <t>041225-uzemanyag-beonto-245x190-zarhato</t>
        </is>
      </c>
    </row>
    <row r="1096">
      <c r="A1096" s="6" t="inlineStr">
        <is>
          <t>041280</t>
        </is>
      </c>
      <c r="B1096" s="7" t="inlineStr">
        <is>
          <t>Üzemanyag beöntő nagy</t>
        </is>
      </c>
      <c r="C1096" s="6" t="inlineStr">
        <is>
          <t>Speciális felépítmény alkatrészek</t>
        </is>
      </c>
      <c r="D1096" s="6" t="inlineStr">
        <is>
          <t>Egyéb</t>
        </is>
      </c>
      <c r="E1096" s="6" t="inlineStr">
        <is>
          <t>Pastore</t>
        </is>
      </c>
      <c r="F1096" s="6" t="inlineStr">
        <is>
          <t>024121322E</t>
        </is>
      </c>
      <c r="G1096" s="6" t="inlineStr">
        <is>
          <t>Quadris Excel</t>
        </is>
      </c>
      <c r="H1096" s="6" t="n">
        <v>0</v>
      </c>
      <c r="I1096" s="6" t="n">
        <v>3</v>
      </c>
      <c r="J1096" s="6" t="inlineStr">
        <is>
          <t>nincs</t>
        </is>
      </c>
      <c r="K1096" s="6">
        <f>IF(AND(H1096&gt;0,I1096&gt;0),"Rendben",IF(AND(H1096=0,I1096=0),"Nincs kép és adat",IF(H1096=0,"Nincs kép","Nincs adat")))</f>
        <v/>
      </c>
      <c r="L1096" s="6" t="inlineStr">
        <is>
          <t>Igen</t>
        </is>
      </c>
      <c r="M1096" s="7" t="inlineStr">
        <is>
          <t>pastorelombardi.com kereső</t>
        </is>
      </c>
      <c r="N1096" s="7" t="inlineStr">
        <is>
          <t>Megtalálva: Galvanized steel sheet filler flap without key and with S.S. spring, 296x258 mm (kód: 024121322E)</t>
        </is>
      </c>
      <c r="O1096" s="11" t="inlineStr">
        <is>
          <t>https://www.pastorelombardi.com/eng/cerca?chiave=024121322E</t>
        </is>
      </c>
      <c r="P1096" s="11" t="inlineStr">
        <is>
          <t>https://website-9ib.pages.dev/termek/041280-uzemanyag-beonto-nagy/</t>
        </is>
      </c>
      <c r="Q1096" s="12" t="inlineStr"/>
      <c r="R1096" s="13" t="inlineStr"/>
      <c r="S1096" s="6" t="inlineStr">
        <is>
          <t>041280-uzemanyag-beonto-nagy</t>
        </is>
      </c>
    </row>
    <row r="1097">
      <c r="A1097" s="6" t="inlineStr"/>
      <c r="B1097" s="7" t="inlineStr">
        <is>
          <t>3840-2900-SSTAVG 27 MM feszítő ALU cső</t>
        </is>
      </c>
      <c r="C1097" s="6" t="inlineStr">
        <is>
          <t>Ponyvarendszer kiegészítők</t>
        </is>
      </c>
      <c r="D1097" s="6" t="inlineStr">
        <is>
          <t>Ponyvafeszítő profilok és alkatrészei</t>
        </is>
      </c>
      <c r="E1097" s="6" t="inlineStr">
        <is>
          <t>PB planen</t>
        </is>
      </c>
      <c r="F1097" s="6" t="inlineStr">
        <is>
          <t>40-SSTAVG-2900</t>
        </is>
      </c>
      <c r="G1097" s="6" t="inlineStr">
        <is>
          <t>Quadris Excel</t>
        </is>
      </c>
      <c r="H1097" s="6" t="n">
        <v>0</v>
      </c>
      <c r="I1097" s="6" t="n">
        <v>0</v>
      </c>
      <c r="J1097" s="6" t="inlineStr">
        <is>
          <t>nincs</t>
        </is>
      </c>
      <c r="K1097" s="6">
        <f>IF(AND(H1097&gt;0,I1097&gt;0),"Rendben",IF(AND(H1097=0,I1097=0),"Nincs kép és adat",IF(H1097=0,"Nincs kép","Nincs adat")))</f>
        <v/>
      </c>
      <c r="L1097" s="6" t="inlineStr">
        <is>
          <t>Nem</t>
        </is>
      </c>
      <c r="M1097" s="7" t="inlineStr">
        <is>
          <t>–</t>
        </is>
      </c>
      <c r="N1097" s="7" t="inlineStr">
        <is>
          <t>Nem kerestük – nincs ismert weboldal vagy katalógus</t>
        </is>
      </c>
      <c r="O1097" s="6" t="inlineStr"/>
      <c r="P1097" s="11" t="inlineStr">
        <is>
          <t>https://website-9ib.pages.dev/termek/3840-2900-sstavg-27-mm-feszito-alu-cso/</t>
        </is>
      </c>
      <c r="Q1097" s="12" t="inlineStr"/>
      <c r="R1097" s="13" t="inlineStr"/>
      <c r="S1097" s="6" t="inlineStr">
        <is>
          <t>3840-2900-sstavg-27-mm-feszito-alu-cso</t>
        </is>
      </c>
    </row>
    <row r="1098">
      <c r="A1098" s="6" t="inlineStr"/>
      <c r="B1098" s="7" t="inlineStr">
        <is>
          <t>38400-CB27-HSD kézi heveder szürke bilinccsel készlet</t>
        </is>
      </c>
      <c r="C1098" s="6" t="inlineStr">
        <is>
          <t>Ponyvarendszer kiegészítők</t>
        </is>
      </c>
      <c r="D1098" s="6" t="inlineStr">
        <is>
          <t>Ponyvafeszítő profilok és alkatrészei</t>
        </is>
      </c>
      <c r="E1098" s="6" t="inlineStr">
        <is>
          <t>PB planen</t>
        </is>
      </c>
      <c r="F1098" s="6" t="inlineStr">
        <is>
          <t>40-HSD-CB27</t>
        </is>
      </c>
      <c r="G1098" s="6" t="inlineStr">
        <is>
          <t>Quadris Excel</t>
        </is>
      </c>
      <c r="H1098" s="6" t="n">
        <v>0</v>
      </c>
      <c r="I1098" s="6" t="n">
        <v>0</v>
      </c>
      <c r="J1098" s="6" t="inlineStr">
        <is>
          <t>nincs</t>
        </is>
      </c>
      <c r="K1098" s="6">
        <f>IF(AND(H1098&gt;0,I1098&gt;0),"Rendben",IF(AND(H1098=0,I1098=0),"Nincs kép és adat",IF(H1098=0,"Nincs kép","Nincs adat")))</f>
        <v/>
      </c>
      <c r="L1098" s="6" t="inlineStr">
        <is>
          <t>Nem</t>
        </is>
      </c>
      <c r="M1098" s="7" t="inlineStr">
        <is>
          <t>–</t>
        </is>
      </c>
      <c r="N1098" s="7" t="inlineStr">
        <is>
          <t>Nem kerestük – nincs ismert weboldal vagy katalógus</t>
        </is>
      </c>
      <c r="O1098" s="6" t="inlineStr"/>
      <c r="P1098" s="11" t="inlineStr">
        <is>
          <t>https://website-9ib.pages.dev/termek/38400-cb27-hsd-kezi-heveder-szurke-bilinccsel-keszlet/</t>
        </is>
      </c>
      <c r="Q1098" s="12" t="inlineStr"/>
      <c r="R1098" s="13" t="inlineStr"/>
      <c r="S1098" s="6" t="inlineStr">
        <is>
          <t>38400-cb27-hsd-kezi-heveder-szurke-bilinccsel-keszlet</t>
        </is>
      </c>
    </row>
    <row r="1099">
      <c r="A1099" s="6" t="inlineStr"/>
      <c r="B1099" s="7" t="inlineStr">
        <is>
          <t>L 15x1250x2200 Rétegelt lemez fenolos</t>
        </is>
      </c>
      <c r="C1099" s="6" t="inlineStr">
        <is>
          <t>Csúszásmentes rétegelt padló</t>
        </is>
      </c>
      <c r="D1099" s="6" t="inlineStr">
        <is>
          <t>Rétegelt lemezek</t>
        </is>
      </c>
      <c r="E1099" s="6" t="inlineStr">
        <is>
          <t>Peri</t>
        </is>
      </c>
      <c r="F1099" s="6" t="inlineStr"/>
      <c r="G1099" s="6" t="inlineStr">
        <is>
          <t>Quadris Excel</t>
        </is>
      </c>
      <c r="H1099" s="6" t="n">
        <v>3</v>
      </c>
      <c r="I1099" s="6" t="n">
        <v>4</v>
      </c>
      <c r="J1099" s="6" t="inlineStr">
        <is>
          <t>nincs</t>
        </is>
      </c>
      <c r="K1099" s="6">
        <f>IF(AND(H1099&gt;0,I1099&gt;0),"Rendben",IF(AND(H1099=0,I1099=0),"Nincs kép és adat",IF(H1099=0,"Nincs kép","Nincs adat")))</f>
        <v/>
      </c>
      <c r="L1099" s="6" t="inlineStr">
        <is>
          <t>Nem</t>
        </is>
      </c>
      <c r="M1099" s="7" t="inlineStr">
        <is>
          <t>Quadris-megnevezés (nincs beszállítói forrás)</t>
        </is>
      </c>
      <c r="N1099" s="7" t="inlineStr">
        <is>
          <t>Beszállítói forrás nincs – adatlap a Quadris-megnevezésből (méretek, elméleti tömeg)</t>
        </is>
      </c>
      <c r="O1099" s="6" t="inlineStr"/>
      <c r="P1099" s="11" t="inlineStr">
        <is>
          <t>https://website-9ib.pages.dev/termek/l-15x1250x2200-retegelt-lemez-fenolos/</t>
        </is>
      </c>
      <c r="Q1099" s="12" t="inlineStr"/>
      <c r="R1099" s="13" t="inlineStr"/>
      <c r="S1099" s="6" t="inlineStr">
        <is>
          <t>l-15x1250x2200-retegelt-lemez-fenolos</t>
        </is>
      </c>
    </row>
    <row r="1100">
      <c r="A1100" s="6" t="inlineStr"/>
      <c r="B1100" s="7" t="inlineStr">
        <is>
          <t>L 15x1250x2200 Rétegelt lemez fenolos HEXA</t>
        </is>
      </c>
      <c r="C1100" s="6" t="inlineStr">
        <is>
          <t>Csúszásmentes rétegelt padló</t>
        </is>
      </c>
      <c r="D1100" s="6" t="inlineStr">
        <is>
          <t>Rétegelt lemezek</t>
        </is>
      </c>
      <c r="E1100" s="6" t="inlineStr">
        <is>
          <t>Peri</t>
        </is>
      </c>
      <c r="F1100" s="6" t="inlineStr"/>
      <c r="G1100" s="6" t="inlineStr">
        <is>
          <t>Quadris Excel</t>
        </is>
      </c>
      <c r="H1100" s="6" t="n">
        <v>3</v>
      </c>
      <c r="I1100" s="6" t="n">
        <v>4</v>
      </c>
      <c r="J1100" s="6" t="inlineStr">
        <is>
          <t>nincs</t>
        </is>
      </c>
      <c r="K1100" s="6">
        <f>IF(AND(H1100&gt;0,I1100&gt;0),"Rendben",IF(AND(H1100=0,I1100=0),"Nincs kép és adat",IF(H1100=0,"Nincs kép","Nincs adat")))</f>
        <v/>
      </c>
      <c r="L1100" s="6" t="inlineStr">
        <is>
          <t>Nem</t>
        </is>
      </c>
      <c r="M1100" s="7" t="inlineStr">
        <is>
          <t>Quadris-megnevezés (nincs beszállítói forrás)</t>
        </is>
      </c>
      <c r="N1100" s="7" t="inlineStr">
        <is>
          <t>Beszállítói forrás nincs – adatlap a Quadris-megnevezésből (méretek, elméleti tömeg)</t>
        </is>
      </c>
      <c r="O1100" s="6" t="inlineStr"/>
      <c r="P1100" s="11" t="inlineStr">
        <is>
          <t>https://website-9ib.pages.dev/termek/l-15x1250x2200-retegelt-lemez-fenolos-hexa/</t>
        </is>
      </c>
      <c r="Q1100" s="12" t="inlineStr"/>
      <c r="R1100" s="13" t="inlineStr"/>
      <c r="S1100" s="6" t="inlineStr">
        <is>
          <t>l-15x1250x2200-retegelt-lemez-fenolos-hexa</t>
        </is>
      </c>
    </row>
    <row r="1101">
      <c r="A1101" s="6" t="inlineStr"/>
      <c r="B1101" s="7" t="inlineStr">
        <is>
          <t>L 15x1250x2500 Rétegelt lemez Natúr</t>
        </is>
      </c>
      <c r="C1101" s="6" t="inlineStr">
        <is>
          <t>Csúszásmentes rétegelt padló</t>
        </is>
      </c>
      <c r="D1101" s="6" t="inlineStr">
        <is>
          <t>Rétegelt lemezek</t>
        </is>
      </c>
      <c r="E1101" s="6" t="inlineStr">
        <is>
          <t>Peri</t>
        </is>
      </c>
      <c r="F1101" s="6" t="inlineStr"/>
      <c r="G1101" s="6" t="inlineStr">
        <is>
          <t>Quadris Excel</t>
        </is>
      </c>
      <c r="H1101" s="6" t="n">
        <v>3</v>
      </c>
      <c r="I1101" s="6" t="n">
        <v>4</v>
      </c>
      <c r="J1101" s="6" t="inlineStr">
        <is>
          <t>nincs</t>
        </is>
      </c>
      <c r="K1101" s="6">
        <f>IF(AND(H1101&gt;0,I1101&gt;0),"Rendben",IF(AND(H1101=0,I1101=0),"Nincs kép és adat",IF(H1101=0,"Nincs kép","Nincs adat")))</f>
        <v/>
      </c>
      <c r="L1101" s="6" t="inlineStr">
        <is>
          <t>Nem</t>
        </is>
      </c>
      <c r="M1101" s="7" t="inlineStr">
        <is>
          <t>Quadris-megnevezés (nincs beszállítói forrás)</t>
        </is>
      </c>
      <c r="N1101" s="7" t="inlineStr">
        <is>
          <t>Beszállítói forrás nincs – adatlap a Quadris-megnevezésből (méretek, elméleti tömeg)</t>
        </is>
      </c>
      <c r="O1101" s="6" t="inlineStr"/>
      <c r="P1101" s="11" t="inlineStr">
        <is>
          <t>https://website-9ib.pages.dev/termek/l-15x1250x2500-retegelt-lemez-natur/</t>
        </is>
      </c>
      <c r="Q1101" s="12" t="inlineStr"/>
      <c r="R1101" s="13" t="inlineStr"/>
      <c r="S1101" s="6" t="inlineStr">
        <is>
          <t>l-15x1250x2500-retegelt-lemez-natur</t>
        </is>
      </c>
    </row>
    <row r="1102">
      <c r="A1102" s="6" t="inlineStr"/>
      <c r="B1102" s="7" t="inlineStr">
        <is>
          <t>L 15x1250x2500 Rétegelt lemez fenolos</t>
        </is>
      </c>
      <c r="C1102" s="6" t="inlineStr">
        <is>
          <t>Csúszásmentes rétegelt padló</t>
        </is>
      </c>
      <c r="D1102" s="6" t="inlineStr">
        <is>
          <t>Rétegelt lemezek</t>
        </is>
      </c>
      <c r="E1102" s="6" t="inlineStr">
        <is>
          <t>Peri</t>
        </is>
      </c>
      <c r="F1102" s="6" t="inlineStr"/>
      <c r="G1102" s="6" t="inlineStr">
        <is>
          <t>Quadris Excel</t>
        </is>
      </c>
      <c r="H1102" s="6" t="n">
        <v>3</v>
      </c>
      <c r="I1102" s="6" t="n">
        <v>4</v>
      </c>
      <c r="J1102" s="6" t="inlineStr">
        <is>
          <t>nincs</t>
        </is>
      </c>
      <c r="K1102" s="6">
        <f>IF(AND(H1102&gt;0,I1102&gt;0),"Rendben",IF(AND(H1102=0,I1102=0),"Nincs kép és adat",IF(H1102=0,"Nincs kép","Nincs adat")))</f>
        <v/>
      </c>
      <c r="L1102" s="6" t="inlineStr">
        <is>
          <t>Nem</t>
        </is>
      </c>
      <c r="M1102" s="7" t="inlineStr">
        <is>
          <t>Quadris-megnevezés (nincs beszállítói forrás)</t>
        </is>
      </c>
      <c r="N1102" s="7" t="inlineStr">
        <is>
          <t>Beszállítói forrás nincs – adatlap a Quadris-megnevezésből (méretek, elméleti tömeg)</t>
        </is>
      </c>
      <c r="O1102" s="6" t="inlineStr"/>
      <c r="P1102" s="11" t="inlineStr">
        <is>
          <t>https://website-9ib.pages.dev/termek/l-15x1250x2500-retegelt-lemez-fenolos/</t>
        </is>
      </c>
      <c r="Q1102" s="12" t="inlineStr"/>
      <c r="R1102" s="13" t="inlineStr"/>
      <c r="S1102" s="6" t="inlineStr">
        <is>
          <t>l-15x1250x2500-retegelt-lemez-fenolos</t>
        </is>
      </c>
    </row>
    <row r="1103">
      <c r="A1103" s="6" t="inlineStr"/>
      <c r="B1103" s="7" t="inlineStr">
        <is>
          <t>L 15x1250x2500 Rétegelt lemez fenolos HEXA</t>
        </is>
      </c>
      <c r="C1103" s="6" t="inlineStr">
        <is>
          <t>Csúszásmentes rétegelt padló</t>
        </is>
      </c>
      <c r="D1103" s="6" t="inlineStr">
        <is>
          <t>Rétegelt lemezek</t>
        </is>
      </c>
      <c r="E1103" s="6" t="inlineStr">
        <is>
          <t>Peri</t>
        </is>
      </c>
      <c r="F1103" s="6" t="inlineStr"/>
      <c r="G1103" s="6" t="inlineStr">
        <is>
          <t>Quadris Excel</t>
        </is>
      </c>
      <c r="H1103" s="6" t="n">
        <v>3</v>
      </c>
      <c r="I1103" s="6" t="n">
        <v>4</v>
      </c>
      <c r="J1103" s="6" t="inlineStr">
        <is>
          <t>nincs</t>
        </is>
      </c>
      <c r="K1103" s="6">
        <f>IF(AND(H1103&gt;0,I1103&gt;0),"Rendben",IF(AND(H1103=0,I1103=0),"Nincs kép és adat",IF(H1103=0,"Nincs kép","Nincs adat")))</f>
        <v/>
      </c>
      <c r="L1103" s="6" t="inlineStr">
        <is>
          <t>Nem</t>
        </is>
      </c>
      <c r="M1103" s="7" t="inlineStr">
        <is>
          <t>Quadris-megnevezés (nincs beszállítói forrás)</t>
        </is>
      </c>
      <c r="N1103" s="7" t="inlineStr">
        <is>
          <t>Beszállítói forrás nincs – adatlap a Quadris-megnevezésből (méretek, elméleti tömeg)</t>
        </is>
      </c>
      <c r="O1103" s="6" t="inlineStr"/>
      <c r="P1103" s="11" t="inlineStr">
        <is>
          <t>https://website-9ib.pages.dev/termek/l-15x1250x2500-retegelt-lemez-fenolos-hexa/</t>
        </is>
      </c>
      <c r="Q1103" s="12" t="inlineStr"/>
      <c r="R1103" s="13" t="inlineStr"/>
      <c r="S1103" s="6" t="inlineStr">
        <is>
          <t>l-15x1250x2500-retegelt-lemez-fenolos-hexa</t>
        </is>
      </c>
    </row>
    <row r="1104">
      <c r="A1104" s="6" t="inlineStr"/>
      <c r="B1104" s="7" t="inlineStr">
        <is>
          <t>L 18x1250x2200 Rétegelt lemez fenolos, HEXA</t>
        </is>
      </c>
      <c r="C1104" s="6" t="inlineStr">
        <is>
          <t>Csúszásmentes rétegelt padló</t>
        </is>
      </c>
      <c r="D1104" s="6" t="inlineStr">
        <is>
          <t>Rétegelt lemezek</t>
        </is>
      </c>
      <c r="E1104" s="6" t="inlineStr">
        <is>
          <t>Peri</t>
        </is>
      </c>
      <c r="F1104" s="6" t="inlineStr"/>
      <c r="G1104" s="6" t="inlineStr">
        <is>
          <t>Quadris Excel</t>
        </is>
      </c>
      <c r="H1104" s="6" t="n">
        <v>3</v>
      </c>
      <c r="I1104" s="6" t="n">
        <v>4</v>
      </c>
      <c r="J1104" s="6" t="inlineStr">
        <is>
          <t>nincs</t>
        </is>
      </c>
      <c r="K1104" s="6">
        <f>IF(AND(H1104&gt;0,I1104&gt;0),"Rendben",IF(AND(H1104=0,I1104=0),"Nincs kép és adat",IF(H1104=0,"Nincs kép","Nincs adat")))</f>
        <v/>
      </c>
      <c r="L1104" s="6" t="inlineStr">
        <is>
          <t>Nem</t>
        </is>
      </c>
      <c r="M1104" s="7" t="inlineStr">
        <is>
          <t>Quadris-megnevezés (nincs beszállítói forrás)</t>
        </is>
      </c>
      <c r="N1104" s="7" t="inlineStr">
        <is>
          <t>Beszállítói forrás nincs – adatlap a Quadris-megnevezésből (méretek, elméleti tömeg)</t>
        </is>
      </c>
      <c r="O1104" s="6" t="inlineStr"/>
      <c r="P1104" s="11" t="inlineStr">
        <is>
          <t>https://website-9ib.pages.dev/termek/l-18x1250x2200-retegelt-lemez-fenolos-hexa/</t>
        </is>
      </c>
      <c r="Q1104" s="12" t="inlineStr"/>
      <c r="R1104" s="13" t="inlineStr"/>
      <c r="S1104" s="6" t="inlineStr">
        <is>
          <t>l-18x1250x2200-retegelt-lemez-fenolos-hexa</t>
        </is>
      </c>
    </row>
    <row r="1105">
      <c r="A1105" s="6" t="inlineStr"/>
      <c r="B1105" s="7" t="inlineStr">
        <is>
          <t>L 18x1250x2500 Rétegelt lemez fenolos</t>
        </is>
      </c>
      <c r="C1105" s="6" t="inlineStr">
        <is>
          <t>Csúszásmentes rétegelt padló</t>
        </is>
      </c>
      <c r="D1105" s="6" t="inlineStr">
        <is>
          <t>Rétegelt lemezek</t>
        </is>
      </c>
      <c r="E1105" s="6" t="inlineStr">
        <is>
          <t>Peri</t>
        </is>
      </c>
      <c r="F1105" s="6" t="inlineStr"/>
      <c r="G1105" s="6" t="inlineStr">
        <is>
          <t>Quadris Excel</t>
        </is>
      </c>
      <c r="H1105" s="6" t="n">
        <v>3</v>
      </c>
      <c r="I1105" s="6" t="n">
        <v>4</v>
      </c>
      <c r="J1105" s="6" t="inlineStr">
        <is>
          <t>nincs</t>
        </is>
      </c>
      <c r="K1105" s="6">
        <f>IF(AND(H1105&gt;0,I1105&gt;0),"Rendben",IF(AND(H1105=0,I1105=0),"Nincs kép és adat",IF(H1105=0,"Nincs kép","Nincs adat")))</f>
        <v/>
      </c>
      <c r="L1105" s="6" t="inlineStr">
        <is>
          <t>Nem</t>
        </is>
      </c>
      <c r="M1105" s="7" t="inlineStr">
        <is>
          <t>Quadris-megnevezés (nincs beszállítói forrás)</t>
        </is>
      </c>
      <c r="N1105" s="7" t="inlineStr">
        <is>
          <t>Beszállítói forrás nincs – adatlap a Quadris-megnevezésből (méretek, elméleti tömeg)</t>
        </is>
      </c>
      <c r="O1105" s="6" t="inlineStr"/>
      <c r="P1105" s="11" t="inlineStr">
        <is>
          <t>https://website-9ib.pages.dev/termek/l-18x1250x2500-retegelt-lemez-fenolos/</t>
        </is>
      </c>
      <c r="Q1105" s="12" t="inlineStr"/>
      <c r="R1105" s="13" t="inlineStr"/>
      <c r="S1105" s="6" t="inlineStr">
        <is>
          <t>l-18x1250x2500-retegelt-lemez-fenolos</t>
        </is>
      </c>
    </row>
    <row r="1106">
      <c r="A1106" s="6" t="inlineStr"/>
      <c r="B1106" s="7" t="inlineStr">
        <is>
          <t>L 18x1250x2500 Rétegelt lemez fenolos HEXA</t>
        </is>
      </c>
      <c r="C1106" s="6" t="inlineStr">
        <is>
          <t>Csúszásmentes rétegelt padló</t>
        </is>
      </c>
      <c r="D1106" s="6" t="inlineStr">
        <is>
          <t>Rétegelt lemezek</t>
        </is>
      </c>
      <c r="E1106" s="6" t="inlineStr">
        <is>
          <t>Peri</t>
        </is>
      </c>
      <c r="F1106" s="6" t="inlineStr">
        <is>
          <t>252923</t>
        </is>
      </c>
      <c r="G1106" s="6" t="inlineStr">
        <is>
          <t>Quadris Excel</t>
        </is>
      </c>
      <c r="H1106" s="6" t="n">
        <v>3</v>
      </c>
      <c r="I1106" s="6" t="n">
        <v>4</v>
      </c>
      <c r="J1106" s="6" t="inlineStr">
        <is>
          <t>nincs</t>
        </is>
      </c>
      <c r="K1106" s="6">
        <f>IF(AND(H1106&gt;0,I1106&gt;0),"Rendben",IF(AND(H1106=0,I1106=0),"Nincs kép és adat",IF(H1106=0,"Nincs kép","Nincs adat")))</f>
        <v/>
      </c>
      <c r="L1106" s="6" t="inlineStr">
        <is>
          <t>Nem</t>
        </is>
      </c>
      <c r="M1106" s="7" t="inlineStr">
        <is>
          <t>Quadris-megnevezés (nincs beszállítói forrás)</t>
        </is>
      </c>
      <c r="N1106" s="7" t="inlineStr">
        <is>
          <t>Beszállítói forrás nincs – adatlap a Quadris-megnevezésből (méretek, elméleti tömeg)</t>
        </is>
      </c>
      <c r="O1106" s="6" t="inlineStr"/>
      <c r="P1106" s="11" t="inlineStr">
        <is>
          <t>https://website-9ib.pages.dev/termek/l-18x1250x2500-retegelt-lemez-fenolos-hexa/</t>
        </is>
      </c>
      <c r="Q1106" s="12" t="inlineStr"/>
      <c r="R1106" s="13" t="inlineStr"/>
      <c r="S1106" s="6" t="inlineStr">
        <is>
          <t>l-18x1250x2500-retegelt-lemez-fenolos-hexa</t>
        </is>
      </c>
    </row>
    <row r="1107">
      <c r="A1107" s="6" t="inlineStr"/>
      <c r="B1107" s="7" t="inlineStr">
        <is>
          <t>L 18x1500x2500 Rétegelt lemez fenolos</t>
        </is>
      </c>
      <c r="C1107" s="6" t="inlineStr">
        <is>
          <t>Csúszásmentes rétegelt padló</t>
        </is>
      </c>
      <c r="D1107" s="6" t="inlineStr">
        <is>
          <t>Rétegelt lemezek</t>
        </is>
      </c>
      <c r="E1107" s="6" t="inlineStr">
        <is>
          <t>Peri</t>
        </is>
      </c>
      <c r="F1107" s="6" t="inlineStr"/>
      <c r="G1107" s="6" t="inlineStr">
        <is>
          <t>Quadris Excel</t>
        </is>
      </c>
      <c r="H1107" s="6" t="n">
        <v>3</v>
      </c>
      <c r="I1107" s="6" t="n">
        <v>4</v>
      </c>
      <c r="J1107" s="6" t="inlineStr">
        <is>
          <t>nincs</t>
        </is>
      </c>
      <c r="K1107" s="6">
        <f>IF(AND(H1107&gt;0,I1107&gt;0),"Rendben",IF(AND(H1107=0,I1107=0),"Nincs kép és adat",IF(H1107=0,"Nincs kép","Nincs adat")))</f>
        <v/>
      </c>
      <c r="L1107" s="6" t="inlineStr">
        <is>
          <t>Nem</t>
        </is>
      </c>
      <c r="M1107" s="7" t="inlineStr">
        <is>
          <t>Quadris-megnevezés (nincs beszállítói forrás)</t>
        </is>
      </c>
      <c r="N1107" s="7" t="inlineStr">
        <is>
          <t>Beszállítói forrás nincs – adatlap a Quadris-megnevezésből (méretek, elméleti tömeg)</t>
        </is>
      </c>
      <c r="O1107" s="6" t="inlineStr"/>
      <c r="P1107" s="11" t="inlineStr">
        <is>
          <t>https://website-9ib.pages.dev/termek/l-18x1500x2500-retegelt-lemez-fenolos/</t>
        </is>
      </c>
      <c r="Q1107" s="12" t="inlineStr"/>
      <c r="R1107" s="13" t="inlineStr"/>
      <c r="S1107" s="6" t="inlineStr">
        <is>
          <t>l-18x1500x2500-retegelt-lemez-fenolos</t>
        </is>
      </c>
    </row>
    <row r="1108">
      <c r="A1108" s="6" t="inlineStr"/>
      <c r="B1108" s="7" t="inlineStr">
        <is>
          <t>L 21x1250x2500 Rétegelt lemez fenolos</t>
        </is>
      </c>
      <c r="C1108" s="6" t="inlineStr">
        <is>
          <t>Csúszásmentes rétegelt padló</t>
        </is>
      </c>
      <c r="D1108" s="6" t="inlineStr">
        <is>
          <t>Rétegelt lemezek</t>
        </is>
      </c>
      <c r="E1108" s="6" t="inlineStr">
        <is>
          <t>Peri</t>
        </is>
      </c>
      <c r="F1108" s="6" t="inlineStr"/>
      <c r="G1108" s="6" t="inlineStr">
        <is>
          <t>Quadris Excel</t>
        </is>
      </c>
      <c r="H1108" s="6" t="n">
        <v>3</v>
      </c>
      <c r="I1108" s="6" t="n">
        <v>4</v>
      </c>
      <c r="J1108" s="6" t="inlineStr">
        <is>
          <t>nincs</t>
        </is>
      </c>
      <c r="K1108" s="6">
        <f>IF(AND(H1108&gt;0,I1108&gt;0),"Rendben",IF(AND(H1108=0,I1108=0),"Nincs kép és adat",IF(H1108=0,"Nincs kép","Nincs adat")))</f>
        <v/>
      </c>
      <c r="L1108" s="6" t="inlineStr">
        <is>
          <t>Nem</t>
        </is>
      </c>
      <c r="M1108" s="7" t="inlineStr">
        <is>
          <t>Quadris-megnevezés (nincs beszállítói forrás)</t>
        </is>
      </c>
      <c r="N1108" s="7" t="inlineStr">
        <is>
          <t>Beszállítói forrás nincs – adatlap a Quadris-megnevezésből (méretek, elméleti tömeg)</t>
        </is>
      </c>
      <c r="O1108" s="6" t="inlineStr"/>
      <c r="P1108" s="11" t="inlineStr">
        <is>
          <t>https://website-9ib.pages.dev/termek/l-21x1250x2500-retegelt-lemez-fenolos/</t>
        </is>
      </c>
      <c r="Q1108" s="12" t="inlineStr"/>
      <c r="R1108" s="13" t="inlineStr"/>
      <c r="S1108" s="6" t="inlineStr">
        <is>
          <t>l-21x1250x2500-retegelt-lemez-fenolos</t>
        </is>
      </c>
    </row>
    <row r="1109">
      <c r="A1109" s="6" t="inlineStr"/>
      <c r="B1109" s="7" t="inlineStr">
        <is>
          <t>L 21x1250x2500 Rétegelt lemez fenolos HEXA</t>
        </is>
      </c>
      <c r="C1109" s="6" t="inlineStr">
        <is>
          <t>Csúszásmentes rétegelt padló</t>
        </is>
      </c>
      <c r="D1109" s="6" t="inlineStr">
        <is>
          <t>Rétegelt lemezek</t>
        </is>
      </c>
      <c r="E1109" s="6" t="inlineStr">
        <is>
          <t>Peri</t>
        </is>
      </c>
      <c r="F1109" s="6" t="inlineStr">
        <is>
          <t>252930</t>
        </is>
      </c>
      <c r="G1109" s="6" t="inlineStr">
        <is>
          <t>Quadris Excel</t>
        </is>
      </c>
      <c r="H1109" s="6" t="n">
        <v>3</v>
      </c>
      <c r="I1109" s="6" t="n">
        <v>4</v>
      </c>
      <c r="J1109" s="6" t="inlineStr">
        <is>
          <t>nincs</t>
        </is>
      </c>
      <c r="K1109" s="6">
        <f>IF(AND(H1109&gt;0,I1109&gt;0),"Rendben",IF(AND(H1109=0,I1109=0),"Nincs kép és adat",IF(H1109=0,"Nincs kép","Nincs adat")))</f>
        <v/>
      </c>
      <c r="L1109" s="6" t="inlineStr">
        <is>
          <t>Nem</t>
        </is>
      </c>
      <c r="M1109" s="7" t="inlineStr">
        <is>
          <t>Quadris-megnevezés (nincs beszállítói forrás)</t>
        </is>
      </c>
      <c r="N1109" s="7" t="inlineStr">
        <is>
          <t>Beszállítói forrás nincs – adatlap a Quadris-megnevezésből (méretek, elméleti tömeg)</t>
        </is>
      </c>
      <c r="O1109" s="6" t="inlineStr"/>
      <c r="P1109" s="11" t="inlineStr">
        <is>
          <t>https://website-9ib.pages.dev/termek/l-21x1250x2500-retegelt-lemez-fenolos-hexa/</t>
        </is>
      </c>
      <c r="Q1109" s="12" t="inlineStr"/>
      <c r="R1109" s="13" t="inlineStr"/>
      <c r="S1109" s="6" t="inlineStr">
        <is>
          <t>l-21x1250x2500-retegelt-lemez-fenolos-hexa</t>
        </is>
      </c>
    </row>
    <row r="1110">
      <c r="A1110" s="6" t="inlineStr"/>
      <c r="B1110" s="7" t="inlineStr">
        <is>
          <t>L 21x1500x3000 mm Rétegelt lemez fenolos</t>
        </is>
      </c>
      <c r="C1110" s="6" t="inlineStr">
        <is>
          <t>Csúszásmentes rétegelt padló</t>
        </is>
      </c>
      <c r="D1110" s="6" t="inlineStr">
        <is>
          <t>Rétegelt lemezek</t>
        </is>
      </c>
      <c r="E1110" s="6" t="inlineStr">
        <is>
          <t>Peri</t>
        </is>
      </c>
      <c r="F1110" s="6" t="inlineStr"/>
      <c r="G1110" s="6" t="inlineStr">
        <is>
          <t>Quadris Excel</t>
        </is>
      </c>
      <c r="H1110" s="6" t="n">
        <v>3</v>
      </c>
      <c r="I1110" s="6" t="n">
        <v>4</v>
      </c>
      <c r="J1110" s="6" t="inlineStr">
        <is>
          <t>nincs</t>
        </is>
      </c>
      <c r="K1110" s="6">
        <f>IF(AND(H1110&gt;0,I1110&gt;0),"Rendben",IF(AND(H1110=0,I1110=0),"Nincs kép és adat",IF(H1110=0,"Nincs kép","Nincs adat")))</f>
        <v/>
      </c>
      <c r="L1110" s="6" t="inlineStr">
        <is>
          <t>Nem</t>
        </is>
      </c>
      <c r="M1110" s="7" t="inlineStr">
        <is>
          <t>Quadris-megnevezés (nincs beszállítói forrás)</t>
        </is>
      </c>
      <c r="N1110" s="7" t="inlineStr">
        <is>
          <t>Beszállítói forrás nincs – adatlap a Quadris-megnevezésből (méretek, elméleti tömeg)</t>
        </is>
      </c>
      <c r="O1110" s="6" t="inlineStr"/>
      <c r="P1110" s="11" t="inlineStr">
        <is>
          <t>https://website-9ib.pages.dev/termek/l-21x1500x3000-mm-retegelt-lemez-fenolos/</t>
        </is>
      </c>
      <c r="Q1110" s="12" t="inlineStr"/>
      <c r="R1110" s="13" t="inlineStr"/>
      <c r="S1110" s="6" t="inlineStr">
        <is>
          <t>l-21x1500x3000-mm-retegelt-lemez-fenolos</t>
        </is>
      </c>
    </row>
    <row r="1111">
      <c r="A1111" s="6" t="inlineStr"/>
      <c r="B1111" s="7" t="inlineStr">
        <is>
          <t>L 24x1250x2500 Rétegelt lemez fenolos</t>
        </is>
      </c>
      <c r="C1111" s="6" t="inlineStr">
        <is>
          <t>Csúszásmentes rétegelt padló</t>
        </is>
      </c>
      <c r="D1111" s="6" t="inlineStr">
        <is>
          <t>Rétegelt lemezek</t>
        </is>
      </c>
      <c r="E1111" s="6" t="inlineStr">
        <is>
          <t>Peri</t>
        </is>
      </c>
      <c r="F1111" s="6" t="inlineStr"/>
      <c r="G1111" s="6" t="inlineStr">
        <is>
          <t>Quadris Excel</t>
        </is>
      </c>
      <c r="H1111" s="6" t="n">
        <v>3</v>
      </c>
      <c r="I1111" s="6" t="n">
        <v>4</v>
      </c>
      <c r="J1111" s="6" t="inlineStr">
        <is>
          <t>nincs</t>
        </is>
      </c>
      <c r="K1111" s="6">
        <f>IF(AND(H1111&gt;0,I1111&gt;0),"Rendben",IF(AND(H1111=0,I1111=0),"Nincs kép és adat",IF(H1111=0,"Nincs kép","Nincs adat")))</f>
        <v/>
      </c>
      <c r="L1111" s="6" t="inlineStr">
        <is>
          <t>Nem</t>
        </is>
      </c>
      <c r="M1111" s="7" t="inlineStr">
        <is>
          <t>Quadris-megnevezés (nincs beszállítói forrás)</t>
        </is>
      </c>
      <c r="N1111" s="7" t="inlineStr">
        <is>
          <t>Beszállítói forrás nincs – adatlap a Quadris-megnevezésből (méretek, elméleti tömeg)</t>
        </is>
      </c>
      <c r="O1111" s="6" t="inlineStr"/>
      <c r="P1111" s="11" t="inlineStr">
        <is>
          <t>https://website-9ib.pages.dev/termek/l-24x1250x2500-retegelt-lemez-fenolos/</t>
        </is>
      </c>
      <c r="Q1111" s="12" t="inlineStr"/>
      <c r="R1111" s="13" t="inlineStr"/>
      <c r="S1111" s="6" t="inlineStr">
        <is>
          <t>l-24x1250x2500-retegelt-lemez-fenolos</t>
        </is>
      </c>
    </row>
    <row r="1112">
      <c r="A1112" s="6" t="inlineStr"/>
      <c r="B1112" s="7" t="inlineStr">
        <is>
          <t>L 27x1250x2500 Rétegelt lemez fenolos</t>
        </is>
      </c>
      <c r="C1112" s="6" t="inlineStr">
        <is>
          <t>Csúszásmentes rétegelt padló</t>
        </is>
      </c>
      <c r="D1112" s="6" t="inlineStr">
        <is>
          <t>Rétegelt lemezek</t>
        </is>
      </c>
      <c r="E1112" s="6" t="inlineStr">
        <is>
          <t>Peri</t>
        </is>
      </c>
      <c r="F1112" s="6" t="inlineStr"/>
      <c r="G1112" s="6" t="inlineStr">
        <is>
          <t>Quadris Excel</t>
        </is>
      </c>
      <c r="H1112" s="6" t="n">
        <v>3</v>
      </c>
      <c r="I1112" s="6" t="n">
        <v>4</v>
      </c>
      <c r="J1112" s="6" t="inlineStr">
        <is>
          <t>nincs</t>
        </is>
      </c>
      <c r="K1112" s="6">
        <f>IF(AND(H1112&gt;0,I1112&gt;0),"Rendben",IF(AND(H1112=0,I1112=0),"Nincs kép és adat",IF(H1112=0,"Nincs kép","Nincs adat")))</f>
        <v/>
      </c>
      <c r="L1112" s="6" t="inlineStr">
        <is>
          <t>Nem</t>
        </is>
      </c>
      <c r="M1112" s="7" t="inlineStr">
        <is>
          <t>Quadris-megnevezés (nincs beszállítói forrás)</t>
        </is>
      </c>
      <c r="N1112" s="7" t="inlineStr">
        <is>
          <t>Beszállítói forrás nincs – adatlap a Quadris-megnevezésből (méretek, elméleti tömeg)</t>
        </is>
      </c>
      <c r="O1112" s="6" t="inlineStr"/>
      <c r="P1112" s="11" t="inlineStr">
        <is>
          <t>https://website-9ib.pages.dev/termek/l-27x1250x2500-retegelt-lemez-fenolos/</t>
        </is>
      </c>
      <c r="Q1112" s="12" t="inlineStr"/>
      <c r="R1112" s="13" t="inlineStr"/>
      <c r="S1112" s="6" t="inlineStr">
        <is>
          <t>l-27x1250x2500-retegelt-lemez-fenolos</t>
        </is>
      </c>
    </row>
    <row r="1113">
      <c r="A1113" s="6" t="inlineStr"/>
      <c r="B1113" s="7" t="inlineStr">
        <is>
          <t>L 27x1500x2500 Rétegelt lemez fenolos</t>
        </is>
      </c>
      <c r="C1113" s="6" t="inlineStr">
        <is>
          <t>Csúszásmentes rétegelt padló</t>
        </is>
      </c>
      <c r="D1113" s="6" t="inlineStr">
        <is>
          <t>Rétegelt lemezek</t>
        </is>
      </c>
      <c r="E1113" s="6" t="inlineStr">
        <is>
          <t>Peri</t>
        </is>
      </c>
      <c r="F1113" s="6" t="inlineStr"/>
      <c r="G1113" s="6" t="inlineStr">
        <is>
          <t>Quadris Excel</t>
        </is>
      </c>
      <c r="H1113" s="6" t="n">
        <v>3</v>
      </c>
      <c r="I1113" s="6" t="n">
        <v>4</v>
      </c>
      <c r="J1113" s="6" t="inlineStr">
        <is>
          <t>nincs</t>
        </is>
      </c>
      <c r="K1113" s="6">
        <f>IF(AND(H1113&gt;0,I1113&gt;0),"Rendben",IF(AND(H1113=0,I1113=0),"Nincs kép és adat",IF(H1113=0,"Nincs kép","Nincs adat")))</f>
        <v/>
      </c>
      <c r="L1113" s="6" t="inlineStr">
        <is>
          <t>Nem</t>
        </is>
      </c>
      <c r="M1113" s="7" t="inlineStr">
        <is>
          <t>Quadris-megnevezés (nincs beszállítói forrás)</t>
        </is>
      </c>
      <c r="N1113" s="7" t="inlineStr">
        <is>
          <t>Beszállítói forrás nincs – adatlap a Quadris-megnevezésből (méretek, elméleti tömeg)</t>
        </is>
      </c>
      <c r="O1113" s="6" t="inlineStr"/>
      <c r="P1113" s="11" t="inlineStr">
        <is>
          <t>https://website-9ib.pages.dev/termek/l-27x1500x2500-retegelt-lemez-fenolos/</t>
        </is>
      </c>
      <c r="Q1113" s="12" t="inlineStr"/>
      <c r="R1113" s="13" t="inlineStr"/>
      <c r="S1113" s="6" t="inlineStr">
        <is>
          <t>l-27x1500x2500-retegelt-lemez-fenolos</t>
        </is>
      </c>
    </row>
    <row r="1114">
      <c r="A1114" s="6" t="inlineStr"/>
      <c r="B1114" s="7" t="inlineStr">
        <is>
          <t>J24300 Sárvédő gumi 240x300 mm</t>
        </is>
      </c>
      <c r="C1114" s="6" t="inlineStr">
        <is>
          <t>Sárvédők, szerszámosládák</t>
        </is>
      </c>
      <c r="D1114" s="6" t="inlineStr">
        <is>
          <t>Sárfogólapok</t>
        </is>
      </c>
      <c r="E1114" s="6" t="inlineStr">
        <is>
          <t>Plastic Padana</t>
        </is>
      </c>
      <c r="F1114" s="6" t="inlineStr">
        <is>
          <t>150236</t>
        </is>
      </c>
      <c r="G1114" s="6" t="inlineStr">
        <is>
          <t>Quadris Excel</t>
        </is>
      </c>
      <c r="H1114" s="6" t="n">
        <v>1</v>
      </c>
      <c r="I1114" s="6" t="n">
        <v>5</v>
      </c>
      <c r="J1114" s="6" t="inlineStr">
        <is>
          <t>van</t>
        </is>
      </c>
      <c r="K1114" s="6">
        <f>IF(AND(H1114&gt;0,I1114&gt;0),"Rendben",IF(AND(H1114=0,I1114=0),"Nincs kép és adat",IF(H1114=0,"Nincs kép","Nincs adat")))</f>
        <v/>
      </c>
      <c r="L1114" s="6" t="inlineStr">
        <is>
          <t>Igen</t>
        </is>
      </c>
      <c r="M1114" s="7" t="inlineStr">
        <is>
          <t>plasticpadana.it termékoldalak</t>
        </is>
      </c>
      <c r="N1114" s="7" t="inlineStr">
        <is>
          <t>Megtalálva: trailer</t>
        </is>
      </c>
      <c r="O1114" s="11" t="inlineStr">
        <is>
          <t>https://plasticpadana.it/prodotto/i/</t>
        </is>
      </c>
      <c r="P1114" s="11" t="inlineStr">
        <is>
          <t>https://website-9ib.pages.dev/termek/j24300-sarvedo-gumi-240x300-mm/</t>
        </is>
      </c>
      <c r="Q1114" s="12" t="inlineStr"/>
      <c r="R1114" s="13" t="inlineStr"/>
      <c r="S1114" s="6" t="inlineStr">
        <is>
          <t>j24300-sarvedo-gumi-240x300-mm</t>
        </is>
      </c>
    </row>
    <row r="1115">
      <c r="A1115" s="6" t="inlineStr"/>
      <c r="B1115" s="7" t="inlineStr">
        <is>
          <t>J260260 Sárvédő gumi 260x260 mm</t>
        </is>
      </c>
      <c r="C1115" s="6" t="inlineStr">
        <is>
          <t>Sárvédők, szerszámosládák</t>
        </is>
      </c>
      <c r="D1115" s="6" t="inlineStr">
        <is>
          <t>Sárfogólapok</t>
        </is>
      </c>
      <c r="E1115" s="6" t="inlineStr">
        <is>
          <t>Plastic Padana</t>
        </is>
      </c>
      <c r="F1115" s="6" t="inlineStr">
        <is>
          <t>000801</t>
        </is>
      </c>
      <c r="G1115" s="6" t="inlineStr">
        <is>
          <t>Quadris Excel</t>
        </is>
      </c>
      <c r="H1115" s="6" t="n">
        <v>1</v>
      </c>
      <c r="I1115" s="6" t="n">
        <v>5</v>
      </c>
      <c r="J1115" s="6" t="inlineStr">
        <is>
          <t>van</t>
        </is>
      </c>
      <c r="K1115" s="6">
        <f>IF(AND(H1115&gt;0,I1115&gt;0),"Rendben",IF(AND(H1115=0,I1115=0),"Nincs kép és adat",IF(H1115=0,"Nincs kép","Nincs adat")))</f>
        <v/>
      </c>
      <c r="L1115" s="6" t="inlineStr">
        <is>
          <t>Igen</t>
        </is>
      </c>
      <c r="M1115" s="7" t="inlineStr">
        <is>
          <t>plasticpadana.it termékoldalak</t>
        </is>
      </c>
      <c r="N1115" s="7" t="inlineStr">
        <is>
          <t>Megtalálva: trailer</t>
        </is>
      </c>
      <c r="O1115" s="11" t="inlineStr">
        <is>
          <t>https://plasticpadana.it/prodotto/i/</t>
        </is>
      </c>
      <c r="P1115" s="11" t="inlineStr">
        <is>
          <t>https://website-9ib.pages.dev/termek/j260260-sarvedo-gumi-260x260-mm/</t>
        </is>
      </c>
      <c r="Q1115" s="12" t="inlineStr"/>
      <c r="R1115" s="13" t="inlineStr"/>
      <c r="S1115" s="6" t="inlineStr">
        <is>
          <t>j260260-sarvedo-gumi-260x260-mm</t>
        </is>
      </c>
    </row>
    <row r="1116">
      <c r="A1116" s="6" t="inlineStr"/>
      <c r="B1116" s="7" t="inlineStr">
        <is>
          <t>J450300 Sárfogó lap 450x300 mm</t>
        </is>
      </c>
      <c r="C1116" s="6" t="inlineStr">
        <is>
          <t>Sárvédők, szerszámosládák</t>
        </is>
      </c>
      <c r="D1116" s="6" t="inlineStr">
        <is>
          <t>Sárfogólapok</t>
        </is>
      </c>
      <c r="E1116" s="6" t="inlineStr">
        <is>
          <t>Plastic Padana</t>
        </is>
      </c>
      <c r="F1116" s="6" t="inlineStr">
        <is>
          <t>214530</t>
        </is>
      </c>
      <c r="G1116" s="6" t="inlineStr">
        <is>
          <t>Quadris Excel</t>
        </is>
      </c>
      <c r="H1116" s="6" t="n">
        <v>1</v>
      </c>
      <c r="I1116" s="6" t="n">
        <v>5</v>
      </c>
      <c r="J1116" s="6" t="inlineStr">
        <is>
          <t>van</t>
        </is>
      </c>
      <c r="K1116" s="6">
        <f>IF(AND(H1116&gt;0,I1116&gt;0),"Rendben",IF(AND(H1116=0,I1116=0),"Nincs kép és adat",IF(H1116=0,"Nincs kép","Nincs adat")))</f>
        <v/>
      </c>
      <c r="L1116" s="6" t="inlineStr">
        <is>
          <t>Igen</t>
        </is>
      </c>
      <c r="M1116" s="7" t="inlineStr">
        <is>
          <t>plasticpadana.it termékoldalak</t>
        </is>
      </c>
      <c r="N1116" s="7" t="inlineStr">
        <is>
          <t>Megtalálva: truck</t>
        </is>
      </c>
      <c r="O1116" s="11" t="inlineStr">
        <is>
          <t>https://plasticpadana.it/prodotto/paraspruzzi-per-autocarri-logo-liscio/</t>
        </is>
      </c>
      <c r="P1116" s="11" t="inlineStr">
        <is>
          <t>https://website-9ib.pages.dev/termek/j450300-sarfogo-lap-450x300-mm/</t>
        </is>
      </c>
      <c r="Q1116" s="12" t="inlineStr"/>
      <c r="R1116" s="13" t="inlineStr"/>
      <c r="S1116" s="6" t="inlineStr">
        <is>
          <t>j450300-sarfogo-lap-450x300-mm</t>
        </is>
      </c>
    </row>
    <row r="1117">
      <c r="A1117" s="6" t="inlineStr"/>
      <c r="B1117" s="7" t="inlineStr">
        <is>
          <t>J504530 Sárfogó lap 500/450x300 mm</t>
        </is>
      </c>
      <c r="C1117" s="6" t="inlineStr">
        <is>
          <t>Sárvédők, szerszámosládák</t>
        </is>
      </c>
      <c r="D1117" s="6" t="inlineStr">
        <is>
          <t>Sárfogólapok</t>
        </is>
      </c>
      <c r="E1117" s="6" t="inlineStr">
        <is>
          <t>Plastic Padana</t>
        </is>
      </c>
      <c r="F1117" s="6" t="inlineStr">
        <is>
          <t>215030</t>
        </is>
      </c>
      <c r="G1117" s="6" t="inlineStr">
        <is>
          <t>Quadris Excel</t>
        </is>
      </c>
      <c r="H1117" s="6" t="n">
        <v>1</v>
      </c>
      <c r="I1117" s="6" t="n">
        <v>6</v>
      </c>
      <c r="J1117" s="6" t="inlineStr">
        <is>
          <t>van</t>
        </is>
      </c>
      <c r="K1117" s="6">
        <f>IF(AND(H1117&gt;0,I1117&gt;0),"Rendben",IF(AND(H1117=0,I1117=0),"Nincs kép és adat",IF(H1117=0,"Nincs kép","Nincs adat")))</f>
        <v/>
      </c>
      <c r="L1117" s="6" t="inlineStr">
        <is>
          <t>Igen</t>
        </is>
      </c>
      <c r="M1117" s="7" t="inlineStr">
        <is>
          <t>plasticpadana.it termékoldalak</t>
        </is>
      </c>
      <c r="N1117" s="7" t="inlineStr">
        <is>
          <t>Megtalálva: reducible</t>
        </is>
      </c>
      <c r="O1117" s="11" t="inlineStr">
        <is>
          <t>https://plasticpadana.it/prodotto/paraspruzzi-serie-riducibile-per-autocarri-logo-rilievo/</t>
        </is>
      </c>
      <c r="P1117" s="11" t="inlineStr">
        <is>
          <t>https://website-9ib.pages.dev/termek/j504530-sarfogo-lap-500-450x300-mm/</t>
        </is>
      </c>
      <c r="Q1117" s="12" t="inlineStr"/>
      <c r="R1117" s="13" t="inlineStr"/>
      <c r="S1117" s="6" t="inlineStr">
        <is>
          <t>j504530-sarfogo-lap-500-450x300-mm</t>
        </is>
      </c>
    </row>
    <row r="1118">
      <c r="A1118" s="6" t="inlineStr"/>
      <c r="B1118" s="7" t="inlineStr">
        <is>
          <t>JF556045 550/600x450 mm sárvédő lap StopSray</t>
        </is>
      </c>
      <c r="C1118" s="6" t="inlineStr">
        <is>
          <t>Sárvédők, szerszámosládák</t>
        </is>
      </c>
      <c r="D1118" s="6" t="inlineStr">
        <is>
          <t>Sárfogólapok</t>
        </is>
      </c>
      <c r="E1118" s="6" t="inlineStr">
        <is>
          <t>Plastic Padana</t>
        </is>
      </c>
      <c r="F1118" s="6" t="inlineStr">
        <is>
          <t>470020-KL/N</t>
        </is>
      </c>
      <c r="G1118" s="6" t="inlineStr">
        <is>
          <t>Quadris Excel</t>
        </is>
      </c>
      <c r="H1118" s="6" t="n">
        <v>1</v>
      </c>
      <c r="I1118" s="6" t="n">
        <v>5</v>
      </c>
      <c r="J1118" s="6" t="inlineStr">
        <is>
          <t>van</t>
        </is>
      </c>
      <c r="K1118" s="6">
        <f>IF(AND(H1118&gt;0,I1118&gt;0),"Rendben",IF(AND(H1118=0,I1118=0),"Nincs kép és adat",IF(H1118=0,"Nincs kép","Nincs adat")))</f>
        <v/>
      </c>
      <c r="L1118" s="6" t="inlineStr">
        <is>
          <t>Igen</t>
        </is>
      </c>
      <c r="M1118" s="7" t="inlineStr">
        <is>
          <t>plasticpadana.it termékoldalak</t>
        </is>
      </c>
      <c r="N1118" s="7" t="inlineStr">
        <is>
          <t>Megtalálva: stopspray</t>
        </is>
      </c>
      <c r="O1118" s="11" t="inlineStr">
        <is>
          <t>https://plasticpadana.it/prodotto/stop-spray-per-parafango-logo-liscio-cod-470/</t>
        </is>
      </c>
      <c r="P1118" s="11" t="inlineStr">
        <is>
          <t>https://website-9ib.pages.dev/termek/jf556045-550-600x450-mm-sarvedo-lap-stopsray/</t>
        </is>
      </c>
      <c r="Q1118" s="12" t="inlineStr"/>
      <c r="R1118" s="13" t="inlineStr"/>
      <c r="S1118" s="6" t="inlineStr">
        <is>
          <t>jf556045-550-600x450-mm-sarvedo-lap-stopsray</t>
        </is>
      </c>
    </row>
    <row r="1119">
      <c r="A1119" s="6" t="inlineStr"/>
      <c r="B1119" s="7" t="inlineStr">
        <is>
          <t>POL Frigoser High Gloss 1,5x1900 mm</t>
        </is>
      </c>
      <c r="C1119" s="6" t="inlineStr">
        <is>
          <t>Üvegszálas poliészter</t>
        </is>
      </c>
      <c r="D1119" s="6" t="inlineStr">
        <is>
          <t>Üvegszálas polyester</t>
        </is>
      </c>
      <c r="E1119" s="6" t="inlineStr">
        <is>
          <t>POLSER</t>
        </is>
      </c>
      <c r="F1119" s="6" t="inlineStr"/>
      <c r="G1119" s="6" t="inlineStr">
        <is>
          <t>Quadris Excel</t>
        </is>
      </c>
      <c r="H1119" s="6" t="n">
        <v>2</v>
      </c>
      <c r="I1119" s="6" t="n">
        <v>16</v>
      </c>
      <c r="J1119" s="6" t="inlineStr">
        <is>
          <t>van</t>
        </is>
      </c>
      <c r="K1119" s="6">
        <f>IF(AND(H1119&gt;0,I1119&gt;0),"Rendben",IF(AND(H1119=0,I1119=0),"Nincs kép és adat",IF(H1119=0,"Nincs kép","Nincs adat")))</f>
        <v/>
      </c>
      <c r="L1119" s="6" t="inlineStr">
        <is>
          <t>Igen</t>
        </is>
      </c>
      <c r="M1119" s="7" t="inlineStr">
        <is>
          <t>polser.com Frigoser oldal és adatlap</t>
        </is>
      </c>
      <c r="N1119" s="7" t="inlineStr">
        <is>
          <t>Megtalálva: Frigoser</t>
        </is>
      </c>
      <c r="O1119" s="11" t="inlineStr">
        <is>
          <t>https://polser.com/en/products/automotive-industry/frigoser</t>
        </is>
      </c>
      <c r="P1119" s="11" t="inlineStr">
        <is>
          <t>https://website-9ib.pages.dev/termek/pol-frigoser-high-gloss-1-5x1900-mm/</t>
        </is>
      </c>
      <c r="Q1119" s="12" t="inlineStr"/>
      <c r="R1119" s="13" t="inlineStr"/>
      <c r="S1119" s="6" t="inlineStr">
        <is>
          <t>pol-frigoser-high-gloss-1-5x1900-mm</t>
        </is>
      </c>
    </row>
    <row r="1120">
      <c r="A1120" s="6" t="inlineStr"/>
      <c r="B1120" s="7" t="inlineStr">
        <is>
          <t>POL Frigoser High Gloss 1,5x2000 mm</t>
        </is>
      </c>
      <c r="C1120" s="6" t="inlineStr">
        <is>
          <t>Üvegszálas poliészter</t>
        </is>
      </c>
      <c r="D1120" s="6" t="inlineStr">
        <is>
          <t>Üvegszálas polyester</t>
        </is>
      </c>
      <c r="E1120" s="6" t="inlineStr">
        <is>
          <t>POLSER</t>
        </is>
      </c>
      <c r="F1120" s="6" t="inlineStr"/>
      <c r="G1120" s="6" t="inlineStr">
        <is>
          <t>Quadris Excel</t>
        </is>
      </c>
      <c r="H1120" s="6" t="n">
        <v>2</v>
      </c>
      <c r="I1120" s="6" t="n">
        <v>16</v>
      </c>
      <c r="J1120" s="6" t="inlineStr">
        <is>
          <t>van</t>
        </is>
      </c>
      <c r="K1120" s="6">
        <f>IF(AND(H1120&gt;0,I1120&gt;0),"Rendben",IF(AND(H1120=0,I1120=0),"Nincs kép és adat",IF(H1120=0,"Nincs kép","Nincs adat")))</f>
        <v/>
      </c>
      <c r="L1120" s="6" t="inlineStr">
        <is>
          <t>Igen</t>
        </is>
      </c>
      <c r="M1120" s="7" t="inlineStr">
        <is>
          <t>polser.com Frigoser oldal és adatlap</t>
        </is>
      </c>
      <c r="N1120" s="7" t="inlineStr">
        <is>
          <t>Megtalálva: Frigoser</t>
        </is>
      </c>
      <c r="O1120" s="11" t="inlineStr">
        <is>
          <t>https://polser.com/en/products/automotive-industry/frigoser</t>
        </is>
      </c>
      <c r="P1120" s="11" t="inlineStr">
        <is>
          <t>https://website-9ib.pages.dev/termek/pol-frigoser-high-gloss-1-5x2000-mm/</t>
        </is>
      </c>
      <c r="Q1120" s="12" t="inlineStr"/>
      <c r="R1120" s="13" t="inlineStr"/>
      <c r="S1120" s="6" t="inlineStr">
        <is>
          <t>pol-frigoser-high-gloss-1-5x2000-mm</t>
        </is>
      </c>
    </row>
    <row r="1121">
      <c r="A1121" s="6" t="inlineStr"/>
      <c r="B1121" s="7" t="inlineStr">
        <is>
          <t>POL Frigoser High Gloss 1,5x2100 mm</t>
        </is>
      </c>
      <c r="C1121" s="6" t="inlineStr">
        <is>
          <t>Üvegszálas poliészter</t>
        </is>
      </c>
      <c r="D1121" s="6" t="inlineStr">
        <is>
          <t>Üvegszálas polyester</t>
        </is>
      </c>
      <c r="E1121" s="6" t="inlineStr">
        <is>
          <t>POLSER</t>
        </is>
      </c>
      <c r="F1121" s="6" t="inlineStr"/>
      <c r="G1121" s="6" t="inlineStr">
        <is>
          <t>Quadris Excel</t>
        </is>
      </c>
      <c r="H1121" s="6" t="n">
        <v>2</v>
      </c>
      <c r="I1121" s="6" t="n">
        <v>16</v>
      </c>
      <c r="J1121" s="6" t="inlineStr">
        <is>
          <t>van</t>
        </is>
      </c>
      <c r="K1121" s="6">
        <f>IF(AND(H1121&gt;0,I1121&gt;0),"Rendben",IF(AND(H1121=0,I1121=0),"Nincs kép és adat",IF(H1121=0,"Nincs kép","Nincs adat")))</f>
        <v/>
      </c>
      <c r="L1121" s="6" t="inlineStr">
        <is>
          <t>Igen</t>
        </is>
      </c>
      <c r="M1121" s="7" t="inlineStr">
        <is>
          <t>polser.com Frigoser oldal és adatlap</t>
        </is>
      </c>
      <c r="N1121" s="7" t="inlineStr">
        <is>
          <t>Megtalálva: Frigoser</t>
        </is>
      </c>
      <c r="O1121" s="11" t="inlineStr">
        <is>
          <t>https://polser.com/en/products/automotive-industry/frigoser</t>
        </is>
      </c>
      <c r="P1121" s="11" t="inlineStr">
        <is>
          <t>https://website-9ib.pages.dev/termek/pol-frigoser-high-gloss-1-5x2100-mm/</t>
        </is>
      </c>
      <c r="Q1121" s="12" t="inlineStr"/>
      <c r="R1121" s="13" t="inlineStr"/>
      <c r="S1121" s="6" t="inlineStr">
        <is>
          <t>pol-frigoser-high-gloss-1-5x2100-mm</t>
        </is>
      </c>
    </row>
    <row r="1122">
      <c r="A1122" s="6" t="inlineStr"/>
      <c r="B1122" s="7" t="inlineStr">
        <is>
          <t>POL Frigoser High Gloss 1,5x2200 mm</t>
        </is>
      </c>
      <c r="C1122" s="6" t="inlineStr">
        <is>
          <t>Üvegszálas poliészter</t>
        </is>
      </c>
      <c r="D1122" s="6" t="inlineStr">
        <is>
          <t>Üvegszálas polyester</t>
        </is>
      </c>
      <c r="E1122" s="6" t="inlineStr">
        <is>
          <t>POLSER</t>
        </is>
      </c>
      <c r="F1122" s="6" t="inlineStr"/>
      <c r="G1122" s="6" t="inlineStr">
        <is>
          <t>Quadris Excel</t>
        </is>
      </c>
      <c r="H1122" s="6" t="n">
        <v>2</v>
      </c>
      <c r="I1122" s="6" t="n">
        <v>16</v>
      </c>
      <c r="J1122" s="6" t="inlineStr">
        <is>
          <t>van</t>
        </is>
      </c>
      <c r="K1122" s="6">
        <f>IF(AND(H1122&gt;0,I1122&gt;0),"Rendben",IF(AND(H1122=0,I1122=0),"Nincs kép és adat",IF(H1122=0,"Nincs kép","Nincs adat")))</f>
        <v/>
      </c>
      <c r="L1122" s="6" t="inlineStr">
        <is>
          <t>Igen</t>
        </is>
      </c>
      <c r="M1122" s="7" t="inlineStr">
        <is>
          <t>polser.com Frigoser oldal és adatlap</t>
        </is>
      </c>
      <c r="N1122" s="7" t="inlineStr">
        <is>
          <t>Megtalálva: Frigoser</t>
        </is>
      </c>
      <c r="O1122" s="11" t="inlineStr">
        <is>
          <t>https://polser.com/en/products/automotive-industry/frigoser</t>
        </is>
      </c>
      <c r="P1122" s="11" t="inlineStr">
        <is>
          <t>https://website-9ib.pages.dev/termek/pol-frigoser-high-gloss-1-5x2200-mm/</t>
        </is>
      </c>
      <c r="Q1122" s="12" t="inlineStr"/>
      <c r="R1122" s="13" t="inlineStr"/>
      <c r="S1122" s="6" t="inlineStr">
        <is>
          <t>pol-frigoser-high-gloss-1-5x2200-mm</t>
        </is>
      </c>
    </row>
    <row r="1123">
      <c r="A1123" s="6" t="inlineStr"/>
      <c r="B1123" s="7" t="inlineStr">
        <is>
          <t>POL Frigoser High Gloss 1,5x2300 mm</t>
        </is>
      </c>
      <c r="C1123" s="6" t="inlineStr">
        <is>
          <t>Üvegszálas poliészter</t>
        </is>
      </c>
      <c r="D1123" s="6" t="inlineStr">
        <is>
          <t>Üvegszálas polyester</t>
        </is>
      </c>
      <c r="E1123" s="6" t="inlineStr">
        <is>
          <t>POLSER</t>
        </is>
      </c>
      <c r="F1123" s="6" t="inlineStr"/>
      <c r="G1123" s="6" t="inlineStr">
        <is>
          <t>Quadris Excel</t>
        </is>
      </c>
      <c r="H1123" s="6" t="n">
        <v>2</v>
      </c>
      <c r="I1123" s="6" t="n">
        <v>16</v>
      </c>
      <c r="J1123" s="6" t="inlineStr">
        <is>
          <t>van</t>
        </is>
      </c>
      <c r="K1123" s="6">
        <f>IF(AND(H1123&gt;0,I1123&gt;0),"Rendben",IF(AND(H1123=0,I1123=0),"Nincs kép és adat",IF(H1123=0,"Nincs kép","Nincs adat")))</f>
        <v/>
      </c>
      <c r="L1123" s="6" t="inlineStr">
        <is>
          <t>Igen</t>
        </is>
      </c>
      <c r="M1123" s="7" t="inlineStr">
        <is>
          <t>polser.com Frigoser oldal és adatlap</t>
        </is>
      </c>
      <c r="N1123" s="7" t="inlineStr">
        <is>
          <t>Megtalálva: Frigoser</t>
        </is>
      </c>
      <c r="O1123" s="11" t="inlineStr">
        <is>
          <t>https://polser.com/en/products/automotive-industry/frigoser</t>
        </is>
      </c>
      <c r="P1123" s="11" t="inlineStr">
        <is>
          <t>https://website-9ib.pages.dev/termek/pol-frigoser-high-gloss-1-5x2300-mm/</t>
        </is>
      </c>
      <c r="Q1123" s="12" t="inlineStr"/>
      <c r="R1123" s="13" t="inlineStr"/>
      <c r="S1123" s="6" t="inlineStr">
        <is>
          <t>pol-frigoser-high-gloss-1-5x2300-mm</t>
        </is>
      </c>
    </row>
    <row r="1124">
      <c r="A1124" s="6" t="inlineStr"/>
      <c r="B1124" s="7" t="inlineStr">
        <is>
          <t>POL Frigoser High Gloss 1,5x2400 mm</t>
        </is>
      </c>
      <c r="C1124" s="6" t="inlineStr">
        <is>
          <t>Üvegszálas poliészter</t>
        </is>
      </c>
      <c r="D1124" s="6" t="inlineStr">
        <is>
          <t>Üvegszálas polyester</t>
        </is>
      </c>
      <c r="E1124" s="6" t="inlineStr">
        <is>
          <t>POLSER</t>
        </is>
      </c>
      <c r="F1124" s="6" t="inlineStr"/>
      <c r="G1124" s="6" t="inlineStr">
        <is>
          <t>Quadris Excel</t>
        </is>
      </c>
      <c r="H1124" s="6" t="n">
        <v>2</v>
      </c>
      <c r="I1124" s="6" t="n">
        <v>16</v>
      </c>
      <c r="J1124" s="6" t="inlineStr">
        <is>
          <t>van</t>
        </is>
      </c>
      <c r="K1124" s="6">
        <f>IF(AND(H1124&gt;0,I1124&gt;0),"Rendben",IF(AND(H1124=0,I1124=0),"Nincs kép és adat",IF(H1124=0,"Nincs kép","Nincs adat")))</f>
        <v/>
      </c>
      <c r="L1124" s="6" t="inlineStr">
        <is>
          <t>Igen</t>
        </is>
      </c>
      <c r="M1124" s="7" t="inlineStr">
        <is>
          <t>polser.com Frigoser oldal és adatlap</t>
        </is>
      </c>
      <c r="N1124" s="7" t="inlineStr">
        <is>
          <t>Megtalálva: Frigoser</t>
        </is>
      </c>
      <c r="O1124" s="11" t="inlineStr">
        <is>
          <t>https://polser.com/en/products/automotive-industry/frigoser</t>
        </is>
      </c>
      <c r="P1124" s="11" t="inlineStr">
        <is>
          <t>https://website-9ib.pages.dev/termek/pol-frigoser-high-gloss-1-5x2400-mm/</t>
        </is>
      </c>
      <c r="Q1124" s="12" t="inlineStr"/>
      <c r="R1124" s="13" t="inlineStr"/>
      <c r="S1124" s="6" t="inlineStr">
        <is>
          <t>pol-frigoser-high-gloss-1-5x2400-mm</t>
        </is>
      </c>
    </row>
    <row r="1125">
      <c r="A1125" s="6" t="inlineStr"/>
      <c r="B1125" s="7" t="inlineStr">
        <is>
          <t>POL Frigoser High Gloss 1,5x2500 mm</t>
        </is>
      </c>
      <c r="C1125" s="6" t="inlineStr">
        <is>
          <t>Üvegszálas poliészter</t>
        </is>
      </c>
      <c r="D1125" s="6" t="inlineStr">
        <is>
          <t>Üvegszálas polyester</t>
        </is>
      </c>
      <c r="E1125" s="6" t="inlineStr">
        <is>
          <t>POLSER</t>
        </is>
      </c>
      <c r="F1125" s="6" t="inlineStr"/>
      <c r="G1125" s="6" t="inlineStr">
        <is>
          <t>Quadris Excel</t>
        </is>
      </c>
      <c r="H1125" s="6" t="n">
        <v>2</v>
      </c>
      <c r="I1125" s="6" t="n">
        <v>16</v>
      </c>
      <c r="J1125" s="6" t="inlineStr">
        <is>
          <t>van</t>
        </is>
      </c>
      <c r="K1125" s="6">
        <f>IF(AND(H1125&gt;0,I1125&gt;0),"Rendben",IF(AND(H1125=0,I1125=0),"Nincs kép és adat",IF(H1125=0,"Nincs kép","Nincs adat")))</f>
        <v/>
      </c>
      <c r="L1125" s="6" t="inlineStr">
        <is>
          <t>Igen</t>
        </is>
      </c>
      <c r="M1125" s="7" t="inlineStr">
        <is>
          <t>polser.com Frigoser oldal és adatlap</t>
        </is>
      </c>
      <c r="N1125" s="7" t="inlineStr">
        <is>
          <t>Megtalálva: Frigoser</t>
        </is>
      </c>
      <c r="O1125" s="11" t="inlineStr">
        <is>
          <t>https://polser.com/en/products/automotive-industry/frigoser</t>
        </is>
      </c>
      <c r="P1125" s="11" t="inlineStr">
        <is>
          <t>https://website-9ib.pages.dev/termek/pol-frigoser-high-gloss-1-5x2500-mm/</t>
        </is>
      </c>
      <c r="Q1125" s="12" t="inlineStr"/>
      <c r="R1125" s="13" t="inlineStr"/>
      <c r="S1125" s="6" t="inlineStr">
        <is>
          <t>pol-frigoser-high-gloss-1-5x2500-mm</t>
        </is>
      </c>
    </row>
    <row r="1126">
      <c r="A1126" s="6" t="inlineStr"/>
      <c r="B1126" s="7" t="inlineStr">
        <is>
          <t>POL Frigoser High Gloss 1,5x2600 mm</t>
        </is>
      </c>
      <c r="C1126" s="6" t="inlineStr">
        <is>
          <t>Üvegszálas poliészter</t>
        </is>
      </c>
      <c r="D1126" s="6" t="inlineStr">
        <is>
          <t>Üvegszálas polyester</t>
        </is>
      </c>
      <c r="E1126" s="6" t="inlineStr">
        <is>
          <t>POLSER</t>
        </is>
      </c>
      <c r="F1126" s="6" t="inlineStr"/>
      <c r="G1126" s="6" t="inlineStr">
        <is>
          <t>Quadris Excel</t>
        </is>
      </c>
      <c r="H1126" s="6" t="n">
        <v>2</v>
      </c>
      <c r="I1126" s="6" t="n">
        <v>16</v>
      </c>
      <c r="J1126" s="6" t="inlineStr">
        <is>
          <t>van</t>
        </is>
      </c>
      <c r="K1126" s="6">
        <f>IF(AND(H1126&gt;0,I1126&gt;0),"Rendben",IF(AND(H1126=0,I1126=0),"Nincs kép és adat",IF(H1126=0,"Nincs kép","Nincs adat")))</f>
        <v/>
      </c>
      <c r="L1126" s="6" t="inlineStr">
        <is>
          <t>Igen</t>
        </is>
      </c>
      <c r="M1126" s="7" t="inlineStr">
        <is>
          <t>polser.com Frigoser oldal és adatlap</t>
        </is>
      </c>
      <c r="N1126" s="7" t="inlineStr">
        <is>
          <t>Megtalálva: Frigoser</t>
        </is>
      </c>
      <c r="O1126" s="11" t="inlineStr">
        <is>
          <t>https://polser.com/en/products/automotive-industry/frigoser</t>
        </is>
      </c>
      <c r="P1126" s="11" t="inlineStr">
        <is>
          <t>https://website-9ib.pages.dev/termek/pol-frigoser-high-gloss-1-5x2600-mm/</t>
        </is>
      </c>
      <c r="Q1126" s="12" t="inlineStr"/>
      <c r="R1126" s="13" t="inlineStr"/>
      <c r="S1126" s="6" t="inlineStr">
        <is>
          <t>pol-frigoser-high-gloss-1-5x2600-mm</t>
        </is>
      </c>
    </row>
    <row r="1127">
      <c r="A1127" s="6" t="inlineStr"/>
      <c r="B1127" s="7" t="inlineStr">
        <is>
          <t>POL Frigoser High Gloss 2,0x2300 mm</t>
        </is>
      </c>
      <c r="C1127" s="6" t="inlineStr">
        <is>
          <t>Üvegszálas poliészter</t>
        </is>
      </c>
      <c r="D1127" s="6" t="inlineStr">
        <is>
          <t>Üvegszálas polyester</t>
        </is>
      </c>
      <c r="E1127" s="6" t="inlineStr">
        <is>
          <t>POLSER</t>
        </is>
      </c>
      <c r="F1127" s="6" t="inlineStr"/>
      <c r="G1127" s="6" t="inlineStr">
        <is>
          <t>Quadris Excel</t>
        </is>
      </c>
      <c r="H1127" s="6" t="n">
        <v>2</v>
      </c>
      <c r="I1127" s="6" t="n">
        <v>16</v>
      </c>
      <c r="J1127" s="6" t="inlineStr">
        <is>
          <t>van</t>
        </is>
      </c>
      <c r="K1127" s="6">
        <f>IF(AND(H1127&gt;0,I1127&gt;0),"Rendben",IF(AND(H1127=0,I1127=0),"Nincs kép és adat",IF(H1127=0,"Nincs kép","Nincs adat")))</f>
        <v/>
      </c>
      <c r="L1127" s="6" t="inlineStr">
        <is>
          <t>Igen</t>
        </is>
      </c>
      <c r="M1127" s="7" t="inlineStr">
        <is>
          <t>polser.com Frigoser oldal és adatlap</t>
        </is>
      </c>
      <c r="N1127" s="7" t="inlineStr">
        <is>
          <t>Megtalálva: Frigoser</t>
        </is>
      </c>
      <c r="O1127" s="11" t="inlineStr">
        <is>
          <t>https://polser.com/en/products/automotive-industry/frigoser</t>
        </is>
      </c>
      <c r="P1127" s="11" t="inlineStr">
        <is>
          <t>https://website-9ib.pages.dev/termek/pol-frigoser-high-gloss-2-0x2300-mm/</t>
        </is>
      </c>
      <c r="Q1127" s="12" t="inlineStr"/>
      <c r="R1127" s="13" t="inlineStr"/>
      <c r="S1127" s="6" t="inlineStr">
        <is>
          <t>pol-frigoser-high-gloss-2-0x2300-mm</t>
        </is>
      </c>
    </row>
    <row r="1128">
      <c r="A1128" s="6" t="inlineStr"/>
      <c r="B1128" s="7" t="inlineStr">
        <is>
          <t>POL Frigoser High Gloss 2,0x2400 mm</t>
        </is>
      </c>
      <c r="C1128" s="6" t="inlineStr">
        <is>
          <t>Üvegszálas poliészter</t>
        </is>
      </c>
      <c r="D1128" s="6" t="inlineStr">
        <is>
          <t>Üvegszálas polyester</t>
        </is>
      </c>
      <c r="E1128" s="6" t="inlineStr">
        <is>
          <t>POLSER</t>
        </is>
      </c>
      <c r="F1128" s="6" t="inlineStr"/>
      <c r="G1128" s="6" t="inlineStr">
        <is>
          <t>Quadris Excel</t>
        </is>
      </c>
      <c r="H1128" s="6" t="n">
        <v>2</v>
      </c>
      <c r="I1128" s="6" t="n">
        <v>16</v>
      </c>
      <c r="J1128" s="6" t="inlineStr">
        <is>
          <t>van</t>
        </is>
      </c>
      <c r="K1128" s="6">
        <f>IF(AND(H1128&gt;0,I1128&gt;0),"Rendben",IF(AND(H1128=0,I1128=0),"Nincs kép és adat",IF(H1128=0,"Nincs kép","Nincs adat")))</f>
        <v/>
      </c>
      <c r="L1128" s="6" t="inlineStr">
        <is>
          <t>Igen</t>
        </is>
      </c>
      <c r="M1128" s="7" t="inlineStr">
        <is>
          <t>polser.com Frigoser oldal és adatlap</t>
        </is>
      </c>
      <c r="N1128" s="7" t="inlineStr">
        <is>
          <t>Megtalálva: Frigoser</t>
        </is>
      </c>
      <c r="O1128" s="11" t="inlineStr">
        <is>
          <t>https://polser.com/en/products/automotive-industry/frigoser</t>
        </is>
      </c>
      <c r="P1128" s="11" t="inlineStr">
        <is>
          <t>https://website-9ib.pages.dev/termek/pol-frigoser-high-gloss-2-0x2400-mm/</t>
        </is>
      </c>
      <c r="Q1128" s="12" t="inlineStr"/>
      <c r="R1128" s="13" t="inlineStr"/>
      <c r="S1128" s="6" t="inlineStr">
        <is>
          <t>pol-frigoser-high-gloss-2-0x2400-mm</t>
        </is>
      </c>
    </row>
    <row r="1129">
      <c r="A1129" s="6" t="inlineStr"/>
      <c r="B1129" s="7" t="inlineStr">
        <is>
          <t>POL Frigoser High Gloss 2,0x2500 mm</t>
        </is>
      </c>
      <c r="C1129" s="6" t="inlineStr">
        <is>
          <t>Üvegszálas poliészter</t>
        </is>
      </c>
      <c r="D1129" s="6" t="inlineStr">
        <is>
          <t>Üvegszálas polyester</t>
        </is>
      </c>
      <c r="E1129" s="6" t="inlineStr">
        <is>
          <t>POLSER</t>
        </is>
      </c>
      <c r="F1129" s="6" t="inlineStr"/>
      <c r="G1129" s="6" t="inlineStr">
        <is>
          <t>Quadris Excel</t>
        </is>
      </c>
      <c r="H1129" s="6" t="n">
        <v>2</v>
      </c>
      <c r="I1129" s="6" t="n">
        <v>16</v>
      </c>
      <c r="J1129" s="6" t="inlineStr">
        <is>
          <t>van</t>
        </is>
      </c>
      <c r="K1129" s="6">
        <f>IF(AND(H1129&gt;0,I1129&gt;0),"Rendben",IF(AND(H1129=0,I1129=0),"Nincs kép és adat",IF(H1129=0,"Nincs kép","Nincs adat")))</f>
        <v/>
      </c>
      <c r="L1129" s="6" t="inlineStr">
        <is>
          <t>Igen</t>
        </is>
      </c>
      <c r="M1129" s="7" t="inlineStr">
        <is>
          <t>polser.com Frigoser oldal és adatlap</t>
        </is>
      </c>
      <c r="N1129" s="7" t="inlineStr">
        <is>
          <t>Megtalálva: Frigoser</t>
        </is>
      </c>
      <c r="O1129" s="11" t="inlineStr">
        <is>
          <t>https://polser.com/en/products/automotive-industry/frigoser</t>
        </is>
      </c>
      <c r="P1129" s="11" t="inlineStr">
        <is>
          <t>https://website-9ib.pages.dev/termek/pol-frigoser-high-gloss-2-0x2500-mm/</t>
        </is>
      </c>
      <c r="Q1129" s="12" t="inlineStr"/>
      <c r="R1129" s="13" t="inlineStr"/>
      <c r="S1129" s="6" t="inlineStr">
        <is>
          <t>pol-frigoser-high-gloss-2-0x2500-mm</t>
        </is>
      </c>
    </row>
    <row r="1130">
      <c r="A1130" s="6" t="inlineStr"/>
      <c r="B1130" s="7" t="inlineStr">
        <is>
          <t>POL Frigoser High Gloss 2,0x2600 mm</t>
        </is>
      </c>
      <c r="C1130" s="6" t="inlineStr">
        <is>
          <t>Üvegszálas poliészter</t>
        </is>
      </c>
      <c r="D1130" s="6" t="inlineStr">
        <is>
          <t>Üvegszálas polyester</t>
        </is>
      </c>
      <c r="E1130" s="6" t="inlineStr">
        <is>
          <t>POLSER</t>
        </is>
      </c>
      <c r="F1130" s="6" t="inlineStr"/>
      <c r="G1130" s="6" t="inlineStr">
        <is>
          <t>Quadris Excel</t>
        </is>
      </c>
      <c r="H1130" s="6" t="n">
        <v>2</v>
      </c>
      <c r="I1130" s="6" t="n">
        <v>16</v>
      </c>
      <c r="J1130" s="6" t="inlineStr">
        <is>
          <t>van</t>
        </is>
      </c>
      <c r="K1130" s="6">
        <f>IF(AND(H1130&gt;0,I1130&gt;0),"Rendben",IF(AND(H1130=0,I1130=0),"Nincs kép és adat",IF(H1130=0,"Nincs kép","Nincs adat")))</f>
        <v/>
      </c>
      <c r="L1130" s="6" t="inlineStr">
        <is>
          <t>Igen</t>
        </is>
      </c>
      <c r="M1130" s="7" t="inlineStr">
        <is>
          <t>polser.com Frigoser oldal és adatlap</t>
        </is>
      </c>
      <c r="N1130" s="7" t="inlineStr">
        <is>
          <t>Megtalálva: Frigoser</t>
        </is>
      </c>
      <c r="O1130" s="11" t="inlineStr">
        <is>
          <t>https://polser.com/en/products/automotive-industry/frigoser</t>
        </is>
      </c>
      <c r="P1130" s="11" t="inlineStr">
        <is>
          <t>https://website-9ib.pages.dev/termek/pol-frigoser-high-gloss-2-0x2600-mm/</t>
        </is>
      </c>
      <c r="Q1130" s="12" t="inlineStr"/>
      <c r="R1130" s="13" t="inlineStr"/>
      <c r="S1130" s="6" t="inlineStr">
        <is>
          <t>pol-frigoser-high-gloss-2-0x2600-mm</t>
        </is>
      </c>
    </row>
    <row r="1131">
      <c r="A1131" s="6" t="inlineStr"/>
      <c r="B1131" s="7" t="inlineStr">
        <is>
          <t>POL Frigoser High Impact 0,8x2000 mm</t>
        </is>
      </c>
      <c r="C1131" s="6" t="inlineStr">
        <is>
          <t>Üvegszálas poliészter</t>
        </is>
      </c>
      <c r="D1131" s="6" t="inlineStr">
        <is>
          <t>Üvegszálas polyester</t>
        </is>
      </c>
      <c r="E1131" s="6" t="inlineStr">
        <is>
          <t>POLSER</t>
        </is>
      </c>
      <c r="F1131" s="6" t="inlineStr"/>
      <c r="G1131" s="6" t="inlineStr">
        <is>
          <t>Quadris Excel</t>
        </is>
      </c>
      <c r="H1131" s="6" t="n">
        <v>2</v>
      </c>
      <c r="I1131" s="6" t="n">
        <v>12</v>
      </c>
      <c r="J1131" s="6" t="inlineStr">
        <is>
          <t>van</t>
        </is>
      </c>
      <c r="K1131" s="6">
        <f>IF(AND(H1131&gt;0,I1131&gt;0),"Rendben",IF(AND(H1131=0,I1131=0),"Nincs kép és adat",IF(H1131=0,"Nincs kép","Nincs adat")))</f>
        <v/>
      </c>
      <c r="L1131" s="6" t="inlineStr">
        <is>
          <t>Igen</t>
        </is>
      </c>
      <c r="M1131" s="7" t="inlineStr">
        <is>
          <t>polser.com Frigoser oldal és adatlap</t>
        </is>
      </c>
      <c r="N1131" s="7" t="inlineStr">
        <is>
          <t>Megtalálva: Frigoser</t>
        </is>
      </c>
      <c r="O1131" s="11" t="inlineStr">
        <is>
          <t>https://polser.com/en/products/automotive-industry/frigoser</t>
        </is>
      </c>
      <c r="P1131" s="11" t="inlineStr">
        <is>
          <t>https://website-9ib.pages.dev/termek/pol-frigoser-high-impact-0-8x2000-mm/</t>
        </is>
      </c>
      <c r="Q1131" s="12" t="inlineStr"/>
      <c r="R1131" s="13" t="inlineStr"/>
      <c r="S1131" s="6" t="inlineStr">
        <is>
          <t>pol-frigoser-high-impact-0-8x2000-mm</t>
        </is>
      </c>
    </row>
    <row r="1132">
      <c r="A1132" s="6" t="inlineStr"/>
      <c r="B1132" s="7" t="inlineStr">
        <is>
          <t>POL/Panel 25 mm</t>
        </is>
      </c>
      <c r="C1132" s="6" t="inlineStr">
        <is>
          <t>Üvegszálas poliészter</t>
        </is>
      </c>
      <c r="D1132" s="6" t="inlineStr">
        <is>
          <t>Üvegszálas polyester</t>
        </is>
      </c>
      <c r="E1132" s="6" t="inlineStr">
        <is>
          <t>POLSER</t>
        </is>
      </c>
      <c r="F1132" s="6" t="inlineStr"/>
      <c r="G1132" s="6" t="inlineStr">
        <is>
          <t>Quadris Excel</t>
        </is>
      </c>
      <c r="H1132" s="6" t="n">
        <v>0</v>
      </c>
      <c r="I1132" s="6" t="n">
        <v>0</v>
      </c>
      <c r="J1132" s="6" t="inlineStr">
        <is>
          <t>nincs</t>
        </is>
      </c>
      <c r="K1132" s="6">
        <f>IF(AND(H1132&gt;0,I1132&gt;0),"Rendben",IF(AND(H1132=0,I1132=0),"Nincs kép és adat",IF(H1132=0,"Nincs kép","Nincs adat")))</f>
        <v/>
      </c>
      <c r="L1132" s="6" t="inlineStr">
        <is>
          <t>Igen</t>
        </is>
      </c>
      <c r="M1132" s="7" t="inlineStr">
        <is>
          <t>polser.com Frigoser oldal és adatlap</t>
        </is>
      </c>
      <c r="N1132" s="7" t="inlineStr">
        <is>
          <t>Nem találtuk: polser.com Frigoser oldal és adatlap</t>
        </is>
      </c>
      <c r="O1132" s="6" t="inlineStr"/>
      <c r="P1132" s="11" t="inlineStr">
        <is>
          <t>https://website-9ib.pages.dev/termek/pol-panel-25-mm/</t>
        </is>
      </c>
      <c r="Q1132" s="12" t="inlineStr"/>
      <c r="R1132" s="13" t="inlineStr"/>
      <c r="S1132" s="6" t="inlineStr">
        <is>
          <t>pol-panel-25-mm</t>
        </is>
      </c>
    </row>
    <row r="1133">
      <c r="A1133" s="6" t="inlineStr"/>
      <c r="B1133" s="7" t="inlineStr">
        <is>
          <t>POL/Panel 25 mm szendvicspanel erősített</t>
        </is>
      </c>
      <c r="C1133" s="6" t="inlineStr">
        <is>
          <t>Üvegszálas poliészter</t>
        </is>
      </c>
      <c r="D1133" s="6" t="inlineStr">
        <is>
          <t>Üvegszálas polyester</t>
        </is>
      </c>
      <c r="E1133" s="6" t="inlineStr">
        <is>
          <t>POLSER</t>
        </is>
      </c>
      <c r="F1133" s="6" t="inlineStr"/>
      <c r="G1133" s="6" t="inlineStr">
        <is>
          <t>Quadris Excel</t>
        </is>
      </c>
      <c r="H1133" s="6" t="n">
        <v>0</v>
      </c>
      <c r="I1133" s="6" t="n">
        <v>0</v>
      </c>
      <c r="J1133" s="6" t="inlineStr">
        <is>
          <t>nincs</t>
        </is>
      </c>
      <c r="K1133" s="6">
        <f>IF(AND(H1133&gt;0,I1133&gt;0),"Rendben",IF(AND(H1133=0,I1133=0),"Nincs kép és adat",IF(H1133=0,"Nincs kép","Nincs adat")))</f>
        <v/>
      </c>
      <c r="L1133" s="6" t="inlineStr">
        <is>
          <t>Igen</t>
        </is>
      </c>
      <c r="M1133" s="7" t="inlineStr">
        <is>
          <t>polser.com Frigoser oldal és adatlap</t>
        </is>
      </c>
      <c r="N1133" s="7" t="inlineStr">
        <is>
          <t>Nem találtuk: polser.com Frigoser oldal és adatlap</t>
        </is>
      </c>
      <c r="O1133" s="6" t="inlineStr"/>
      <c r="P1133" s="11" t="inlineStr">
        <is>
          <t>https://website-9ib.pages.dev/termek/pol-panel-25-mm-szendvicspanel-erositett/</t>
        </is>
      </c>
      <c r="Q1133" s="12" t="inlineStr"/>
      <c r="R1133" s="13" t="inlineStr"/>
      <c r="S1133" s="6" t="inlineStr">
        <is>
          <t>pol-panel-25-mm-szendvicspanel-erositett</t>
        </is>
      </c>
    </row>
    <row r="1134">
      <c r="A1134" s="6" t="inlineStr"/>
      <c r="B1134" s="7" t="inlineStr">
        <is>
          <t>POLYDET High Gloss 1600/1,5 Corona</t>
        </is>
      </c>
      <c r="C1134" s="6" t="inlineStr">
        <is>
          <t>Üvegszálas poliészter</t>
        </is>
      </c>
      <c r="D1134" s="6" t="inlineStr">
        <is>
          <t>Üvegszálas polyester</t>
        </is>
      </c>
      <c r="E1134" s="6" t="inlineStr">
        <is>
          <t>POLSER</t>
        </is>
      </c>
      <c r="F1134" s="6" t="inlineStr"/>
      <c r="G1134" s="6" t="inlineStr">
        <is>
          <t>Quadris Excel</t>
        </is>
      </c>
      <c r="H1134" s="6" t="n">
        <v>3</v>
      </c>
      <c r="I1134" s="6" t="n">
        <v>5</v>
      </c>
      <c r="J1134" s="6" t="inlineStr">
        <is>
          <t>nincs</t>
        </is>
      </c>
      <c r="K1134" s="6">
        <f>IF(AND(H1134&gt;0,I1134&gt;0),"Rendben",IF(AND(H1134=0,I1134=0),"Nincs kép és adat",IF(H1134=0,"Nincs kép","Nincs adat")))</f>
        <v/>
      </c>
      <c r="L1134" s="6" t="inlineStr">
        <is>
          <t>Igen</t>
        </is>
      </c>
      <c r="M1134" s="7" t="inlineStr">
        <is>
          <t>polser.com Frigoser oldal és adatlap</t>
        </is>
      </c>
      <c r="N1134" s="7" t="inlineStr">
        <is>
          <t>Megtalálva: POLYDET High Gloss 1600/1,5 Corona</t>
        </is>
      </c>
      <c r="O1134" s="6" t="inlineStr"/>
      <c r="P1134" s="11" t="inlineStr">
        <is>
          <t>https://website-9ib.pages.dev/termek/polydet-high-gloss-1600-1-5-corona/</t>
        </is>
      </c>
      <c r="Q1134" s="12" t="inlineStr"/>
      <c r="R1134" s="13" t="inlineStr"/>
      <c r="S1134" s="6" t="inlineStr">
        <is>
          <t>polydet-high-gloss-1600-1-5-corona</t>
        </is>
      </c>
    </row>
    <row r="1135">
      <c r="A1135" s="6" t="inlineStr"/>
      <c r="B1135" s="7" t="inlineStr">
        <is>
          <t>POLYDET High Gloss 1900/1,5 Corona</t>
        </is>
      </c>
      <c r="C1135" s="6" t="inlineStr">
        <is>
          <t>Üvegszálas poliészter</t>
        </is>
      </c>
      <c r="D1135" s="6" t="inlineStr">
        <is>
          <t>Üvegszálas polyester</t>
        </is>
      </c>
      <c r="E1135" s="6" t="inlineStr">
        <is>
          <t>POLSER</t>
        </is>
      </c>
      <c r="F1135" s="6" t="inlineStr"/>
      <c r="G1135" s="6" t="inlineStr">
        <is>
          <t>Quadris Excel</t>
        </is>
      </c>
      <c r="H1135" s="6" t="n">
        <v>3</v>
      </c>
      <c r="I1135" s="6" t="n">
        <v>5</v>
      </c>
      <c r="J1135" s="6" t="inlineStr">
        <is>
          <t>nincs</t>
        </is>
      </c>
      <c r="K1135" s="6">
        <f>IF(AND(H1135&gt;0,I1135&gt;0),"Rendben",IF(AND(H1135=0,I1135=0),"Nincs kép és adat",IF(H1135=0,"Nincs kép","Nincs adat")))</f>
        <v/>
      </c>
      <c r="L1135" s="6" t="inlineStr">
        <is>
          <t>Igen</t>
        </is>
      </c>
      <c r="M1135" s="7" t="inlineStr">
        <is>
          <t>polser.com Frigoser oldal és adatlap</t>
        </is>
      </c>
      <c r="N1135" s="7" t="inlineStr">
        <is>
          <t>Megtalálva: POLYDET High Gloss 1900/1,5 Corona</t>
        </is>
      </c>
      <c r="O1135" s="6" t="inlineStr"/>
      <c r="P1135" s="11" t="inlineStr">
        <is>
          <t>https://website-9ib.pages.dev/termek/polydet-high-gloss-1900-1-5-corona/</t>
        </is>
      </c>
      <c r="Q1135" s="12" t="inlineStr"/>
      <c r="R1135" s="13" t="inlineStr"/>
      <c r="S1135" s="6" t="inlineStr">
        <is>
          <t>polydet-high-gloss-1900-1-5-corona</t>
        </is>
      </c>
    </row>
    <row r="1136">
      <c r="A1136" s="6" t="inlineStr"/>
      <c r="B1136" s="7" t="inlineStr">
        <is>
          <t>POLYDET High Gloss 2000/1,5 Corona</t>
        </is>
      </c>
      <c r="C1136" s="6" t="inlineStr">
        <is>
          <t>Üvegszálas poliészter</t>
        </is>
      </c>
      <c r="D1136" s="6" t="inlineStr">
        <is>
          <t>Üvegszálas polyester</t>
        </is>
      </c>
      <c r="E1136" s="6" t="inlineStr">
        <is>
          <t>POLSER</t>
        </is>
      </c>
      <c r="F1136" s="6" t="inlineStr"/>
      <c r="G1136" s="6" t="inlineStr">
        <is>
          <t>Quadris Excel</t>
        </is>
      </c>
      <c r="H1136" s="6" t="n">
        <v>3</v>
      </c>
      <c r="I1136" s="6" t="n">
        <v>5</v>
      </c>
      <c r="J1136" s="6" t="inlineStr">
        <is>
          <t>nincs</t>
        </is>
      </c>
      <c r="K1136" s="6">
        <f>IF(AND(H1136&gt;0,I1136&gt;0),"Rendben",IF(AND(H1136=0,I1136=0),"Nincs kép és adat",IF(H1136=0,"Nincs kép","Nincs adat")))</f>
        <v/>
      </c>
      <c r="L1136" s="6" t="inlineStr">
        <is>
          <t>Igen</t>
        </is>
      </c>
      <c r="M1136" s="7" t="inlineStr">
        <is>
          <t>polser.com Frigoser oldal és adatlap</t>
        </is>
      </c>
      <c r="N1136" s="7" t="inlineStr">
        <is>
          <t>Megtalálva: POLYDET High Gloss 2000/1,5 Corona</t>
        </is>
      </c>
      <c r="O1136" s="6" t="inlineStr"/>
      <c r="P1136" s="11" t="inlineStr">
        <is>
          <t>https://website-9ib.pages.dev/termek/polydet-high-gloss-2000-1-5-corona/</t>
        </is>
      </c>
      <c r="Q1136" s="12" t="inlineStr"/>
      <c r="R1136" s="13" t="inlineStr"/>
      <c r="S1136" s="6" t="inlineStr">
        <is>
          <t>polydet-high-gloss-2000-1-5-corona</t>
        </is>
      </c>
    </row>
    <row r="1137">
      <c r="A1137" s="6" t="inlineStr"/>
      <c r="B1137" s="7" t="inlineStr">
        <is>
          <t>POLYDET High Gloss 2100/1,5 Corona</t>
        </is>
      </c>
      <c r="C1137" s="6" t="inlineStr">
        <is>
          <t>Üvegszálas poliészter</t>
        </is>
      </c>
      <c r="D1137" s="6" t="inlineStr">
        <is>
          <t>Üvegszálas polyester</t>
        </is>
      </c>
      <c r="E1137" s="6" t="inlineStr">
        <is>
          <t>POLSER</t>
        </is>
      </c>
      <c r="F1137" s="6" t="inlineStr"/>
      <c r="G1137" s="6" t="inlineStr">
        <is>
          <t>Quadris Excel</t>
        </is>
      </c>
      <c r="H1137" s="6" t="n">
        <v>3</v>
      </c>
      <c r="I1137" s="6" t="n">
        <v>5</v>
      </c>
      <c r="J1137" s="6" t="inlineStr">
        <is>
          <t>nincs</t>
        </is>
      </c>
      <c r="K1137" s="6">
        <f>IF(AND(H1137&gt;0,I1137&gt;0),"Rendben",IF(AND(H1137=0,I1137=0),"Nincs kép és adat",IF(H1137=0,"Nincs kép","Nincs adat")))</f>
        <v/>
      </c>
      <c r="L1137" s="6" t="inlineStr">
        <is>
          <t>Igen</t>
        </is>
      </c>
      <c r="M1137" s="7" t="inlineStr">
        <is>
          <t>polser.com Frigoser oldal és adatlap</t>
        </is>
      </c>
      <c r="N1137" s="7" t="inlineStr">
        <is>
          <t>Megtalálva: POLYDET High Gloss 2100/1,5 Corona</t>
        </is>
      </c>
      <c r="O1137" s="6" t="inlineStr"/>
      <c r="P1137" s="11" t="inlineStr">
        <is>
          <t>https://website-9ib.pages.dev/termek/polydet-high-gloss-2100-1-5-corona/</t>
        </is>
      </c>
      <c r="Q1137" s="12" t="inlineStr"/>
      <c r="R1137" s="13" t="inlineStr"/>
      <c r="S1137" s="6" t="inlineStr">
        <is>
          <t>polydet-high-gloss-2100-1-5-corona</t>
        </is>
      </c>
    </row>
    <row r="1138">
      <c r="A1138" s="6" t="inlineStr"/>
      <c r="B1138" s="7" t="inlineStr">
        <is>
          <t>POLYDET High Gloss 2200/1,5 Corona</t>
        </is>
      </c>
      <c r="C1138" s="6" t="inlineStr">
        <is>
          <t>Üvegszálas poliészter</t>
        </is>
      </c>
      <c r="D1138" s="6" t="inlineStr">
        <is>
          <t>Üvegszálas polyester</t>
        </is>
      </c>
      <c r="E1138" s="6" t="inlineStr">
        <is>
          <t>POLSER</t>
        </is>
      </c>
      <c r="F1138" s="6" t="inlineStr"/>
      <c r="G1138" s="6" t="inlineStr">
        <is>
          <t>Quadris Excel</t>
        </is>
      </c>
      <c r="H1138" s="6" t="n">
        <v>3</v>
      </c>
      <c r="I1138" s="6" t="n">
        <v>5</v>
      </c>
      <c r="J1138" s="6" t="inlineStr">
        <is>
          <t>nincs</t>
        </is>
      </c>
      <c r="K1138" s="6">
        <f>IF(AND(H1138&gt;0,I1138&gt;0),"Rendben",IF(AND(H1138=0,I1138=0),"Nincs kép és adat",IF(H1138=0,"Nincs kép","Nincs adat")))</f>
        <v/>
      </c>
      <c r="L1138" s="6" t="inlineStr">
        <is>
          <t>Igen</t>
        </is>
      </c>
      <c r="M1138" s="7" t="inlineStr">
        <is>
          <t>polser.com Frigoser oldal és adatlap</t>
        </is>
      </c>
      <c r="N1138" s="7" t="inlineStr">
        <is>
          <t>Megtalálva: POLYDET High Gloss 2200/1,5 Corona</t>
        </is>
      </c>
      <c r="O1138" s="6" t="inlineStr"/>
      <c r="P1138" s="11" t="inlineStr">
        <is>
          <t>https://website-9ib.pages.dev/termek/polydet-high-gloss-2200-1-5-corona/</t>
        </is>
      </c>
      <c r="Q1138" s="12" t="inlineStr"/>
      <c r="R1138" s="13" t="inlineStr"/>
      <c r="S1138" s="6" t="inlineStr">
        <is>
          <t>polydet-high-gloss-2200-1-5-corona</t>
        </is>
      </c>
    </row>
    <row r="1139">
      <c r="A1139" s="6" t="inlineStr"/>
      <c r="B1139" s="7" t="inlineStr">
        <is>
          <t>POLYDET High Gloss 2300/1,5 Corona</t>
        </is>
      </c>
      <c r="C1139" s="6" t="inlineStr">
        <is>
          <t>Üvegszálas poliészter</t>
        </is>
      </c>
      <c r="D1139" s="6" t="inlineStr">
        <is>
          <t>Üvegszálas polyester</t>
        </is>
      </c>
      <c r="E1139" s="6" t="inlineStr">
        <is>
          <t>POLSER</t>
        </is>
      </c>
      <c r="F1139" s="6" t="inlineStr"/>
      <c r="G1139" s="6" t="inlineStr">
        <is>
          <t>Quadris Excel</t>
        </is>
      </c>
      <c r="H1139" s="6" t="n">
        <v>3</v>
      </c>
      <c r="I1139" s="6" t="n">
        <v>5</v>
      </c>
      <c r="J1139" s="6" t="inlineStr">
        <is>
          <t>nincs</t>
        </is>
      </c>
      <c r="K1139" s="6">
        <f>IF(AND(H1139&gt;0,I1139&gt;0),"Rendben",IF(AND(H1139=0,I1139=0),"Nincs kép és adat",IF(H1139=0,"Nincs kép","Nincs adat")))</f>
        <v/>
      </c>
      <c r="L1139" s="6" t="inlineStr">
        <is>
          <t>Igen</t>
        </is>
      </c>
      <c r="M1139" s="7" t="inlineStr">
        <is>
          <t>polser.com Frigoser oldal és adatlap</t>
        </is>
      </c>
      <c r="N1139" s="7" t="inlineStr">
        <is>
          <t>Megtalálva: POLYDET High Gloss 2300/1,5 Corona</t>
        </is>
      </c>
      <c r="O1139" s="6" t="inlineStr"/>
      <c r="P1139" s="11" t="inlineStr">
        <is>
          <t>https://website-9ib.pages.dev/termek/polydet-high-gloss-2300-1-5-corona/</t>
        </is>
      </c>
      <c r="Q1139" s="12" t="inlineStr"/>
      <c r="R1139" s="13" t="inlineStr"/>
      <c r="S1139" s="6" t="inlineStr">
        <is>
          <t>polydet-high-gloss-2300-1-5-corona</t>
        </is>
      </c>
    </row>
    <row r="1140">
      <c r="A1140" s="6" t="inlineStr"/>
      <c r="B1140" s="7" t="inlineStr">
        <is>
          <t>POLYDET Performance Plus 2000/1,5 Roughened</t>
        </is>
      </c>
      <c r="C1140" s="6" t="inlineStr">
        <is>
          <t>Üvegszálas poliészter</t>
        </is>
      </c>
      <c r="D1140" s="6" t="inlineStr">
        <is>
          <t>Üvegszálas polyester</t>
        </is>
      </c>
      <c r="E1140" s="6" t="inlineStr">
        <is>
          <t>POLSER</t>
        </is>
      </c>
      <c r="F1140" s="6" t="inlineStr"/>
      <c r="G1140" s="6" t="inlineStr">
        <is>
          <t>Quadris Excel</t>
        </is>
      </c>
      <c r="H1140" s="6" t="n">
        <v>3</v>
      </c>
      <c r="I1140" s="6" t="n">
        <v>5</v>
      </c>
      <c r="J1140" s="6" t="inlineStr">
        <is>
          <t>nincs</t>
        </is>
      </c>
      <c r="K1140" s="6">
        <f>IF(AND(H1140&gt;0,I1140&gt;0),"Rendben",IF(AND(H1140=0,I1140=0),"Nincs kép és adat",IF(H1140=0,"Nincs kép","Nincs adat")))</f>
        <v/>
      </c>
      <c r="L1140" s="6" t="inlineStr">
        <is>
          <t>Igen</t>
        </is>
      </c>
      <c r="M1140" s="7" t="inlineStr">
        <is>
          <t>polser.com Frigoser oldal és adatlap</t>
        </is>
      </c>
      <c r="N1140" s="7" t="inlineStr">
        <is>
          <t>Megtalálva: POLYDET Performance Plus 2000/1,5 Roughened</t>
        </is>
      </c>
      <c r="O1140" s="6" t="inlineStr"/>
      <c r="P1140" s="11" t="inlineStr">
        <is>
          <t>https://website-9ib.pages.dev/termek/polydet-performance-plus-2000-1-5-roughened/</t>
        </is>
      </c>
      <c r="Q1140" s="12" t="inlineStr"/>
      <c r="R1140" s="13" t="inlineStr"/>
      <c r="S1140" s="6" t="inlineStr">
        <is>
          <t>polydet-performance-plus-2000-1-5-roughened</t>
        </is>
      </c>
    </row>
    <row r="1141">
      <c r="A1141" s="6" t="inlineStr"/>
      <c r="B1141" s="7" t="inlineStr">
        <is>
          <t>POLYDET Performance Plus 2100/1,8 CORONA</t>
        </is>
      </c>
      <c r="C1141" s="6" t="inlineStr">
        <is>
          <t>Üvegszálas poliészter</t>
        </is>
      </c>
      <c r="D1141" s="6" t="inlineStr">
        <is>
          <t>Üvegszálas polyester</t>
        </is>
      </c>
      <c r="E1141" s="6" t="inlineStr">
        <is>
          <t>POLSER</t>
        </is>
      </c>
      <c r="F1141" s="6" t="inlineStr"/>
      <c r="G1141" s="6" t="inlineStr">
        <is>
          <t>Quadris Excel</t>
        </is>
      </c>
      <c r="H1141" s="6" t="n">
        <v>3</v>
      </c>
      <c r="I1141" s="6" t="n">
        <v>5</v>
      </c>
      <c r="J1141" s="6" t="inlineStr">
        <is>
          <t>nincs</t>
        </is>
      </c>
      <c r="K1141" s="6">
        <f>IF(AND(H1141&gt;0,I1141&gt;0),"Rendben",IF(AND(H1141=0,I1141=0),"Nincs kép és adat",IF(H1141=0,"Nincs kép","Nincs adat")))</f>
        <v/>
      </c>
      <c r="L1141" s="6" t="inlineStr">
        <is>
          <t>Igen</t>
        </is>
      </c>
      <c r="M1141" s="7" t="inlineStr">
        <is>
          <t>polser.com Frigoser oldal és adatlap</t>
        </is>
      </c>
      <c r="N1141" s="7" t="inlineStr">
        <is>
          <t>Megtalálva: POLYDET Performance Plus 2100/1,8 CORONA</t>
        </is>
      </c>
      <c r="O1141" s="6" t="inlineStr"/>
      <c r="P1141" s="11" t="inlineStr">
        <is>
          <t>https://website-9ib.pages.dev/termek/polydet-performance-plus-2100-1-8-corona/</t>
        </is>
      </c>
      <c r="Q1141" s="12" t="inlineStr"/>
      <c r="R1141" s="13" t="inlineStr"/>
      <c r="S1141" s="6" t="inlineStr">
        <is>
          <t>polydet-performance-plus-2100-1-8-corona</t>
        </is>
      </c>
    </row>
    <row r="1142">
      <c r="A1142" s="6" t="inlineStr"/>
      <c r="B1142" s="7" t="inlineStr">
        <is>
          <t>POLYDET Performance Plus 2200/1,5 Roughened</t>
        </is>
      </c>
      <c r="C1142" s="6" t="inlineStr">
        <is>
          <t>Üvegszálas poliészter</t>
        </is>
      </c>
      <c r="D1142" s="6" t="inlineStr">
        <is>
          <t>Üvegszálas polyester</t>
        </is>
      </c>
      <c r="E1142" s="6" t="inlineStr">
        <is>
          <t>POLSER</t>
        </is>
      </c>
      <c r="F1142" s="6" t="inlineStr"/>
      <c r="G1142" s="6" t="inlineStr">
        <is>
          <t>Quadris Excel</t>
        </is>
      </c>
      <c r="H1142" s="6" t="n">
        <v>3</v>
      </c>
      <c r="I1142" s="6" t="n">
        <v>5</v>
      </c>
      <c r="J1142" s="6" t="inlineStr">
        <is>
          <t>nincs</t>
        </is>
      </c>
      <c r="K1142" s="6">
        <f>IF(AND(H1142&gt;0,I1142&gt;0),"Rendben",IF(AND(H1142=0,I1142=0),"Nincs kép és adat",IF(H1142=0,"Nincs kép","Nincs adat")))</f>
        <v/>
      </c>
      <c r="L1142" s="6" t="inlineStr">
        <is>
          <t>Igen</t>
        </is>
      </c>
      <c r="M1142" s="7" t="inlineStr">
        <is>
          <t>polser.com Frigoser oldal és adatlap</t>
        </is>
      </c>
      <c r="N1142" s="7" t="inlineStr">
        <is>
          <t>Megtalálva: POLYDET Performance Plus 2200/1,5 Roughened</t>
        </is>
      </c>
      <c r="O1142" s="6" t="inlineStr"/>
      <c r="P1142" s="11" t="inlineStr">
        <is>
          <t>https://website-9ib.pages.dev/termek/polydet-performance-plus-2200-1-5-roughened/</t>
        </is>
      </c>
      <c r="Q1142" s="12" t="inlineStr"/>
      <c r="R1142" s="13" t="inlineStr"/>
      <c r="S1142" s="6" t="inlineStr">
        <is>
          <t>polydet-performance-plus-2200-1-5-roughened</t>
        </is>
      </c>
    </row>
    <row r="1143">
      <c r="A1143" s="6" t="inlineStr"/>
      <c r="B1143" s="7" t="inlineStr">
        <is>
          <t>POLYDET Performance Plus 2200/1,8 CORONA</t>
        </is>
      </c>
      <c r="C1143" s="6" t="inlineStr">
        <is>
          <t>Üvegszálas poliészter</t>
        </is>
      </c>
      <c r="D1143" s="6" t="inlineStr">
        <is>
          <t>Üvegszálas polyester</t>
        </is>
      </c>
      <c r="E1143" s="6" t="inlineStr">
        <is>
          <t>POLSER</t>
        </is>
      </c>
      <c r="F1143" s="6" t="inlineStr"/>
      <c r="G1143" s="6" t="inlineStr">
        <is>
          <t>Quadris Excel</t>
        </is>
      </c>
      <c r="H1143" s="6" t="n">
        <v>3</v>
      </c>
      <c r="I1143" s="6" t="n">
        <v>5</v>
      </c>
      <c r="J1143" s="6" t="inlineStr">
        <is>
          <t>nincs</t>
        </is>
      </c>
      <c r="K1143" s="6">
        <f>IF(AND(H1143&gt;0,I1143&gt;0),"Rendben",IF(AND(H1143=0,I1143=0),"Nincs kép és adat",IF(H1143=0,"Nincs kép","Nincs adat")))</f>
        <v/>
      </c>
      <c r="L1143" s="6" t="inlineStr">
        <is>
          <t>Igen</t>
        </is>
      </c>
      <c r="M1143" s="7" t="inlineStr">
        <is>
          <t>polser.com Frigoser oldal és adatlap</t>
        </is>
      </c>
      <c r="N1143" s="7" t="inlineStr">
        <is>
          <t>Megtalálva: POLYDET Performance Plus 2200/1,8 CORONA</t>
        </is>
      </c>
      <c r="O1143" s="6" t="inlineStr"/>
      <c r="P1143" s="11" t="inlineStr">
        <is>
          <t>https://website-9ib.pages.dev/termek/polydet-performance-plus-2200-1-8-corona/</t>
        </is>
      </c>
      <c r="Q1143" s="12" t="inlineStr"/>
      <c r="R1143" s="13" t="inlineStr"/>
      <c r="S1143" s="6" t="inlineStr">
        <is>
          <t>polydet-performance-plus-2200-1-8-corona</t>
        </is>
      </c>
    </row>
    <row r="1144">
      <c r="A1144" s="6" t="inlineStr"/>
      <c r="B1144" s="7" t="inlineStr">
        <is>
          <t>POLYDET Performance Plus 2300/1,8 CORONA</t>
        </is>
      </c>
      <c r="C1144" s="6" t="inlineStr">
        <is>
          <t>Üvegszálas poliészter</t>
        </is>
      </c>
      <c r="D1144" s="6" t="inlineStr">
        <is>
          <t>Üvegszálas polyester</t>
        </is>
      </c>
      <c r="E1144" s="6" t="inlineStr">
        <is>
          <t>POLSER</t>
        </is>
      </c>
      <c r="F1144" s="6" t="inlineStr"/>
      <c r="G1144" s="6" t="inlineStr">
        <is>
          <t>Quadris Excel</t>
        </is>
      </c>
      <c r="H1144" s="6" t="n">
        <v>3</v>
      </c>
      <c r="I1144" s="6" t="n">
        <v>5</v>
      </c>
      <c r="J1144" s="6" t="inlineStr">
        <is>
          <t>nincs</t>
        </is>
      </c>
      <c r="K1144" s="6">
        <f>IF(AND(H1144&gt;0,I1144&gt;0),"Rendben",IF(AND(H1144=0,I1144=0),"Nincs kép és adat",IF(H1144=0,"Nincs kép","Nincs adat")))</f>
        <v/>
      </c>
      <c r="L1144" s="6" t="inlineStr">
        <is>
          <t>Igen</t>
        </is>
      </c>
      <c r="M1144" s="7" t="inlineStr">
        <is>
          <t>polser.com Frigoser oldal és adatlap</t>
        </is>
      </c>
      <c r="N1144" s="7" t="inlineStr">
        <is>
          <t>Megtalálva: POLYDET Performance Plus 2300/1,8 CORONA</t>
        </is>
      </c>
      <c r="O1144" s="6" t="inlineStr"/>
      <c r="P1144" s="11" t="inlineStr">
        <is>
          <t>https://website-9ib.pages.dev/termek/polydet-performance-plus-2300-1-8-corona/</t>
        </is>
      </c>
      <c r="Q1144" s="12" t="inlineStr"/>
      <c r="R1144" s="13" t="inlineStr"/>
      <c r="S1144" s="6" t="inlineStr">
        <is>
          <t>polydet-performance-plus-2300-1-8-corona</t>
        </is>
      </c>
    </row>
    <row r="1145">
      <c r="A1145" s="6" t="inlineStr"/>
      <c r="B1145" s="7" t="inlineStr">
        <is>
          <t>POLYDET Performance Plus 2400/1,8 Roughened</t>
        </is>
      </c>
      <c r="C1145" s="6" t="inlineStr">
        <is>
          <t>Üvegszálas poliészter</t>
        </is>
      </c>
      <c r="D1145" s="6" t="inlineStr">
        <is>
          <t>Üvegszálas polyester</t>
        </is>
      </c>
      <c r="E1145" s="6" t="inlineStr">
        <is>
          <t>POLSER</t>
        </is>
      </c>
      <c r="F1145" s="6" t="inlineStr"/>
      <c r="G1145" s="6" t="inlineStr">
        <is>
          <t>Quadris Excel</t>
        </is>
      </c>
      <c r="H1145" s="6" t="n">
        <v>3</v>
      </c>
      <c r="I1145" s="6" t="n">
        <v>5</v>
      </c>
      <c r="J1145" s="6" t="inlineStr">
        <is>
          <t>nincs</t>
        </is>
      </c>
      <c r="K1145" s="6">
        <f>IF(AND(H1145&gt;0,I1145&gt;0),"Rendben",IF(AND(H1145=0,I1145=0),"Nincs kép és adat",IF(H1145=0,"Nincs kép","Nincs adat")))</f>
        <v/>
      </c>
      <c r="L1145" s="6" t="inlineStr">
        <is>
          <t>Igen</t>
        </is>
      </c>
      <c r="M1145" s="7" t="inlineStr">
        <is>
          <t>polser.com Frigoser oldal és adatlap</t>
        </is>
      </c>
      <c r="N1145" s="7" t="inlineStr">
        <is>
          <t>Megtalálva: POLYDET Performance Plus 2400/1,8 Roughened</t>
        </is>
      </c>
      <c r="O1145" s="6" t="inlineStr"/>
      <c r="P1145" s="11" t="inlineStr">
        <is>
          <t>https://website-9ib.pages.dev/termek/polydet-performance-plus-2400-1-8-roughened/</t>
        </is>
      </c>
      <c r="Q1145" s="12" t="inlineStr"/>
      <c r="R1145" s="13" t="inlineStr"/>
      <c r="S1145" s="6" t="inlineStr">
        <is>
          <t>polydet-performance-plus-2400-1-8-roughened</t>
        </is>
      </c>
    </row>
    <row r="1146">
      <c r="A1146" s="6" t="inlineStr"/>
      <c r="B1146" s="7" t="inlineStr">
        <is>
          <t>POLYDET Performance Plus 2500/1,8 CORONA</t>
        </is>
      </c>
      <c r="C1146" s="6" t="inlineStr">
        <is>
          <t>Üvegszálas poliészter</t>
        </is>
      </c>
      <c r="D1146" s="6" t="inlineStr">
        <is>
          <t>Üvegszálas polyester</t>
        </is>
      </c>
      <c r="E1146" s="6" t="inlineStr">
        <is>
          <t>POLSER</t>
        </is>
      </c>
      <c r="F1146" s="6" t="inlineStr"/>
      <c r="G1146" s="6" t="inlineStr">
        <is>
          <t>Quadris Excel</t>
        </is>
      </c>
      <c r="H1146" s="6" t="n">
        <v>3</v>
      </c>
      <c r="I1146" s="6" t="n">
        <v>5</v>
      </c>
      <c r="J1146" s="6" t="inlineStr">
        <is>
          <t>nincs</t>
        </is>
      </c>
      <c r="K1146" s="6">
        <f>IF(AND(H1146&gt;0,I1146&gt;0),"Rendben",IF(AND(H1146=0,I1146=0),"Nincs kép és adat",IF(H1146=0,"Nincs kép","Nincs adat")))</f>
        <v/>
      </c>
      <c r="L1146" s="6" t="inlineStr">
        <is>
          <t>Igen</t>
        </is>
      </c>
      <c r="M1146" s="7" t="inlineStr">
        <is>
          <t>polser.com Frigoser oldal és adatlap</t>
        </is>
      </c>
      <c r="N1146" s="7" t="inlineStr">
        <is>
          <t>Megtalálva: POLYDET Performance Plus 2500/1,8 CORONA</t>
        </is>
      </c>
      <c r="O1146" s="6" t="inlineStr"/>
      <c r="P1146" s="11" t="inlineStr">
        <is>
          <t>https://website-9ib.pages.dev/termek/polydet-performance-plus-2500-1-8-corona/</t>
        </is>
      </c>
      <c r="Q1146" s="12" t="inlineStr"/>
      <c r="R1146" s="13" t="inlineStr"/>
      <c r="S1146" s="6" t="inlineStr">
        <is>
          <t>polydet-performance-plus-2500-1-8-corona</t>
        </is>
      </c>
    </row>
    <row r="1147">
      <c r="A1147" s="6" t="inlineStr">
        <is>
          <t>837815</t>
        </is>
      </c>
      <c r="B1147" s="7" t="inlineStr">
        <is>
          <t>Csapos AJTÓ RÖGZÍTŐ KIT 51,5 mm</t>
        </is>
      </c>
      <c r="C1147" s="6" t="inlineStr">
        <is>
          <t>Dobozos felépítmény alkatrészek</t>
        </is>
      </c>
      <c r="D1147" s="6" t="inlineStr">
        <is>
          <t>Ajtórögzítők</t>
        </is>
      </c>
      <c r="E1147" s="6" t="inlineStr">
        <is>
          <t>Pommier</t>
        </is>
      </c>
      <c r="F1147" s="6" t="inlineStr">
        <is>
          <t>2537815</t>
        </is>
      </c>
      <c r="G1147" s="6" t="inlineStr">
        <is>
          <t>Quadris Excel</t>
        </is>
      </c>
      <c r="H1147" s="6" t="n">
        <v>2</v>
      </c>
      <c r="I1147" s="6" t="n">
        <v>1</v>
      </c>
      <c r="J1147" s="6" t="inlineStr">
        <is>
          <t>nincs</t>
        </is>
      </c>
      <c r="K1147" s="6">
        <f>IF(AND(H1147&gt;0,I1147&gt;0),"Rendben",IF(AND(H1147=0,I1147=0),"Nincs kép és adat",IF(H1147=0,"Nincs kép","Nincs adat")))</f>
        <v/>
      </c>
      <c r="L1147" s="6" t="inlineStr">
        <is>
          <t>Igen</t>
        </is>
      </c>
      <c r="M1147" s="7" t="inlineStr">
        <is>
          <t>pommier.eu termékoldalak; Pommier 2023–24 katalógus (PDF)</t>
        </is>
      </c>
      <c r="N1147" s="7" t="inlineStr">
        <is>
          <t>Megtalálva: Complete door retainer (kód: 2537815)</t>
        </is>
      </c>
      <c r="O1147" s="11" t="inlineStr">
        <is>
          <t>https://www.pommier.eu/en/en/all-our-products/stops/complete-door-retainer-0</t>
        </is>
      </c>
      <c r="P1147" s="11" t="inlineStr">
        <is>
          <t>https://website-9ib.pages.dev/termek/837815-csapos-ajto-rogzito-kit-51-5-mm/</t>
        </is>
      </c>
      <c r="Q1147" s="12" t="inlineStr"/>
      <c r="R1147" s="13" t="inlineStr"/>
      <c r="S1147" s="6" t="inlineStr">
        <is>
          <t>837815-csapos-ajto-rogzito-kit-51-5-mm</t>
        </is>
      </c>
    </row>
    <row r="1148">
      <c r="A1148" s="6" t="inlineStr">
        <is>
          <t>833682</t>
        </is>
      </c>
      <c r="B1148" s="7" t="inlineStr">
        <is>
          <t>Horganyzott süllyesztett nyelves zár PM</t>
        </is>
      </c>
      <c r="C1148" s="6" t="inlineStr">
        <is>
          <t>Dobozos felépítmény alkatrészek</t>
        </is>
      </c>
      <c r="D1148" s="6" t="inlineStr">
        <is>
          <t>Zárak</t>
        </is>
      </c>
      <c r="E1148" s="6" t="inlineStr">
        <is>
          <t>Pommier</t>
        </is>
      </c>
      <c r="F1148" s="6" t="inlineStr">
        <is>
          <t>3368250DE</t>
        </is>
      </c>
      <c r="G1148" s="6" t="inlineStr">
        <is>
          <t>Quadris Excel</t>
        </is>
      </c>
      <c r="H1148" s="6" t="n">
        <v>2</v>
      </c>
      <c r="I1148" s="6" t="n">
        <v>1</v>
      </c>
      <c r="J1148" s="6" t="inlineStr">
        <is>
          <t>nincs</t>
        </is>
      </c>
      <c r="K1148" s="6">
        <f>IF(AND(H1148&gt;0,I1148&gt;0),"Rendben",IF(AND(H1148=0,I1148=0),"Nincs kép és adat",IF(H1148=0,"Nincs kép","Nincs adat")))</f>
        <v/>
      </c>
      <c r="L1148" s="6" t="inlineStr">
        <is>
          <t>Igen</t>
        </is>
      </c>
      <c r="M1148" s="7" t="inlineStr">
        <is>
          <t>pommier.eu termékoldalak; Pommier 2023–24 katalógus (PDF)</t>
        </is>
      </c>
      <c r="N1148" s="7" t="inlineStr">
        <is>
          <t>Megtalálva: Recessed locking gear, zinc plated steel (kód: 3368250DE)</t>
        </is>
      </c>
      <c r="O1148" s="11" t="inlineStr">
        <is>
          <t>https://www.pommier.eu/en/en/all-our-products/recessed-locking-dropside-gear/recessed-locking-gear-zinc-plated-steel</t>
        </is>
      </c>
      <c r="P1148" s="11" t="inlineStr">
        <is>
          <t>https://website-9ib.pages.dev/termek/833682-horganyzott-sullyesztett-nyelves-zar-pm/</t>
        </is>
      </c>
      <c r="Q1148" s="12" t="inlineStr"/>
      <c r="R1148" s="13" t="inlineStr"/>
      <c r="S1148" s="6" t="inlineStr">
        <is>
          <t>833682-horganyzott-sullyesztett-nyelves-zar-pm</t>
        </is>
      </c>
    </row>
    <row r="1149">
      <c r="A1149" s="6" t="inlineStr">
        <is>
          <t>553150</t>
        </is>
      </c>
      <c r="B1149" s="7" t="inlineStr">
        <is>
          <t>Ütközőgumi 310x35x60 mm</t>
        </is>
      </c>
      <c r="C1149" s="6" t="inlineStr">
        <is>
          <t>Dobozos felépítmény alkatrészek</t>
        </is>
      </c>
      <c r="D1149" s="6" t="inlineStr">
        <is>
          <t>Gumiütközők</t>
        </is>
      </c>
      <c r="E1149" s="6" t="inlineStr">
        <is>
          <t>Pommier</t>
        </is>
      </c>
      <c r="F1149" s="6" t="inlineStr">
        <is>
          <t>1703150</t>
        </is>
      </c>
      <c r="G1149" s="6" t="inlineStr">
        <is>
          <t>Quadris Excel</t>
        </is>
      </c>
      <c r="H1149" s="6" t="n">
        <v>0</v>
      </c>
      <c r="I1149" s="6" t="n">
        <v>0</v>
      </c>
      <c r="J1149" s="6" t="inlineStr">
        <is>
          <t>nincs</t>
        </is>
      </c>
      <c r="K1149" s="6">
        <f>IF(AND(H1149&gt;0,I1149&gt;0),"Rendben",IF(AND(H1149=0,I1149=0),"Nincs kép és adat",IF(H1149=0,"Nincs kép","Nincs adat")))</f>
        <v/>
      </c>
      <c r="L1149" s="6" t="inlineStr">
        <is>
          <t>Igen</t>
        </is>
      </c>
      <c r="M1149" s="7" t="inlineStr">
        <is>
          <t>pommier.eu termékoldalak; Pommier 2023–24 katalógus (PDF)</t>
        </is>
      </c>
      <c r="N1149" s="7" t="inlineStr">
        <is>
          <t>Nem találtuk: pommier.eu termékoldalak; Pommier 2023–24 katalógus (PDF)</t>
        </is>
      </c>
      <c r="O1149" s="6" t="inlineStr"/>
      <c r="P1149" s="11" t="inlineStr">
        <is>
          <t>https://website-9ib.pages.dev/termek/553150-utkozogumi-310x35x60-mm/</t>
        </is>
      </c>
      <c r="Q1149" s="12" t="inlineStr"/>
      <c r="R1149" s="13" t="inlineStr"/>
      <c r="S1149" s="6" t="inlineStr">
        <is>
          <t>553150-utkozogumi-310x35x60-mm</t>
        </is>
      </c>
    </row>
    <row r="1150">
      <c r="A1150" s="6" t="inlineStr">
        <is>
          <t>220192</t>
        </is>
      </c>
      <c r="B1150" s="7" t="inlineStr">
        <is>
          <t>Alsó rámpa indító profil</t>
        </is>
      </c>
      <c r="C1150" s="6" t="inlineStr">
        <is>
          <t>Alumínium padló profilok</t>
        </is>
      </c>
      <c r="D1150" s="6" t="inlineStr">
        <is>
          <t>Rámpa profilok</t>
        </is>
      </c>
      <c r="E1150" s="6" t="inlineStr">
        <is>
          <t>Pommier Furgocar</t>
        </is>
      </c>
      <c r="F1150" s="6" t="inlineStr">
        <is>
          <t>22.21.88168</t>
        </is>
      </c>
      <c r="G1150" s="6" t="inlineStr">
        <is>
          <t>Quadris Excel</t>
        </is>
      </c>
      <c r="H1150" s="6" t="n">
        <v>0</v>
      </c>
      <c r="I1150" s="6" t="n">
        <v>0</v>
      </c>
      <c r="J1150" s="6" t="inlineStr">
        <is>
          <t>nincs</t>
        </is>
      </c>
      <c r="K1150" s="6">
        <f>IF(AND(H1150&gt;0,I1150&gt;0),"Rendben",IF(AND(H1150=0,I1150=0),"Nincs kép és adat",IF(H1150=0,"Nincs kép","Nincs adat")))</f>
        <v/>
      </c>
      <c r="L1150" s="6" t="inlineStr">
        <is>
          <t>Igen</t>
        </is>
      </c>
      <c r="M1150" s="7" t="inlineStr">
        <is>
          <t>pommier.eu termékoldalak; Pommier 2023–24 katalógus (PDF)</t>
        </is>
      </c>
      <c r="N1150" s="7" t="inlineStr">
        <is>
          <t>Nem találtuk: pommier.eu termékoldalak; Pommier 2023–24 katalógus (PDF)</t>
        </is>
      </c>
      <c r="O1150" s="6" t="inlineStr"/>
      <c r="P1150" s="11" t="inlineStr">
        <is>
          <t>https://website-9ib.pages.dev/termek/220192-also-rampa-indito-profil/</t>
        </is>
      </c>
      <c r="Q1150" s="12" t="inlineStr"/>
      <c r="R1150" s="13" t="inlineStr"/>
      <c r="S1150" s="6" t="inlineStr">
        <is>
          <t>220192-also-rampa-indito-profil</t>
        </is>
      </c>
    </row>
    <row r="1151">
      <c r="A1151" s="6" t="inlineStr">
        <is>
          <t>819264</t>
        </is>
      </c>
      <c r="B1151" s="7" t="inlineStr">
        <is>
          <t>250 mm Fogantyú acél merevítéssel</t>
        </is>
      </c>
      <c r="C1151" s="6" t="inlineStr">
        <is>
          <t>Dobozos felépítmény alkatrészek</t>
        </is>
      </c>
      <c r="D1151" s="6" t="inlineStr">
        <is>
          <t>Egyéb dobozos felépítmény tartozékok</t>
        </is>
      </c>
      <c r="E1151" s="6" t="inlineStr">
        <is>
          <t>Pommier Furgocar</t>
        </is>
      </c>
      <c r="F1151" s="6" t="inlineStr">
        <is>
          <t>190810264</t>
        </is>
      </c>
      <c r="G1151" s="6" t="inlineStr">
        <is>
          <t>Quadris Excel</t>
        </is>
      </c>
      <c r="H1151" s="6" t="n">
        <v>1</v>
      </c>
      <c r="I1151" s="6" t="n">
        <v>1</v>
      </c>
      <c r="J1151" s="6" t="inlineStr">
        <is>
          <t>nincs</t>
        </is>
      </c>
      <c r="K1151" s="6">
        <f>IF(AND(H1151&gt;0,I1151&gt;0),"Rendben",IF(AND(H1151=0,I1151=0),"Nincs kép és adat",IF(H1151=0,"Nincs kép","Nincs adat")))</f>
        <v/>
      </c>
      <c r="L1151" s="6" t="inlineStr">
        <is>
          <t>Igen</t>
        </is>
      </c>
      <c r="M1151" s="7" t="inlineStr">
        <is>
          <t>pommier.eu termékoldalak; Pommier 2023–24 katalógus (PDF)</t>
        </is>
      </c>
      <c r="N1151" s="7" t="inlineStr">
        <is>
          <t>Megtalálva: Black polyurethane grab handle, with zinc plated steel core (kód: 190810264)</t>
        </is>
      </c>
      <c r="O1151" s="11" t="inlineStr">
        <is>
          <t>https://www.pommier.eu/en/en/all-our-products/handrails-and-grab-handles/black-polyurethane-grab-handle-zinc-plated-steel</t>
        </is>
      </c>
      <c r="P1151" s="11" t="inlineStr">
        <is>
          <t>https://website-9ib.pages.dev/termek/819264-250-mm-fogantyu-acel-merevitessel/</t>
        </is>
      </c>
      <c r="Q1151" s="12" t="inlineStr"/>
      <c r="R1151" s="13" t="inlineStr"/>
      <c r="S1151" s="6" t="inlineStr">
        <is>
          <t>819264-250-mm-fogantyu-acel-merevitessel</t>
        </is>
      </c>
    </row>
    <row r="1152">
      <c r="A1152" s="6" t="inlineStr">
        <is>
          <t>511207</t>
        </is>
      </c>
      <c r="B1152" s="7" t="inlineStr">
        <is>
          <t>50/70 mm-es gumi tömítés PFG</t>
        </is>
      </c>
      <c r="C1152" s="6" t="inlineStr">
        <is>
          <t>Dobozos felépítmény alkatrészek</t>
        </is>
      </c>
      <c r="D1152" s="6" t="inlineStr">
        <is>
          <t>Tömítések</t>
        </is>
      </c>
      <c r="E1152" s="6" t="inlineStr">
        <is>
          <t>Pommier Furgocar</t>
        </is>
      </c>
      <c r="F1152" s="6" t="inlineStr">
        <is>
          <t>580611207</t>
        </is>
      </c>
      <c r="G1152" s="6" t="inlineStr">
        <is>
          <t>Quadris Excel</t>
        </is>
      </c>
      <c r="H1152" s="6" t="n">
        <v>2</v>
      </c>
      <c r="I1152" s="6" t="n">
        <v>1</v>
      </c>
      <c r="J1152" s="6" t="inlineStr">
        <is>
          <t>nincs</t>
        </is>
      </c>
      <c r="K1152" s="6">
        <f>IF(AND(H1152&gt;0,I1152&gt;0),"Rendben",IF(AND(H1152=0,I1152=0),"Nincs kép és adat",IF(H1152=0,"Nincs kép","Nincs adat")))</f>
        <v/>
      </c>
      <c r="L1152" s="6" t="inlineStr">
        <is>
          <t>Igen</t>
        </is>
      </c>
      <c r="M1152" s="7" t="inlineStr">
        <is>
          <t>pommier.eu termékoldalak; Pommier 2023–24 katalógus (PDF)</t>
        </is>
      </c>
      <c r="N1152" s="7" t="inlineStr">
        <is>
          <t>Megtalálva: Gasket in 20 m rolls for panel width from 50 to 70 mm (kód: 580611207)</t>
        </is>
      </c>
      <c r="O1152" s="11" t="inlineStr">
        <is>
          <t>https://www.pommier.eu/en/en/all-our-products/extendable-gaskets/gasket-20-m-rolls-panel-width-50-70-mm</t>
        </is>
      </c>
      <c r="P1152" s="11" t="inlineStr">
        <is>
          <t>https://website-9ib.pages.dev/termek/511207-50-70-mm-es-gumi-tomites-pfg/</t>
        </is>
      </c>
      <c r="Q1152" s="12" t="inlineStr"/>
      <c r="R1152" s="13" t="inlineStr"/>
      <c r="S1152" s="6" t="inlineStr">
        <is>
          <t>511207-50-70-mm-es-gumi-tomites-pfg</t>
        </is>
      </c>
    </row>
    <row r="1153">
      <c r="A1153" s="6" t="inlineStr">
        <is>
          <t>512235</t>
        </is>
      </c>
      <c r="B1153" s="7" t="inlineStr">
        <is>
          <t>55 mm-es PVC tömítés G 5m</t>
        </is>
      </c>
      <c r="C1153" s="6" t="inlineStr">
        <is>
          <t>Dobozos felépítmény alkatrészek</t>
        </is>
      </c>
      <c r="D1153" s="6" t="inlineStr">
        <is>
          <t>Tömítések</t>
        </is>
      </c>
      <c r="E1153" s="6" t="inlineStr">
        <is>
          <t>Pommier Furgocar</t>
        </is>
      </c>
      <c r="F1153" s="6" t="inlineStr">
        <is>
          <t>1132235</t>
        </is>
      </c>
      <c r="G1153" s="6" t="inlineStr">
        <is>
          <t>Quadris Excel</t>
        </is>
      </c>
      <c r="H1153" s="6" t="n">
        <v>1</v>
      </c>
      <c r="I1153" s="6" t="n">
        <v>2</v>
      </c>
      <c r="J1153" s="6" t="inlineStr">
        <is>
          <t>nincs</t>
        </is>
      </c>
      <c r="K1153" s="6">
        <f>IF(AND(H1153&gt;0,I1153&gt;0),"Rendben",IF(AND(H1153=0,I1153=0),"Nincs kép és adat",IF(H1153=0,"Nincs kép","Nincs adat")))</f>
        <v/>
      </c>
      <c r="L1153" s="6" t="inlineStr">
        <is>
          <t>Igen</t>
        </is>
      </c>
      <c r="M1153" s="7" t="inlineStr">
        <is>
          <t>pommier.eu termékoldalak; Pommier 2023–24 katalógus (PDF)</t>
        </is>
      </c>
      <c r="N1153" s="7" t="inlineStr">
        <is>
          <t>Megtalálva: Dual-hardness PVC (kód: 1132235)</t>
        </is>
      </c>
      <c r="O1153" s="11" t="inlineStr">
        <is>
          <t>https://www.pommier.eu/en/en/all-our-products/seals-rigid-soles/dual-hardness-pvc-1</t>
        </is>
      </c>
      <c r="P1153" s="11" t="inlineStr">
        <is>
          <t>https://website-9ib.pages.dev/termek/512235-55-mm-es-pvc-tomites-g-5m/</t>
        </is>
      </c>
      <c r="Q1153" s="12" t="inlineStr"/>
      <c r="R1153" s="13" t="inlineStr"/>
      <c r="S1153" s="6" t="inlineStr">
        <is>
          <t>512235-55-mm-es-pvc-tomites-g-5m</t>
        </is>
      </c>
    </row>
    <row r="1154">
      <c r="A1154" s="6" t="inlineStr">
        <is>
          <t>511208</t>
        </is>
      </c>
      <c r="B1154" s="7" t="inlineStr">
        <is>
          <t>70/90 mm-es gumi tömítés PFG</t>
        </is>
      </c>
      <c r="C1154" s="6" t="inlineStr">
        <is>
          <t>Dobozos felépítmény alkatrészek</t>
        </is>
      </c>
      <c r="D1154" s="6" t="inlineStr">
        <is>
          <t>Tömítések</t>
        </is>
      </c>
      <c r="E1154" s="6" t="inlineStr">
        <is>
          <t>Pommier Furgocar</t>
        </is>
      </c>
      <c r="F1154" s="6" t="inlineStr"/>
      <c r="G1154" s="6" t="inlineStr">
        <is>
          <t>Quadris Excel</t>
        </is>
      </c>
      <c r="H1154" s="6" t="n">
        <v>1</v>
      </c>
      <c r="I1154" s="6" t="n">
        <v>8</v>
      </c>
      <c r="J1154" s="6" t="inlineStr">
        <is>
          <t>nincs</t>
        </is>
      </c>
      <c r="K1154" s="6">
        <f>IF(AND(H1154&gt;0,I1154&gt;0),"Rendben",IF(AND(H1154=0,I1154=0),"Nincs kép és adat",IF(H1154=0,"Nincs kép","Nincs adat")))</f>
        <v/>
      </c>
      <c r="L1154" s="6" t="inlineStr">
        <is>
          <t>Igen</t>
        </is>
      </c>
      <c r="M1154" s="7" t="inlineStr">
        <is>
          <t>pommier.eu termékoldalak; Pommier 2023–24 katalógus (PDF)</t>
        </is>
      </c>
      <c r="N1154" s="7" t="inlineStr">
        <is>
          <t>Megtalálva: Pommier katalógus 2023–24, 523. o.: Gasket in 20 m rolls for panel width from 70 to 90 mm (kód: 580611208)</t>
        </is>
      </c>
      <c r="O1154" s="11" t="inlineStr">
        <is>
          <t>https://www.pommier.eu/sites/default/files/catalogs/POMMIER_Catalogue_DE-EN_2023-24_BD_0.pdf#page=525</t>
        </is>
      </c>
      <c r="P1154" s="11" t="inlineStr">
        <is>
          <t>https://website-9ib.pages.dev/termek/511208-70-90-mm-es-gumi-tomites-pfg/</t>
        </is>
      </c>
      <c r="Q1154" s="12" t="inlineStr"/>
      <c r="R1154" s="13" t="inlineStr"/>
      <c r="S1154" s="6" t="inlineStr">
        <is>
          <t>511208-70-90-mm-es-gumi-tomites-pfg</t>
        </is>
      </c>
    </row>
    <row r="1155">
      <c r="A1155" s="6" t="inlineStr">
        <is>
          <t>512389</t>
        </is>
      </c>
      <c r="B1155" s="7" t="inlineStr">
        <is>
          <t>84 mm-es PVC tömítés 5m</t>
        </is>
      </c>
      <c r="C1155" s="6" t="inlineStr">
        <is>
          <t>Dobozos felépítmény alkatrészek</t>
        </is>
      </c>
      <c r="D1155" s="6" t="inlineStr">
        <is>
          <t>Tömítések</t>
        </is>
      </c>
      <c r="E1155" s="6" t="inlineStr">
        <is>
          <t>Pommier Furgocar</t>
        </is>
      </c>
      <c r="F1155" s="6" t="inlineStr">
        <is>
          <t>1132389BN</t>
        </is>
      </c>
      <c r="G1155" s="6" t="inlineStr">
        <is>
          <t>Quadris Excel</t>
        </is>
      </c>
      <c r="H1155" s="6" t="n">
        <v>1</v>
      </c>
      <c r="I1155" s="6" t="n">
        <v>2</v>
      </c>
      <c r="J1155" s="6" t="inlineStr">
        <is>
          <t>nincs</t>
        </is>
      </c>
      <c r="K1155" s="6">
        <f>IF(AND(H1155&gt;0,I1155&gt;0),"Rendben",IF(AND(H1155=0,I1155=0),"Nincs kép és adat",IF(H1155=0,"Nincs kép","Nincs adat")))</f>
        <v/>
      </c>
      <c r="L1155" s="6" t="inlineStr">
        <is>
          <t>Igen</t>
        </is>
      </c>
      <c r="M1155" s="7" t="inlineStr">
        <is>
          <t>pommier.eu termékoldalak; Pommier 2023–24 katalógus (PDF)</t>
        </is>
      </c>
      <c r="N1155" s="7" t="inlineStr">
        <is>
          <t>Megtalálva: Dual-hardness PVC (kód: 1132389)</t>
        </is>
      </c>
      <c r="O1155" s="11" t="inlineStr">
        <is>
          <t>https://www.pommier.eu/en/en/all-our-products/seals-rigid-soles/dual-hardness-pvc-4</t>
        </is>
      </c>
      <c r="P1155" s="11" t="inlineStr">
        <is>
          <t>https://website-9ib.pages.dev/termek/512389-84-mm-es-pvc-tomites-5m/</t>
        </is>
      </c>
      <c r="Q1155" s="12" t="inlineStr"/>
      <c r="R1155" s="13" t="inlineStr"/>
      <c r="S1155" s="6" t="inlineStr">
        <is>
          <t>512389-84-mm-es-pvc-tomites-5m</t>
        </is>
      </c>
    </row>
    <row r="1156">
      <c r="A1156" s="6" t="inlineStr">
        <is>
          <t>519031</t>
        </is>
      </c>
      <c r="B1156" s="7" t="inlineStr">
        <is>
          <t>Alu lefogató sín 3800/12 mm</t>
        </is>
      </c>
      <c r="C1156" s="6" t="inlineStr">
        <is>
          <t>Dobozos felépítmény alkatrészek</t>
        </is>
      </c>
      <c r="D1156" s="6" t="inlineStr">
        <is>
          <t>Tömítések</t>
        </is>
      </c>
      <c r="E1156" s="6" t="inlineStr">
        <is>
          <t>Pommier Furgocar</t>
        </is>
      </c>
      <c r="F1156" s="6" t="inlineStr">
        <is>
          <t>741209031</t>
        </is>
      </c>
      <c r="G1156" s="6" t="inlineStr">
        <is>
          <t>Quadris Excel</t>
        </is>
      </c>
      <c r="H1156" s="6" t="n">
        <v>1</v>
      </c>
      <c r="I1156" s="6" t="n">
        <v>1</v>
      </c>
      <c r="J1156" s="6" t="inlineStr">
        <is>
          <t>nincs</t>
        </is>
      </c>
      <c r="K1156" s="6">
        <f>IF(AND(H1156&gt;0,I1156&gt;0),"Rendben",IF(AND(H1156=0,I1156=0),"Nincs kép és adat",IF(H1156=0,"Nincs kép","Nincs adat")))</f>
        <v/>
      </c>
      <c r="L1156" s="6" t="inlineStr">
        <is>
          <t>Igen</t>
        </is>
      </c>
      <c r="M1156" s="7" t="inlineStr">
        <is>
          <t>pommier.eu termékoldalak; Pommier 2023–24 katalógus (PDF)</t>
        </is>
      </c>
      <c r="N1156" s="7" t="inlineStr">
        <is>
          <t>Megtalálva: Fixing profi le for EPDM gaskets (kód: 741209031)</t>
        </is>
      </c>
      <c r="O1156" s="11" t="inlineStr">
        <is>
          <t>https://www.pommier.eu/en/en/all-our-products/other-seals-and-accessories/fixing-profi-le-epdm-gaskets</t>
        </is>
      </c>
      <c r="P1156" s="11" t="inlineStr">
        <is>
          <t>https://website-9ib.pages.dev/termek/519031-alu-lefogato-sin-3800-12-mm/</t>
        </is>
      </c>
      <c r="Q1156" s="12" t="inlineStr"/>
      <c r="R1156" s="13" t="inlineStr"/>
      <c r="S1156" s="6" t="inlineStr">
        <is>
          <t>519031-alu-lefogato-sin-3800-12-mm</t>
        </is>
      </c>
    </row>
    <row r="1157">
      <c r="A1157" s="6" t="inlineStr">
        <is>
          <t>106731</t>
        </is>
      </c>
      <c r="B1157" s="7" t="inlineStr">
        <is>
          <t>Lezáró csiga zsanérhoz</t>
        </is>
      </c>
      <c r="C1157" s="6" t="inlineStr">
        <is>
          <t>Ponyvarendszer kiegészítők</t>
        </is>
      </c>
      <c r="D1157" s="6" t="inlineStr">
        <is>
          <t>Ponyvatartó alkatrészek</t>
        </is>
      </c>
      <c r="E1157" s="6" t="inlineStr">
        <is>
          <t>Pommier Furgocar</t>
        </is>
      </c>
      <c r="F1157" s="6" t="inlineStr">
        <is>
          <t>1636731DR/GA</t>
        </is>
      </c>
      <c r="G1157" s="6" t="inlineStr">
        <is>
          <t>Quadris Excel</t>
        </is>
      </c>
      <c r="H1157" s="6" t="n">
        <v>1</v>
      </c>
      <c r="I1157" s="6" t="n">
        <v>4</v>
      </c>
      <c r="J1157" s="6" t="inlineStr">
        <is>
          <t>nincs</t>
        </is>
      </c>
      <c r="K1157" s="6">
        <f>IF(AND(H1157&gt;0,I1157&gt;0),"Rendben",IF(AND(H1157=0,I1157=0),"Nincs kép és adat",IF(H1157=0,"Nincs kép","Nincs adat")))</f>
        <v/>
      </c>
      <c r="L1157" s="6" t="inlineStr">
        <is>
          <t>Igen</t>
        </is>
      </c>
      <c r="M1157" s="7" t="inlineStr">
        <is>
          <t>pommier.eu termékoldalak; Pommier 2023–24 katalógus (PDF)</t>
        </is>
      </c>
      <c r="N1157" s="7" t="inlineStr">
        <is>
          <t>Megtalálva: Pommier katalógus 2023–24, 329. o.: Hinge stop, gray plastic (for 1636731 / 1636761) (kód: 1636765DR/GA)</t>
        </is>
      </c>
      <c r="O1157" s="11" t="inlineStr">
        <is>
          <t>https://www.pommier.eu/sites/default/files/catalogs/POMMIER_Catalogue_DE-EN_2023-24_BD_0.pdf#page=331</t>
        </is>
      </c>
      <c r="P1157" s="11" t="inlineStr">
        <is>
          <t>https://website-9ib.pages.dev/termek/106731-lezaro-csiga-zsanerhoz/</t>
        </is>
      </c>
      <c r="Q1157" s="12" t="inlineStr"/>
      <c r="R1157" s="13" t="inlineStr"/>
      <c r="S1157" s="6" t="inlineStr">
        <is>
          <t>106731-lezaro-csiga-zsanerhoz</t>
        </is>
      </c>
    </row>
    <row r="1158">
      <c r="A1158" s="6" t="inlineStr"/>
      <c r="B1158" s="7" t="inlineStr">
        <is>
          <t>615437BG Fekete zárszerkezet 2 irányú</t>
        </is>
      </c>
      <c r="C1158" s="6" t="inlineStr">
        <is>
          <t>Speciális felépítmény alkatrészek</t>
        </is>
      </c>
      <c r="D1158" s="6" t="inlineStr">
        <is>
          <t>Zárak</t>
        </is>
      </c>
      <c r="E1158" s="6" t="inlineStr">
        <is>
          <t>Pommier Furgocar</t>
        </is>
      </c>
      <c r="F1158" s="6" t="inlineStr">
        <is>
          <t>2304437BG</t>
        </is>
      </c>
      <c r="G1158" s="6" t="inlineStr">
        <is>
          <t>Quadris Excel</t>
        </is>
      </c>
      <c r="H1158" s="6" t="n">
        <v>1</v>
      </c>
      <c r="I1158" s="6" t="n">
        <v>1</v>
      </c>
      <c r="J1158" s="6" t="inlineStr">
        <is>
          <t>nincs</t>
        </is>
      </c>
      <c r="K1158" s="6">
        <f>IF(AND(H1158&gt;0,I1158&gt;0),"Rendben",IF(AND(H1158=0,I1158=0),"Nincs kép és adat",IF(H1158=0,"Nincs kép","Nincs adat")))</f>
        <v/>
      </c>
      <c r="L1158" s="6" t="inlineStr">
        <is>
          <t>Igen</t>
        </is>
      </c>
      <c r="M1158" s="7" t="inlineStr">
        <is>
          <t>pommier.eu termékoldalak; Pommier 2023–24 katalógus (PDF)</t>
        </is>
      </c>
      <c r="N1158" s="7" t="inlineStr">
        <is>
          <t>Megtalálva: Centre lock for 2 way rod lock assembly (kód: 2304437BG)</t>
        </is>
      </c>
      <c r="O1158" s="11" t="inlineStr">
        <is>
          <t>https://www.pommier.eu/en/en/all-our-products/accessories-rod-lock/centre-lock-2-way-rod-lock-assembly</t>
        </is>
      </c>
      <c r="P1158" s="11" t="inlineStr">
        <is>
          <t>https://website-9ib.pages.dev/termek/615437bg-fekete-zarszerkezet-2-iranyu/</t>
        </is>
      </c>
      <c r="Q1158" s="12" t="inlineStr"/>
      <c r="R1158" s="13" t="inlineStr"/>
      <c r="S1158" s="6" t="inlineStr">
        <is>
          <t>615437bg-fekete-zarszerkezet-2-iranyu</t>
        </is>
      </c>
    </row>
    <row r="1159">
      <c r="A1159" s="6" t="inlineStr">
        <is>
          <t>615378</t>
        </is>
      </c>
      <c r="B1159" s="7" t="inlineStr">
        <is>
          <t>Króm belső kilincs 12mm</t>
        </is>
      </c>
      <c r="C1159" s="6" t="inlineStr">
        <is>
          <t>Speciális felépítmény alkatrészek</t>
        </is>
      </c>
      <c r="D1159" s="6" t="inlineStr">
        <is>
          <t>Zárak</t>
        </is>
      </c>
      <c r="E1159" s="6" t="inlineStr">
        <is>
          <t>Pommier Furgocar</t>
        </is>
      </c>
      <c r="F1159" s="6" t="inlineStr">
        <is>
          <t>2344378</t>
        </is>
      </c>
      <c r="G1159" s="6" t="inlineStr">
        <is>
          <t>Quadris Excel</t>
        </is>
      </c>
      <c r="H1159" s="6" t="n">
        <v>1</v>
      </c>
      <c r="I1159" s="6" t="n">
        <v>1</v>
      </c>
      <c r="J1159" s="6" t="inlineStr">
        <is>
          <t>nincs</t>
        </is>
      </c>
      <c r="K1159" s="6">
        <f>IF(AND(H1159&gt;0,I1159&gt;0),"Rendben",IF(AND(H1159=0,I1159=0),"Nincs kép és adat",IF(H1159=0,"Nincs kép","Nincs adat")))</f>
        <v/>
      </c>
      <c r="L1159" s="6" t="inlineStr">
        <is>
          <t>Igen</t>
        </is>
      </c>
      <c r="M1159" s="7" t="inlineStr">
        <is>
          <t>pommier.eu termékoldalak; Pommier 2023–24 katalógus (PDF)</t>
        </is>
      </c>
      <c r="N1159" s="7" t="inlineStr">
        <is>
          <t>Megtalálva: Chrome plated brass inside handle (kód: 2344378)</t>
        </is>
      </c>
      <c r="O1159" s="11" t="inlineStr">
        <is>
          <t>https://www.pommier.eu/en/en/all-our-products/handles-and-inner-handles/chrome-plated-brass-inside-handle-0</t>
        </is>
      </c>
      <c r="P1159" s="11" t="inlineStr">
        <is>
          <t>https://website-9ib.pages.dev/termek/615378-krom-belso-kilincs-12mm/</t>
        </is>
      </c>
      <c r="Q1159" s="12" t="inlineStr"/>
      <c r="R1159" s="13" t="inlineStr"/>
      <c r="S1159" s="6" t="inlineStr">
        <is>
          <t>615378-krom-belso-kilincs-12mm</t>
        </is>
      </c>
    </row>
    <row r="1160">
      <c r="A1160" s="6" t="inlineStr">
        <is>
          <t>615373</t>
        </is>
      </c>
      <c r="B1160" s="7" t="inlineStr">
        <is>
          <t>Króm külső kilincs 12mm + kulcs</t>
        </is>
      </c>
      <c r="C1160" s="6" t="inlineStr">
        <is>
          <t>Speciális felépítmény alkatrészek</t>
        </is>
      </c>
      <c r="D1160" s="6" t="inlineStr">
        <is>
          <t>Zárak</t>
        </is>
      </c>
      <c r="E1160" s="6" t="inlineStr">
        <is>
          <t>Pommier Furgocar</t>
        </is>
      </c>
      <c r="F1160" s="6" t="inlineStr">
        <is>
          <t>2344373</t>
        </is>
      </c>
      <c r="G1160" s="6" t="inlineStr">
        <is>
          <t>Quadris Excel</t>
        </is>
      </c>
      <c r="H1160" s="6" t="n">
        <v>1</v>
      </c>
      <c r="I1160" s="6" t="n">
        <v>1</v>
      </c>
      <c r="J1160" s="6" t="inlineStr">
        <is>
          <t>nincs</t>
        </is>
      </c>
      <c r="K1160" s="6">
        <f>IF(AND(H1160&gt;0,I1160&gt;0),"Rendben",IF(AND(H1160=0,I1160=0),"Nincs kép és adat",IF(H1160=0,"Nincs kép","Nincs adat")))</f>
        <v/>
      </c>
      <c r="L1160" s="6" t="inlineStr">
        <is>
          <t>Igen</t>
        </is>
      </c>
      <c r="M1160" s="7" t="inlineStr">
        <is>
          <t>pommier.eu termékoldalak; Pommier 2023–24 katalógus (PDF)</t>
        </is>
      </c>
      <c r="N1160" s="7" t="inlineStr">
        <is>
          <t>Megtalálva: Chrome plated brass locking handle with two keys (kód: 2344373)</t>
        </is>
      </c>
      <c r="O1160" s="11" t="inlineStr">
        <is>
          <t>https://www.pommier.eu/en/en/all-our-products/handles-and-inner-handles/chrome-plated-brass-locking-handle-two-keys</t>
        </is>
      </c>
      <c r="P1160" s="11" t="inlineStr">
        <is>
          <t>https://website-9ib.pages.dev/termek/615373-krom-kulso-kilincs-12mm-kulcs/</t>
        </is>
      </c>
      <c r="Q1160" s="12" t="inlineStr"/>
      <c r="R1160" s="13" t="inlineStr"/>
      <c r="S1160" s="6" t="inlineStr">
        <is>
          <t>615373-krom-kulso-kilincs-12mm-kulcs</t>
        </is>
      </c>
    </row>
    <row r="1161">
      <c r="A1161" s="6" t="inlineStr">
        <is>
          <t>237310/20</t>
        </is>
      </c>
      <c r="B1161" s="7" t="inlineStr">
        <is>
          <t>Dupla alu zsanér 5000 mm</t>
        </is>
      </c>
      <c r="C1161" s="6" t="inlineStr">
        <is>
          <t>Zárt-dobozos és hűtős profilok</t>
        </is>
      </c>
      <c r="D1161" s="6" t="inlineStr">
        <is>
          <t>Zárt-dobozos és hűtős profilok</t>
        </is>
      </c>
      <c r="E1161" s="6" t="inlineStr">
        <is>
          <t>Pommier Furgocar</t>
        </is>
      </c>
      <c r="F1161" s="6" t="inlineStr">
        <is>
          <t>1636731/732</t>
        </is>
      </c>
      <c r="G1161" s="6" t="inlineStr">
        <is>
          <t>Quadris Excel</t>
        </is>
      </c>
      <c r="H1161" s="6" t="n">
        <v>1</v>
      </c>
      <c r="I1161" s="6" t="n">
        <v>1</v>
      </c>
      <c r="J1161" s="6" t="inlineStr">
        <is>
          <t>nincs</t>
        </is>
      </c>
      <c r="K1161" s="6">
        <f>IF(AND(H1161&gt;0,I1161&gt;0),"Rendben",IF(AND(H1161=0,I1161=0),"Nincs kép és adat",IF(H1161=0,"Nincs kép","Nincs adat")))</f>
        <v/>
      </c>
      <c r="L1161" s="6" t="inlineStr">
        <is>
          <t>Igen</t>
        </is>
      </c>
      <c r="M1161" s="7" t="inlineStr">
        <is>
          <t>pommier.eu termékoldalak; Pommier 2023–24 katalógus (PDF)</t>
        </is>
      </c>
      <c r="N1161" s="7" t="inlineStr">
        <is>
          <t>Megtalálva: Anodized aluminium hinge profile (kód: 1636731)</t>
        </is>
      </c>
      <c r="O1161" s="11" t="inlineStr">
        <is>
          <t>https://www.pommier.eu/en/en/all-our-products/aluminium/anodized-aluminium-hinge-profile</t>
        </is>
      </c>
      <c r="P1161" s="11" t="inlineStr">
        <is>
          <t>https://website-9ib.pages.dev/termek/237310-20-dupla-alu-zsaner-5000-mm/</t>
        </is>
      </c>
      <c r="Q1161" s="12" t="inlineStr"/>
      <c r="R1161" s="13" t="inlineStr"/>
      <c r="S1161" s="6" t="inlineStr">
        <is>
          <t>237310-20-dupla-alu-zsaner-5000-mm</t>
        </is>
      </c>
    </row>
    <row r="1162">
      <c r="A1162" s="6" t="inlineStr">
        <is>
          <t>3562974</t>
        </is>
      </c>
      <c r="B1162" s="7" t="inlineStr">
        <is>
          <t>Alu hátsó 400 mm Rakonca L-R</t>
        </is>
      </c>
      <c r="C1162" s="6" t="inlineStr">
        <is>
          <t>Acél és alu rakoncák és szegők</t>
        </is>
      </c>
      <c r="D1162" s="6" t="inlineStr">
        <is>
          <t>Alumínium rakoncák</t>
        </is>
      </c>
      <c r="E1162" s="6" t="inlineStr">
        <is>
          <t>Profilpol</t>
        </is>
      </c>
      <c r="F1162" s="6" t="inlineStr"/>
      <c r="G1162" s="6" t="inlineStr">
        <is>
          <t>Quadris Excel</t>
        </is>
      </c>
      <c r="H1162" s="6" t="n">
        <v>0</v>
      </c>
      <c r="I1162" s="6" t="n">
        <v>0</v>
      </c>
      <c r="J1162" s="6" t="inlineStr">
        <is>
          <t>nincs</t>
        </is>
      </c>
      <c r="K1162" s="6">
        <f>IF(AND(H1162&gt;0,I1162&gt;0),"Rendben",IF(AND(H1162=0,I1162=0),"Nincs kép és adat",IF(H1162=0,"Nincs kép","Nincs adat")))</f>
        <v/>
      </c>
      <c r="L1162" s="6" t="inlineStr">
        <is>
          <t>Igen</t>
        </is>
      </c>
      <c r="M1162" s="7" t="inlineStr">
        <is>
          <t>profilpolsystem.pl oldaltérkép bejárása</t>
        </is>
      </c>
      <c r="N1162" s="7" t="inlineStr">
        <is>
          <t>Nem találtuk: profilpolsystem.pl oldaltérkép bejárása</t>
        </is>
      </c>
      <c r="O1162" s="6" t="inlineStr"/>
      <c r="P1162" s="11" t="inlineStr">
        <is>
          <t>https://website-9ib.pages.dev/termek/3562974-alu-hatso-400-mm-rakonca-l-r/</t>
        </is>
      </c>
      <c r="Q1162" s="12" t="inlineStr"/>
      <c r="R1162" s="13" t="inlineStr"/>
      <c r="S1162" s="6" t="inlineStr">
        <is>
          <t>3562974-alu-hatso-400-mm-rakonca-l-r</t>
        </is>
      </c>
    </row>
    <row r="1163">
      <c r="A1163" s="6" t="inlineStr">
        <is>
          <t>351190</t>
        </is>
      </c>
      <c r="B1163" s="7" t="inlineStr">
        <is>
          <t>Alu rakonca magasító elox/1900 MM</t>
        </is>
      </c>
      <c r="C1163" s="6" t="inlineStr">
        <is>
          <t>Acél és alu rakoncák és szegők</t>
        </is>
      </c>
      <c r="D1163" s="6" t="inlineStr">
        <is>
          <t>Alumínium rakoncák</t>
        </is>
      </c>
      <c r="E1163" s="6" t="inlineStr">
        <is>
          <t>Profilpol</t>
        </is>
      </c>
      <c r="F1163" s="6" t="inlineStr">
        <is>
          <t>5STSA400/1900</t>
        </is>
      </c>
      <c r="G1163" s="6" t="inlineStr">
        <is>
          <t>Quadris Excel</t>
        </is>
      </c>
      <c r="H1163" s="6" t="n">
        <v>1</v>
      </c>
      <c r="I1163" s="6" t="n">
        <v>0</v>
      </c>
      <c r="J1163" s="6" t="inlineStr">
        <is>
          <t>nincs</t>
        </is>
      </c>
      <c r="K1163" s="6">
        <f>IF(AND(H1163&gt;0,I1163&gt;0),"Rendben",IF(AND(H1163=0,I1163=0),"Nincs kép és adat",IF(H1163=0,"Nincs kép","Nincs adat")))</f>
        <v/>
      </c>
      <c r="L1163" s="6" t="inlineStr">
        <is>
          <t>Igen</t>
        </is>
      </c>
      <c r="M1163" s="7" t="inlineStr">
        <is>
          <t>profilpolsystem.pl oldaltérkép bejárása</t>
        </is>
      </c>
      <c r="N1163" s="7" t="inlineStr">
        <is>
          <t>Megtalálva: Adjustable 400 Center Post Tripod, 1900 mm (kód: 5STSA400/1900)</t>
        </is>
      </c>
      <c r="O1163" s="11" t="inlineStr">
        <is>
          <t>https://profilpolsystem.pl/en/product/adjustable-400-center-post-tripod-1900-mm/</t>
        </is>
      </c>
      <c r="P1163" s="11" t="inlineStr">
        <is>
          <t>https://website-9ib.pages.dev/termek/351190-alu-rakonca-magasito-elox-1900-mm/</t>
        </is>
      </c>
      <c r="Q1163" s="12" t="inlineStr"/>
      <c r="R1163" s="13" t="inlineStr"/>
      <c r="S1163" s="6" t="inlineStr">
        <is>
          <t>351190-alu-rakonca-magasito-elox-1900-mm</t>
        </is>
      </c>
    </row>
    <row r="1164">
      <c r="A1164" s="6" t="inlineStr">
        <is>
          <t>355400/ZBS</t>
        </is>
      </c>
      <c r="B1164" s="7" t="inlineStr">
        <is>
          <t>Alu toldó csappal 67x80/30 mm</t>
        </is>
      </c>
      <c r="C1164" s="6" t="inlineStr">
        <is>
          <t>Acél és alu rakoncák és szegők</t>
        </is>
      </c>
      <c r="D1164" s="6" t="inlineStr">
        <is>
          <t>Alumínium rakoncák</t>
        </is>
      </c>
      <c r="E1164" s="6" t="inlineStr">
        <is>
          <t>Profilpol</t>
        </is>
      </c>
      <c r="F1164" s="6" t="inlineStr">
        <is>
          <t>5ZBS400ZN</t>
        </is>
      </c>
      <c r="G1164" s="6" t="inlineStr">
        <is>
          <t>Quadris Excel</t>
        </is>
      </c>
      <c r="H1164" s="6" t="n">
        <v>1</v>
      </c>
      <c r="I1164" s="6" t="n">
        <v>0</v>
      </c>
      <c r="J1164" s="6" t="inlineStr">
        <is>
          <t>nincs</t>
        </is>
      </c>
      <c r="K1164" s="6">
        <f>IF(AND(H1164&gt;0,I1164&gt;0),"Rendben",IF(AND(H1164=0,I1164=0),"Nincs kép és adat",IF(H1164=0,"Nincs kép","Nincs adat")))</f>
        <v/>
      </c>
      <c r="L1164" s="6" t="inlineStr">
        <is>
          <t>Igen</t>
        </is>
      </c>
      <c r="M1164" s="7" t="inlineStr">
        <is>
          <t>profilpolsystem.pl oldaltérkép bejárása</t>
        </is>
      </c>
      <c r="N1164" s="7" t="inlineStr">
        <is>
          <t>Megtalálva: 400 ZN Side Extension for Crates Without a Center Post (kód: 5ZBS400ZN)</t>
        </is>
      </c>
      <c r="O1164" s="11" t="inlineStr">
        <is>
          <t>https://profilpolsystem.pl/en/product/400-zn-side-extension-for-crates-without-a-center-post/</t>
        </is>
      </c>
      <c r="P1164" s="11" t="inlineStr">
        <is>
          <t>https://website-9ib.pages.dev/termek/355400-zbs-alu-toldo-csappal-67x80-30-mm/</t>
        </is>
      </c>
      <c r="Q1164" s="12" t="inlineStr"/>
      <c r="R1164" s="13" t="inlineStr"/>
      <c r="S1164" s="6" t="inlineStr">
        <is>
          <t>355400-zbs-alu-toldo-csappal-67x80-30-mm</t>
        </is>
      </c>
    </row>
    <row r="1165">
      <c r="A1165" s="6" t="inlineStr">
        <is>
          <t>2221513</t>
        </is>
      </c>
      <c r="B1165" s="7" t="inlineStr">
        <is>
          <t>Alumínium "C" tető sín 54,5x47/75 mm</t>
        </is>
      </c>
      <c r="C1165" s="6" t="inlineStr">
        <is>
          <t>Elhúzható rolóponyvás rendszer</t>
        </is>
      </c>
      <c r="D1165" s="6" t="inlineStr">
        <is>
          <t>ADAICO "C" sín acél</t>
        </is>
      </c>
      <c r="E1165" s="6" t="inlineStr">
        <is>
          <t>Profilpol</t>
        </is>
      </c>
      <c r="F1165" s="6" t="inlineStr">
        <is>
          <t>22.21.513.1</t>
        </is>
      </c>
      <c r="G1165" s="6" t="inlineStr">
        <is>
          <t>Quadris Excel</t>
        </is>
      </c>
      <c r="H1165" s="6" t="n">
        <v>0</v>
      </c>
      <c r="I1165" s="6" t="n">
        <v>0</v>
      </c>
      <c r="J1165" s="6" t="inlineStr">
        <is>
          <t>nincs</t>
        </is>
      </c>
      <c r="K1165" s="6">
        <f>IF(AND(H1165&gt;0,I1165&gt;0),"Rendben",IF(AND(H1165=0,I1165=0),"Nincs kép és adat",IF(H1165=0,"Nincs kép","Nincs adat")))</f>
        <v/>
      </c>
      <c r="L1165" s="6" t="inlineStr">
        <is>
          <t>Igen</t>
        </is>
      </c>
      <c r="M1165" s="7" t="inlineStr">
        <is>
          <t>profilpolsystem.pl oldaltérkép bejárása</t>
        </is>
      </c>
      <c r="N1165" s="7" t="inlineStr">
        <is>
          <t>Nem találtuk: profilpolsystem.pl oldaltérkép bejárása</t>
        </is>
      </c>
      <c r="O1165" s="6" t="inlineStr"/>
      <c r="P1165" s="11" t="inlineStr">
        <is>
          <t>https://website-9ib.pages.dev/termek/2221513-aluminium-c-teto-sin-54-5x47-75-mm/</t>
        </is>
      </c>
      <c r="Q1165" s="12" t="inlineStr"/>
      <c r="R1165" s="13" t="inlineStr"/>
      <c r="S1165" s="6" t="inlineStr">
        <is>
          <t>2221513-aluminium-c-teto-sin-54-5x47-75-mm</t>
        </is>
      </c>
    </row>
    <row r="1166">
      <c r="A1166" s="6" t="inlineStr">
        <is>
          <t>117772</t>
        </is>
      </c>
      <c r="B1166" s="7" t="inlineStr">
        <is>
          <t>Körmös anya P egyenes</t>
        </is>
      </c>
      <c r="C1166" s="6" t="inlineStr">
        <is>
          <t>Platós alkatrészek és kiegészítők</t>
        </is>
      </c>
      <c r="D1166" s="6" t="inlineStr">
        <is>
          <t>Kötőelemek</t>
        </is>
      </c>
      <c r="E1166" s="6" t="inlineStr">
        <is>
          <t>Profilpol</t>
        </is>
      </c>
      <c r="F1166" s="6" t="inlineStr">
        <is>
          <t>2PP25</t>
        </is>
      </c>
      <c r="G1166" s="6" t="inlineStr">
        <is>
          <t>Quadris Excel</t>
        </is>
      </c>
      <c r="H1166" s="6" t="n">
        <v>1</v>
      </c>
      <c r="I1166" s="6" t="n">
        <v>0</v>
      </c>
      <c r="J1166" s="6" t="inlineStr">
        <is>
          <t>nincs</t>
        </is>
      </c>
      <c r="K1166" s="6">
        <f>IF(AND(H1166&gt;0,I1166&gt;0),"Rendben",IF(AND(H1166=0,I1166=0),"Nincs kép és adat",IF(H1166=0,"Nincs kép","Nincs adat")))</f>
        <v/>
      </c>
      <c r="L1166" s="6" t="inlineStr">
        <is>
          <t>Igen</t>
        </is>
      </c>
      <c r="M1166" s="7" t="inlineStr">
        <is>
          <t>profilpolsystem.pl oldaltérkép bejárása</t>
        </is>
      </c>
      <c r="N1166" s="7" t="inlineStr">
        <is>
          <t>Megtalálva: Palcom M10x25 Profile, Straight (kód: 2PP25)</t>
        </is>
      </c>
      <c r="O1166" s="11" t="inlineStr">
        <is>
          <t>https://profilpolsystem.pl/en/product/palcom-m10x25-profile-straight/</t>
        </is>
      </c>
      <c r="P1166" s="11" t="inlineStr">
        <is>
          <t>https://website-9ib.pages.dev/termek/117772-kormos-anya-p-egyenes/</t>
        </is>
      </c>
      <c r="Q1166" s="12" t="inlineStr"/>
      <c r="R1166" s="13" t="inlineStr"/>
      <c r="S1166" s="6" t="inlineStr">
        <is>
          <t>117772-kormos-anya-p-egyenes</t>
        </is>
      </c>
    </row>
    <row r="1167">
      <c r="A1167" s="6" t="inlineStr">
        <is>
          <t>388008</t>
        </is>
      </c>
      <c r="B1167" s="7" t="inlineStr">
        <is>
          <t>27mm feszítő cső alu profil</t>
        </is>
      </c>
      <c r="C1167" s="6" t="inlineStr">
        <is>
          <t>Ponyvarendszer kiegészítők</t>
        </is>
      </c>
      <c r="D1167" s="6" t="inlineStr">
        <is>
          <t>Ponyvafeszítő profilok és alkatrészei</t>
        </is>
      </c>
      <c r="E1167" s="6" t="inlineStr">
        <is>
          <t>Profilpol</t>
        </is>
      </c>
      <c r="F1167" s="6" t="inlineStr">
        <is>
          <t>T1.8008.0</t>
        </is>
      </c>
      <c r="G1167" s="6" t="inlineStr">
        <is>
          <t>Quadris Excel</t>
        </is>
      </c>
      <c r="H1167" s="6" t="n">
        <v>0</v>
      </c>
      <c r="I1167" s="6" t="n">
        <v>0</v>
      </c>
      <c r="J1167" s="6" t="inlineStr">
        <is>
          <t>nincs</t>
        </is>
      </c>
      <c r="K1167" s="6">
        <f>IF(AND(H1167&gt;0,I1167&gt;0),"Rendben",IF(AND(H1167=0,I1167=0),"Nincs kép és adat",IF(H1167=0,"Nincs kép","Nincs adat")))</f>
        <v/>
      </c>
      <c r="L1167" s="6" t="inlineStr">
        <is>
          <t>Igen</t>
        </is>
      </c>
      <c r="M1167" s="7" t="inlineStr">
        <is>
          <t>profilpolsystem.pl oldaltérkép bejárása</t>
        </is>
      </c>
      <c r="N1167" s="7" t="inlineStr">
        <is>
          <t>Nem találtuk: profilpolsystem.pl oldaltérkép bejárása</t>
        </is>
      </c>
      <c r="O1167" s="6" t="inlineStr"/>
      <c r="P1167" s="11" t="inlineStr">
        <is>
          <t>https://website-9ib.pages.dev/termek/388008-27mm-feszito-cso-alu-profil/</t>
        </is>
      </c>
      <c r="Q1167" s="12" t="inlineStr"/>
      <c r="R1167" s="13" t="inlineStr"/>
      <c r="S1167" s="6" t="inlineStr">
        <is>
          <t>388008-27mm-feszito-cso-alu-profil</t>
        </is>
      </c>
    </row>
    <row r="1168">
      <c r="A1168" s="6" t="inlineStr">
        <is>
          <t>123250</t>
        </is>
      </c>
      <c r="B1168" s="7" t="inlineStr">
        <is>
          <t>Térelválasztó falzár</t>
        </is>
      </c>
      <c r="C1168" s="6" t="inlineStr">
        <is>
          <t>Rakományrögzítés</t>
        </is>
      </c>
      <c r="D1168" s="6" t="inlineStr">
        <is>
          <t>Rakományrögzítés</t>
        </is>
      </c>
      <c r="E1168" s="6" t="inlineStr">
        <is>
          <t>Profilpol</t>
        </is>
      </c>
      <c r="F1168" s="6" t="inlineStr">
        <is>
          <t>33PB0</t>
        </is>
      </c>
      <c r="G1168" s="6" t="inlineStr">
        <is>
          <t>Quadris Excel</t>
        </is>
      </c>
      <c r="H1168" s="6" t="n">
        <v>0</v>
      </c>
      <c r="I1168" s="6" t="n">
        <v>0</v>
      </c>
      <c r="J1168" s="6" t="inlineStr">
        <is>
          <t>nincs</t>
        </is>
      </c>
      <c r="K1168" s="6">
        <f>IF(AND(H1168&gt;0,I1168&gt;0),"Rendben",IF(AND(H1168=0,I1168=0),"Nincs kép és adat",IF(H1168=0,"Nincs kép","Nincs adat")))</f>
        <v/>
      </c>
      <c r="L1168" s="6" t="inlineStr">
        <is>
          <t>Igen</t>
        </is>
      </c>
      <c r="M1168" s="7" t="inlineStr">
        <is>
          <t>profilpolsystem.pl oldaltérkép bejárása</t>
        </is>
      </c>
      <c r="N1168" s="7" t="inlineStr">
        <is>
          <t>Nem találtuk: profilpolsystem.pl oldaltérkép bejárása</t>
        </is>
      </c>
      <c r="O1168" s="6" t="inlineStr"/>
      <c r="P1168" s="11" t="inlineStr">
        <is>
          <t>https://website-9ib.pages.dev/termek/123250-terelvalaszto-falzar/</t>
        </is>
      </c>
      <c r="Q1168" s="12" t="inlineStr"/>
      <c r="R1168" s="13" t="inlineStr"/>
      <c r="S1168" s="6" t="inlineStr">
        <is>
          <t>123250-terelvalaszto-falzar</t>
        </is>
      </c>
    </row>
    <row r="1169">
      <c r="A1169" s="6" t="inlineStr">
        <is>
          <t>220190</t>
        </is>
      </c>
      <c r="B1169" s="7" t="inlineStr">
        <is>
          <t>Rámpa felső záró profil 225/30 mm</t>
        </is>
      </c>
      <c r="C1169" s="6" t="inlineStr">
        <is>
          <t>Alumínium padló profilok</t>
        </is>
      </c>
      <c r="D1169" s="6" t="inlineStr">
        <is>
          <t>Rámpa profilok</t>
        </is>
      </c>
      <c r="E1169" s="6" t="inlineStr">
        <is>
          <t>profilpol boyritec</t>
        </is>
      </c>
      <c r="F1169" s="6" t="inlineStr">
        <is>
          <t>22.21.0679</t>
        </is>
      </c>
      <c r="G1169" s="6" t="inlineStr">
        <is>
          <t>Quadris Excel</t>
        </is>
      </c>
      <c r="H1169" s="6" t="n">
        <v>0</v>
      </c>
      <c r="I1169" s="6" t="n">
        <v>0</v>
      </c>
      <c r="J1169" s="6" t="inlineStr">
        <is>
          <t>nincs</t>
        </is>
      </c>
      <c r="K1169" s="6">
        <f>IF(AND(H1169&gt;0,I1169&gt;0),"Rendben",IF(AND(H1169=0,I1169=0),"Nincs kép és adat",IF(H1169=0,"Nincs kép","Nincs adat")))</f>
        <v/>
      </c>
      <c r="L1169" s="6" t="inlineStr">
        <is>
          <t>Nem</t>
        </is>
      </c>
      <c r="M1169" s="7" t="inlineStr">
        <is>
          <t>–</t>
        </is>
      </c>
      <c r="N1169" s="7" t="inlineStr">
        <is>
          <t>Nem kerestük – nincs ismert weboldal vagy katalógus</t>
        </is>
      </c>
      <c r="O1169" s="6" t="inlineStr"/>
      <c r="P1169" s="11" t="inlineStr">
        <is>
          <t>https://website-9ib.pages.dev/termek/220190-rampa-felso-zaro-profil-225-30-mm/</t>
        </is>
      </c>
      <c r="Q1169" s="12" t="inlineStr"/>
      <c r="R1169" s="13" t="inlineStr"/>
      <c r="S1169" s="6" t="inlineStr">
        <is>
          <t>220190-rampa-felso-zaro-profil-225-30-mm</t>
        </is>
      </c>
    </row>
    <row r="1170">
      <c r="A1170" s="6" t="inlineStr">
        <is>
          <t>203004</t>
        </is>
      </c>
      <c r="B1170" s="7" t="inlineStr">
        <is>
          <t>30 mm Keretprofil elox</t>
        </is>
      </c>
      <c r="C1170" s="6" t="inlineStr">
        <is>
          <t>Alumínium alváz profilok</t>
        </is>
      </c>
      <c r="D1170" s="6" t="inlineStr">
        <is>
          <t>Keret profilok</t>
        </is>
      </c>
      <c r="E1170" s="6" t="inlineStr">
        <is>
          <t>RE-ALL</t>
        </is>
      </c>
      <c r="F1170" s="6" t="inlineStr">
        <is>
          <t>1800004</t>
        </is>
      </c>
      <c r="G1170" s="6" t="inlineStr">
        <is>
          <t>Quadris Excel</t>
        </is>
      </c>
      <c r="H1170" s="6" t="n">
        <v>1</v>
      </c>
      <c r="I1170" s="6" t="n">
        <v>2</v>
      </c>
      <c r="J1170" s="6" t="inlineStr">
        <is>
          <t>nincs</t>
        </is>
      </c>
      <c r="K1170" s="6">
        <f>IF(AND(H1170&gt;0,I1170&gt;0),"Rendben",IF(AND(H1170=0,I1170=0),"Nincs kép és adat",IF(H1170=0,"Nincs kép","Nincs adat")))</f>
        <v/>
      </c>
      <c r="L1170" s="6" t="inlineStr">
        <is>
          <t>Igen</t>
        </is>
      </c>
      <c r="M1170" s="7" t="inlineStr">
        <is>
          <t>re-all.it katalógusfejezetek (PDF) és oldaltérkép; RE-ALL 19 / 21 katalógus (Drive)</t>
        </is>
      </c>
      <c r="N1170" s="7" t="inlineStr">
        <is>
          <t>Megtalálva: RE-ALL katalógus 18.pdf (kód: 1800004)</t>
        </is>
      </c>
      <c r="O1170" s="11" t="inlineStr">
        <is>
          <t>https://www.re-all.it/images/catalogo-pdf/2026/18.pdf#page=5</t>
        </is>
      </c>
      <c r="P1170" s="11" t="inlineStr">
        <is>
          <t>https://website-9ib.pages.dev/termek/203004-30-mm-keretprofil-elox/</t>
        </is>
      </c>
      <c r="Q1170" s="12" t="inlineStr"/>
      <c r="R1170" s="13" t="inlineStr"/>
      <c r="S1170" s="6" t="inlineStr">
        <is>
          <t>203004-30-mm-keretprofil-elox</t>
        </is>
      </c>
    </row>
    <row r="1171">
      <c r="A1171" s="6" t="inlineStr"/>
      <c r="B1171" s="7" t="inlineStr">
        <is>
          <t>S 2,7x2500x6800 mm Rízs mintás Alu lemez EN AW-5086 H32</t>
        </is>
      </c>
      <c r="C1171" s="6" t="inlineStr">
        <is>
          <t>Alumínium lemezek</t>
        </is>
      </c>
      <c r="D1171" s="6" t="inlineStr">
        <is>
          <t>Cseppmintás lemez</t>
        </is>
      </c>
      <c r="E1171" s="6" t="inlineStr">
        <is>
          <t>RE-ALL</t>
        </is>
      </c>
      <c r="F1171" s="6" t="inlineStr">
        <is>
          <t>0800003</t>
        </is>
      </c>
      <c r="G1171" s="6" t="inlineStr">
        <is>
          <t>Quadris Excel</t>
        </is>
      </c>
      <c r="H1171" s="6" t="n">
        <v>3</v>
      </c>
      <c r="I1171" s="6" t="n">
        <v>8</v>
      </c>
      <c r="J1171" s="6" t="inlineStr">
        <is>
          <t>nincs</t>
        </is>
      </c>
      <c r="K1171" s="6">
        <f>IF(AND(H1171&gt;0,I1171&gt;0),"Rendben",IF(AND(H1171=0,I1171=0),"Nincs kép és adat",IF(H1171=0,"Nincs kép","Nincs adat")))</f>
        <v/>
      </c>
      <c r="L1171" s="6" t="inlineStr">
        <is>
          <t>Igen</t>
        </is>
      </c>
      <c r="M1171" s="7" t="inlineStr">
        <is>
          <t>re-all.it katalógusfejezetek (PDF) és oldaltérkép; RE-ALL 19 / 21 katalógus (Drive)</t>
        </is>
      </c>
      <c r="N1171" s="7" t="inlineStr">
        <is>
          <t>Megtalálva: RE-ALL katalógus 02-12.pdf (kód: 0800003)</t>
        </is>
      </c>
      <c r="O1171" s="11" t="inlineStr">
        <is>
          <t>https://www.re-all.it/images/catalogo-pdf/2026/02-12.pdf#page=10</t>
        </is>
      </c>
      <c r="P1171" s="11" t="inlineStr">
        <is>
          <t>https://website-9ib.pages.dev/termek/s-2-7x2500x6800-mm-rizs-mintas-alu-lemez-en-aw-5086-h32/</t>
        </is>
      </c>
      <c r="Q1171" s="12" t="inlineStr"/>
      <c r="R1171" s="13" t="inlineStr"/>
      <c r="S1171" s="6" t="inlineStr">
        <is>
          <t>s-2-7x2500x6800-mm-rizs-mintas-alu-lemez-en-aw-5086-h32</t>
        </is>
      </c>
    </row>
    <row r="1172">
      <c r="A1172" s="6" t="inlineStr"/>
      <c r="B1172" s="7" t="inlineStr">
        <is>
          <t>S 2x1250x2500 mm Rízs mintás Alu lemez EN AW-3003 H22</t>
        </is>
      </c>
      <c r="C1172" s="6" t="inlineStr">
        <is>
          <t>Alumínium lemezek</t>
        </is>
      </c>
      <c r="D1172" s="6" t="inlineStr">
        <is>
          <t>Cseppmintás lemez</t>
        </is>
      </c>
      <c r="E1172" s="6" t="inlineStr">
        <is>
          <t>RE-ALL</t>
        </is>
      </c>
      <c r="F1172" s="6" t="inlineStr">
        <is>
          <t>1100002</t>
        </is>
      </c>
      <c r="G1172" s="6" t="inlineStr">
        <is>
          <t>Quadris Excel</t>
        </is>
      </c>
      <c r="H1172" s="6" t="n">
        <v>3</v>
      </c>
      <c r="I1172" s="6" t="n">
        <v>8</v>
      </c>
      <c r="J1172" s="6" t="inlineStr">
        <is>
          <t>nincs</t>
        </is>
      </c>
      <c r="K1172" s="6">
        <f>IF(AND(H1172&gt;0,I1172&gt;0),"Rendben",IF(AND(H1172=0,I1172=0),"Nincs kép és adat",IF(H1172=0,"Nincs kép","Nincs adat")))</f>
        <v/>
      </c>
      <c r="L1172" s="6" t="inlineStr">
        <is>
          <t>Igen</t>
        </is>
      </c>
      <c r="M1172" s="7" t="inlineStr">
        <is>
          <t>re-all.it katalógusfejezetek (PDF) és oldaltérkép; RE-ALL 19 / 21 katalógus (Drive)</t>
        </is>
      </c>
      <c r="N1172" s="7" t="inlineStr">
        <is>
          <t>Nem találtuk: re-all.it katalógusfejezetek (PDF) és oldaltérkép; RE-ALL 19 / 21 katalógus (Drive); adatlap a Quadris-megnevezésből</t>
        </is>
      </c>
      <c r="O1172" s="6" t="inlineStr"/>
      <c r="P1172" s="11" t="inlineStr">
        <is>
          <t>https://website-9ib.pages.dev/termek/s-2x1250x2500-mm-rizs-mintas-alu-lemez-en-aw-3003-h22/</t>
        </is>
      </c>
      <c r="Q1172" s="12" t="inlineStr"/>
      <c r="R1172" s="13" t="inlineStr"/>
      <c r="S1172" s="6" t="inlineStr">
        <is>
          <t>s-2x1250x2500-mm-rizs-mintas-alu-lemez-en-aw-3003-h22</t>
        </is>
      </c>
    </row>
    <row r="1173">
      <c r="A1173" s="6" t="inlineStr">
        <is>
          <t>221902</t>
        </is>
      </c>
      <c r="B1173" s="7" t="inlineStr">
        <is>
          <t>Bordázott padló profil 200/40 mm</t>
        </is>
      </c>
      <c r="C1173" s="6" t="inlineStr">
        <is>
          <t>Alumínium padló profilok</t>
        </is>
      </c>
      <c r="D1173" s="6" t="inlineStr">
        <is>
          <t>Padló profilok</t>
        </is>
      </c>
      <c r="E1173" s="6" t="inlineStr">
        <is>
          <t>RE-ALL</t>
        </is>
      </c>
      <c r="F1173" s="6" t="inlineStr">
        <is>
          <t>1900002</t>
        </is>
      </c>
      <c r="G1173" s="6" t="inlineStr">
        <is>
          <t>Quadris Excel</t>
        </is>
      </c>
      <c r="H1173" s="6" t="n">
        <v>1</v>
      </c>
      <c r="I1173" s="6" t="n">
        <v>5</v>
      </c>
      <c r="J1173" s="6" t="inlineStr">
        <is>
          <t>nincs</t>
        </is>
      </c>
      <c r="K1173" s="6">
        <f>IF(AND(H1173&gt;0,I1173&gt;0),"Rendben",IF(AND(H1173=0,I1173=0),"Nincs kép és adat",IF(H1173=0,"Nincs kép","Nincs adat")))</f>
        <v/>
      </c>
      <c r="L1173" s="6" t="inlineStr">
        <is>
          <t>Igen</t>
        </is>
      </c>
      <c r="M1173" s="7" t="inlineStr">
        <is>
          <t>re-all.it katalógusfejezetek (PDF) és oldaltérkép; RE-ALL 19 / 21 katalógus (Drive)</t>
        </is>
      </c>
      <c r="N1173" s="7" t="inlineStr">
        <is>
          <t>Megtalálva: RE-ALL katalógus 19.pdf (kód: 1900002)</t>
        </is>
      </c>
      <c r="O1173" s="11" t="inlineStr">
        <is>
          <t>https://www.re-all.it/images/catalogo-pdf/2026/19.pdf#page=3</t>
        </is>
      </c>
      <c r="P1173" s="11" t="inlineStr">
        <is>
          <t>https://website-9ib.pages.dev/termek/221902-bordazott-padlo-profil-200-40-mm/</t>
        </is>
      </c>
      <c r="Q1173" s="12" t="inlineStr"/>
      <c r="R1173" s="13" t="inlineStr"/>
      <c r="S1173" s="6" t="inlineStr">
        <is>
          <t>221902-bordazott-padlo-profil-200-40-mm</t>
        </is>
      </c>
    </row>
    <row r="1174">
      <c r="A1174" s="6" t="inlineStr">
        <is>
          <t>103925</t>
        </is>
      </c>
      <c r="B1174" s="7" t="inlineStr">
        <is>
          <t>Sarok elem 35/35 R profilhoz</t>
        </is>
      </c>
      <c r="C1174" s="6" t="inlineStr">
        <is>
          <t>Dobozos felépítmény alkatrészek</t>
        </is>
      </c>
      <c r="D1174" s="6" t="inlineStr">
        <is>
          <t>Egyéb dobozos felépítmény tartozékok</t>
        </is>
      </c>
      <c r="E1174" s="6" t="inlineStr">
        <is>
          <t>RE-ALL</t>
        </is>
      </c>
      <c r="F1174" s="6" t="inlineStr">
        <is>
          <t>3900125</t>
        </is>
      </c>
      <c r="G1174" s="6" t="inlineStr">
        <is>
          <t>Quadris Excel</t>
        </is>
      </c>
      <c r="H1174" s="6" t="n">
        <v>1</v>
      </c>
      <c r="I1174" s="6" t="n">
        <v>2</v>
      </c>
      <c r="J1174" s="6" t="inlineStr">
        <is>
          <t>nincs</t>
        </is>
      </c>
      <c r="K1174" s="6">
        <f>IF(AND(H1174&gt;0,I1174&gt;0),"Rendben",IF(AND(H1174=0,I1174=0),"Nincs kép és adat",IF(H1174=0,"Nincs kép","Nincs adat")))</f>
        <v/>
      </c>
      <c r="L1174" s="6" t="inlineStr">
        <is>
          <t>Igen</t>
        </is>
      </c>
      <c r="M1174" s="7" t="inlineStr">
        <is>
          <t>re-all.it katalógusfejezetek (PDF) és oldaltérkép; RE-ALL 19 / 21 katalógus (Drive)</t>
        </is>
      </c>
      <c r="N1174" s="7" t="inlineStr">
        <is>
          <t>Megtalálva: RE-ALL katalógus 21.pdf (kód: 3900125)</t>
        </is>
      </c>
      <c r="O1174" s="11" t="inlineStr">
        <is>
          <t>https://www.re-all.it/images/catalogo-pdf/2026/21.pdf#page=4</t>
        </is>
      </c>
      <c r="P1174" s="11" t="inlineStr">
        <is>
          <t>https://website-9ib.pages.dev/termek/103925-sarok-elem-35-35-r-profilhoz/</t>
        </is>
      </c>
      <c r="Q1174" s="12" t="inlineStr"/>
      <c r="R1174" s="13" t="inlineStr"/>
      <c r="S1174" s="6" t="inlineStr">
        <is>
          <t>103925-sarok-elem-35-35-r-profilhoz</t>
        </is>
      </c>
    </row>
    <row r="1175">
      <c r="A1175" s="6" t="inlineStr">
        <is>
          <t>6621620</t>
        </is>
      </c>
      <c r="B1175" s="7" t="inlineStr">
        <is>
          <t>OR MIDI Első oszlop alu elox</t>
        </is>
      </c>
      <c r="C1175" s="6" t="inlineStr">
        <is>
          <t>Elhúzható rolóponyvás rendszer</t>
        </is>
      </c>
      <c r="D1175" s="6" t="inlineStr">
        <is>
          <t>Alumínium sarok oszlopok</t>
        </is>
      </c>
      <c r="E1175" s="6" t="inlineStr">
        <is>
          <t>RE-ALL</t>
        </is>
      </c>
      <c r="F1175" s="6" t="inlineStr">
        <is>
          <t>2100062</t>
        </is>
      </c>
      <c r="G1175" s="6" t="inlineStr">
        <is>
          <t>Quadris Excel</t>
        </is>
      </c>
      <c r="H1175" s="6" t="n">
        <v>1</v>
      </c>
      <c r="I1175" s="6" t="n">
        <v>2</v>
      </c>
      <c r="J1175" s="6" t="inlineStr">
        <is>
          <t>nincs</t>
        </is>
      </c>
      <c r="K1175" s="6">
        <f>IF(AND(H1175&gt;0,I1175&gt;0),"Rendben",IF(AND(H1175=0,I1175=0),"Nincs kép és adat",IF(H1175=0,"Nincs kép","Nincs adat")))</f>
        <v/>
      </c>
      <c r="L1175" s="6" t="inlineStr">
        <is>
          <t>Igen</t>
        </is>
      </c>
      <c r="M1175" s="7" t="inlineStr">
        <is>
          <t>re-all.it katalógusfejezetek (PDF) és oldaltérkép; RE-ALL 19 / 21 katalógus (Drive)</t>
        </is>
      </c>
      <c r="N1175" s="7" t="inlineStr">
        <is>
          <t>Megtalálva: RE-ALL katalógus 21.pdf (kód: 2100062)</t>
        </is>
      </c>
      <c r="O1175" s="11" t="inlineStr">
        <is>
          <t>https://www.re-all.it/images/catalogo-pdf/2026/21.pdf#page=12</t>
        </is>
      </c>
      <c r="P1175" s="11" t="inlineStr">
        <is>
          <t>https://website-9ib.pages.dev/termek/6621620-or-midi-elso-oszlop-alu-elox/</t>
        </is>
      </c>
      <c r="Q1175" s="12" t="inlineStr"/>
      <c r="R1175" s="13" t="inlineStr"/>
      <c r="S1175" s="6" t="inlineStr">
        <is>
          <t>6621620-or-midi-elso-oszlop-alu-elox</t>
        </is>
      </c>
    </row>
    <row r="1176">
      <c r="A1176" s="6" t="inlineStr">
        <is>
          <t>6621640</t>
        </is>
      </c>
      <c r="B1176" s="7" t="inlineStr">
        <is>
          <t>OR MIDI Hátsó oszlop alu elox</t>
        </is>
      </c>
      <c r="C1176" s="6" t="inlineStr">
        <is>
          <t>Elhúzható rolóponyvás rendszer</t>
        </is>
      </c>
      <c r="D1176" s="6" t="inlineStr">
        <is>
          <t>Alumínium sarok oszlopok</t>
        </is>
      </c>
      <c r="E1176" s="6" t="inlineStr">
        <is>
          <t>RE-ALL</t>
        </is>
      </c>
      <c r="F1176" s="6" t="inlineStr">
        <is>
          <t>2100064</t>
        </is>
      </c>
      <c r="G1176" s="6" t="inlineStr">
        <is>
          <t>Quadris Excel</t>
        </is>
      </c>
      <c r="H1176" s="6" t="n">
        <v>1</v>
      </c>
      <c r="I1176" s="6" t="n">
        <v>2</v>
      </c>
      <c r="J1176" s="6" t="inlineStr">
        <is>
          <t>nincs</t>
        </is>
      </c>
      <c r="K1176" s="6">
        <f>IF(AND(H1176&gt;0,I1176&gt;0),"Rendben",IF(AND(H1176=0,I1176=0),"Nincs kép és adat",IF(H1176=0,"Nincs kép","Nincs adat")))</f>
        <v/>
      </c>
      <c r="L1176" s="6" t="inlineStr">
        <is>
          <t>Igen</t>
        </is>
      </c>
      <c r="M1176" s="7" t="inlineStr">
        <is>
          <t>re-all.it katalógusfejezetek (PDF) és oldaltérkép; RE-ALL 19 / 21 katalógus (Drive)</t>
        </is>
      </c>
      <c r="N1176" s="7" t="inlineStr">
        <is>
          <t>Megtalálva: RE-ALL katalógus 21.pdf (kód: 2100064)</t>
        </is>
      </c>
      <c r="O1176" s="11" t="inlineStr">
        <is>
          <t>https://www.re-all.it/images/catalogo-pdf/2026/21.pdf#page=12</t>
        </is>
      </c>
      <c r="P1176" s="11" t="inlineStr">
        <is>
          <t>https://website-9ib.pages.dev/termek/6621640-or-midi-hatso-oszlop-alu-elox/</t>
        </is>
      </c>
      <c r="Q1176" s="12" t="inlineStr"/>
      <c r="R1176" s="13" t="inlineStr"/>
      <c r="S1176" s="6" t="inlineStr">
        <is>
          <t>6621640-or-midi-hatso-oszlop-alu-elox</t>
        </is>
      </c>
    </row>
    <row r="1177">
      <c r="A1177" s="6" t="inlineStr">
        <is>
          <t>254508</t>
        </is>
      </c>
      <c r="B1177" s="7" t="inlineStr">
        <is>
          <t>20x20x2 Alu "L" profil</t>
        </is>
      </c>
      <c r="C1177" s="6" t="inlineStr">
        <is>
          <t>Ipari félgyártmányok</t>
        </is>
      </c>
      <c r="D1177" s="6" t="inlineStr">
        <is>
          <t>L profil</t>
        </is>
      </c>
      <c r="E1177" s="6" t="inlineStr">
        <is>
          <t>RE-ALL</t>
        </is>
      </c>
      <c r="F1177" s="6" t="inlineStr">
        <is>
          <t>1304510</t>
        </is>
      </c>
      <c r="G1177" s="6" t="inlineStr">
        <is>
          <t>Quadris Excel</t>
        </is>
      </c>
      <c r="H1177" s="6" t="n">
        <v>3</v>
      </c>
      <c r="I1177" s="6" t="n">
        <v>3</v>
      </c>
      <c r="J1177" s="6" t="inlineStr">
        <is>
          <t>nincs</t>
        </is>
      </c>
      <c r="K1177" s="6">
        <f>IF(AND(H1177&gt;0,I1177&gt;0),"Rendben",IF(AND(H1177=0,I1177=0),"Nincs kép és adat",IF(H1177=0,"Nincs kép","Nincs adat")))</f>
        <v/>
      </c>
      <c r="L1177" s="6" t="inlineStr">
        <is>
          <t>Igen</t>
        </is>
      </c>
      <c r="M1177" s="7" t="inlineStr">
        <is>
          <t>re-all.it katalógusfejezetek (PDF) és oldaltérkép; RE-ALL 19 / 21 katalógus (Drive)</t>
        </is>
      </c>
      <c r="N1177" s="7" t="inlineStr">
        <is>
          <t>Megtalálva: RE-ALL katalógus 13-15.pdf (kód: 1304510)</t>
        </is>
      </c>
      <c r="O1177" s="11" t="inlineStr">
        <is>
          <t>https://www.re-all.it/images/catalogo-pdf/2026/13-15.pdf#page=19</t>
        </is>
      </c>
      <c r="P1177" s="11" t="inlineStr">
        <is>
          <t>https://website-9ib.pages.dev/termek/254508-20x20x2-alu-l-profil/</t>
        </is>
      </c>
      <c r="Q1177" s="12" t="inlineStr"/>
      <c r="R1177" s="13" t="inlineStr"/>
      <c r="S1177" s="6" t="inlineStr">
        <is>
          <t>254508-20x20x2-alu-l-profil</t>
        </is>
      </c>
    </row>
    <row r="1178">
      <c r="A1178" s="6" t="inlineStr">
        <is>
          <t>252502</t>
        </is>
      </c>
      <c r="B1178" s="7" t="inlineStr">
        <is>
          <t>25x25x2 Alu "L" profil</t>
        </is>
      </c>
      <c r="C1178" s="6" t="inlineStr">
        <is>
          <t>Ipari félgyártmányok</t>
        </is>
      </c>
      <c r="D1178" s="6" t="inlineStr">
        <is>
          <t>L profil</t>
        </is>
      </c>
      <c r="E1178" s="6" t="inlineStr">
        <is>
          <t>RE-ALL</t>
        </is>
      </c>
      <c r="F1178" s="6" t="inlineStr">
        <is>
          <t>1304540</t>
        </is>
      </c>
      <c r="G1178" s="6" t="inlineStr">
        <is>
          <t>Quadris Excel</t>
        </is>
      </c>
      <c r="H1178" s="6" t="n">
        <v>3</v>
      </c>
      <c r="I1178" s="6" t="n">
        <v>3</v>
      </c>
      <c r="J1178" s="6" t="inlineStr">
        <is>
          <t>nincs</t>
        </is>
      </c>
      <c r="K1178" s="6">
        <f>IF(AND(H1178&gt;0,I1178&gt;0),"Rendben",IF(AND(H1178=0,I1178=0),"Nincs kép és adat",IF(H1178=0,"Nincs kép","Nincs adat")))</f>
        <v/>
      </c>
      <c r="L1178" s="6" t="inlineStr">
        <is>
          <t>Igen</t>
        </is>
      </c>
      <c r="M1178" s="7" t="inlineStr">
        <is>
          <t>re-all.it katalógusfejezetek (PDF) és oldaltérkép; RE-ALL 19 / 21 katalógus (Drive)</t>
        </is>
      </c>
      <c r="N1178" s="7" t="inlineStr">
        <is>
          <t>Megtalálva: RE-ALL katalógus 13-15.pdf (kód: 1304540)</t>
        </is>
      </c>
      <c r="O1178" s="11" t="inlineStr">
        <is>
          <t>https://www.re-all.it/images/catalogo-pdf/2026/13-15.pdf#page=19</t>
        </is>
      </c>
      <c r="P1178" s="11" t="inlineStr">
        <is>
          <t>https://website-9ib.pages.dev/termek/252502-25x25x2-alu-l-profil/</t>
        </is>
      </c>
      <c r="Q1178" s="12" t="inlineStr"/>
      <c r="R1178" s="13" t="inlineStr"/>
      <c r="S1178" s="6" t="inlineStr">
        <is>
          <t>252502-25x25x2-alu-l-profil</t>
        </is>
      </c>
    </row>
    <row r="1179">
      <c r="A1179" s="6" t="inlineStr">
        <is>
          <t>251160</t>
        </is>
      </c>
      <c r="B1179" s="7" t="inlineStr">
        <is>
          <t>40x20 mm Alu lapos profil</t>
        </is>
      </c>
      <c r="C1179" s="6" t="inlineStr">
        <is>
          <t>Ipari félgyártmányok</t>
        </is>
      </c>
      <c r="D1179" s="6" t="inlineStr">
        <is>
          <t>Lapos profil</t>
        </is>
      </c>
      <c r="E1179" s="6" t="inlineStr">
        <is>
          <t>RE-ALL</t>
        </is>
      </c>
      <c r="F1179" s="6" t="inlineStr">
        <is>
          <t>15-01160</t>
        </is>
      </c>
      <c r="G1179" s="6" t="inlineStr">
        <is>
          <t>Quadris Excel</t>
        </is>
      </c>
      <c r="H1179" s="6" t="n">
        <v>1</v>
      </c>
      <c r="I1179" s="6" t="n">
        <v>4</v>
      </c>
      <c r="J1179" s="6" t="inlineStr">
        <is>
          <t>nincs</t>
        </is>
      </c>
      <c r="K1179" s="6">
        <f>IF(AND(H1179&gt;0,I1179&gt;0),"Rendben",IF(AND(H1179=0,I1179=0),"Nincs kép és adat",IF(H1179=0,"Nincs kép","Nincs adat")))</f>
        <v/>
      </c>
      <c r="L1179" s="6" t="inlineStr">
        <is>
          <t>Igen</t>
        </is>
      </c>
      <c r="M1179" s="7" t="inlineStr">
        <is>
          <t>re-all.it katalógusfejezetek (PDF) és oldaltérkép; RE-ALL 19 / 21 katalógus (Drive)</t>
        </is>
      </c>
      <c r="N1179" s="7" t="inlineStr">
        <is>
          <t>Megtalálva: RE-ALL katalógus 13-15.pdf (kód: 15-01160)</t>
        </is>
      </c>
      <c r="O1179" s="11" t="inlineStr">
        <is>
          <t>https://www.re-all.it/images/catalogo-pdf/2026/13-15.pdf#page=11</t>
        </is>
      </c>
      <c r="P1179" s="11" t="inlineStr">
        <is>
          <t>https://website-9ib.pages.dev/termek/251160-40x20-mm-alu-lapos-profil/</t>
        </is>
      </c>
      <c r="Q1179" s="12" t="inlineStr"/>
      <c r="R1179" s="13" t="inlineStr"/>
      <c r="S1179" s="6" t="inlineStr">
        <is>
          <t>251160-40x20-mm-alu-lapos-profil</t>
        </is>
      </c>
    </row>
    <row r="1180">
      <c r="A1180" s="6" t="inlineStr">
        <is>
          <t>250403</t>
        </is>
      </c>
      <c r="B1180" s="7" t="inlineStr">
        <is>
          <t>40x40x3 Alu "L" profil</t>
        </is>
      </c>
      <c r="C1180" s="6" t="inlineStr">
        <is>
          <t>Ipari félgyártmányok</t>
        </is>
      </c>
      <c r="D1180" s="6" t="inlineStr">
        <is>
          <t>L profil</t>
        </is>
      </c>
      <c r="E1180" s="6" t="inlineStr">
        <is>
          <t>RE-ALL</t>
        </is>
      </c>
      <c r="F1180" s="6" t="inlineStr">
        <is>
          <t>1304605</t>
        </is>
      </c>
      <c r="G1180" s="6" t="inlineStr">
        <is>
          <t>Quadris Excel</t>
        </is>
      </c>
      <c r="H1180" s="6" t="n">
        <v>3</v>
      </c>
      <c r="I1180" s="6" t="n">
        <v>3</v>
      </c>
      <c r="J1180" s="6" t="inlineStr">
        <is>
          <t>nincs</t>
        </is>
      </c>
      <c r="K1180" s="6">
        <f>IF(AND(H1180&gt;0,I1180&gt;0),"Rendben",IF(AND(H1180=0,I1180=0),"Nincs kép és adat",IF(H1180=0,"Nincs kép","Nincs adat")))</f>
        <v/>
      </c>
      <c r="L1180" s="6" t="inlineStr">
        <is>
          <t>Igen</t>
        </is>
      </c>
      <c r="M1180" s="7" t="inlineStr">
        <is>
          <t>re-all.it katalógusfejezetek (PDF) és oldaltérkép; RE-ALL 19 / 21 katalógus (Drive)</t>
        </is>
      </c>
      <c r="N1180" s="7" t="inlineStr">
        <is>
          <t>Megtalálva: RE-ALL katalógus 13-15.pdf (kód: 1304605)</t>
        </is>
      </c>
      <c r="O1180" s="11" t="inlineStr">
        <is>
          <t>https://www.re-all.it/images/catalogo-pdf/2026/13-15.pdf#page=19</t>
        </is>
      </c>
      <c r="P1180" s="11" t="inlineStr">
        <is>
          <t>https://website-9ib.pages.dev/termek/250403-40x40x3-alu-l-profil/</t>
        </is>
      </c>
      <c r="Q1180" s="12" t="inlineStr"/>
      <c r="R1180" s="13" t="inlineStr"/>
      <c r="S1180" s="6" t="inlineStr">
        <is>
          <t>250403-40x40x3-alu-l-profil</t>
        </is>
      </c>
    </row>
    <row r="1181">
      <c r="A1181" s="6" t="inlineStr">
        <is>
          <t>226915</t>
        </is>
      </c>
      <c r="B1181" s="7" t="inlineStr">
        <is>
          <t>30 mm Szegő profil elox</t>
        </is>
      </c>
      <c r="C1181" s="6" t="inlineStr">
        <is>
          <t>Platós és ponyvás oldalfal profilok és szegők</t>
        </is>
      </c>
      <c r="D1181" s="6" t="inlineStr">
        <is>
          <t>Szegő profilok</t>
        </is>
      </c>
      <c r="E1181" s="6" t="inlineStr">
        <is>
          <t>RE-ALL</t>
        </is>
      </c>
      <c r="F1181" s="6" t="inlineStr">
        <is>
          <t>1700120</t>
        </is>
      </c>
      <c r="G1181" s="6" t="inlineStr">
        <is>
          <t>Quadris Excel</t>
        </is>
      </c>
      <c r="H1181" s="6" t="n">
        <v>1</v>
      </c>
      <c r="I1181" s="6" t="n">
        <v>3</v>
      </c>
      <c r="J1181" s="6" t="inlineStr">
        <is>
          <t>nincs</t>
        </is>
      </c>
      <c r="K1181" s="6">
        <f>IF(AND(H1181&gt;0,I1181&gt;0),"Rendben",IF(AND(H1181=0,I1181=0),"Nincs kép és adat",IF(H1181=0,"Nincs kép","Nincs adat")))</f>
        <v/>
      </c>
      <c r="L1181" s="6" t="inlineStr">
        <is>
          <t>Igen</t>
        </is>
      </c>
      <c r="M1181" s="7" t="inlineStr">
        <is>
          <t>re-all.it katalógusfejezetek (PDF) és oldaltérkép; RE-ALL 19 / 21 katalógus (Drive)</t>
        </is>
      </c>
      <c r="N1181" s="7" t="inlineStr">
        <is>
          <t>Megtalálva: RE-ALL katalógus 16-17.pdf (kód: 1700120)</t>
        </is>
      </c>
      <c r="O1181" s="11" t="inlineStr">
        <is>
          <t>https://www.re-all.it/images/catalogo-pdf/2026/16-17.pdf#page=15</t>
        </is>
      </c>
      <c r="P1181" s="11" t="inlineStr">
        <is>
          <t>https://website-9ib.pages.dev/termek/226915-30-mm-szego-profil-elox/</t>
        </is>
      </c>
      <c r="Q1181" s="12" t="inlineStr"/>
      <c r="R1181" s="13" t="inlineStr"/>
      <c r="S1181" s="6" t="inlineStr">
        <is>
          <t>226915-30-mm-szego-profil-elox</t>
        </is>
      </c>
    </row>
    <row r="1182">
      <c r="A1182" s="6" t="inlineStr">
        <is>
          <t>247174</t>
        </is>
      </c>
      <c r="B1182" s="7" t="inlineStr">
        <is>
          <t>Bill. alsó hosszú szakálas profil 150/30 elox</t>
        </is>
      </c>
      <c r="C1182" s="6" t="inlineStr">
        <is>
          <t>Platós és ponyvás oldalfal profilok és szegők</t>
        </is>
      </c>
      <c r="D1182" s="6" t="inlineStr">
        <is>
          <t>Alumínium billencs oldalfalak</t>
        </is>
      </c>
      <c r="E1182" s="6" t="inlineStr">
        <is>
          <t>RE-ALL</t>
        </is>
      </c>
      <c r="F1182" s="6" t="inlineStr">
        <is>
          <t>17-00174</t>
        </is>
      </c>
      <c r="G1182" s="6" t="inlineStr">
        <is>
          <t>Quadris Excel</t>
        </is>
      </c>
      <c r="H1182" s="6" t="n">
        <v>1</v>
      </c>
      <c r="I1182" s="6" t="n">
        <v>3</v>
      </c>
      <c r="J1182" s="6" t="inlineStr">
        <is>
          <t>nincs</t>
        </is>
      </c>
      <c r="K1182" s="6">
        <f>IF(AND(H1182&gt;0,I1182&gt;0),"Rendben",IF(AND(H1182=0,I1182=0),"Nincs kép és adat",IF(H1182=0,"Nincs kép","Nincs adat")))</f>
        <v/>
      </c>
      <c r="L1182" s="6" t="inlineStr">
        <is>
          <t>Igen</t>
        </is>
      </c>
      <c r="M1182" s="7" t="inlineStr">
        <is>
          <t>re-all.it katalógusfejezetek (PDF) és oldaltérkép; RE-ALL 19 / 21 katalógus (Drive)</t>
        </is>
      </c>
      <c r="N1182" s="7" t="inlineStr">
        <is>
          <t>Megtalálva: RE-ALL katalógus 16-17.pdf (kód: 17-00174)</t>
        </is>
      </c>
      <c r="O1182" s="11" t="inlineStr">
        <is>
          <t>https://www.re-all.it/images/catalogo-pdf/2026/16-17.pdf#page=17</t>
        </is>
      </c>
      <c r="P1182" s="11" t="inlineStr">
        <is>
          <t>https://website-9ib.pages.dev/termek/247174-bill-also-hosszu-szakalas-profil-150-30-elox/</t>
        </is>
      </c>
      <c r="Q1182" s="12" t="inlineStr"/>
      <c r="R1182" s="13" t="inlineStr"/>
      <c r="S1182" s="6" t="inlineStr">
        <is>
          <t>247174-bill-also-hosszu-szakalas-profil-150-30-elox</t>
        </is>
      </c>
    </row>
    <row r="1183">
      <c r="A1183" s="6" t="inlineStr">
        <is>
          <t>247152</t>
        </is>
      </c>
      <c r="B1183" s="7" t="inlineStr">
        <is>
          <t>Bill. felső profil 200/30 mm elox</t>
        </is>
      </c>
      <c r="C1183" s="6" t="inlineStr">
        <is>
          <t>Platós és ponyvás oldalfal profilok és szegők</t>
        </is>
      </c>
      <c r="D1183" s="6" t="inlineStr">
        <is>
          <t>Alumínium billencs oldalfalak</t>
        </is>
      </c>
      <c r="E1183" s="6" t="inlineStr">
        <is>
          <t>RE-ALL</t>
        </is>
      </c>
      <c r="F1183" s="6" t="inlineStr">
        <is>
          <t>17-00152</t>
        </is>
      </c>
      <c r="G1183" s="6" t="inlineStr">
        <is>
          <t>Quadris Excel</t>
        </is>
      </c>
      <c r="H1183" s="6" t="n">
        <v>1</v>
      </c>
      <c r="I1183" s="6" t="n">
        <v>3</v>
      </c>
      <c r="J1183" s="6" t="inlineStr">
        <is>
          <t>nincs</t>
        </is>
      </c>
      <c r="K1183" s="6">
        <f>IF(AND(H1183&gt;0,I1183&gt;0),"Rendben",IF(AND(H1183=0,I1183=0),"Nincs kép és adat",IF(H1183=0,"Nincs kép","Nincs adat")))</f>
        <v/>
      </c>
      <c r="L1183" s="6" t="inlineStr">
        <is>
          <t>Igen</t>
        </is>
      </c>
      <c r="M1183" s="7" t="inlineStr">
        <is>
          <t>re-all.it katalógusfejezetek (PDF) és oldaltérkép; RE-ALL 19 / 21 katalógus (Drive)</t>
        </is>
      </c>
      <c r="N1183" s="7" t="inlineStr">
        <is>
          <t>Megtalálva: RE-ALL katalógus 16-17.pdf (kód: 17-00152)</t>
        </is>
      </c>
      <c r="O1183" s="11" t="inlineStr">
        <is>
          <t>https://www.re-all.it/images/catalogo-pdf/2026/16-17.pdf#page=16</t>
        </is>
      </c>
      <c r="P1183" s="11" t="inlineStr">
        <is>
          <t>https://website-9ib.pages.dev/termek/247152-bill-felso-profil-200-30-mm-elox/</t>
        </is>
      </c>
      <c r="Q1183" s="12" t="inlineStr"/>
      <c r="R1183" s="13" t="inlineStr"/>
      <c r="S1183" s="6" t="inlineStr">
        <is>
          <t>247152-bill-felso-profil-200-30-mm-elox</t>
        </is>
      </c>
    </row>
    <row r="1184">
      <c r="A1184" s="6" t="inlineStr">
        <is>
          <t>247162</t>
        </is>
      </c>
      <c r="B1184" s="7" t="inlineStr">
        <is>
          <t>Bill. köztes profil 100/30 mm elox</t>
        </is>
      </c>
      <c r="C1184" s="6" t="inlineStr">
        <is>
          <t>Platós és ponyvás oldalfal profilok és szegők</t>
        </is>
      </c>
      <c r="D1184" s="6" t="inlineStr">
        <is>
          <t>Alumínium billencs oldalfalak</t>
        </is>
      </c>
      <c r="E1184" s="6" t="inlineStr">
        <is>
          <t>RE-ALL</t>
        </is>
      </c>
      <c r="F1184" s="6" t="inlineStr">
        <is>
          <t>17-00162</t>
        </is>
      </c>
      <c r="G1184" s="6" t="inlineStr">
        <is>
          <t>Quadris Excel</t>
        </is>
      </c>
      <c r="H1184" s="6" t="n">
        <v>1</v>
      </c>
      <c r="I1184" s="6" t="n">
        <v>3</v>
      </c>
      <c r="J1184" s="6" t="inlineStr">
        <is>
          <t>nincs</t>
        </is>
      </c>
      <c r="K1184" s="6">
        <f>IF(AND(H1184&gt;0,I1184&gt;0),"Rendben",IF(AND(H1184=0,I1184=0),"Nincs kép és adat",IF(H1184=0,"Nincs kép","Nincs adat")))</f>
        <v/>
      </c>
      <c r="L1184" s="6" t="inlineStr">
        <is>
          <t>Igen</t>
        </is>
      </c>
      <c r="M1184" s="7" t="inlineStr">
        <is>
          <t>re-all.it katalógusfejezetek (PDF) és oldaltérkép; RE-ALL 19 / 21 katalógus (Drive)</t>
        </is>
      </c>
      <c r="N1184" s="7" t="inlineStr">
        <is>
          <t>Megtalálva: RE-ALL katalógus 16-17.pdf (kód: 17-00162)</t>
        </is>
      </c>
      <c r="O1184" s="11" t="inlineStr">
        <is>
          <t>https://www.re-all.it/images/catalogo-pdf/2026/16-17.pdf#page=16</t>
        </is>
      </c>
      <c r="P1184" s="11" t="inlineStr">
        <is>
          <t>https://website-9ib.pages.dev/termek/247162-bill-koztes-profil-100-30-mm-elox/</t>
        </is>
      </c>
      <c r="Q1184" s="12" t="inlineStr"/>
      <c r="R1184" s="13" t="inlineStr"/>
      <c r="S1184" s="6" t="inlineStr">
        <is>
          <t>247162-bill-koztes-profil-100-30-mm-elox</t>
        </is>
      </c>
    </row>
    <row r="1185">
      <c r="A1185" s="6" t="inlineStr">
        <is>
          <t>247180</t>
        </is>
      </c>
      <c r="B1185" s="7" t="inlineStr">
        <is>
          <t>Billencs alsó profil 200+45 mm/ 30 mm elox</t>
        </is>
      </c>
      <c r="C1185" s="6" t="inlineStr">
        <is>
          <t>Platós és ponyvás oldalfal profilok és szegők</t>
        </is>
      </c>
      <c r="D1185" s="6" t="inlineStr">
        <is>
          <t>Alumínium billencs oldalfalak</t>
        </is>
      </c>
      <c r="E1185" s="6" t="inlineStr">
        <is>
          <t>RE-ALL</t>
        </is>
      </c>
      <c r="F1185" s="6" t="inlineStr">
        <is>
          <t>17-00180</t>
        </is>
      </c>
      <c r="G1185" s="6" t="inlineStr">
        <is>
          <t>Quadris Excel</t>
        </is>
      </c>
      <c r="H1185" s="6" t="n">
        <v>1</v>
      </c>
      <c r="I1185" s="6" t="n">
        <v>3</v>
      </c>
      <c r="J1185" s="6" t="inlineStr">
        <is>
          <t>nincs</t>
        </is>
      </c>
      <c r="K1185" s="6">
        <f>IF(AND(H1185&gt;0,I1185&gt;0),"Rendben",IF(AND(H1185=0,I1185=0),"Nincs kép és adat",IF(H1185=0,"Nincs kép","Nincs adat")))</f>
        <v/>
      </c>
      <c r="L1185" s="6" t="inlineStr">
        <is>
          <t>Igen</t>
        </is>
      </c>
      <c r="M1185" s="7" t="inlineStr">
        <is>
          <t>re-all.it katalógusfejezetek (PDF) és oldaltérkép; RE-ALL 19 / 21 katalógus (Drive)</t>
        </is>
      </c>
      <c r="N1185" s="7" t="inlineStr">
        <is>
          <t>Megtalálva: RE-ALL katalógus 16-17.pdf (kód: 17-00180)</t>
        </is>
      </c>
      <c r="O1185" s="11" t="inlineStr">
        <is>
          <t>https://www.re-all.it/images/catalogo-pdf/2026/16-17.pdf#page=17</t>
        </is>
      </c>
      <c r="P1185" s="11" t="inlineStr">
        <is>
          <t>https://website-9ib.pages.dev/termek/247180-billencs-also-profil-200-45-mm-30-mm-elox/</t>
        </is>
      </c>
      <c r="Q1185" s="12" t="inlineStr"/>
      <c r="R1185" s="13" t="inlineStr"/>
      <c r="S1185" s="6" t="inlineStr">
        <is>
          <t>247180-billencs-also-profil-200-45-mm-30-mm-elox</t>
        </is>
      </c>
    </row>
    <row r="1186">
      <c r="A1186" s="6" t="inlineStr">
        <is>
          <t>247158</t>
        </is>
      </c>
      <c r="B1186" s="7" t="inlineStr">
        <is>
          <t>Billencs középső 200x30 mm profil</t>
        </is>
      </c>
      <c r="C1186" s="6" t="inlineStr">
        <is>
          <t>Platós és ponyvás oldalfal profilok és szegők</t>
        </is>
      </c>
      <c r="D1186" s="6" t="inlineStr">
        <is>
          <t>Alumínium billencs oldalfalak</t>
        </is>
      </c>
      <c r="E1186" s="6" t="inlineStr">
        <is>
          <t>RE-ALL</t>
        </is>
      </c>
      <c r="F1186" s="6" t="inlineStr">
        <is>
          <t>17-00158</t>
        </is>
      </c>
      <c r="G1186" s="6" t="inlineStr">
        <is>
          <t>Quadris Excel</t>
        </is>
      </c>
      <c r="H1186" s="6" t="n">
        <v>1</v>
      </c>
      <c r="I1186" s="6" t="n">
        <v>3</v>
      </c>
      <c r="J1186" s="6" t="inlineStr">
        <is>
          <t>nincs</t>
        </is>
      </c>
      <c r="K1186" s="6">
        <f>IF(AND(H1186&gt;0,I1186&gt;0),"Rendben",IF(AND(H1186=0,I1186=0),"Nincs kép és adat",IF(H1186=0,"Nincs kép","Nincs adat")))</f>
        <v/>
      </c>
      <c r="L1186" s="6" t="inlineStr">
        <is>
          <t>Igen</t>
        </is>
      </c>
      <c r="M1186" s="7" t="inlineStr">
        <is>
          <t>re-all.it katalógusfejezetek (PDF) és oldaltérkép; RE-ALL 19 / 21 katalógus (Drive)</t>
        </is>
      </c>
      <c r="N1186" s="7" t="inlineStr">
        <is>
          <t>Megtalálva: RE-ALL katalógus 16-17.pdf (kód: 17-00158)</t>
        </is>
      </c>
      <c r="O1186" s="11" t="inlineStr">
        <is>
          <t>https://www.re-all.it/images/catalogo-pdf/2026/16-17.pdf#page=16</t>
        </is>
      </c>
      <c r="P1186" s="11" t="inlineStr">
        <is>
          <t>https://website-9ib.pages.dev/termek/247158-billencs-kozepso-200x30-mm-profil/</t>
        </is>
      </c>
      <c r="Q1186" s="12" t="inlineStr"/>
      <c r="R1186" s="13" t="inlineStr"/>
      <c r="S1186" s="6" t="inlineStr">
        <is>
          <t>247158-billencs-kozepso-200x30-mm-profil</t>
        </is>
      </c>
    </row>
    <row r="1187">
      <c r="A1187" s="6" t="inlineStr">
        <is>
          <t>380045</t>
        </is>
      </c>
      <c r="B1187" s="7" t="inlineStr">
        <is>
          <t>34mm feszítő cső alu profil</t>
        </is>
      </c>
      <c r="C1187" s="6" t="inlineStr">
        <is>
          <t>Ponyvarendszer kiegészítők</t>
        </is>
      </c>
      <c r="D1187" s="6" t="inlineStr">
        <is>
          <t>Ponyvafeszítő profilok és alkatrészei</t>
        </is>
      </c>
      <c r="E1187" s="6" t="inlineStr">
        <is>
          <t>RE-ALL</t>
        </is>
      </c>
      <c r="F1187" s="6" t="inlineStr">
        <is>
          <t>2100045</t>
        </is>
      </c>
      <c r="G1187" s="6" t="inlineStr">
        <is>
          <t>Quadris Excel</t>
        </is>
      </c>
      <c r="H1187" s="6" t="n">
        <v>1</v>
      </c>
      <c r="I1187" s="6" t="n">
        <v>3</v>
      </c>
      <c r="J1187" s="6" t="inlineStr">
        <is>
          <t>nincs</t>
        </is>
      </c>
      <c r="K1187" s="6">
        <f>IF(AND(H1187&gt;0,I1187&gt;0),"Rendben",IF(AND(H1187=0,I1187=0),"Nincs kép és adat",IF(H1187=0,"Nincs kép","Nincs adat")))</f>
        <v/>
      </c>
      <c r="L1187" s="6" t="inlineStr">
        <is>
          <t>Igen</t>
        </is>
      </c>
      <c r="M1187" s="7" t="inlineStr">
        <is>
          <t>re-all.it katalógusfejezetek (PDF) és oldaltérkép; RE-ALL 19 / 21 katalógus (Drive)</t>
        </is>
      </c>
      <c r="N1187" s="7" t="inlineStr">
        <is>
          <t>Megtalálva: RE-ALL katalógus 21.pdf (kód: 2100045)</t>
        </is>
      </c>
      <c r="O1187" s="11" t="inlineStr">
        <is>
          <t>https://www.re-all.it/images/catalogo-pdf/2026/21.pdf#page=8</t>
        </is>
      </c>
      <c r="P1187" s="11" t="inlineStr">
        <is>
          <t>https://website-9ib.pages.dev/termek/380045-34mm-feszito-cso-alu-profil/</t>
        </is>
      </c>
      <c r="Q1187" s="12" t="inlineStr"/>
      <c r="R1187" s="13" t="inlineStr"/>
      <c r="S1187" s="6" t="inlineStr">
        <is>
          <t>380045-34mm-feszito-cso-alu-profil</t>
        </is>
      </c>
    </row>
    <row r="1188">
      <c r="A1188" s="6" t="inlineStr">
        <is>
          <t>380035</t>
        </is>
      </c>
      <c r="B1188" s="7" t="inlineStr">
        <is>
          <t>Ponyvabeakasztó alu profil 55 mm elox</t>
        </is>
      </c>
      <c r="C1188" s="6" t="inlineStr">
        <is>
          <t>Ponyvarendszer kiegészítők</t>
        </is>
      </c>
      <c r="D1188" s="6" t="inlineStr">
        <is>
          <t>Ponyvafeszítő profilok és alkatrészei</t>
        </is>
      </c>
      <c r="E1188" s="6" t="inlineStr">
        <is>
          <t>RE-ALL</t>
        </is>
      </c>
      <c r="F1188" s="6" t="inlineStr">
        <is>
          <t>2100035</t>
        </is>
      </c>
      <c r="G1188" s="6" t="inlineStr">
        <is>
          <t>Quadris Excel</t>
        </is>
      </c>
      <c r="H1188" s="6" t="n">
        <v>1</v>
      </c>
      <c r="I1188" s="6" t="n">
        <v>3</v>
      </c>
      <c r="J1188" s="6" t="inlineStr">
        <is>
          <t>nincs</t>
        </is>
      </c>
      <c r="K1188" s="6">
        <f>IF(AND(H1188&gt;0,I1188&gt;0),"Rendben",IF(AND(H1188=0,I1188=0),"Nincs kép és adat",IF(H1188=0,"Nincs kép","Nincs adat")))</f>
        <v/>
      </c>
      <c r="L1188" s="6" t="inlineStr">
        <is>
          <t>Igen</t>
        </is>
      </c>
      <c r="M1188" s="7" t="inlineStr">
        <is>
          <t>re-all.it katalógusfejezetek (PDF) és oldaltérkép; RE-ALL 19 / 21 katalógus (Drive)</t>
        </is>
      </c>
      <c r="N1188" s="7" t="inlineStr">
        <is>
          <t>Megtalálva: RE-ALL katalógus 21.pdf (kód: 2100035)</t>
        </is>
      </c>
      <c r="O1188" s="11" t="inlineStr">
        <is>
          <t>https://www.re-all.it/images/catalogo-pdf/2026/21.pdf#page=7</t>
        </is>
      </c>
      <c r="P1188" s="11" t="inlineStr">
        <is>
          <t>https://website-9ib.pages.dev/termek/380035-ponyvabeakaszto-alu-profil-55-mm-elox/</t>
        </is>
      </c>
      <c r="Q1188" s="12" t="inlineStr"/>
      <c r="R1188" s="13" t="inlineStr"/>
      <c r="S1188" s="6" t="inlineStr">
        <is>
          <t>380035-ponyvabeakaszto-alu-profil-55-mm-elox</t>
        </is>
      </c>
    </row>
    <row r="1189">
      <c r="A1189" s="6" t="inlineStr">
        <is>
          <t>380033</t>
        </is>
      </c>
      <c r="B1189" s="7" t="inlineStr">
        <is>
          <t>Ponyvabeakasztó alu profil 60 mm elox</t>
        </is>
      </c>
      <c r="C1189" s="6" t="inlineStr">
        <is>
          <t>Ponyvarendszer kiegészítők</t>
        </is>
      </c>
      <c r="D1189" s="6" t="inlineStr">
        <is>
          <t>Ponyvafeszítő profilok és alkatrészei</t>
        </is>
      </c>
      <c r="E1189" s="6" t="inlineStr">
        <is>
          <t>RE-ALL</t>
        </is>
      </c>
      <c r="F1189" s="6" t="inlineStr">
        <is>
          <t>2100033</t>
        </is>
      </c>
      <c r="G1189" s="6" t="inlineStr">
        <is>
          <t>Quadris Excel</t>
        </is>
      </c>
      <c r="H1189" s="6" t="n">
        <v>1</v>
      </c>
      <c r="I1189" s="6" t="n">
        <v>3</v>
      </c>
      <c r="J1189" s="6" t="inlineStr">
        <is>
          <t>nincs</t>
        </is>
      </c>
      <c r="K1189" s="6">
        <f>IF(AND(H1189&gt;0,I1189&gt;0),"Rendben",IF(AND(H1189=0,I1189=0),"Nincs kép és adat",IF(H1189=0,"Nincs kép","Nincs adat")))</f>
        <v/>
      </c>
      <c r="L1189" s="6" t="inlineStr">
        <is>
          <t>Igen</t>
        </is>
      </c>
      <c r="M1189" s="7" t="inlineStr">
        <is>
          <t>re-all.it katalógusfejezetek (PDF) és oldaltérkép; RE-ALL 19 / 21 katalógus (Drive)</t>
        </is>
      </c>
      <c r="N1189" s="7" t="inlineStr">
        <is>
          <t>Megtalálva: RE-ALL katalógus 21.pdf (kód: 2100033)</t>
        </is>
      </c>
      <c r="O1189" s="11" t="inlineStr">
        <is>
          <t>https://www.re-all.it/images/catalogo-pdf/2026/21.pdf#page=7</t>
        </is>
      </c>
      <c r="P1189" s="11" t="inlineStr">
        <is>
          <t>https://website-9ib.pages.dev/termek/380033-ponyvabeakaszto-alu-profil-60-mm-elox/</t>
        </is>
      </c>
      <c r="Q1189" s="12" t="inlineStr"/>
      <c r="R1189" s="13" t="inlineStr"/>
      <c r="S1189" s="6" t="inlineStr">
        <is>
          <t>380033-ponyvabeakaszto-alu-profil-60-mm-elox</t>
        </is>
      </c>
    </row>
    <row r="1190">
      <c r="A1190" s="6" t="inlineStr">
        <is>
          <t>380034</t>
        </is>
      </c>
      <c r="B1190" s="7" t="inlineStr">
        <is>
          <t>Ponyvabeakasztó alu profil 80 mm elox</t>
        </is>
      </c>
      <c r="C1190" s="6" t="inlineStr">
        <is>
          <t>Ponyvarendszer kiegészítők</t>
        </is>
      </c>
      <c r="D1190" s="6" t="inlineStr">
        <is>
          <t>Ponyvafeszítő profilok és alkatrészei</t>
        </is>
      </c>
      <c r="E1190" s="6" t="inlineStr">
        <is>
          <t>RE-ALL</t>
        </is>
      </c>
      <c r="F1190" s="6" t="inlineStr">
        <is>
          <t>2100034</t>
        </is>
      </c>
      <c r="G1190" s="6" t="inlineStr">
        <is>
          <t>Quadris Excel</t>
        </is>
      </c>
      <c r="H1190" s="6" t="n">
        <v>1</v>
      </c>
      <c r="I1190" s="6" t="n">
        <v>3</v>
      </c>
      <c r="J1190" s="6" t="inlineStr">
        <is>
          <t>nincs</t>
        </is>
      </c>
      <c r="K1190" s="6">
        <f>IF(AND(H1190&gt;0,I1190&gt;0),"Rendben",IF(AND(H1190=0,I1190=0),"Nincs kép és adat",IF(H1190=0,"Nincs kép","Nincs adat")))</f>
        <v/>
      </c>
      <c r="L1190" s="6" t="inlineStr">
        <is>
          <t>Igen</t>
        </is>
      </c>
      <c r="M1190" s="7" t="inlineStr">
        <is>
          <t>re-all.it katalógusfejezetek (PDF) és oldaltérkép; RE-ALL 19 / 21 katalógus (Drive)</t>
        </is>
      </c>
      <c r="N1190" s="7" t="inlineStr">
        <is>
          <t>Megtalálva: RE-ALL katalógus 21.pdf (kód: 2100034)</t>
        </is>
      </c>
      <c r="O1190" s="11" t="inlineStr">
        <is>
          <t>https://www.re-all.it/images/catalogo-pdf/2026/21.pdf#page=7</t>
        </is>
      </c>
      <c r="P1190" s="11" t="inlineStr">
        <is>
          <t>https://website-9ib.pages.dev/termek/380034-ponyvabeakaszto-alu-profil-80-mm-elox/</t>
        </is>
      </c>
      <c r="Q1190" s="12" t="inlineStr"/>
      <c r="R1190" s="13" t="inlineStr"/>
      <c r="S1190" s="6" t="inlineStr">
        <is>
          <t>380034-ponyvabeakaszto-alu-profil-80-mm-elox</t>
        </is>
      </c>
    </row>
    <row r="1191">
      <c r="A1191" s="6" t="inlineStr">
        <is>
          <t>232010</t>
        </is>
      </c>
      <c r="B1191" s="7" t="inlineStr">
        <is>
          <t>20x10 "L" Profil natúr</t>
        </is>
      </c>
      <c r="C1191" s="6" t="inlineStr">
        <is>
          <t>Zárt-dobozos és hűtős profilok</t>
        </is>
      </c>
      <c r="D1191" s="6" t="inlineStr">
        <is>
          <t>Zárt-dobozos és hűtős profilok</t>
        </is>
      </c>
      <c r="E1191" s="6" t="inlineStr">
        <is>
          <t>RE-ALL</t>
        </is>
      </c>
      <c r="F1191" s="6" t="inlineStr"/>
      <c r="G1191" s="6" t="inlineStr">
        <is>
          <t>Quadris Excel</t>
        </is>
      </c>
      <c r="H1191" s="6" t="n">
        <v>3</v>
      </c>
      <c r="I1191" s="6" t="n">
        <v>2</v>
      </c>
      <c r="J1191" s="6" t="inlineStr">
        <is>
          <t>nincs</t>
        </is>
      </c>
      <c r="K1191" s="6">
        <f>IF(AND(H1191&gt;0,I1191&gt;0),"Rendben",IF(AND(H1191=0,I1191=0),"Nincs kép és adat",IF(H1191=0,"Nincs kép","Nincs adat")))</f>
        <v/>
      </c>
      <c r="L1191" s="6" t="inlineStr">
        <is>
          <t>Igen</t>
        </is>
      </c>
      <c r="M1191" s="7" t="inlineStr">
        <is>
          <t>re-all.it katalógusfejezetek (PDF) és oldaltérkép; RE-ALL 19 / 21 katalógus (Drive)</t>
        </is>
      </c>
      <c r="N1191" s="7" t="inlineStr">
        <is>
          <t>Nem találtuk: re-all.it katalógusfejezetek (PDF) és oldaltérkép; RE-ALL 19 / 21 katalógus (Drive); adatlap a Quadris-megnevezésből</t>
        </is>
      </c>
      <c r="O1191" s="6" t="inlineStr"/>
      <c r="P1191" s="11" t="inlineStr">
        <is>
          <t>https://website-9ib.pages.dev/termek/232010-20x10-l-profil-natur/</t>
        </is>
      </c>
      <c r="Q1191" s="12" t="inlineStr"/>
      <c r="R1191" s="13" t="inlineStr"/>
      <c r="S1191" s="6" t="inlineStr">
        <is>
          <t>232010-20x10-l-profil-natur</t>
        </is>
      </c>
    </row>
    <row r="1192">
      <c r="A1192" s="6" t="inlineStr">
        <is>
          <t>237000</t>
        </is>
      </c>
      <c r="B1192" s="7" t="inlineStr">
        <is>
          <t>25x25 mm íves sarokprofil elox</t>
        </is>
      </c>
      <c r="C1192" s="6" t="inlineStr">
        <is>
          <t>Zárt-dobozos és hűtős profilok</t>
        </is>
      </c>
      <c r="D1192" s="6" t="inlineStr">
        <is>
          <t>Zárt-dobozos és hűtős profilok</t>
        </is>
      </c>
      <c r="E1192" s="6" t="inlineStr">
        <is>
          <t>RE-ALL</t>
        </is>
      </c>
      <c r="F1192" s="6" t="inlineStr">
        <is>
          <t>T1.7000.1</t>
        </is>
      </c>
      <c r="G1192" s="6" t="inlineStr">
        <is>
          <t>Quadris Excel</t>
        </is>
      </c>
      <c r="H1192" s="6" t="n">
        <v>3</v>
      </c>
      <c r="I1192" s="6" t="n">
        <v>2</v>
      </c>
      <c r="J1192" s="6" t="inlineStr">
        <is>
          <t>nincs</t>
        </is>
      </c>
      <c r="K1192" s="6">
        <f>IF(AND(H1192&gt;0,I1192&gt;0),"Rendben",IF(AND(H1192=0,I1192=0),"Nincs kép és adat",IF(H1192=0,"Nincs kép","Nincs adat")))</f>
        <v/>
      </c>
      <c r="L1192" s="6" t="inlineStr">
        <is>
          <t>Igen</t>
        </is>
      </c>
      <c r="M1192" s="7" t="inlineStr">
        <is>
          <t>re-all.it katalógusfejezetek (PDF) és oldaltérkép; RE-ALL 19 / 21 katalógus (Drive)</t>
        </is>
      </c>
      <c r="N1192" s="7" t="inlineStr">
        <is>
          <t>Nem találtuk: re-all.it katalógusfejezetek (PDF) és oldaltérkép; RE-ALL 19 / 21 katalógus (Drive); adatlap a Quadris-megnevezésből</t>
        </is>
      </c>
      <c r="O1192" s="6" t="inlineStr"/>
      <c r="P1192" s="11" t="inlineStr">
        <is>
          <t>https://website-9ib.pages.dev/termek/237000-25x25-mm-ives-sarokprofil-elox/</t>
        </is>
      </c>
      <c r="Q1192" s="12" t="inlineStr"/>
      <c r="R1192" s="13" t="inlineStr"/>
      <c r="S1192" s="6" t="inlineStr">
        <is>
          <t>237000-25x25-mm-ives-sarokprofil-elox</t>
        </is>
      </c>
    </row>
    <row r="1193">
      <c r="A1193" s="6" t="inlineStr">
        <is>
          <t>232121</t>
        </is>
      </c>
      <c r="B1193" s="7" t="inlineStr">
        <is>
          <t>35x35 mm íves sarokprofil elox</t>
        </is>
      </c>
      <c r="C1193" s="6" t="inlineStr">
        <is>
          <t>Zárt-dobozos és hűtős profilok</t>
        </is>
      </c>
      <c r="D1193" s="6" t="inlineStr">
        <is>
          <t>Zárt-dobozos és hűtős profilok</t>
        </is>
      </c>
      <c r="E1193" s="6" t="inlineStr">
        <is>
          <t>RE-ALL</t>
        </is>
      </c>
      <c r="F1193" s="6" t="inlineStr">
        <is>
          <t>213838</t>
        </is>
      </c>
      <c r="G1193" s="6" t="inlineStr">
        <is>
          <t>Quadris Excel</t>
        </is>
      </c>
      <c r="H1193" s="6" t="n">
        <v>3</v>
      </c>
      <c r="I1193" s="6" t="n">
        <v>2</v>
      </c>
      <c r="J1193" s="6" t="inlineStr">
        <is>
          <t>nincs</t>
        </is>
      </c>
      <c r="K1193" s="6">
        <f>IF(AND(H1193&gt;0,I1193&gt;0),"Rendben",IF(AND(H1193=0,I1193=0),"Nincs kép és adat",IF(H1193=0,"Nincs kép","Nincs adat")))</f>
        <v/>
      </c>
      <c r="L1193" s="6" t="inlineStr">
        <is>
          <t>Igen</t>
        </is>
      </c>
      <c r="M1193" s="7" t="inlineStr">
        <is>
          <t>re-all.it katalógusfejezetek (PDF) és oldaltérkép; RE-ALL 19 / 21 katalógus (Drive)</t>
        </is>
      </c>
      <c r="N1193" s="7" t="inlineStr">
        <is>
          <t>Nem találtuk: re-all.it katalógusfejezetek (PDF) és oldaltérkép; RE-ALL 19 / 21 katalógus (Drive); adatlap a Quadris-megnevezésből</t>
        </is>
      </c>
      <c r="O1193" s="6" t="inlineStr"/>
      <c r="P1193" s="11" t="inlineStr">
        <is>
          <t>https://website-9ib.pages.dev/termek/232121-35x35-mm-ives-sarokprofil-elox/</t>
        </is>
      </c>
      <c r="Q1193" s="12" t="inlineStr"/>
      <c r="R1193" s="13" t="inlineStr"/>
      <c r="S1193" s="6" t="inlineStr">
        <is>
          <t>232121-35x35-mm-ives-sarokprofil-elox</t>
        </is>
      </c>
    </row>
    <row r="1194">
      <c r="A1194" s="6" t="inlineStr">
        <is>
          <t>232156</t>
        </is>
      </c>
      <c r="B1194" s="7" t="inlineStr">
        <is>
          <t>50x174 mm L Belső védőprofil</t>
        </is>
      </c>
      <c r="C1194" s="6" t="inlineStr">
        <is>
          <t>Zárt-dobozos és hűtős profilok</t>
        </is>
      </c>
      <c r="D1194" s="6" t="inlineStr">
        <is>
          <t>Zárt-dobozos és hűtős profilok</t>
        </is>
      </c>
      <c r="E1194" s="6" t="inlineStr">
        <is>
          <t>RE-ALL</t>
        </is>
      </c>
      <c r="F1194" s="6" t="inlineStr"/>
      <c r="G1194" s="6" t="inlineStr">
        <is>
          <t>Quadris Excel</t>
        </is>
      </c>
      <c r="H1194" s="6" t="n">
        <v>3</v>
      </c>
      <c r="I1194" s="6" t="n">
        <v>2</v>
      </c>
      <c r="J1194" s="6" t="inlineStr">
        <is>
          <t>nincs</t>
        </is>
      </c>
      <c r="K1194" s="6">
        <f>IF(AND(H1194&gt;0,I1194&gt;0),"Rendben",IF(AND(H1194=0,I1194=0),"Nincs kép és adat",IF(H1194=0,"Nincs kép","Nincs adat")))</f>
        <v/>
      </c>
      <c r="L1194" s="6" t="inlineStr">
        <is>
          <t>Igen</t>
        </is>
      </c>
      <c r="M1194" s="7" t="inlineStr">
        <is>
          <t>re-all.it katalógusfejezetek (PDF) és oldaltérkép; RE-ALL 19 / 21 katalógus (Drive)</t>
        </is>
      </c>
      <c r="N1194" s="7" t="inlineStr">
        <is>
          <t>Nem találtuk: re-all.it katalógusfejezetek (PDF) és oldaltérkép; RE-ALL 19 / 21 katalógus (Drive); adatlap a Quadris-megnevezésből</t>
        </is>
      </c>
      <c r="O1194" s="6" t="inlineStr"/>
      <c r="P1194" s="11" t="inlineStr">
        <is>
          <t>https://website-9ib.pages.dev/termek/232156-50x174-mm-l-belso-vedoprofil/</t>
        </is>
      </c>
      <c r="Q1194" s="12" t="inlineStr"/>
      <c r="R1194" s="13" t="inlineStr"/>
      <c r="S1194" s="6" t="inlineStr">
        <is>
          <t>232156-50x174-mm-l-belso-vedoprofil</t>
        </is>
      </c>
    </row>
    <row r="1195">
      <c r="A1195" s="6" t="inlineStr">
        <is>
          <t>232125</t>
        </is>
      </c>
      <c r="B1195" s="7" t="inlineStr">
        <is>
          <t>Dobozos keret elox OR 130 mm nyitott</t>
        </is>
      </c>
      <c r="C1195" s="6" t="inlineStr">
        <is>
          <t>Zárt-dobozos és hűtős profilok</t>
        </is>
      </c>
      <c r="D1195" s="6" t="inlineStr">
        <is>
          <t>Zárt-dobozos és hűtős profilok</t>
        </is>
      </c>
      <c r="E1195" s="6" t="inlineStr">
        <is>
          <t>RE-ALL</t>
        </is>
      </c>
      <c r="F1195" s="6" t="inlineStr">
        <is>
          <t>2100025</t>
        </is>
      </c>
      <c r="G1195" s="6" t="inlineStr">
        <is>
          <t>Quadris Excel</t>
        </is>
      </c>
      <c r="H1195" s="6" t="n">
        <v>1</v>
      </c>
      <c r="I1195" s="6" t="n">
        <v>5</v>
      </c>
      <c r="J1195" s="6" t="inlineStr">
        <is>
          <t>nincs</t>
        </is>
      </c>
      <c r="K1195" s="6">
        <f>IF(AND(H1195&gt;0,I1195&gt;0),"Rendben",IF(AND(H1195=0,I1195=0),"Nincs kép és adat",IF(H1195=0,"Nincs kép","Nincs adat")))</f>
        <v/>
      </c>
      <c r="L1195" s="6" t="inlineStr">
        <is>
          <t>Igen</t>
        </is>
      </c>
      <c r="M1195" s="7" t="inlineStr">
        <is>
          <t>re-all.it katalógusfejezetek (PDF) és oldaltérkép; RE-ALL 19 / 21 katalógus (Drive)</t>
        </is>
      </c>
      <c r="N1195" s="7" t="inlineStr">
        <is>
          <t>Megtalálva: RE-ALL katalógus 21.pdf (kód: 2100025)</t>
        </is>
      </c>
      <c r="O1195" s="11" t="inlineStr">
        <is>
          <t>https://www.re-all.it/images/catalogo-pdf/2026/21.pdf#page=5</t>
        </is>
      </c>
      <c r="P1195" s="11" t="inlineStr">
        <is>
          <t>https://website-9ib.pages.dev/termek/232125-dobozos-keret-elox-or-130-mm-nyitott/</t>
        </is>
      </c>
      <c r="Q1195" s="12" t="inlineStr"/>
      <c r="R1195" s="13" t="inlineStr"/>
      <c r="S1195" s="6" t="inlineStr">
        <is>
          <t>232125-dobozos-keret-elox-or-130-mm-nyitott</t>
        </is>
      </c>
    </row>
    <row r="1196">
      <c r="A1196" s="6" t="inlineStr">
        <is>
          <t>232129</t>
        </is>
      </c>
      <c r="B1196" s="7" t="inlineStr">
        <is>
          <t>OR Tömítéses ajtószegő 25 mm elox</t>
        </is>
      </c>
      <c r="C1196" s="6" t="inlineStr">
        <is>
          <t>Zárt-dobozos és hűtős profilok</t>
        </is>
      </c>
      <c r="D1196" s="6" t="inlineStr">
        <is>
          <t>Zárt-dobozos és hűtős profilok</t>
        </is>
      </c>
      <c r="E1196" s="6" t="inlineStr">
        <is>
          <t>RE-ALL</t>
        </is>
      </c>
      <c r="F1196" s="6" t="inlineStr">
        <is>
          <t>250062</t>
        </is>
      </c>
      <c r="G1196" s="6" t="inlineStr">
        <is>
          <t>Quadris Excel</t>
        </is>
      </c>
      <c r="H1196" s="6" t="n">
        <v>0</v>
      </c>
      <c r="I1196" s="6" t="n">
        <v>0</v>
      </c>
      <c r="J1196" s="6" t="inlineStr">
        <is>
          <t>nincs</t>
        </is>
      </c>
      <c r="K1196" s="6">
        <f>IF(AND(H1196&gt;0,I1196&gt;0),"Rendben",IF(AND(H1196=0,I1196=0),"Nincs kép és adat",IF(H1196=0,"Nincs kép","Nincs adat")))</f>
        <v/>
      </c>
      <c r="L1196" s="6" t="inlineStr">
        <is>
          <t>Igen</t>
        </is>
      </c>
      <c r="M1196" s="7" t="inlineStr">
        <is>
          <t>re-all.it katalógusfejezetek (PDF) és oldaltérkép; RE-ALL 19 / 21 katalógus (Drive)</t>
        </is>
      </c>
      <c r="N1196" s="7" t="inlineStr">
        <is>
          <t>Nem találtuk: re-all.it katalógusfejezetek (PDF) és oldaltérkép; RE-ALL 19 / 21 katalógus (Drive)</t>
        </is>
      </c>
      <c r="O1196" s="6" t="inlineStr"/>
      <c r="P1196" s="11" t="inlineStr">
        <is>
          <t>https://website-9ib.pages.dev/termek/232129-or-tomiteses-ajtoszego-25-mm-elox/</t>
        </is>
      </c>
      <c r="Q1196" s="12" t="inlineStr"/>
      <c r="R1196" s="13" t="inlineStr"/>
      <c r="S1196" s="6" t="inlineStr">
        <is>
          <t>232129-or-tomiteses-ajtoszego-25-mm-elox</t>
        </is>
      </c>
    </row>
    <row r="1197">
      <c r="A1197" s="6" t="inlineStr">
        <is>
          <t>238170</t>
        </is>
      </c>
      <c r="B1197" s="7" t="inlineStr">
        <is>
          <t>OR ajtó keret elox 70x30x65/25mm</t>
        </is>
      </c>
      <c r="C1197" s="6" t="inlineStr">
        <is>
          <t>Zárt-dobozos és hűtős profilok</t>
        </is>
      </c>
      <c r="D1197" s="6" t="inlineStr">
        <is>
          <t>Zárt-dobozos és hűtős profilok</t>
        </is>
      </c>
      <c r="E1197" s="6" t="inlineStr">
        <is>
          <t>RE-ALL</t>
        </is>
      </c>
      <c r="F1197" s="6" t="inlineStr">
        <is>
          <t>1800170</t>
        </is>
      </c>
      <c r="G1197" s="6" t="inlineStr">
        <is>
          <t>Quadris Excel</t>
        </is>
      </c>
      <c r="H1197" s="6" t="n">
        <v>1</v>
      </c>
      <c r="I1197" s="6" t="n">
        <v>2</v>
      </c>
      <c r="J1197" s="6" t="inlineStr">
        <is>
          <t>nincs</t>
        </is>
      </c>
      <c r="K1197" s="6">
        <f>IF(AND(H1197&gt;0,I1197&gt;0),"Rendben",IF(AND(H1197=0,I1197=0),"Nincs kép és adat",IF(H1197=0,"Nincs kép","Nincs adat")))</f>
        <v/>
      </c>
      <c r="L1197" s="6" t="inlineStr">
        <is>
          <t>Igen</t>
        </is>
      </c>
      <c r="M1197" s="7" t="inlineStr">
        <is>
          <t>re-all.it katalógusfejezetek (PDF) és oldaltérkép; RE-ALL 19 / 21 katalógus (Drive)</t>
        </is>
      </c>
      <c r="N1197" s="7" t="inlineStr">
        <is>
          <t>Megtalálva: RE-ALL katalógus 18.pdf (kód: 1800170)</t>
        </is>
      </c>
      <c r="O1197" s="11" t="inlineStr">
        <is>
          <t>https://www.re-all.it/images/catalogo-pdf/2026/18.pdf#page=9</t>
        </is>
      </c>
      <c r="P1197" s="11" t="inlineStr">
        <is>
          <t>https://website-9ib.pages.dev/termek/238170-or-ajto-keret-elox-70x30x65-25mm/</t>
        </is>
      </c>
      <c r="Q1197" s="12" t="inlineStr"/>
      <c r="R1197" s="13" t="inlineStr"/>
      <c r="S1197" s="6" t="inlineStr">
        <is>
          <t>238170-or-ajto-keret-elox-70x30x65-25mm</t>
        </is>
      </c>
    </row>
    <row r="1198">
      <c r="A1198" s="6" t="inlineStr">
        <is>
          <t>615106</t>
        </is>
      </c>
      <c r="B1198" s="7" t="inlineStr">
        <is>
          <t>Retesz rúd D10 L:1300 mm</t>
        </is>
      </c>
      <c r="C1198" s="6" t="inlineStr">
        <is>
          <t>Speciális felépítmény alkatrészek</t>
        </is>
      </c>
      <c r="D1198" s="6" t="inlineStr">
        <is>
          <t>Zárak</t>
        </is>
      </c>
      <c r="E1198" s="6" t="inlineStr">
        <is>
          <t>Sachermayer</t>
        </is>
      </c>
      <c r="F1198" s="6" t="inlineStr">
        <is>
          <t>102269188</t>
        </is>
      </c>
      <c r="G1198" s="6" t="inlineStr">
        <is>
          <t>Quadris Excel</t>
        </is>
      </c>
      <c r="H1198" s="6" t="n">
        <v>0</v>
      </c>
      <c r="I1198" s="6" t="n">
        <v>0</v>
      </c>
      <c r="J1198" s="6" t="inlineStr">
        <is>
          <t>nincs</t>
        </is>
      </c>
      <c r="K1198" s="6">
        <f>IF(AND(H1198&gt;0,I1198&gt;0),"Rendben",IF(AND(H1198=0,I1198=0),"Nincs kép és adat",IF(H1198=0,"Nincs kép","Nincs adat")))</f>
        <v/>
      </c>
      <c r="L1198" s="6" t="inlineStr">
        <is>
          <t>Nem</t>
        </is>
      </c>
      <c r="M1198" s="7" t="inlineStr">
        <is>
          <t>–</t>
        </is>
      </c>
      <c r="N1198" s="7" t="inlineStr">
        <is>
          <t>Nem kerestük – nincs ismert weboldal vagy katalógus</t>
        </is>
      </c>
      <c r="O1198" s="6" t="inlineStr"/>
      <c r="P1198" s="11" t="inlineStr">
        <is>
          <t>https://website-9ib.pages.dev/termek/615106-retesz-rud-d10-l-1300-mm/</t>
        </is>
      </c>
      <c r="Q1198" s="12" t="inlineStr"/>
      <c r="R1198" s="13" t="inlineStr"/>
      <c r="S1198" s="6" t="inlineStr">
        <is>
          <t>615106-retesz-rud-d10-l-1300-mm</t>
        </is>
      </c>
    </row>
    <row r="1199">
      <c r="A1199" s="6" t="inlineStr">
        <is>
          <t>615105</t>
        </is>
      </c>
      <c r="B1199" s="7" t="inlineStr">
        <is>
          <t>Süllyesztett dupla működésű retesz</t>
        </is>
      </c>
      <c r="C1199" s="6" t="inlineStr">
        <is>
          <t>Speciális felépítmény alkatrészek</t>
        </is>
      </c>
      <c r="D1199" s="6" t="inlineStr">
        <is>
          <t>Zárak</t>
        </is>
      </c>
      <c r="E1199" s="6" t="inlineStr">
        <is>
          <t>Sachermayer</t>
        </is>
      </c>
      <c r="F1199" s="6" t="inlineStr">
        <is>
          <t>102269040</t>
        </is>
      </c>
      <c r="G1199" s="6" t="inlineStr">
        <is>
          <t>Quadris Excel</t>
        </is>
      </c>
      <c r="H1199" s="6" t="n">
        <v>0</v>
      </c>
      <c r="I1199" s="6" t="n">
        <v>0</v>
      </c>
      <c r="J1199" s="6" t="inlineStr">
        <is>
          <t>nincs</t>
        </is>
      </c>
      <c r="K1199" s="6">
        <f>IF(AND(H1199&gt;0,I1199&gt;0),"Rendben",IF(AND(H1199=0,I1199=0),"Nincs kép és adat",IF(H1199=0,"Nincs kép","Nincs adat")))</f>
        <v/>
      </c>
      <c r="L1199" s="6" t="inlineStr">
        <is>
          <t>Nem</t>
        </is>
      </c>
      <c r="M1199" s="7" t="inlineStr">
        <is>
          <t>–</t>
        </is>
      </c>
      <c r="N1199" s="7" t="inlineStr">
        <is>
          <t>Nem kerestük – nincs ismert weboldal vagy katalógus</t>
        </is>
      </c>
      <c r="O1199" s="6" t="inlineStr"/>
      <c r="P1199" s="11" t="inlineStr">
        <is>
          <t>https://website-9ib.pages.dev/termek/615105-sullyesztett-dupla-mukodesu-retesz/</t>
        </is>
      </c>
      <c r="Q1199" s="12" t="inlineStr"/>
      <c r="R1199" s="13" t="inlineStr"/>
      <c r="S1199" s="6" t="inlineStr">
        <is>
          <t>615105-sullyesztett-dupla-mukodesu-retesz</t>
        </is>
      </c>
    </row>
    <row r="1200">
      <c r="A1200" s="6" t="inlineStr"/>
      <c r="B1200" s="7" t="inlineStr">
        <is>
          <t>A1 013 Élkéder kicsi fekete 9,5x6,5mm</t>
        </is>
      </c>
      <c r="C1200" s="6" t="inlineStr">
        <is>
          <t>Gumi- és kéderprofilok</t>
        </is>
      </c>
      <c r="D1200" s="6" t="inlineStr">
        <is>
          <t>Élvédő profilok</t>
        </is>
      </c>
      <c r="E1200" s="6" t="inlineStr">
        <is>
          <t>Sand-Profile</t>
        </is>
      </c>
      <c r="F1200" s="6" t="inlineStr">
        <is>
          <t>A1 013</t>
        </is>
      </c>
      <c r="G1200" s="6" t="inlineStr">
        <is>
          <t>Quadris Excel</t>
        </is>
      </c>
      <c r="H1200" s="6" t="n">
        <v>1</v>
      </c>
      <c r="I1200" s="6" t="n">
        <v>3</v>
      </c>
      <c r="J1200" s="6" t="inlineStr">
        <is>
          <t>nincs</t>
        </is>
      </c>
      <c r="K1200" s="6">
        <f>IF(AND(H1200&gt;0,I1200&gt;0),"Rendben",IF(AND(H1200=0,I1200=0),"Nincs kép és adat",IF(H1200=0,"Nincs kép","Nincs adat")))</f>
        <v/>
      </c>
      <c r="L1200" s="6" t="inlineStr">
        <is>
          <t>Igen</t>
        </is>
      </c>
      <c r="M1200" s="7" t="inlineStr">
        <is>
          <t>SAND Profile teljes PDF katalógus</t>
        </is>
      </c>
      <c r="N1200" s="7" t="inlineStr">
        <is>
          <t>Megtalálva: Fax: +49 (0) 60 27/41 60-60 (kód: A1 013)</t>
        </is>
      </c>
      <c r="O1200" s="11" t="inlineStr">
        <is>
          <t>https://www.sandprofile.com/media/gesamtkatalog_en.pdf#page=18</t>
        </is>
      </c>
      <c r="P1200" s="11" t="inlineStr">
        <is>
          <t>https://website-9ib.pages.dev/termek/a1-013-elkeder-kicsi-fekete-9-5x6-5mm/</t>
        </is>
      </c>
      <c r="Q1200" s="12" t="inlineStr"/>
      <c r="R1200" s="13" t="inlineStr"/>
      <c r="S1200" s="6" t="inlineStr">
        <is>
          <t>a1-013-elkeder-kicsi-fekete-9-5x6-5mm</t>
        </is>
      </c>
    </row>
    <row r="1201">
      <c r="A1201" s="6" t="inlineStr"/>
      <c r="B1201" s="7" t="inlineStr">
        <is>
          <t>A1 015 Kéder gumi</t>
        </is>
      </c>
      <c r="C1201" s="6" t="inlineStr">
        <is>
          <t>Gumi- és kéderprofilok</t>
        </is>
      </c>
      <c r="D1201" s="6" t="inlineStr">
        <is>
          <t>Élvédő profilok</t>
        </is>
      </c>
      <c r="E1201" s="6" t="inlineStr">
        <is>
          <t>Sand-Profile</t>
        </is>
      </c>
      <c r="F1201" s="6" t="inlineStr">
        <is>
          <t>A1 015</t>
        </is>
      </c>
      <c r="G1201" s="6" t="inlineStr">
        <is>
          <t>Quadris Excel</t>
        </is>
      </c>
      <c r="H1201" s="6" t="n">
        <v>1</v>
      </c>
      <c r="I1201" s="6" t="n">
        <v>3</v>
      </c>
      <c r="J1201" s="6" t="inlineStr">
        <is>
          <t>nincs</t>
        </is>
      </c>
      <c r="K1201" s="6">
        <f>IF(AND(H1201&gt;0,I1201&gt;0),"Rendben",IF(AND(H1201=0,I1201=0),"Nincs kép és adat",IF(H1201=0,"Nincs kép","Nincs adat")))</f>
        <v/>
      </c>
      <c r="L1201" s="6" t="inlineStr">
        <is>
          <t>Igen</t>
        </is>
      </c>
      <c r="M1201" s="7" t="inlineStr">
        <is>
          <t>SAND Profile teljes PDF katalógus</t>
        </is>
      </c>
      <c r="N1201" s="7" t="inlineStr">
        <is>
          <t>Megtalálva: Fax: +49 (0) 60 27/41 60-60 (kód: A1 015)</t>
        </is>
      </c>
      <c r="O1201" s="11" t="inlineStr">
        <is>
          <t>https://www.sandprofile.com/media/gesamtkatalog_en.pdf#page=19</t>
        </is>
      </c>
      <c r="P1201" s="11" t="inlineStr">
        <is>
          <t>https://website-9ib.pages.dev/termek/a1-015-keder-gumi/</t>
        </is>
      </c>
      <c r="Q1201" s="12" t="inlineStr"/>
      <c r="R1201" s="13" t="inlineStr"/>
      <c r="S1201" s="6" t="inlineStr">
        <is>
          <t>a1-015-keder-gumi</t>
        </is>
      </c>
    </row>
    <row r="1202">
      <c r="A1202" s="6" t="inlineStr"/>
      <c r="B1202" s="7" t="inlineStr">
        <is>
          <t>A1 105/2 Lepkés gumi 58,3x26,6/1,0-2,5 fekete</t>
        </is>
      </c>
      <c r="C1202" s="6" t="inlineStr">
        <is>
          <t>Gumi- és kéderprofilok</t>
        </is>
      </c>
      <c r="D1202" s="6" t="inlineStr">
        <is>
          <t>Élvédő tömítőprofilok</t>
        </is>
      </c>
      <c r="E1202" s="6" t="inlineStr">
        <is>
          <t>Sand-Profile</t>
        </is>
      </c>
      <c r="F1202" s="6" t="inlineStr">
        <is>
          <t>A1 105/2</t>
        </is>
      </c>
      <c r="G1202" s="6" t="inlineStr">
        <is>
          <t>Quadris Excel</t>
        </is>
      </c>
      <c r="H1202" s="6" t="n">
        <v>1</v>
      </c>
      <c r="I1202" s="6" t="n">
        <v>3</v>
      </c>
      <c r="J1202" s="6" t="inlineStr">
        <is>
          <t>nincs</t>
        </is>
      </c>
      <c r="K1202" s="6">
        <f>IF(AND(H1202&gt;0,I1202&gt;0),"Rendben",IF(AND(H1202=0,I1202=0),"Nincs kép és adat",IF(H1202=0,"Nincs kép","Nincs adat")))</f>
        <v/>
      </c>
      <c r="L1202" s="6" t="inlineStr">
        <is>
          <t>Igen</t>
        </is>
      </c>
      <c r="M1202" s="7" t="inlineStr">
        <is>
          <t>SAND Profile teljes PDF katalógus</t>
        </is>
      </c>
      <c r="N1202" s="7" t="inlineStr">
        <is>
          <t>Megtalálva: Fax: +49 (0) 60 27/41 60-60 (kód: A1 105/2)</t>
        </is>
      </c>
      <c r="O1202" s="11" t="inlineStr">
        <is>
          <t>https://www.sandprofile.com/media/gesamtkatalog_en.pdf#page=30</t>
        </is>
      </c>
      <c r="P1202" s="11" t="inlineStr">
        <is>
          <t>https://website-9ib.pages.dev/termek/a1-105-2-lepkes-gumi-58-3x26-6-1-0-2-5-fekete/</t>
        </is>
      </c>
      <c r="Q1202" s="12" t="inlineStr"/>
      <c r="R1202" s="13" t="inlineStr"/>
      <c r="S1202" s="6" t="inlineStr">
        <is>
          <t>a1-105-2-lepkes-gumi-58-3x26-6-1-0-2-5-fekete</t>
        </is>
      </c>
    </row>
    <row r="1203">
      <c r="A1203" s="6" t="inlineStr"/>
      <c r="B1203" s="7" t="inlineStr">
        <is>
          <t>A1 105/4 Lepkés gumi 58,3x26,6/2,0-4,0 fekete</t>
        </is>
      </c>
      <c r="C1203" s="6" t="inlineStr">
        <is>
          <t>Gumi- és kéderprofilok</t>
        </is>
      </c>
      <c r="D1203" s="6" t="inlineStr">
        <is>
          <t>Élvédő tömítőprofilok</t>
        </is>
      </c>
      <c r="E1203" s="6" t="inlineStr">
        <is>
          <t>Sand-Profile</t>
        </is>
      </c>
      <c r="F1203" s="6" t="inlineStr">
        <is>
          <t>A1 105/4</t>
        </is>
      </c>
      <c r="G1203" s="6" t="inlineStr">
        <is>
          <t>Quadris Excel</t>
        </is>
      </c>
      <c r="H1203" s="6" t="n">
        <v>1</v>
      </c>
      <c r="I1203" s="6" t="n">
        <v>3</v>
      </c>
      <c r="J1203" s="6" t="inlineStr">
        <is>
          <t>nincs</t>
        </is>
      </c>
      <c r="K1203" s="6">
        <f>IF(AND(H1203&gt;0,I1203&gt;0),"Rendben",IF(AND(H1203=0,I1203=0),"Nincs kép és adat",IF(H1203=0,"Nincs kép","Nincs adat")))</f>
        <v/>
      </c>
      <c r="L1203" s="6" t="inlineStr">
        <is>
          <t>Igen</t>
        </is>
      </c>
      <c r="M1203" s="7" t="inlineStr">
        <is>
          <t>SAND Profile teljes PDF katalógus</t>
        </is>
      </c>
      <c r="N1203" s="7" t="inlineStr">
        <is>
          <t>Megtalálva: Fax: +49 (0) 60 27/41 60-60 (kód: A1 105/4)</t>
        </is>
      </c>
      <c r="O1203" s="11" t="inlineStr">
        <is>
          <t>https://www.sandprofile.com/media/gesamtkatalog_en.pdf#page=30</t>
        </is>
      </c>
      <c r="P1203" s="11" t="inlineStr">
        <is>
          <t>https://website-9ib.pages.dev/termek/a1-105-4-lepkes-gumi-58-3x26-6-2-0-4-0-fekete/</t>
        </is>
      </c>
      <c r="Q1203" s="12" t="inlineStr"/>
      <c r="R1203" s="13" t="inlineStr"/>
      <c r="S1203" s="6" t="inlineStr">
        <is>
          <t>a1-105-4-lepkes-gumi-58-3x26-6-2-0-4-0-fekete</t>
        </is>
      </c>
    </row>
    <row r="1204">
      <c r="A1204" s="6" t="inlineStr"/>
      <c r="B1204" s="7" t="inlineStr">
        <is>
          <t>A1 134/2 Dupla szakállas kédergumi 18,2x24/1,0-2,5 fekete</t>
        </is>
      </c>
      <c r="C1204" s="6" t="inlineStr">
        <is>
          <t>Gumi- és kéderprofilok</t>
        </is>
      </c>
      <c r="D1204" s="6" t="inlineStr">
        <is>
          <t>Élvédő tömítőprofilok</t>
        </is>
      </c>
      <c r="E1204" s="6" t="inlineStr">
        <is>
          <t>Sand-Profile</t>
        </is>
      </c>
      <c r="F1204" s="6" t="inlineStr">
        <is>
          <t>A1 134/2</t>
        </is>
      </c>
      <c r="G1204" s="6" t="inlineStr">
        <is>
          <t>Quadris Excel</t>
        </is>
      </c>
      <c r="H1204" s="6" t="n">
        <v>1</v>
      </c>
      <c r="I1204" s="6" t="n">
        <v>3</v>
      </c>
      <c r="J1204" s="6" t="inlineStr">
        <is>
          <t>nincs</t>
        </is>
      </c>
      <c r="K1204" s="6">
        <f>IF(AND(H1204&gt;0,I1204&gt;0),"Rendben",IF(AND(H1204=0,I1204=0),"Nincs kép és adat",IF(H1204=0,"Nincs kép","Nincs adat")))</f>
        <v/>
      </c>
      <c r="L1204" s="6" t="inlineStr">
        <is>
          <t>Igen</t>
        </is>
      </c>
      <c r="M1204" s="7" t="inlineStr">
        <is>
          <t>SAND Profile teljes PDF katalógus</t>
        </is>
      </c>
      <c r="N1204" s="7" t="inlineStr">
        <is>
          <t>Megtalálva: Fax: +49 (0) 60 27/41 60-60 (kód: A1 134/2)</t>
        </is>
      </c>
      <c r="O1204" s="11" t="inlineStr">
        <is>
          <t>https://www.sandprofile.com/media/gesamtkatalog_en.pdf#page=32</t>
        </is>
      </c>
      <c r="P1204" s="11" t="inlineStr">
        <is>
          <t>https://website-9ib.pages.dev/termek/a1-134-2-dupla-szakallas-kedergumi-18-2x24-1-0-2-5-fekete/</t>
        </is>
      </c>
      <c r="Q1204" s="12" t="inlineStr"/>
      <c r="R1204" s="13" t="inlineStr"/>
      <c r="S1204" s="6" t="inlineStr">
        <is>
          <t>a1-134-2-dupla-szakallas-kedergumi-18-2x24-1-0-2-5-fekete</t>
        </is>
      </c>
    </row>
    <row r="1205">
      <c r="A1205" s="6" t="inlineStr"/>
      <c r="B1205" s="7" t="inlineStr">
        <is>
          <t>A1 134/4 Dupla szakállas kédergumi 18,2x24/2,5-4,0 fekete</t>
        </is>
      </c>
      <c r="C1205" s="6" t="inlineStr">
        <is>
          <t>Gumi- és kéderprofilok</t>
        </is>
      </c>
      <c r="D1205" s="6" t="inlineStr">
        <is>
          <t>Élvédő tömítőprofilok</t>
        </is>
      </c>
      <c r="E1205" s="6" t="inlineStr">
        <is>
          <t>Sand-Profile</t>
        </is>
      </c>
      <c r="F1205" s="6" t="inlineStr">
        <is>
          <t>A1 134/4</t>
        </is>
      </c>
      <c r="G1205" s="6" t="inlineStr">
        <is>
          <t>Quadris Excel</t>
        </is>
      </c>
      <c r="H1205" s="6" t="n">
        <v>1</v>
      </c>
      <c r="I1205" s="6" t="n">
        <v>3</v>
      </c>
      <c r="J1205" s="6" t="inlineStr">
        <is>
          <t>nincs</t>
        </is>
      </c>
      <c r="K1205" s="6">
        <f>IF(AND(H1205&gt;0,I1205&gt;0),"Rendben",IF(AND(H1205=0,I1205=0),"Nincs kép és adat",IF(H1205=0,"Nincs kép","Nincs adat")))</f>
        <v/>
      </c>
      <c r="L1205" s="6" t="inlineStr">
        <is>
          <t>Igen</t>
        </is>
      </c>
      <c r="M1205" s="7" t="inlineStr">
        <is>
          <t>SAND Profile teljes PDF katalógus</t>
        </is>
      </c>
      <c r="N1205" s="7" t="inlineStr">
        <is>
          <t>Megtalálva: Fax: +49 (0) 60 27/41 60-60 (kód: A1 134/4)</t>
        </is>
      </c>
      <c r="O1205" s="11" t="inlineStr">
        <is>
          <t>https://www.sandprofile.com/media/gesamtkatalog_en.pdf#page=32</t>
        </is>
      </c>
      <c r="P1205" s="11" t="inlineStr">
        <is>
          <t>https://website-9ib.pages.dev/termek/a1-134-4-dupla-szakallas-kedergumi-18-2x24-2-5-4-0-fekete/</t>
        </is>
      </c>
      <c r="Q1205" s="12" t="inlineStr"/>
      <c r="R1205" s="13" t="inlineStr"/>
      <c r="S1205" s="6" t="inlineStr">
        <is>
          <t>a1-134-4-dupla-szakallas-kedergumi-18-2x24-2-5-4-0-fekete</t>
        </is>
      </c>
    </row>
    <row r="1206">
      <c r="A1206" s="6" t="inlineStr"/>
      <c r="B1206" s="7" t="inlineStr">
        <is>
          <t>A1 503 Nagy göbös kédergumi</t>
        </is>
      </c>
      <c r="C1206" s="6" t="inlineStr">
        <is>
          <t>Gumi- és kéderprofilok</t>
        </is>
      </c>
      <c r="D1206" s="6" t="inlineStr">
        <is>
          <t>Kéder- és ablakgumi profilok (Gista)</t>
        </is>
      </c>
      <c r="E1206" s="6" t="inlineStr">
        <is>
          <t>Sand-Profile</t>
        </is>
      </c>
      <c r="F1206" s="6" t="inlineStr">
        <is>
          <t>A1 503</t>
        </is>
      </c>
      <c r="G1206" s="6" t="inlineStr">
        <is>
          <t>Quadris Excel</t>
        </is>
      </c>
      <c r="H1206" s="6" t="n">
        <v>1</v>
      </c>
      <c r="I1206" s="6" t="n">
        <v>3</v>
      </c>
      <c r="J1206" s="6" t="inlineStr">
        <is>
          <t>nincs</t>
        </is>
      </c>
      <c r="K1206" s="6">
        <f>IF(AND(H1206&gt;0,I1206&gt;0),"Rendben",IF(AND(H1206=0,I1206=0),"Nincs kép és adat",IF(H1206=0,"Nincs kép","Nincs adat")))</f>
        <v/>
      </c>
      <c r="L1206" s="6" t="inlineStr">
        <is>
          <t>Igen</t>
        </is>
      </c>
      <c r="M1206" s="7" t="inlineStr">
        <is>
          <t>SAND Profile teljes PDF katalógus</t>
        </is>
      </c>
      <c r="N1206" s="7" t="inlineStr">
        <is>
          <t>Megtalálva: Fax: +49 (0) 60 27/41 60-60 (kód: A1 503)</t>
        </is>
      </c>
      <c r="O1206" s="11" t="inlineStr">
        <is>
          <t>https://www.sandprofile.com/media/gesamtkatalog_en.pdf#page=44</t>
        </is>
      </c>
      <c r="P1206" s="11" t="inlineStr">
        <is>
          <t>https://website-9ib.pages.dev/termek/a1-503-nagy-gobos-kedergumi/</t>
        </is>
      </c>
      <c r="Q1206" s="12" t="inlineStr"/>
      <c r="R1206" s="13" t="inlineStr"/>
      <c r="S1206" s="6" t="inlineStr">
        <is>
          <t>a1-503-nagy-gobos-kedergumi</t>
        </is>
      </c>
    </row>
    <row r="1207">
      <c r="A1207" s="6" t="inlineStr"/>
      <c r="B1207" s="7" t="inlineStr">
        <is>
          <t>A1 536 Kis göbös kédergumi 14,6x16 fekete</t>
        </is>
      </c>
      <c r="C1207" s="6" t="inlineStr">
        <is>
          <t>Gumi- és kéderprofilok</t>
        </is>
      </c>
      <c r="D1207" s="6" t="inlineStr">
        <is>
          <t>Kéder- és ablakgumi profilok (Gista)</t>
        </is>
      </c>
      <c r="E1207" s="6" t="inlineStr">
        <is>
          <t>Sand-Profile</t>
        </is>
      </c>
      <c r="F1207" s="6" t="inlineStr">
        <is>
          <t>A1 536</t>
        </is>
      </c>
      <c r="G1207" s="6" t="inlineStr">
        <is>
          <t>Quadris Excel</t>
        </is>
      </c>
      <c r="H1207" s="6" t="n">
        <v>1</v>
      </c>
      <c r="I1207" s="6" t="n">
        <v>3</v>
      </c>
      <c r="J1207" s="6" t="inlineStr">
        <is>
          <t>nincs</t>
        </is>
      </c>
      <c r="K1207" s="6">
        <f>IF(AND(H1207&gt;0,I1207&gt;0),"Rendben",IF(AND(H1207=0,I1207=0),"Nincs kép és adat",IF(H1207=0,"Nincs kép","Nincs adat")))</f>
        <v/>
      </c>
      <c r="L1207" s="6" t="inlineStr">
        <is>
          <t>Igen</t>
        </is>
      </c>
      <c r="M1207" s="7" t="inlineStr">
        <is>
          <t>SAND Profile teljes PDF katalógus</t>
        </is>
      </c>
      <c r="N1207" s="7" t="inlineStr">
        <is>
          <t>Megtalálva: Fax: +49 (0) 60 27/41 60-60 (kód: A1 536)</t>
        </is>
      </c>
      <c r="O1207" s="11" t="inlineStr">
        <is>
          <t>https://www.sandprofile.com/media/gesamtkatalog_en.pdf#page=41</t>
        </is>
      </c>
      <c r="P1207" s="11" t="inlineStr">
        <is>
          <t>https://website-9ib.pages.dev/termek/a1-536-kis-gobos-kedergumi-14-6x16-fekete/</t>
        </is>
      </c>
      <c r="Q1207" s="12" t="inlineStr"/>
      <c r="R1207" s="13" t="inlineStr"/>
      <c r="S1207" s="6" t="inlineStr">
        <is>
          <t>a1-536-kis-gobos-kedergumi-14-6x16-fekete</t>
        </is>
      </c>
    </row>
    <row r="1208">
      <c r="A1208" s="6" t="inlineStr"/>
      <c r="B1208" s="7" t="inlineStr">
        <is>
          <t>A1 549 Mini göbös kédergumi 13x11,8/2 mm</t>
        </is>
      </c>
      <c r="C1208" s="6" t="inlineStr">
        <is>
          <t>Gumi- és kéderprofilok</t>
        </is>
      </c>
      <c r="D1208" s="6" t="inlineStr">
        <is>
          <t>Egyéb kéder- és tömítőgumik</t>
        </is>
      </c>
      <c r="E1208" s="6" t="inlineStr">
        <is>
          <t>Sand-Profile</t>
        </is>
      </c>
      <c r="F1208" s="6" t="inlineStr">
        <is>
          <t>A1 549</t>
        </is>
      </c>
      <c r="G1208" s="6" t="inlineStr">
        <is>
          <t>Quadris Excel</t>
        </is>
      </c>
      <c r="H1208" s="6" t="n">
        <v>0</v>
      </c>
      <c r="I1208" s="6" t="n">
        <v>0</v>
      </c>
      <c r="J1208" s="6" t="inlineStr">
        <is>
          <t>nincs</t>
        </is>
      </c>
      <c r="K1208" s="6">
        <f>IF(AND(H1208&gt;0,I1208&gt;0),"Rendben",IF(AND(H1208=0,I1208=0),"Nincs kép és adat",IF(H1208=0,"Nincs kép","Nincs adat")))</f>
        <v/>
      </c>
      <c r="L1208" s="6" t="inlineStr">
        <is>
          <t>Igen</t>
        </is>
      </c>
      <c r="M1208" s="7" t="inlineStr">
        <is>
          <t>SAND Profile teljes PDF katalógus</t>
        </is>
      </c>
      <c r="N1208" s="7" t="inlineStr">
        <is>
          <t>Nem találtuk: SAND Profile teljes PDF katalógus</t>
        </is>
      </c>
      <c r="O1208" s="6" t="inlineStr"/>
      <c r="P1208" s="11" t="inlineStr">
        <is>
          <t>https://website-9ib.pages.dev/termek/a1-549-mini-gobos-kedergumi-13x11-8-2-mm/</t>
        </is>
      </c>
      <c r="Q1208" s="12" t="inlineStr"/>
      <c r="R1208" s="13" t="inlineStr"/>
      <c r="S1208" s="6" t="inlineStr">
        <is>
          <t>a1-549-mini-gobos-kedergumi-13x11-8-2-mm</t>
        </is>
      </c>
    </row>
    <row r="1209">
      <c r="A1209" s="6" t="inlineStr"/>
      <c r="B1209" s="7" t="inlineStr">
        <is>
          <t>A2 106/2 (28 mm) duplagöbös kédergumi</t>
        </is>
      </c>
      <c r="C1209" s="6" t="inlineStr">
        <is>
          <t>Gumi- és kéderprofilok</t>
        </is>
      </c>
      <c r="D1209" s="6" t="inlineStr">
        <is>
          <t>Élvédő tömítőprofilok</t>
        </is>
      </c>
      <c r="E1209" s="6" t="inlineStr">
        <is>
          <t>Sand-Profile</t>
        </is>
      </c>
      <c r="F1209" s="6" t="inlineStr">
        <is>
          <t>A2 106/2</t>
        </is>
      </c>
      <c r="G1209" s="6" t="inlineStr">
        <is>
          <t>Quadris Excel</t>
        </is>
      </c>
      <c r="H1209" s="6" t="n">
        <v>1</v>
      </c>
      <c r="I1209" s="6" t="n">
        <v>3</v>
      </c>
      <c r="J1209" s="6" t="inlineStr">
        <is>
          <t>nincs</t>
        </is>
      </c>
      <c r="K1209" s="6">
        <f>IF(AND(H1209&gt;0,I1209&gt;0),"Rendben",IF(AND(H1209=0,I1209=0),"Nincs kép és adat",IF(H1209=0,"Nincs kép","Nincs adat")))</f>
        <v/>
      </c>
      <c r="L1209" s="6" t="inlineStr">
        <is>
          <t>Igen</t>
        </is>
      </c>
      <c r="M1209" s="7" t="inlineStr">
        <is>
          <t>SAND Profile teljes PDF katalógus</t>
        </is>
      </c>
      <c r="N1209" s="7" t="inlineStr">
        <is>
          <t>Megtalálva: Fax: +49 (0) 60 27/41 60-60 (kód: A2 106/2)</t>
        </is>
      </c>
      <c r="O1209" s="11" t="inlineStr">
        <is>
          <t>https://www.sandprofile.com/media/gesamtkatalog_en.pdf#page=32</t>
        </is>
      </c>
      <c r="P1209" s="11" t="inlineStr">
        <is>
          <t>https://website-9ib.pages.dev/termek/a2-106-2-28-mm-duplagobos-kedergumi/</t>
        </is>
      </c>
      <c r="Q1209" s="12" t="inlineStr"/>
      <c r="R1209" s="13" t="inlineStr"/>
      <c r="S1209" s="6" t="inlineStr">
        <is>
          <t>a2-106-2-28-mm-duplagobos-kedergumi</t>
        </is>
      </c>
    </row>
    <row r="1210">
      <c r="A1210" s="6" t="inlineStr"/>
      <c r="B1210" s="7" t="inlineStr">
        <is>
          <t>A2 125 Felül göbös kéder gumi 49/35/20 mm</t>
        </is>
      </c>
      <c r="C1210" s="6" t="inlineStr">
        <is>
          <t>Gumi- és kéderprofilok</t>
        </is>
      </c>
      <c r="D1210" s="6" t="inlineStr">
        <is>
          <t>Élvédő tömítőprofilok</t>
        </is>
      </c>
      <c r="E1210" s="6" t="inlineStr">
        <is>
          <t>Sand-Profile</t>
        </is>
      </c>
      <c r="F1210" s="6" t="inlineStr">
        <is>
          <t>A2 125</t>
        </is>
      </c>
      <c r="G1210" s="6" t="inlineStr">
        <is>
          <t>Quadris Excel</t>
        </is>
      </c>
      <c r="H1210" s="6" t="n">
        <v>1</v>
      </c>
      <c r="I1210" s="6" t="n">
        <v>3</v>
      </c>
      <c r="J1210" s="6" t="inlineStr">
        <is>
          <t>nincs</t>
        </is>
      </c>
      <c r="K1210" s="6">
        <f>IF(AND(H1210&gt;0,I1210&gt;0),"Rendben",IF(AND(H1210=0,I1210=0),"Nincs kép és adat",IF(H1210=0,"Nincs kép","Nincs adat")))</f>
        <v/>
      </c>
      <c r="L1210" s="6" t="inlineStr">
        <is>
          <t>Igen</t>
        </is>
      </c>
      <c r="M1210" s="7" t="inlineStr">
        <is>
          <t>SAND Profile teljes PDF katalógus</t>
        </is>
      </c>
      <c r="N1210" s="7" t="inlineStr">
        <is>
          <t>Megtalálva: Fax: +49 (0) 60 27/41 60-60 (kód: A2 125)</t>
        </is>
      </c>
      <c r="O1210" s="11" t="inlineStr">
        <is>
          <t>https://www.sandprofile.com/media/gesamtkatalog_en.pdf#page=29</t>
        </is>
      </c>
      <c r="P1210" s="11" t="inlineStr">
        <is>
          <t>https://website-9ib.pages.dev/termek/a2-125-felul-gobos-keder-gumi-49-35-20-mm/</t>
        </is>
      </c>
      <c r="Q1210" s="12" t="inlineStr"/>
      <c r="R1210" s="13" t="inlineStr"/>
      <c r="S1210" s="6" t="inlineStr">
        <is>
          <t>a2-125-felul-gobos-keder-gumi-49-35-20-mm</t>
        </is>
      </c>
    </row>
    <row r="1211">
      <c r="A1211" s="6" t="inlineStr"/>
      <c r="B1211" s="7" t="inlineStr">
        <is>
          <t>A2 127 Lepkés gumi 15/38,6 mm</t>
        </is>
      </c>
      <c r="C1211" s="6" t="inlineStr">
        <is>
          <t>Gumi- és kéderprofilok</t>
        </is>
      </c>
      <c r="D1211" s="6" t="inlineStr">
        <is>
          <t>Élvédő tömítőprofilok</t>
        </is>
      </c>
      <c r="E1211" s="6" t="inlineStr">
        <is>
          <t>Sand-Profile</t>
        </is>
      </c>
      <c r="F1211" s="6" t="inlineStr">
        <is>
          <t>A2 127</t>
        </is>
      </c>
      <c r="G1211" s="6" t="inlineStr">
        <is>
          <t>Quadris Excel</t>
        </is>
      </c>
      <c r="H1211" s="6" t="n">
        <v>1</v>
      </c>
      <c r="I1211" s="6" t="n">
        <v>3</v>
      </c>
      <c r="J1211" s="6" t="inlineStr">
        <is>
          <t>nincs</t>
        </is>
      </c>
      <c r="K1211" s="6">
        <f>IF(AND(H1211&gt;0,I1211&gt;0),"Rendben",IF(AND(H1211=0,I1211=0),"Nincs kép és adat",IF(H1211=0,"Nincs kép","Nincs adat")))</f>
        <v/>
      </c>
      <c r="L1211" s="6" t="inlineStr">
        <is>
          <t>Igen</t>
        </is>
      </c>
      <c r="M1211" s="7" t="inlineStr">
        <is>
          <t>SAND Profile teljes PDF katalógus</t>
        </is>
      </c>
      <c r="N1211" s="7" t="inlineStr">
        <is>
          <t>Megtalálva: Fax: +49 (0) 60 27/41 60-60 (kód: A2 127)</t>
        </is>
      </c>
      <c r="O1211" s="11" t="inlineStr">
        <is>
          <t>https://www.sandprofile.com/media/gesamtkatalog_en.pdf#page=30</t>
        </is>
      </c>
      <c r="P1211" s="11" t="inlineStr">
        <is>
          <t>https://website-9ib.pages.dev/termek/a2-127-lepkes-gumi-15-38-6-mm/</t>
        </is>
      </c>
      <c r="Q1211" s="12" t="inlineStr"/>
      <c r="R1211" s="13" t="inlineStr"/>
      <c r="S1211" s="6" t="inlineStr">
        <is>
          <t>a2-127-lepkes-gumi-15-38-6-mm</t>
        </is>
      </c>
    </row>
    <row r="1212">
      <c r="A1212" s="6" t="inlineStr"/>
      <c r="B1212" s="7" t="inlineStr">
        <is>
          <t>A2 254 Kédergumi 14,5x21,8 fekete</t>
        </is>
      </c>
      <c r="C1212" s="6" t="inlineStr">
        <is>
          <t>Gumi- és kéderprofilok</t>
        </is>
      </c>
      <c r="D1212" s="6" t="inlineStr">
        <is>
          <t>Élvédő tömítőprofilok</t>
        </is>
      </c>
      <c r="E1212" s="6" t="inlineStr">
        <is>
          <t>Sand-Profile</t>
        </is>
      </c>
      <c r="F1212" s="6" t="inlineStr">
        <is>
          <t>A2 254</t>
        </is>
      </c>
      <c r="G1212" s="6" t="inlineStr">
        <is>
          <t>Quadris Excel</t>
        </is>
      </c>
      <c r="H1212" s="6" t="n">
        <v>1</v>
      </c>
      <c r="I1212" s="6" t="n">
        <v>3</v>
      </c>
      <c r="J1212" s="6" t="inlineStr">
        <is>
          <t>nincs</t>
        </is>
      </c>
      <c r="K1212" s="6">
        <f>IF(AND(H1212&gt;0,I1212&gt;0),"Rendben",IF(AND(H1212=0,I1212=0),"Nincs kép és adat",IF(H1212=0,"Nincs kép","Nincs adat")))</f>
        <v/>
      </c>
      <c r="L1212" s="6" t="inlineStr">
        <is>
          <t>Igen</t>
        </is>
      </c>
      <c r="M1212" s="7" t="inlineStr">
        <is>
          <t>SAND Profile teljes PDF katalógus</t>
        </is>
      </c>
      <c r="N1212" s="7" t="inlineStr">
        <is>
          <t>Megtalálva: Fax: +49 (0) 60 27/41 60-60 (kód: A2 254)</t>
        </is>
      </c>
      <c r="O1212" s="11" t="inlineStr">
        <is>
          <t>https://www.sandprofile.com/media/gesamtkatalog_en.pdf#page=32</t>
        </is>
      </c>
      <c r="P1212" s="11" t="inlineStr">
        <is>
          <t>https://website-9ib.pages.dev/termek/a2-254-kedergumi-14-5x21-8-fekete/</t>
        </is>
      </c>
      <c r="Q1212" s="12" t="inlineStr"/>
      <c r="R1212" s="13" t="inlineStr"/>
      <c r="S1212" s="6" t="inlineStr">
        <is>
          <t>a2-254-kedergumi-14-5x21-8-fekete</t>
        </is>
      </c>
    </row>
    <row r="1213">
      <c r="A1213" s="6" t="inlineStr"/>
      <c r="B1213" s="7" t="inlineStr">
        <is>
          <t>A2 255 Nagy göbös kédergumi (fekete 20 mm)</t>
        </is>
      </c>
      <c r="C1213" s="6" t="inlineStr">
        <is>
          <t>Gumi- és kéderprofilok</t>
        </is>
      </c>
      <c r="D1213" s="6" t="inlineStr">
        <is>
          <t>Élvédő tömítőprofilok</t>
        </is>
      </c>
      <c r="E1213" s="6" t="inlineStr">
        <is>
          <t>Sand-Profile</t>
        </is>
      </c>
      <c r="F1213" s="6" t="inlineStr">
        <is>
          <t>A2 255</t>
        </is>
      </c>
      <c r="G1213" s="6" t="inlineStr">
        <is>
          <t>Quadris Excel</t>
        </is>
      </c>
      <c r="H1213" s="6" t="n">
        <v>1</v>
      </c>
      <c r="I1213" s="6" t="n">
        <v>3</v>
      </c>
      <c r="J1213" s="6" t="inlineStr">
        <is>
          <t>nincs</t>
        </is>
      </c>
      <c r="K1213" s="6">
        <f>IF(AND(H1213&gt;0,I1213&gt;0),"Rendben",IF(AND(H1213=0,I1213=0),"Nincs kép és adat",IF(H1213=0,"Nincs kép","Nincs adat")))</f>
        <v/>
      </c>
      <c r="L1213" s="6" t="inlineStr">
        <is>
          <t>Igen</t>
        </is>
      </c>
      <c r="M1213" s="7" t="inlineStr">
        <is>
          <t>SAND Profile teljes PDF katalógus</t>
        </is>
      </c>
      <c r="N1213" s="7" t="inlineStr">
        <is>
          <t>Megtalálva: Fax: +49 (0) 60 27/41 60-60 (kód: A2 255)</t>
        </is>
      </c>
      <c r="O1213" s="11" t="inlineStr">
        <is>
          <t>https://www.sandprofile.com/media/gesamtkatalog_en.pdf#page=31</t>
        </is>
      </c>
      <c r="P1213" s="11" t="inlineStr">
        <is>
          <t>https://website-9ib.pages.dev/termek/a2-255-nagy-gobos-kedergumi-fekete-20-mm/</t>
        </is>
      </c>
      <c r="Q1213" s="12" t="inlineStr"/>
      <c r="R1213" s="13" t="inlineStr"/>
      <c r="S1213" s="6" t="inlineStr">
        <is>
          <t>a2-255-nagy-gobos-kedergumi-fekete-20-mm</t>
        </is>
      </c>
    </row>
    <row r="1214">
      <c r="A1214" s="6" t="inlineStr"/>
      <c r="B1214" s="7" t="inlineStr">
        <is>
          <t>A2 513 felső göbös kéder 21,5x11 mm</t>
        </is>
      </c>
      <c r="C1214" s="6" t="inlineStr">
        <is>
          <t>Gumi- és kéderprofilok</t>
        </is>
      </c>
      <c r="D1214" s="6" t="inlineStr">
        <is>
          <t>Egyéb kéder- és tömítőgumik</t>
        </is>
      </c>
      <c r="E1214" s="6" t="inlineStr">
        <is>
          <t>Sand-Profile</t>
        </is>
      </c>
      <c r="F1214" s="6" t="inlineStr">
        <is>
          <t>A2 513</t>
        </is>
      </c>
      <c r="G1214" s="6" t="inlineStr">
        <is>
          <t>Quadris Excel</t>
        </is>
      </c>
      <c r="H1214" s="6" t="n">
        <v>0</v>
      </c>
      <c r="I1214" s="6" t="n">
        <v>0</v>
      </c>
      <c r="J1214" s="6" t="inlineStr">
        <is>
          <t>nincs</t>
        </is>
      </c>
      <c r="K1214" s="6">
        <f>IF(AND(H1214&gt;0,I1214&gt;0),"Rendben",IF(AND(H1214=0,I1214=0),"Nincs kép és adat",IF(H1214=0,"Nincs kép","Nincs adat")))</f>
        <v/>
      </c>
      <c r="L1214" s="6" t="inlineStr">
        <is>
          <t>Igen</t>
        </is>
      </c>
      <c r="M1214" s="7" t="inlineStr">
        <is>
          <t>SAND Profile teljes PDF katalógus</t>
        </is>
      </c>
      <c r="N1214" s="7" t="inlineStr">
        <is>
          <t>Nem találtuk: SAND Profile teljes PDF katalógus</t>
        </is>
      </c>
      <c r="O1214" s="6" t="inlineStr"/>
      <c r="P1214" s="11" t="inlineStr">
        <is>
          <t>https://website-9ib.pages.dev/termek/a2-513-felso-gobos-keder-21-5x11-mm/</t>
        </is>
      </c>
      <c r="Q1214" s="12" t="inlineStr"/>
      <c r="R1214" s="13" t="inlineStr"/>
      <c r="S1214" s="6" t="inlineStr">
        <is>
          <t>a2-513-felso-gobos-keder-21-5x11-mm</t>
        </is>
      </c>
    </row>
    <row r="1215">
      <c r="A1215" s="6" t="inlineStr"/>
      <c r="B1215" s="7" t="inlineStr">
        <is>
          <t>A2 539 Közepes göbös kédergumi 14,6x18,7 fekete</t>
        </is>
      </c>
      <c r="C1215" s="6" t="inlineStr">
        <is>
          <t>Gumi- és kéderprofilok</t>
        </is>
      </c>
      <c r="D1215" s="6" t="inlineStr">
        <is>
          <t>Kéder- és ablakgumi profilok (Gista)</t>
        </is>
      </c>
      <c r="E1215" s="6" t="inlineStr">
        <is>
          <t>Sand-Profile</t>
        </is>
      </c>
      <c r="F1215" s="6" t="inlineStr">
        <is>
          <t>A2 539</t>
        </is>
      </c>
      <c r="G1215" s="6" t="inlineStr">
        <is>
          <t>Quadris Excel</t>
        </is>
      </c>
      <c r="H1215" s="6" t="n">
        <v>1</v>
      </c>
      <c r="I1215" s="6" t="n">
        <v>3</v>
      </c>
      <c r="J1215" s="6" t="inlineStr">
        <is>
          <t>nincs</t>
        </is>
      </c>
      <c r="K1215" s="6">
        <f>IF(AND(H1215&gt;0,I1215&gt;0),"Rendben",IF(AND(H1215=0,I1215=0),"Nincs kép és adat",IF(H1215=0,"Nincs kép","Nincs adat")))</f>
        <v/>
      </c>
      <c r="L1215" s="6" t="inlineStr">
        <is>
          <t>Igen</t>
        </is>
      </c>
      <c r="M1215" s="7" t="inlineStr">
        <is>
          <t>SAND Profile teljes PDF katalógus</t>
        </is>
      </c>
      <c r="N1215" s="7" t="inlineStr">
        <is>
          <t>Megtalálva: Fax: +49 (0) 60 27/41 60-60 (kód: A2 539)</t>
        </is>
      </c>
      <c r="O1215" s="11" t="inlineStr">
        <is>
          <t>https://www.sandprofile.com/media/gesamtkatalog_en.pdf#page=41</t>
        </is>
      </c>
      <c r="P1215" s="11" t="inlineStr">
        <is>
          <t>https://website-9ib.pages.dev/termek/a2-539-kozepes-gobos-kedergumi-14-6x18-7-fekete/</t>
        </is>
      </c>
      <c r="Q1215" s="12" t="inlineStr"/>
      <c r="R1215" s="13" t="inlineStr"/>
      <c r="S1215" s="6" t="inlineStr">
        <is>
          <t>a2-539-kozepes-gobos-kedergumi-14-6x18-7-fekete</t>
        </is>
      </c>
    </row>
    <row r="1216">
      <c r="A1216" s="6" t="inlineStr"/>
      <c r="B1216" s="7" t="inlineStr">
        <is>
          <t>A2 540 kédergumi 16x19,2/2,0-4,0 fekete</t>
        </is>
      </c>
      <c r="C1216" s="6" t="inlineStr">
        <is>
          <t>Gumi- és kéderprofilok</t>
        </is>
      </c>
      <c r="D1216" s="6" t="inlineStr">
        <is>
          <t>Kéder- és ablakgumi profilok (Gista)</t>
        </is>
      </c>
      <c r="E1216" s="6" t="inlineStr">
        <is>
          <t>Sand-Profile</t>
        </is>
      </c>
      <c r="F1216" s="6" t="inlineStr">
        <is>
          <t>A2 540</t>
        </is>
      </c>
      <c r="G1216" s="6" t="inlineStr">
        <is>
          <t>Quadris Excel</t>
        </is>
      </c>
      <c r="H1216" s="6" t="n">
        <v>1</v>
      </c>
      <c r="I1216" s="6" t="n">
        <v>3</v>
      </c>
      <c r="J1216" s="6" t="inlineStr">
        <is>
          <t>nincs</t>
        </is>
      </c>
      <c r="K1216" s="6">
        <f>IF(AND(H1216&gt;0,I1216&gt;0),"Rendben",IF(AND(H1216=0,I1216=0),"Nincs kép és adat",IF(H1216=0,"Nincs kép","Nincs adat")))</f>
        <v/>
      </c>
      <c r="L1216" s="6" t="inlineStr">
        <is>
          <t>Igen</t>
        </is>
      </c>
      <c r="M1216" s="7" t="inlineStr">
        <is>
          <t>SAND Profile teljes PDF katalógus</t>
        </is>
      </c>
      <c r="N1216" s="7" t="inlineStr">
        <is>
          <t>Megtalálva: Fax: +49 (0) 60 27/41 60-60 (kód: A2 540)</t>
        </is>
      </c>
      <c r="O1216" s="11" t="inlineStr">
        <is>
          <t>https://www.sandprofile.com/media/gesamtkatalog_en.pdf#page=41</t>
        </is>
      </c>
      <c r="P1216" s="11" t="inlineStr">
        <is>
          <t>https://website-9ib.pages.dev/termek/a2-540-kedergumi-16x19-2-2-0-4-0-fekete/</t>
        </is>
      </c>
      <c r="Q1216" s="12" t="inlineStr"/>
      <c r="R1216" s="13" t="inlineStr"/>
      <c r="S1216" s="6" t="inlineStr">
        <is>
          <t>a2-540-kedergumi-16x19-2-2-0-4-0-fekete</t>
        </is>
      </c>
    </row>
    <row r="1217">
      <c r="A1217" s="6" t="inlineStr"/>
      <c r="B1217" s="7" t="inlineStr">
        <is>
          <t>A2 541 Kédergumi 16x19,2/4,0-6,0 fekete</t>
        </is>
      </c>
      <c r="C1217" s="6" t="inlineStr">
        <is>
          <t>Gumi- és kéderprofilok</t>
        </is>
      </c>
      <c r="D1217" s="6" t="inlineStr">
        <is>
          <t>Kéder- és ablakgumi profilok (Gista)</t>
        </is>
      </c>
      <c r="E1217" s="6" t="inlineStr">
        <is>
          <t>Sand-Profile</t>
        </is>
      </c>
      <c r="F1217" s="6" t="inlineStr">
        <is>
          <t>A2 541</t>
        </is>
      </c>
      <c r="G1217" s="6" t="inlineStr">
        <is>
          <t>Quadris Excel</t>
        </is>
      </c>
      <c r="H1217" s="6" t="n">
        <v>1</v>
      </c>
      <c r="I1217" s="6" t="n">
        <v>3</v>
      </c>
      <c r="J1217" s="6" t="inlineStr">
        <is>
          <t>nincs</t>
        </is>
      </c>
      <c r="K1217" s="6">
        <f>IF(AND(H1217&gt;0,I1217&gt;0),"Rendben",IF(AND(H1217=0,I1217=0),"Nincs kép és adat",IF(H1217=0,"Nincs kép","Nincs adat")))</f>
        <v/>
      </c>
      <c r="L1217" s="6" t="inlineStr">
        <is>
          <t>Igen</t>
        </is>
      </c>
      <c r="M1217" s="7" t="inlineStr">
        <is>
          <t>SAND Profile teljes PDF katalógus</t>
        </is>
      </c>
      <c r="N1217" s="7" t="inlineStr">
        <is>
          <t>Megtalálva: Fax: +49 (0) 60 27/41 60-60 (kód: A2 541)</t>
        </is>
      </c>
      <c r="O1217" s="11" t="inlineStr">
        <is>
          <t>https://www.sandprofile.com/media/gesamtkatalog_en.pdf#page=41</t>
        </is>
      </c>
      <c r="P1217" s="11" t="inlineStr">
        <is>
          <t>https://website-9ib.pages.dev/termek/a2-541-kedergumi-16x19-2-4-0-6-0-fekete/</t>
        </is>
      </c>
      <c r="Q1217" s="12" t="inlineStr"/>
      <c r="R1217" s="13" t="inlineStr"/>
      <c r="S1217" s="6" t="inlineStr">
        <is>
          <t>a2-541-kedergumi-16x19-2-4-0-6-0-fekete</t>
        </is>
      </c>
    </row>
    <row r="1218">
      <c r="A1218" s="6" t="inlineStr"/>
      <c r="B1218" s="7" t="inlineStr">
        <is>
          <t>A2 554 Nagygöbös kéder (22,6)</t>
        </is>
      </c>
      <c r="C1218" s="6" t="inlineStr">
        <is>
          <t>Gumi- és kéderprofilok</t>
        </is>
      </c>
      <c r="D1218" s="6" t="inlineStr">
        <is>
          <t>Kéder- és ablakgumi profilok (Gista)</t>
        </is>
      </c>
      <c r="E1218" s="6" t="inlineStr">
        <is>
          <t>Sand-Profile</t>
        </is>
      </c>
      <c r="F1218" s="6" t="inlineStr">
        <is>
          <t>A2 554</t>
        </is>
      </c>
      <c r="G1218" s="6" t="inlineStr">
        <is>
          <t>Quadris Excel</t>
        </is>
      </c>
      <c r="H1218" s="6" t="n">
        <v>1</v>
      </c>
      <c r="I1218" s="6" t="n">
        <v>3</v>
      </c>
      <c r="J1218" s="6" t="inlineStr">
        <is>
          <t>nincs</t>
        </is>
      </c>
      <c r="K1218" s="6">
        <f>IF(AND(H1218&gt;0,I1218&gt;0),"Rendben",IF(AND(H1218=0,I1218=0),"Nincs kép és adat",IF(H1218=0,"Nincs kép","Nincs adat")))</f>
        <v/>
      </c>
      <c r="L1218" s="6" t="inlineStr">
        <is>
          <t>Igen</t>
        </is>
      </c>
      <c r="M1218" s="7" t="inlineStr">
        <is>
          <t>SAND Profile teljes PDF katalógus</t>
        </is>
      </c>
      <c r="N1218" s="7" t="inlineStr">
        <is>
          <t>Megtalálva: Fax: +49 (0) 60 27/41 60-60 (kód: A2 554)</t>
        </is>
      </c>
      <c r="O1218" s="11" t="inlineStr">
        <is>
          <t>https://www.sandprofile.com/media/gesamtkatalog_en.pdf#page=44</t>
        </is>
      </c>
      <c r="P1218" s="11" t="inlineStr">
        <is>
          <t>https://website-9ib.pages.dev/termek/a2-554-nagygobos-keder-22-6/</t>
        </is>
      </c>
      <c r="Q1218" s="12" t="inlineStr"/>
      <c r="R1218" s="13" t="inlineStr"/>
      <c r="S1218" s="6" t="inlineStr">
        <is>
          <t>a2-554-nagygobos-keder-22-6</t>
        </is>
      </c>
    </row>
    <row r="1219">
      <c r="A1219" s="6" t="inlineStr"/>
      <c r="B1219" s="7" t="inlineStr">
        <is>
          <t>D1 119 EPDM 21mm p profil</t>
        </is>
      </c>
      <c r="C1219" s="6" t="inlineStr">
        <is>
          <t>Gumi- és kéderprofilok</t>
        </is>
      </c>
      <c r="D1219" s="6" t="inlineStr">
        <is>
          <t>Speciális gumiprofilok</t>
        </is>
      </c>
      <c r="E1219" s="6" t="inlineStr">
        <is>
          <t>Sand-Profile</t>
        </is>
      </c>
      <c r="F1219" s="6" t="inlineStr">
        <is>
          <t>D1 119</t>
        </is>
      </c>
      <c r="G1219" s="6" t="inlineStr">
        <is>
          <t>Quadris Excel</t>
        </is>
      </c>
      <c r="H1219" s="6" t="n">
        <v>1</v>
      </c>
      <c r="I1219" s="6" t="n">
        <v>3</v>
      </c>
      <c r="J1219" s="6" t="inlineStr">
        <is>
          <t>nincs</t>
        </is>
      </c>
      <c r="K1219" s="6">
        <f>IF(AND(H1219&gt;0,I1219&gt;0),"Rendben",IF(AND(H1219=0,I1219=0),"Nincs kép és adat",IF(H1219=0,"Nincs kép","Nincs adat")))</f>
        <v/>
      </c>
      <c r="L1219" s="6" t="inlineStr">
        <is>
          <t>Igen</t>
        </is>
      </c>
      <c r="M1219" s="7" t="inlineStr">
        <is>
          <t>SAND Profile teljes PDF katalógus</t>
        </is>
      </c>
      <c r="N1219" s="7" t="inlineStr">
        <is>
          <t>Megtalálva: Fax: +49 (0) 60 27/41 60-60 (kód: D1 119)</t>
        </is>
      </c>
      <c r="O1219" s="11" t="inlineStr">
        <is>
          <t>https://www.sandprofile.com/media/gesamtkatalog_en.pdf#page=67</t>
        </is>
      </c>
      <c r="P1219" s="11" t="inlineStr">
        <is>
          <t>https://website-9ib.pages.dev/termek/d1-119-epdm-21mm-p-profil/</t>
        </is>
      </c>
      <c r="Q1219" s="12" t="inlineStr"/>
      <c r="R1219" s="13" t="inlineStr"/>
      <c r="S1219" s="6" t="inlineStr">
        <is>
          <t>d1-119-epdm-21mm-p-profil</t>
        </is>
      </c>
    </row>
    <row r="1220">
      <c r="A1220" s="6" t="inlineStr"/>
      <c r="B1220" s="7" t="inlineStr">
        <is>
          <t>D1 128 Omega gumi 19,8x40x24 EPDM fekete</t>
        </is>
      </c>
      <c r="C1220" s="6" t="inlineStr">
        <is>
          <t>Gumi- és kéderprofilok</t>
        </is>
      </c>
      <c r="D1220" s="6" t="inlineStr">
        <is>
          <t>Mono tömítőprofilok</t>
        </is>
      </c>
      <c r="E1220" s="6" t="inlineStr">
        <is>
          <t>Sand-Profile</t>
        </is>
      </c>
      <c r="F1220" s="6" t="inlineStr">
        <is>
          <t>D1 128</t>
        </is>
      </c>
      <c r="G1220" s="6" t="inlineStr">
        <is>
          <t>Quadris Excel</t>
        </is>
      </c>
      <c r="H1220" s="6" t="n">
        <v>1</v>
      </c>
      <c r="I1220" s="6" t="n">
        <v>3</v>
      </c>
      <c r="J1220" s="6" t="inlineStr">
        <is>
          <t>nincs</t>
        </is>
      </c>
      <c r="K1220" s="6">
        <f>IF(AND(H1220&gt;0,I1220&gt;0),"Rendben",IF(AND(H1220=0,I1220=0),"Nincs kép és adat",IF(H1220=0,"Nincs kép","Nincs adat")))</f>
        <v/>
      </c>
      <c r="L1220" s="6" t="inlineStr">
        <is>
          <t>Igen</t>
        </is>
      </c>
      <c r="M1220" s="7" t="inlineStr">
        <is>
          <t>SAND Profile teljes PDF katalógus</t>
        </is>
      </c>
      <c r="N1220" s="7" t="inlineStr">
        <is>
          <t>Megtalálva: Fax: +49 (0) 60 27/41 60-60 (kód: D1 128)</t>
        </is>
      </c>
      <c r="O1220" s="11" t="inlineStr">
        <is>
          <t>https://www.sandprofile.com/media/gesamtkatalog_en.pdf#page=65</t>
        </is>
      </c>
      <c r="P1220" s="11" t="inlineStr">
        <is>
          <t>https://website-9ib.pages.dev/termek/d1-128-omega-gumi-19-8x40x24-epdm-fekete/</t>
        </is>
      </c>
      <c r="Q1220" s="12" t="inlineStr"/>
      <c r="R1220" s="13" t="inlineStr"/>
      <c r="S1220" s="6" t="inlineStr">
        <is>
          <t>d1-128-omega-gumi-19-8x40x24-epdm-fekete</t>
        </is>
      </c>
    </row>
    <row r="1221">
      <c r="A1221" s="6" t="inlineStr"/>
      <c r="B1221" s="7" t="inlineStr">
        <is>
          <t>D1 133 Omega gumi 19,8x28x24 EPDM fekete</t>
        </is>
      </c>
      <c r="C1221" s="6" t="inlineStr">
        <is>
          <t>Gumi- és kéderprofilok</t>
        </is>
      </c>
      <c r="D1221" s="6" t="inlineStr">
        <is>
          <t>Mono tömítőprofilok</t>
        </is>
      </c>
      <c r="E1221" s="6" t="inlineStr">
        <is>
          <t>Sand-Profile</t>
        </is>
      </c>
      <c r="F1221" s="6" t="inlineStr">
        <is>
          <t>D1 133</t>
        </is>
      </c>
      <c r="G1221" s="6" t="inlineStr">
        <is>
          <t>Quadris Excel</t>
        </is>
      </c>
      <c r="H1221" s="6" t="n">
        <v>1</v>
      </c>
      <c r="I1221" s="6" t="n">
        <v>3</v>
      </c>
      <c r="J1221" s="6" t="inlineStr">
        <is>
          <t>nincs</t>
        </is>
      </c>
      <c r="K1221" s="6">
        <f>IF(AND(H1221&gt;0,I1221&gt;0),"Rendben",IF(AND(H1221=0,I1221=0),"Nincs kép és adat",IF(H1221=0,"Nincs kép","Nincs adat")))</f>
        <v/>
      </c>
      <c r="L1221" s="6" t="inlineStr">
        <is>
          <t>Igen</t>
        </is>
      </c>
      <c r="M1221" s="7" t="inlineStr">
        <is>
          <t>SAND Profile teljes PDF katalógus</t>
        </is>
      </c>
      <c r="N1221" s="7" t="inlineStr">
        <is>
          <t>Megtalálva: Fax: +49 (0) 60 27/41 60-60 (kód: D1 133)</t>
        </is>
      </c>
      <c r="O1221" s="11" t="inlineStr">
        <is>
          <t>https://www.sandprofile.com/media/gesamtkatalog_en.pdf#page=65</t>
        </is>
      </c>
      <c r="P1221" s="11" t="inlineStr">
        <is>
          <t>https://website-9ib.pages.dev/termek/d1-133-omega-gumi-19-8x28x24-epdm-fekete/</t>
        </is>
      </c>
      <c r="Q1221" s="12" t="inlineStr"/>
      <c r="R1221" s="13" t="inlineStr"/>
      <c r="S1221" s="6" t="inlineStr">
        <is>
          <t>d1-133-omega-gumi-19-8x28x24-epdm-fekete</t>
        </is>
      </c>
    </row>
    <row r="1222">
      <c r="A1222" s="6" t="inlineStr"/>
      <c r="B1222" s="7" t="inlineStr">
        <is>
          <t>D2 167 Élvédő léc EPDM fekete</t>
        </is>
      </c>
      <c r="C1222" s="6" t="inlineStr">
        <is>
          <t>Gumi- és kéderprofilok</t>
        </is>
      </c>
      <c r="D1222" s="6" t="inlineStr">
        <is>
          <t>Speciális gumiprofilok</t>
        </is>
      </c>
      <c r="E1222" s="6" t="inlineStr">
        <is>
          <t>Sand-Profile</t>
        </is>
      </c>
      <c r="F1222" s="6" t="inlineStr">
        <is>
          <t>D2 167</t>
        </is>
      </c>
      <c r="G1222" s="6" t="inlineStr">
        <is>
          <t>Quadris Excel</t>
        </is>
      </c>
      <c r="H1222" s="6" t="n">
        <v>1</v>
      </c>
      <c r="I1222" s="6" t="n">
        <v>3</v>
      </c>
      <c r="J1222" s="6" t="inlineStr">
        <is>
          <t>nincs</t>
        </is>
      </c>
      <c r="K1222" s="6">
        <f>IF(AND(H1222&gt;0,I1222&gt;0),"Rendben",IF(AND(H1222=0,I1222=0),"Nincs kép és adat",IF(H1222=0,"Nincs kép","Nincs adat")))</f>
        <v/>
      </c>
      <c r="L1222" s="6" t="inlineStr">
        <is>
          <t>Igen</t>
        </is>
      </c>
      <c r="M1222" s="7" t="inlineStr">
        <is>
          <t>SAND Profile teljes PDF katalógus</t>
        </is>
      </c>
      <c r="N1222" s="7" t="inlineStr">
        <is>
          <t>Megtalálva: Fax: +49 (0) 60 27/41 60-60 (kód: D2 167)</t>
        </is>
      </c>
      <c r="O1222" s="11" t="inlineStr">
        <is>
          <t>https://www.sandprofile.com/media/gesamtkatalog_en.pdf#page=67</t>
        </is>
      </c>
      <c r="P1222" s="11" t="inlineStr">
        <is>
          <t>https://website-9ib.pages.dev/termek/d2-167-elvedo-lec-epdm-fekete/</t>
        </is>
      </c>
      <c r="Q1222" s="12" t="inlineStr"/>
      <c r="R1222" s="13" t="inlineStr"/>
      <c r="S1222" s="6" t="inlineStr">
        <is>
          <t>d2-167-elvedo-lec-epdm-fekete</t>
        </is>
      </c>
    </row>
    <row r="1223">
      <c r="A1223" s="6" t="inlineStr"/>
      <c r="B1223" s="7" t="inlineStr">
        <is>
          <t>D2 528 talpas 15,5 mm 20,5/20 EPDM fekete</t>
        </is>
      </c>
      <c r="C1223" s="6" t="inlineStr">
        <is>
          <t>Gumi- és kéderprofilok</t>
        </is>
      </c>
      <c r="D1223" s="6" t="inlineStr">
        <is>
          <t>Élvédő tömítőprofilok</t>
        </is>
      </c>
      <c r="E1223" s="6" t="inlineStr">
        <is>
          <t>Sand-Profile</t>
        </is>
      </c>
      <c r="F1223" s="6" t="inlineStr">
        <is>
          <t>D2 528</t>
        </is>
      </c>
      <c r="G1223" s="6" t="inlineStr">
        <is>
          <t>Quadris Excel</t>
        </is>
      </c>
      <c r="H1223" s="6" t="n">
        <v>1</v>
      </c>
      <c r="I1223" s="6" t="n">
        <v>3</v>
      </c>
      <c r="J1223" s="6" t="inlineStr">
        <is>
          <t>nincs</t>
        </is>
      </c>
      <c r="K1223" s="6">
        <f>IF(AND(H1223&gt;0,I1223&gt;0),"Rendben",IF(AND(H1223=0,I1223=0),"Nincs kép és adat",IF(H1223=0,"Nincs kép","Nincs adat")))</f>
        <v/>
      </c>
      <c r="L1223" s="6" t="inlineStr">
        <is>
          <t>Igen</t>
        </is>
      </c>
      <c r="M1223" s="7" t="inlineStr">
        <is>
          <t>SAND Profile teljes PDF katalógus</t>
        </is>
      </c>
      <c r="N1223" s="7" t="inlineStr">
        <is>
          <t>Megtalálva: Fax: +49 (0) 60 27/41 60-60 (kód: D2 528)</t>
        </is>
      </c>
      <c r="O1223" s="11" t="inlineStr">
        <is>
          <t>https://www.sandprofile.com/media/gesamtkatalog_en.pdf#page=63</t>
        </is>
      </c>
      <c r="P1223" s="11" t="inlineStr">
        <is>
          <t>https://website-9ib.pages.dev/termek/d2-528-talpas-15-5-mm-20-5-20-epdm-fekete/</t>
        </is>
      </c>
      <c r="Q1223" s="12" t="inlineStr"/>
      <c r="R1223" s="13" t="inlineStr"/>
      <c r="S1223" s="6" t="inlineStr">
        <is>
          <t>d2-528-talpas-15-5-mm-20-5-20-epdm-fekete</t>
        </is>
      </c>
    </row>
    <row r="1224">
      <c r="A1224" s="6" t="inlineStr"/>
      <c r="B1224" s="7" t="inlineStr">
        <is>
          <t>E2 546-AF Moos gumi öntapadós</t>
        </is>
      </c>
      <c r="C1224" s="6" t="inlineStr">
        <is>
          <t>Gumi- és kéderprofilok</t>
        </is>
      </c>
      <c r="D1224" s="6" t="inlineStr">
        <is>
          <t>Egyéb kéder- és tömítőgumik</t>
        </is>
      </c>
      <c r="E1224" s="6" t="inlineStr">
        <is>
          <t>Sand-Profile</t>
        </is>
      </c>
      <c r="F1224" s="6" t="inlineStr"/>
      <c r="G1224" s="6" t="inlineStr">
        <is>
          <t>Quadris Excel</t>
        </is>
      </c>
      <c r="H1224" s="6" t="n">
        <v>0</v>
      </c>
      <c r="I1224" s="6" t="n">
        <v>0</v>
      </c>
      <c r="J1224" s="6" t="inlineStr">
        <is>
          <t>nincs</t>
        </is>
      </c>
      <c r="K1224" s="6">
        <f>IF(AND(H1224&gt;0,I1224&gt;0),"Rendben",IF(AND(H1224=0,I1224=0),"Nincs kép és adat",IF(H1224=0,"Nincs kép","Nincs adat")))</f>
        <v/>
      </c>
      <c r="L1224" s="6" t="inlineStr">
        <is>
          <t>Igen</t>
        </is>
      </c>
      <c r="M1224" s="7" t="inlineStr">
        <is>
          <t>SAND Profile teljes PDF katalógus</t>
        </is>
      </c>
      <c r="N1224" s="7" t="inlineStr">
        <is>
          <t>Nem találtuk: SAND Profile teljes PDF katalógus</t>
        </is>
      </c>
      <c r="O1224" s="6" t="inlineStr"/>
      <c r="P1224" s="11" t="inlineStr">
        <is>
          <t>https://website-9ib.pages.dev/termek/e2-546-af-moos-gumi-ontapados/</t>
        </is>
      </c>
      <c r="Q1224" s="12" t="inlineStr"/>
      <c r="R1224" s="13" t="inlineStr"/>
      <c r="S1224" s="6" t="inlineStr">
        <is>
          <t>e2-546-af-moos-gumi-ontapados</t>
        </is>
      </c>
    </row>
    <row r="1225">
      <c r="A1225" s="6" t="inlineStr"/>
      <c r="B1225" s="7" t="inlineStr">
        <is>
          <t>E2 701-AF Moos gumi EPDM öntapadós</t>
        </is>
      </c>
      <c r="C1225" s="6" t="inlineStr">
        <is>
          <t>Gumi- és kéderprofilok</t>
        </is>
      </c>
      <c r="D1225" s="6" t="inlineStr">
        <is>
          <t>Egyéb kéder- és tömítőgumik</t>
        </is>
      </c>
      <c r="E1225" s="6" t="inlineStr">
        <is>
          <t>Sand-Profile</t>
        </is>
      </c>
      <c r="F1225" s="6" t="inlineStr"/>
      <c r="G1225" s="6" t="inlineStr">
        <is>
          <t>Quadris Excel</t>
        </is>
      </c>
      <c r="H1225" s="6" t="n">
        <v>0</v>
      </c>
      <c r="I1225" s="6" t="n">
        <v>0</v>
      </c>
      <c r="J1225" s="6" t="inlineStr">
        <is>
          <t>nincs</t>
        </is>
      </c>
      <c r="K1225" s="6">
        <f>IF(AND(H1225&gt;0,I1225&gt;0),"Rendben",IF(AND(H1225=0,I1225=0),"Nincs kép és adat",IF(H1225=0,"Nincs kép","Nincs adat")))</f>
        <v/>
      </c>
      <c r="L1225" s="6" t="inlineStr">
        <is>
          <t>Igen</t>
        </is>
      </c>
      <c r="M1225" s="7" t="inlineStr">
        <is>
          <t>SAND Profile teljes PDF katalógus</t>
        </is>
      </c>
      <c r="N1225" s="7" t="inlineStr">
        <is>
          <t>Nem találtuk: SAND Profile teljes PDF katalógus</t>
        </is>
      </c>
      <c r="O1225" s="6" t="inlineStr"/>
      <c r="P1225" s="11" t="inlineStr">
        <is>
          <t>https://website-9ib.pages.dev/termek/e2-701-af-moos-gumi-epdm-ontapados/</t>
        </is>
      </c>
      <c r="Q1225" s="12" t="inlineStr"/>
      <c r="R1225" s="13" t="inlineStr"/>
      <c r="S1225" s="6" t="inlineStr">
        <is>
          <t>e2-701-af-moos-gumi-epdm-ontapados</t>
        </is>
      </c>
    </row>
    <row r="1226">
      <c r="A1226" s="6" t="inlineStr"/>
      <c r="B1226" s="7" t="inlineStr">
        <is>
          <t>EPDM 1030 moosgumi</t>
        </is>
      </c>
      <c r="C1226" s="6" t="inlineStr">
        <is>
          <t>Gumi- és kéderprofilok</t>
        </is>
      </c>
      <c r="D1226" s="6" t="inlineStr">
        <is>
          <t>Egyéb kéder- és tömítőgumik</t>
        </is>
      </c>
      <c r="E1226" s="6" t="inlineStr">
        <is>
          <t>Sand-Profile</t>
        </is>
      </c>
      <c r="F1226" s="6" t="inlineStr"/>
      <c r="G1226" s="6" t="inlineStr">
        <is>
          <t>Quadris Excel</t>
        </is>
      </c>
      <c r="H1226" s="6" t="n">
        <v>0</v>
      </c>
      <c r="I1226" s="6" t="n">
        <v>0</v>
      </c>
      <c r="J1226" s="6" t="inlineStr">
        <is>
          <t>nincs</t>
        </is>
      </c>
      <c r="K1226" s="6">
        <f>IF(AND(H1226&gt;0,I1226&gt;0),"Rendben",IF(AND(H1226=0,I1226=0),"Nincs kép és adat",IF(H1226=0,"Nincs kép","Nincs adat")))</f>
        <v/>
      </c>
      <c r="L1226" s="6" t="inlineStr">
        <is>
          <t>Igen</t>
        </is>
      </c>
      <c r="M1226" s="7" t="inlineStr">
        <is>
          <t>SAND Profile teljes PDF katalógus</t>
        </is>
      </c>
      <c r="N1226" s="7" t="inlineStr">
        <is>
          <t>Nem találtuk: SAND Profile teljes PDF katalógus</t>
        </is>
      </c>
      <c r="O1226" s="6" t="inlineStr"/>
      <c r="P1226" s="11" t="inlineStr">
        <is>
          <t>https://website-9ib.pages.dev/termek/epdm-1030-moosgumi/</t>
        </is>
      </c>
      <c r="Q1226" s="12" t="inlineStr"/>
      <c r="R1226" s="13" t="inlineStr"/>
      <c r="S1226" s="6" t="inlineStr">
        <is>
          <t>epdm-1030-moosgumi</t>
        </is>
      </c>
    </row>
    <row r="1227">
      <c r="A1227" s="6" t="inlineStr"/>
      <c r="B1227" s="7" t="inlineStr">
        <is>
          <t>EPDM 1530 moosgumi</t>
        </is>
      </c>
      <c r="C1227" s="6" t="inlineStr">
        <is>
          <t>Gumi- és kéderprofilok</t>
        </is>
      </c>
      <c r="D1227" s="6" t="inlineStr">
        <is>
          <t>Egyéb kéder- és tömítőgumik</t>
        </is>
      </c>
      <c r="E1227" s="6" t="inlineStr">
        <is>
          <t>Sand-Profile</t>
        </is>
      </c>
      <c r="F1227" s="6" t="inlineStr"/>
      <c r="G1227" s="6" t="inlineStr">
        <is>
          <t>Quadris Excel</t>
        </is>
      </c>
      <c r="H1227" s="6" t="n">
        <v>0</v>
      </c>
      <c r="I1227" s="6" t="n">
        <v>0</v>
      </c>
      <c r="J1227" s="6" t="inlineStr">
        <is>
          <t>nincs</t>
        </is>
      </c>
      <c r="K1227" s="6">
        <f>IF(AND(H1227&gt;0,I1227&gt;0),"Rendben",IF(AND(H1227=0,I1227=0),"Nincs kép és adat",IF(H1227=0,"Nincs kép","Nincs adat")))</f>
        <v/>
      </c>
      <c r="L1227" s="6" t="inlineStr">
        <is>
          <t>Igen</t>
        </is>
      </c>
      <c r="M1227" s="7" t="inlineStr">
        <is>
          <t>SAND Profile teljes PDF katalógus</t>
        </is>
      </c>
      <c r="N1227" s="7" t="inlineStr">
        <is>
          <t>Nem találtuk: SAND Profile teljes PDF katalógus</t>
        </is>
      </c>
      <c r="O1227" s="6" t="inlineStr"/>
      <c r="P1227" s="11" t="inlineStr">
        <is>
          <t>https://website-9ib.pages.dev/termek/epdm-1530-moosgumi/</t>
        </is>
      </c>
      <c r="Q1227" s="12" t="inlineStr"/>
      <c r="R1227" s="13" t="inlineStr"/>
      <c r="S1227" s="6" t="inlineStr">
        <is>
          <t>epdm-1530-moosgumi</t>
        </is>
      </c>
    </row>
    <row r="1228">
      <c r="A1228" s="6" t="inlineStr"/>
      <c r="B1228" s="7" t="inlineStr">
        <is>
          <t>EPDM 3030 - AF moosgumi</t>
        </is>
      </c>
      <c r="C1228" s="6" t="inlineStr">
        <is>
          <t>Gumi- és kéderprofilok</t>
        </is>
      </c>
      <c r="D1228" s="6" t="inlineStr">
        <is>
          <t>Egyéb kéder- és tömítőgumik</t>
        </is>
      </c>
      <c r="E1228" s="6" t="inlineStr">
        <is>
          <t>Sand-Profile</t>
        </is>
      </c>
      <c r="F1228" s="6" t="inlineStr"/>
      <c r="G1228" s="6" t="inlineStr">
        <is>
          <t>Quadris Excel</t>
        </is>
      </c>
      <c r="H1228" s="6" t="n">
        <v>0</v>
      </c>
      <c r="I1228" s="6" t="n">
        <v>0</v>
      </c>
      <c r="J1228" s="6" t="inlineStr">
        <is>
          <t>nincs</t>
        </is>
      </c>
      <c r="K1228" s="6">
        <f>IF(AND(H1228&gt;0,I1228&gt;0),"Rendben",IF(AND(H1228=0,I1228=0),"Nincs kép és adat",IF(H1228=0,"Nincs kép","Nincs adat")))</f>
        <v/>
      </c>
      <c r="L1228" s="6" t="inlineStr">
        <is>
          <t>Igen</t>
        </is>
      </c>
      <c r="M1228" s="7" t="inlineStr">
        <is>
          <t>SAND Profile teljes PDF katalógus</t>
        </is>
      </c>
      <c r="N1228" s="7" t="inlineStr">
        <is>
          <t>Nem találtuk: SAND Profile teljes PDF katalógus</t>
        </is>
      </c>
      <c r="O1228" s="6" t="inlineStr"/>
      <c r="P1228" s="11" t="inlineStr">
        <is>
          <t>https://website-9ib.pages.dev/termek/epdm-3030-af-moosgumi/</t>
        </is>
      </c>
      <c r="Q1228" s="12" t="inlineStr"/>
      <c r="R1228" s="13" t="inlineStr"/>
      <c r="S1228" s="6" t="inlineStr">
        <is>
          <t>epdm-3030-af-moosgumi</t>
        </is>
      </c>
    </row>
    <row r="1229">
      <c r="A1229" s="6" t="inlineStr"/>
      <c r="B1229" s="7" t="inlineStr">
        <is>
          <t>EPDM moosgumi</t>
        </is>
      </c>
      <c r="C1229" s="6" t="inlineStr">
        <is>
          <t>Gumi- és kéderprofilok</t>
        </is>
      </c>
      <c r="D1229" s="6" t="inlineStr">
        <is>
          <t>Egyéb kéder- és tömítőgumik</t>
        </is>
      </c>
      <c r="E1229" s="6" t="inlineStr">
        <is>
          <t>Sand-Profile</t>
        </is>
      </c>
      <c r="F1229" s="6" t="inlineStr"/>
      <c r="G1229" s="6" t="inlineStr">
        <is>
          <t>Quadris Excel</t>
        </is>
      </c>
      <c r="H1229" s="6" t="n">
        <v>0</v>
      </c>
      <c r="I1229" s="6" t="n">
        <v>0</v>
      </c>
      <c r="J1229" s="6" t="inlineStr">
        <is>
          <t>nincs</t>
        </is>
      </c>
      <c r="K1229" s="6">
        <f>IF(AND(H1229&gt;0,I1229&gt;0),"Rendben",IF(AND(H1229=0,I1229=0),"Nincs kép és adat",IF(H1229=0,"Nincs kép","Nincs adat")))</f>
        <v/>
      </c>
      <c r="L1229" s="6" t="inlineStr">
        <is>
          <t>Igen</t>
        </is>
      </c>
      <c r="M1229" s="7" t="inlineStr">
        <is>
          <t>SAND Profile teljes PDF katalógus</t>
        </is>
      </c>
      <c r="N1229" s="7" t="inlineStr">
        <is>
          <t>Nem találtuk: SAND Profile teljes PDF katalógus</t>
        </is>
      </c>
      <c r="O1229" s="6" t="inlineStr"/>
      <c r="P1229" s="11" t="inlineStr">
        <is>
          <t>https://website-9ib.pages.dev/termek/epdm-moosgumi/</t>
        </is>
      </c>
      <c r="Q1229" s="12" t="inlineStr"/>
      <c r="R1229" s="13" t="inlineStr"/>
      <c r="S1229" s="6" t="inlineStr">
        <is>
          <t>epdm-moosgumi</t>
        </is>
      </c>
    </row>
    <row r="1230">
      <c r="A1230" s="6" t="inlineStr"/>
      <c r="B1230" s="7" t="inlineStr">
        <is>
          <t>Felső göbös kédergumi 32x14x20,8 fekete</t>
        </is>
      </c>
      <c r="C1230" s="6" t="inlineStr">
        <is>
          <t>Gumi- és kéderprofilok</t>
        </is>
      </c>
      <c r="D1230" s="6" t="inlineStr">
        <is>
          <t>Kéder- és ablakgumi profilok (Gista)</t>
        </is>
      </c>
      <c r="E1230" s="6" t="inlineStr">
        <is>
          <t>Sand-Profile</t>
        </is>
      </c>
      <c r="F1230" s="6" t="inlineStr">
        <is>
          <t>A3321</t>
        </is>
      </c>
      <c r="G1230" s="6" t="inlineStr">
        <is>
          <t>Quadris Excel</t>
        </is>
      </c>
      <c r="H1230" s="6" t="n">
        <v>1</v>
      </c>
      <c r="I1230" s="6" t="n">
        <v>3</v>
      </c>
      <c r="J1230" s="6" t="inlineStr">
        <is>
          <t>nincs</t>
        </is>
      </c>
      <c r="K1230" s="6">
        <f>IF(AND(H1230&gt;0,I1230&gt;0),"Rendben",IF(AND(H1230=0,I1230=0),"Nincs kép és adat",IF(H1230=0,"Nincs kép","Nincs adat")))</f>
        <v/>
      </c>
      <c r="L1230" s="6" t="inlineStr">
        <is>
          <t>Igen</t>
        </is>
      </c>
      <c r="M1230" s="7" t="inlineStr">
        <is>
          <t>SAND Profile teljes PDF katalógus</t>
        </is>
      </c>
      <c r="N1230" s="7" t="inlineStr">
        <is>
          <t>Megtalálva: Fax: +49 (0) 60 27/41 60-60 (kód: A3321)</t>
        </is>
      </c>
      <c r="O1230" s="11" t="inlineStr">
        <is>
          <t>https://www.sandprofile.com/media/gesamtkatalog_en.pdf#page=38</t>
        </is>
      </c>
      <c r="P1230" s="11" t="inlineStr">
        <is>
          <t>https://website-9ib.pages.dev/termek/felso-gobos-kedergumi-32x14x20-8-fekete/</t>
        </is>
      </c>
      <c r="Q1230" s="12" t="inlineStr"/>
      <c r="R1230" s="13" t="inlineStr"/>
      <c r="S1230" s="6" t="inlineStr">
        <is>
          <t>felso-gobos-kedergumi-32x14x20-8-fekete</t>
        </is>
      </c>
    </row>
    <row r="1231">
      <c r="A1231" s="6" t="inlineStr"/>
      <c r="B1231" s="7" t="inlineStr">
        <is>
          <t>Kédergumi 14,5x20,5/2,0-4,0 fekete</t>
        </is>
      </c>
      <c r="C1231" s="6" t="inlineStr">
        <is>
          <t>Gumi- és kéderprofilok</t>
        </is>
      </c>
      <c r="D1231" s="6" t="inlineStr">
        <is>
          <t>Kéder- és ablakgumi profilok (Gista)</t>
        </is>
      </c>
      <c r="E1231" s="6" t="inlineStr">
        <is>
          <t>Sand-Profile</t>
        </is>
      </c>
      <c r="F1231" s="6" t="inlineStr">
        <is>
          <t>A3224/4</t>
        </is>
      </c>
      <c r="G1231" s="6" t="inlineStr">
        <is>
          <t>Quadris Excel</t>
        </is>
      </c>
      <c r="H1231" s="6" t="n">
        <v>1</v>
      </c>
      <c r="I1231" s="6" t="n">
        <v>3</v>
      </c>
      <c r="J1231" s="6" t="inlineStr">
        <is>
          <t>nincs</t>
        </is>
      </c>
      <c r="K1231" s="6">
        <f>IF(AND(H1231&gt;0,I1231&gt;0),"Rendben",IF(AND(H1231=0,I1231=0),"Nincs kép és adat",IF(H1231=0,"Nincs kép","Nincs adat")))</f>
        <v/>
      </c>
      <c r="L1231" s="6" t="inlineStr">
        <is>
          <t>Igen</t>
        </is>
      </c>
      <c r="M1231" s="7" t="inlineStr">
        <is>
          <t>SAND Profile teljes PDF katalógus</t>
        </is>
      </c>
      <c r="N1231" s="7" t="inlineStr">
        <is>
          <t>Megtalálva: Fax: +49 (0) 60 27/41 60-60 (kód: A3224/4)</t>
        </is>
      </c>
      <c r="O1231" s="11" t="inlineStr">
        <is>
          <t>https://www.sandprofile.com/media/gesamtkatalog_en.pdf#page=43</t>
        </is>
      </c>
      <c r="P1231" s="11" t="inlineStr">
        <is>
          <t>https://website-9ib.pages.dev/termek/kedergumi-14-5x20-5-2-0-4-0-fekete/</t>
        </is>
      </c>
      <c r="Q1231" s="12" t="inlineStr"/>
      <c r="R1231" s="13" t="inlineStr"/>
      <c r="S1231" s="6" t="inlineStr">
        <is>
          <t>kedergumi-14-5x20-5-2-0-4-0-fekete</t>
        </is>
      </c>
    </row>
    <row r="1232">
      <c r="A1232" s="6" t="inlineStr"/>
      <c r="B1232" s="7" t="inlineStr">
        <is>
          <t>Lepkés gumi 76,8(80)/4,7 fekete</t>
        </is>
      </c>
      <c r="C1232" s="6" t="inlineStr">
        <is>
          <t>Gumi- és kéderprofilok</t>
        </is>
      </c>
      <c r="D1232" s="6" t="inlineStr">
        <is>
          <t>Egyéb kéder- és tömítőgumik</t>
        </is>
      </c>
      <c r="E1232" s="6" t="inlineStr">
        <is>
          <t>Sand-Profile</t>
        </is>
      </c>
      <c r="F1232" s="6" t="inlineStr">
        <is>
          <t>A4166</t>
        </is>
      </c>
      <c r="G1232" s="6" t="inlineStr">
        <is>
          <t>Quadris Excel</t>
        </is>
      </c>
      <c r="H1232" s="6" t="n">
        <v>0</v>
      </c>
      <c r="I1232" s="6" t="n">
        <v>0</v>
      </c>
      <c r="J1232" s="6" t="inlineStr">
        <is>
          <t>nincs</t>
        </is>
      </c>
      <c r="K1232" s="6">
        <f>IF(AND(H1232&gt;0,I1232&gt;0),"Rendben",IF(AND(H1232=0,I1232=0),"Nincs kép és adat",IF(H1232=0,"Nincs kép","Nincs adat")))</f>
        <v/>
      </c>
      <c r="L1232" s="6" t="inlineStr">
        <is>
          <t>Igen</t>
        </is>
      </c>
      <c r="M1232" s="7" t="inlineStr">
        <is>
          <t>SAND Profile teljes PDF katalógus</t>
        </is>
      </c>
      <c r="N1232" s="7" t="inlineStr">
        <is>
          <t>Nem találtuk: SAND Profile teljes PDF katalógus</t>
        </is>
      </c>
      <c r="O1232" s="6" t="inlineStr"/>
      <c r="P1232" s="11" t="inlineStr">
        <is>
          <t>https://website-9ib.pages.dev/termek/lepkes-gumi-76-8-80-4-7-fekete/</t>
        </is>
      </c>
      <c r="Q1232" s="12" t="inlineStr"/>
      <c r="R1232" s="13" t="inlineStr"/>
      <c r="S1232" s="6" t="inlineStr">
        <is>
          <t>lepkes-gumi-76-8-80-4-7-fekete</t>
        </is>
      </c>
    </row>
    <row r="1233">
      <c r="A1233" s="6" t="inlineStr"/>
      <c r="B1233" s="7" t="inlineStr">
        <is>
          <t>Élkéder 13x10 fekete</t>
        </is>
      </c>
      <c r="C1233" s="6" t="inlineStr">
        <is>
          <t>Gumi- és kéderprofilok</t>
        </is>
      </c>
      <c r="D1233" s="6" t="inlineStr">
        <is>
          <t>Élvédő profilok</t>
        </is>
      </c>
      <c r="E1233" s="6" t="inlineStr">
        <is>
          <t>Sand-Profile</t>
        </is>
      </c>
      <c r="F1233" s="6" t="inlineStr">
        <is>
          <t>A3007</t>
        </is>
      </c>
      <c r="G1233" s="6" t="inlineStr">
        <is>
          <t>Quadris Excel</t>
        </is>
      </c>
      <c r="H1233" s="6" t="n">
        <v>1</v>
      </c>
      <c r="I1233" s="6" t="n">
        <v>3</v>
      </c>
      <c r="J1233" s="6" t="inlineStr">
        <is>
          <t>nincs</t>
        </is>
      </c>
      <c r="K1233" s="6">
        <f>IF(AND(H1233&gt;0,I1233&gt;0),"Rendben",IF(AND(H1233=0,I1233=0),"Nincs kép és adat",IF(H1233=0,"Nincs kép","Nincs adat")))</f>
        <v/>
      </c>
      <c r="L1233" s="6" t="inlineStr">
        <is>
          <t>Igen</t>
        </is>
      </c>
      <c r="M1233" s="7" t="inlineStr">
        <is>
          <t>SAND Profile teljes PDF katalógus</t>
        </is>
      </c>
      <c r="N1233" s="7" t="inlineStr">
        <is>
          <t>Megtalálva: Fax: +49 (0) 60 27/41 60-60 (kód: A3007)</t>
        </is>
      </c>
      <c r="O1233" s="11" t="inlineStr">
        <is>
          <t>https://www.sandprofile.com/media/gesamtkatalog_en.pdf#page=18</t>
        </is>
      </c>
      <c r="P1233" s="11" t="inlineStr">
        <is>
          <t>https://website-9ib.pages.dev/termek/elkeder-13x10-fekete/</t>
        </is>
      </c>
      <c r="Q1233" s="12" t="inlineStr"/>
      <c r="R1233" s="13" t="inlineStr"/>
      <c r="S1233" s="6" t="inlineStr">
        <is>
          <t>elkeder-13x10-fekete</t>
        </is>
      </c>
    </row>
    <row r="1234">
      <c r="A1234" s="6" t="inlineStr">
        <is>
          <t>383148</t>
        </is>
      </c>
      <c r="B1234" s="7" t="inlineStr">
        <is>
          <t>Direktspanner</t>
        </is>
      </c>
      <c r="C1234" s="6" t="inlineStr">
        <is>
          <t>Ponyvarendszer kiegészítők</t>
        </is>
      </c>
      <c r="D1234" s="6" t="inlineStr">
        <is>
          <t>Ponyvafeszítő profilok és alkatrészei</t>
        </is>
      </c>
      <c r="E1234" s="6" t="inlineStr">
        <is>
          <t>Sarolta</t>
        </is>
      </c>
      <c r="F1234" s="6" t="inlineStr"/>
      <c r="G1234" s="6" t="inlineStr">
        <is>
          <t>Quadris Excel</t>
        </is>
      </c>
      <c r="H1234" s="6" t="n">
        <v>0</v>
      </c>
      <c r="I1234" s="6" t="n">
        <v>0</v>
      </c>
      <c r="J1234" s="6" t="inlineStr">
        <is>
          <t>nincs</t>
        </is>
      </c>
      <c r="K1234" s="6">
        <f>IF(AND(H1234&gt;0,I1234&gt;0),"Rendben",IF(AND(H1234=0,I1234=0),"Nincs kép és adat",IF(H1234=0,"Nincs kép","Nincs adat")))</f>
        <v/>
      </c>
      <c r="L1234" s="6" t="inlineStr">
        <is>
          <t>Nem</t>
        </is>
      </c>
      <c r="M1234" s="7" t="inlineStr">
        <is>
          <t>–</t>
        </is>
      </c>
      <c r="N1234" s="7" t="inlineStr">
        <is>
          <t>Nem kerestük – nincs ismert weboldal vagy katalógus</t>
        </is>
      </c>
      <c r="O1234" s="6" t="inlineStr"/>
      <c r="P1234" s="11" t="inlineStr">
        <is>
          <t>https://website-9ib.pages.dev/termek/383148-direktspanner/</t>
        </is>
      </c>
      <c r="Q1234" s="12" t="inlineStr"/>
      <c r="R1234" s="13" t="inlineStr"/>
      <c r="S1234" s="6" t="inlineStr">
        <is>
          <t>383148-direktspanner</t>
        </is>
      </c>
    </row>
    <row r="1235">
      <c r="A1235" s="6" t="inlineStr">
        <is>
          <t>508650</t>
        </is>
      </c>
      <c r="B1235" s="7" t="inlineStr">
        <is>
          <t>1 fokos létra Thorg. 400 mm</t>
        </is>
      </c>
      <c r="C1235" s="6" t="inlineStr">
        <is>
          <t>Dobozos felépítmény alkatrészek</t>
        </is>
      </c>
      <c r="D1235" s="6" t="inlineStr">
        <is>
          <t>Létrák</t>
        </is>
      </c>
      <c r="E1235" s="6" t="inlineStr">
        <is>
          <t>Takler</t>
        </is>
      </c>
      <c r="F1235" s="6" t="inlineStr">
        <is>
          <t>TK8650</t>
        </is>
      </c>
      <c r="G1235" s="6" t="inlineStr">
        <is>
          <t>Quadris Excel</t>
        </is>
      </c>
      <c r="H1235" s="6" t="n">
        <v>0</v>
      </c>
      <c r="I1235" s="6" t="n">
        <v>0</v>
      </c>
      <c r="J1235" s="6" t="inlineStr">
        <is>
          <t>nincs</t>
        </is>
      </c>
      <c r="K1235" s="6">
        <f>IF(AND(H1235&gt;0,I1235&gt;0),"Rendben",IF(AND(H1235=0,I1235=0),"Nincs kép és adat",IF(H1235=0,"Nincs kép","Nincs adat")))</f>
        <v/>
      </c>
      <c r="L1235" s="6" t="inlineStr">
        <is>
          <t>Igen</t>
        </is>
      </c>
      <c r="M1235" s="7" t="inlineStr">
        <is>
          <t>taklergroup.com oldaltérkép bejárása</t>
        </is>
      </c>
      <c r="N1235" s="7" t="inlineStr">
        <is>
          <t>Nem találtuk: taklergroup.com oldaltérkép bejárása</t>
        </is>
      </c>
      <c r="O1235" s="6" t="inlineStr"/>
      <c r="P1235" s="11" t="inlineStr">
        <is>
          <t>https://website-9ib.pages.dev/termek/508650-1-fokos-letra-thorg-400-mm/</t>
        </is>
      </c>
      <c r="Q1235" s="12" t="inlineStr"/>
      <c r="R1235" s="13" t="inlineStr"/>
      <c r="S1235" s="6" t="inlineStr">
        <is>
          <t>508650-1-fokos-letra-thorg-400-mm</t>
        </is>
      </c>
    </row>
    <row r="1236">
      <c r="A1236" s="6" t="inlineStr">
        <is>
          <t>502286</t>
        </is>
      </c>
      <c r="B1236" s="7" t="inlineStr">
        <is>
          <t>2 fokos létra Thorg. TK 570 mm</t>
        </is>
      </c>
      <c r="C1236" s="6" t="inlineStr">
        <is>
          <t>Dobozos felépítmény alkatrészek</t>
        </is>
      </c>
      <c r="D1236" s="6" t="inlineStr">
        <is>
          <t>Létrák</t>
        </is>
      </c>
      <c r="E1236" s="6" t="inlineStr">
        <is>
          <t>Takler</t>
        </is>
      </c>
      <c r="F1236" s="6" t="inlineStr">
        <is>
          <t>TK8655</t>
        </is>
      </c>
      <c r="G1236" s="6" t="inlineStr">
        <is>
          <t>Quadris Excel</t>
        </is>
      </c>
      <c r="H1236" s="6" t="n">
        <v>0</v>
      </c>
      <c r="I1236" s="6" t="n">
        <v>0</v>
      </c>
      <c r="J1236" s="6" t="inlineStr">
        <is>
          <t>nincs</t>
        </is>
      </c>
      <c r="K1236" s="6">
        <f>IF(AND(H1236&gt;0,I1236&gt;0),"Rendben",IF(AND(H1236=0,I1236=0),"Nincs kép és adat",IF(H1236=0,"Nincs kép","Nincs adat")))</f>
        <v/>
      </c>
      <c r="L1236" s="6" t="inlineStr">
        <is>
          <t>Igen</t>
        </is>
      </c>
      <c r="M1236" s="7" t="inlineStr">
        <is>
          <t>taklergroup.com oldaltérkép bejárása</t>
        </is>
      </c>
      <c r="N1236" s="7" t="inlineStr">
        <is>
          <t>Nem találtuk: taklergroup.com oldaltérkép bejárása</t>
        </is>
      </c>
      <c r="O1236" s="6" t="inlineStr"/>
      <c r="P1236" s="11" t="inlineStr">
        <is>
          <t>https://website-9ib.pages.dev/termek/502286-2-fokos-letra-thorg-tk-570-mm/</t>
        </is>
      </c>
      <c r="Q1236" s="12" t="inlineStr"/>
      <c r="R1236" s="13" t="inlineStr"/>
      <c r="S1236" s="6" t="inlineStr">
        <is>
          <t>502286-2-fokos-letra-thorg-tk-570-mm</t>
        </is>
      </c>
    </row>
    <row r="1237">
      <c r="A1237" s="6" t="inlineStr">
        <is>
          <t>223003/n</t>
        </is>
      </c>
      <c r="B1237" s="7" t="inlineStr">
        <is>
          <t>"h" szegő 25 mm T</t>
        </is>
      </c>
      <c r="C1237" s="6" t="inlineStr">
        <is>
          <t>Platós és ponyvás oldalfal profilok és szegők</t>
        </is>
      </c>
      <c r="D1237" s="6" t="inlineStr">
        <is>
          <t>Szegő profilok</t>
        </is>
      </c>
      <c r="E1237" s="6" t="inlineStr">
        <is>
          <t>Takler</t>
        </is>
      </c>
      <c r="F1237" s="6" t="inlineStr">
        <is>
          <t>T1.3003.0</t>
        </is>
      </c>
      <c r="G1237" s="6" t="inlineStr">
        <is>
          <t>Quadris Excel</t>
        </is>
      </c>
      <c r="H1237" s="6" t="n">
        <v>0</v>
      </c>
      <c r="I1237" s="6" t="n">
        <v>0</v>
      </c>
      <c r="J1237" s="6" t="inlineStr">
        <is>
          <t>nincs</t>
        </is>
      </c>
      <c r="K1237" s="6">
        <f>IF(AND(H1237&gt;0,I1237&gt;0),"Rendben",IF(AND(H1237=0,I1237=0),"Nincs kép és adat",IF(H1237=0,"Nincs kép","Nincs adat")))</f>
        <v/>
      </c>
      <c r="L1237" s="6" t="inlineStr">
        <is>
          <t>Igen</t>
        </is>
      </c>
      <c r="M1237" s="7" t="inlineStr">
        <is>
          <t>taklergroup.com oldaltérkép bejárása</t>
        </is>
      </c>
      <c r="N1237" s="7" t="inlineStr">
        <is>
          <t>Nem találtuk: taklergroup.com oldaltérkép bejárása</t>
        </is>
      </c>
      <c r="O1237" s="6" t="inlineStr"/>
      <c r="P1237" s="11" t="inlineStr">
        <is>
          <t>https://website-9ib.pages.dev/termek/223003-n-h-szego-25-mm-t/</t>
        </is>
      </c>
      <c r="Q1237" s="12" t="inlineStr"/>
      <c r="R1237" s="13" t="inlineStr"/>
      <c r="S1237" s="6" t="inlineStr">
        <is>
          <t>223003-n-h-szego-25-mm-t</t>
        </is>
      </c>
    </row>
    <row r="1238">
      <c r="A1238" s="6" t="inlineStr">
        <is>
          <t>223003</t>
        </is>
      </c>
      <c r="B1238" s="7" t="inlineStr">
        <is>
          <t>"h" szegő 25 mm elox T</t>
        </is>
      </c>
      <c r="C1238" s="6" t="inlineStr">
        <is>
          <t>Platós és ponyvás oldalfal profilok és szegők</t>
        </is>
      </c>
      <c r="D1238" s="6" t="inlineStr">
        <is>
          <t>Szegő profilok</t>
        </is>
      </c>
      <c r="E1238" s="6" t="inlineStr">
        <is>
          <t>Takler</t>
        </is>
      </c>
      <c r="F1238" s="6" t="inlineStr">
        <is>
          <t>T1.3003.1</t>
        </is>
      </c>
      <c r="G1238" s="6" t="inlineStr">
        <is>
          <t>Quadris Excel</t>
        </is>
      </c>
      <c r="H1238" s="6" t="n">
        <v>0</v>
      </c>
      <c r="I1238" s="6" t="n">
        <v>0</v>
      </c>
      <c r="J1238" s="6" t="inlineStr">
        <is>
          <t>nincs</t>
        </is>
      </c>
      <c r="K1238" s="6">
        <f>IF(AND(H1238&gt;0,I1238&gt;0),"Rendben",IF(AND(H1238=0,I1238=0),"Nincs kép és adat",IF(H1238=0,"Nincs kép","Nincs adat")))</f>
        <v/>
      </c>
      <c r="L1238" s="6" t="inlineStr">
        <is>
          <t>Igen</t>
        </is>
      </c>
      <c r="M1238" s="7" t="inlineStr">
        <is>
          <t>taklergroup.com oldaltérkép bejárása</t>
        </is>
      </c>
      <c r="N1238" s="7" t="inlineStr">
        <is>
          <t>Nem találtuk: taklergroup.com oldaltérkép bejárása</t>
        </is>
      </c>
      <c r="O1238" s="6" t="inlineStr"/>
      <c r="P1238" s="11" t="inlineStr">
        <is>
          <t>https://website-9ib.pages.dev/termek/223003-h-szego-25-mm-elox-t/</t>
        </is>
      </c>
      <c r="Q1238" s="12" t="inlineStr"/>
      <c r="R1238" s="13" t="inlineStr"/>
      <c r="S1238" s="6" t="inlineStr">
        <is>
          <t>223003-h-szego-25-mm-elox-t</t>
        </is>
      </c>
    </row>
    <row r="1239">
      <c r="A1239" s="6" t="inlineStr">
        <is>
          <t>223001/N</t>
        </is>
      </c>
      <c r="B1239" s="7" t="inlineStr">
        <is>
          <t>"u" 25 mm szegő profil T</t>
        </is>
      </c>
      <c r="C1239" s="6" t="inlineStr">
        <is>
          <t>Platós és ponyvás oldalfal profilok és szegők</t>
        </is>
      </c>
      <c r="D1239" s="6" t="inlineStr">
        <is>
          <t>Szegő profilok</t>
        </is>
      </c>
      <c r="E1239" s="6" t="inlineStr">
        <is>
          <t>Takler</t>
        </is>
      </c>
      <c r="F1239" s="6" t="inlineStr">
        <is>
          <t>T1.3001.0</t>
        </is>
      </c>
      <c r="G1239" s="6" t="inlineStr">
        <is>
          <t>Quadris Excel</t>
        </is>
      </c>
      <c r="H1239" s="6" t="n">
        <v>0</v>
      </c>
      <c r="I1239" s="6" t="n">
        <v>0</v>
      </c>
      <c r="J1239" s="6" t="inlineStr">
        <is>
          <t>nincs</t>
        </is>
      </c>
      <c r="K1239" s="6">
        <f>IF(AND(H1239&gt;0,I1239&gt;0),"Rendben",IF(AND(H1239=0,I1239=0),"Nincs kép és adat",IF(H1239=0,"Nincs kép","Nincs adat")))</f>
        <v/>
      </c>
      <c r="L1239" s="6" t="inlineStr">
        <is>
          <t>Igen</t>
        </is>
      </c>
      <c r="M1239" s="7" t="inlineStr">
        <is>
          <t>taklergroup.com oldaltérkép bejárása</t>
        </is>
      </c>
      <c r="N1239" s="7" t="inlineStr">
        <is>
          <t>Nem találtuk: taklergroup.com oldaltérkép bejárása</t>
        </is>
      </c>
      <c r="O1239" s="6" t="inlineStr"/>
      <c r="P1239" s="11" t="inlineStr">
        <is>
          <t>https://website-9ib.pages.dev/termek/223001-n-u-25-mm-szego-profil-t/</t>
        </is>
      </c>
      <c r="Q1239" s="12" t="inlineStr"/>
      <c r="R1239" s="13" t="inlineStr"/>
      <c r="S1239" s="6" t="inlineStr">
        <is>
          <t>223001-n-u-25-mm-szego-profil-t</t>
        </is>
      </c>
    </row>
    <row r="1240">
      <c r="A1240" s="6" t="inlineStr">
        <is>
          <t>223001</t>
        </is>
      </c>
      <c r="B1240" s="7" t="inlineStr">
        <is>
          <t>"u" 25 mm szegő profil elox T</t>
        </is>
      </c>
      <c r="C1240" s="6" t="inlineStr">
        <is>
          <t>Platós és ponyvás oldalfal profilok és szegők</t>
        </is>
      </c>
      <c r="D1240" s="6" t="inlineStr">
        <is>
          <t>Szegő profilok</t>
        </is>
      </c>
      <c r="E1240" s="6" t="inlineStr">
        <is>
          <t>Takler</t>
        </is>
      </c>
      <c r="F1240" s="6" t="inlineStr">
        <is>
          <t>T1.3001.1</t>
        </is>
      </c>
      <c r="G1240" s="6" t="inlineStr">
        <is>
          <t>Quadris Excel</t>
        </is>
      </c>
      <c r="H1240" s="6" t="n">
        <v>0</v>
      </c>
      <c r="I1240" s="6" t="n">
        <v>0</v>
      </c>
      <c r="J1240" s="6" t="inlineStr">
        <is>
          <t>nincs</t>
        </is>
      </c>
      <c r="K1240" s="6">
        <f>IF(AND(H1240&gt;0,I1240&gt;0),"Rendben",IF(AND(H1240=0,I1240=0),"Nincs kép és adat",IF(H1240=0,"Nincs kép","Nincs adat")))</f>
        <v/>
      </c>
      <c r="L1240" s="6" t="inlineStr">
        <is>
          <t>Igen</t>
        </is>
      </c>
      <c r="M1240" s="7" t="inlineStr">
        <is>
          <t>taklergroup.com oldaltérkép bejárása</t>
        </is>
      </c>
      <c r="N1240" s="7" t="inlineStr">
        <is>
          <t>Nem találtuk: taklergroup.com oldaltérkép bejárása</t>
        </is>
      </c>
      <c r="O1240" s="6" t="inlineStr"/>
      <c r="P1240" s="11" t="inlineStr">
        <is>
          <t>https://website-9ib.pages.dev/termek/223001-u-25-mm-szego-profil-elox-t/</t>
        </is>
      </c>
      <c r="Q1240" s="12" t="inlineStr"/>
      <c r="R1240" s="13" t="inlineStr"/>
      <c r="S1240" s="6" t="inlineStr">
        <is>
          <t>223001-u-25-mm-szego-profil-elox-t</t>
        </is>
      </c>
    </row>
    <row r="1241">
      <c r="A1241" s="6" t="inlineStr"/>
      <c r="B1241" s="7" t="inlineStr">
        <is>
          <t>224004/ 400 mm peremes oldalfal elox</t>
        </is>
      </c>
      <c r="C1241" s="6" t="inlineStr">
        <is>
          <t>Platós és ponyvás oldalfal profilok és szegők</t>
        </is>
      </c>
      <c r="D1241" s="6" t="inlineStr">
        <is>
          <t>25 mm monó profilok</t>
        </is>
      </c>
      <c r="E1241" s="6" t="inlineStr">
        <is>
          <t>Takler</t>
        </is>
      </c>
      <c r="F1241" s="6" t="inlineStr">
        <is>
          <t>4004 TK</t>
        </is>
      </c>
      <c r="G1241" s="6" t="inlineStr">
        <is>
          <t>Quadris Excel</t>
        </is>
      </c>
      <c r="H1241" s="6" t="n">
        <v>0</v>
      </c>
      <c r="I1241" s="6" t="n">
        <v>0</v>
      </c>
      <c r="J1241" s="6" t="inlineStr">
        <is>
          <t>nincs</t>
        </is>
      </c>
      <c r="K1241" s="6">
        <f>IF(AND(H1241&gt;0,I1241&gt;0),"Rendben",IF(AND(H1241=0,I1241=0),"Nincs kép és adat",IF(H1241=0,"Nincs kép","Nincs adat")))</f>
        <v/>
      </c>
      <c r="L1241" s="6" t="inlineStr">
        <is>
          <t>Igen</t>
        </is>
      </c>
      <c r="M1241" s="7" t="inlineStr">
        <is>
          <t>taklergroup.com oldaltérkép bejárása</t>
        </is>
      </c>
      <c r="N1241" s="7" t="inlineStr">
        <is>
          <t>Nem találtuk: taklergroup.com oldaltérkép bejárása</t>
        </is>
      </c>
      <c r="O1241" s="6" t="inlineStr"/>
      <c r="P1241" s="11" t="inlineStr">
        <is>
          <t>https://website-9ib.pages.dev/termek/224004-400-mm-peremes-oldalfal-elox-2/</t>
        </is>
      </c>
      <c r="Q1241" s="12" t="inlineStr"/>
      <c r="R1241" s="13" t="inlineStr"/>
      <c r="S1241" s="6" t="inlineStr">
        <is>
          <t>224004-400-mm-peremes-oldalfal-elox-2</t>
        </is>
      </c>
    </row>
    <row r="1242">
      <c r="A1242" s="6" t="inlineStr">
        <is>
          <t>224004</t>
        </is>
      </c>
      <c r="B1242" s="7" t="inlineStr">
        <is>
          <t>400 mm peremes oldalfal elox</t>
        </is>
      </c>
      <c r="C1242" s="6" t="inlineStr">
        <is>
          <t>Platós és ponyvás oldalfal profilok és szegők</t>
        </is>
      </c>
      <c r="D1242" s="6" t="inlineStr">
        <is>
          <t>25 mm monó profilok</t>
        </is>
      </c>
      <c r="E1242" s="6" t="inlineStr">
        <is>
          <t>Takler</t>
        </is>
      </c>
      <c r="F1242" s="6" t="inlineStr">
        <is>
          <t>4004 TK</t>
        </is>
      </c>
      <c r="G1242" s="6" t="inlineStr">
        <is>
          <t>Quadris Excel</t>
        </is>
      </c>
      <c r="H1242" s="6" t="n">
        <v>0</v>
      </c>
      <c r="I1242" s="6" t="n">
        <v>0</v>
      </c>
      <c r="J1242" s="6" t="inlineStr">
        <is>
          <t>nincs</t>
        </is>
      </c>
      <c r="K1242" s="6">
        <f>IF(AND(H1242&gt;0,I1242&gt;0),"Rendben",IF(AND(H1242=0,I1242=0),"Nincs kép és adat",IF(H1242=0,"Nincs kép","Nincs adat")))</f>
        <v/>
      </c>
      <c r="L1242" s="6" t="inlineStr">
        <is>
          <t>Igen</t>
        </is>
      </c>
      <c r="M1242" s="7" t="inlineStr">
        <is>
          <t>taklergroup.com oldaltérkép bejárása</t>
        </is>
      </c>
      <c r="N1242" s="7" t="inlineStr">
        <is>
          <t>Nem találtuk: taklergroup.com oldaltérkép bejárása</t>
        </is>
      </c>
      <c r="O1242" s="6" t="inlineStr"/>
      <c r="P1242" s="11" t="inlineStr">
        <is>
          <t>https://website-9ib.pages.dev/termek/224004-400-mm-peremes-oldalfal-elox/</t>
        </is>
      </c>
      <c r="Q1242" s="12" t="inlineStr"/>
      <c r="R1242" s="13" t="inlineStr"/>
      <c r="S1242" s="6" t="inlineStr">
        <is>
          <t>224004-400-mm-peremes-oldalfal-elox</t>
        </is>
      </c>
    </row>
    <row r="1243">
      <c r="A1243" s="6" t="inlineStr">
        <is>
          <t>245005</t>
        </is>
      </c>
      <c r="B1243" s="7" t="inlineStr">
        <is>
          <t>Bill. 400/30 mm mono profil elox</t>
        </is>
      </c>
      <c r="C1243" s="6" t="inlineStr">
        <is>
          <t>Platós és ponyvás oldalfal profilok és szegők</t>
        </is>
      </c>
      <c r="D1243" s="6" t="inlineStr">
        <is>
          <t>Alumínium billencs oldalfalak</t>
        </is>
      </c>
      <c r="E1243" s="6" t="inlineStr">
        <is>
          <t>Takler</t>
        </is>
      </c>
      <c r="F1243" s="6" t="inlineStr">
        <is>
          <t>T1.5005.1</t>
        </is>
      </c>
      <c r="G1243" s="6" t="inlineStr">
        <is>
          <t>Quadris Excel</t>
        </is>
      </c>
      <c r="H1243" s="6" t="n">
        <v>0</v>
      </c>
      <c r="I1243" s="6" t="n">
        <v>0</v>
      </c>
      <c r="J1243" s="6" t="inlineStr">
        <is>
          <t>nincs</t>
        </is>
      </c>
      <c r="K1243" s="6">
        <f>IF(AND(H1243&gt;0,I1243&gt;0),"Rendben",IF(AND(H1243=0,I1243=0),"Nincs kép és adat",IF(H1243=0,"Nincs kép","Nincs adat")))</f>
        <v/>
      </c>
      <c r="L1243" s="6" t="inlineStr">
        <is>
          <t>Igen</t>
        </is>
      </c>
      <c r="M1243" s="7" t="inlineStr">
        <is>
          <t>taklergroup.com oldaltérkép bejárása</t>
        </is>
      </c>
      <c r="N1243" s="7" t="inlineStr">
        <is>
          <t>Nem találtuk: taklergroup.com oldaltérkép bejárása</t>
        </is>
      </c>
      <c r="O1243" s="6" t="inlineStr"/>
      <c r="P1243" s="11" t="inlineStr">
        <is>
          <t>https://website-9ib.pages.dev/termek/245005-bill-400-30-mm-mono-profil-elox/</t>
        </is>
      </c>
      <c r="Q1243" s="12" t="inlineStr"/>
      <c r="R1243" s="13" t="inlineStr"/>
      <c r="S1243" s="6" t="inlineStr">
        <is>
          <t>245005-bill-400-30-mm-mono-profil-elox</t>
        </is>
      </c>
    </row>
    <row r="1244">
      <c r="A1244" s="6" t="inlineStr">
        <is>
          <t>226001</t>
        </is>
      </c>
      <c r="B1244" s="7" t="inlineStr">
        <is>
          <t>Zárt Padló profil 30/200 mm</t>
        </is>
      </c>
      <c r="C1244" s="6" t="inlineStr">
        <is>
          <t>Alumínium padló profilok</t>
        </is>
      </c>
      <c r="D1244" s="6" t="inlineStr">
        <is>
          <t>Padló profilok</t>
        </is>
      </c>
      <c r="E1244" s="6" t="inlineStr">
        <is>
          <t>takler vagy esal</t>
        </is>
      </c>
      <c r="F1244" s="6" t="inlineStr">
        <is>
          <t>T1.6001.0</t>
        </is>
      </c>
      <c r="G1244" s="6" t="inlineStr">
        <is>
          <t>Quadris Excel</t>
        </is>
      </c>
      <c r="H1244" s="6" t="n">
        <v>0</v>
      </c>
      <c r="I1244" s="6" t="n">
        <v>0</v>
      </c>
      <c r="J1244" s="6" t="inlineStr">
        <is>
          <t>nincs</t>
        </is>
      </c>
      <c r="K1244" s="6">
        <f>IF(AND(H1244&gt;0,I1244&gt;0),"Rendben",IF(AND(H1244=0,I1244=0),"Nincs kép és adat",IF(H1244=0,"Nincs kép","Nincs adat")))</f>
        <v/>
      </c>
      <c r="L1244" s="6" t="inlineStr">
        <is>
          <t>Nem</t>
        </is>
      </c>
      <c r="M1244" s="7" t="inlineStr">
        <is>
          <t>–</t>
        </is>
      </c>
      <c r="N1244" s="7" t="inlineStr">
        <is>
          <t>Nem kerestük – nincs ismert weboldal vagy katalógus</t>
        </is>
      </c>
      <c r="O1244" s="6" t="inlineStr"/>
      <c r="P1244" s="11" t="inlineStr">
        <is>
          <t>https://website-9ib.pages.dev/termek/226001-zart-padlo-profil-30-200-mm/</t>
        </is>
      </c>
      <c r="Q1244" s="12" t="inlineStr"/>
      <c r="R1244" s="13" t="inlineStr"/>
      <c r="S1244" s="6" t="inlineStr">
        <is>
          <t>226001-zart-padlo-profil-30-200-mm</t>
        </is>
      </c>
    </row>
    <row r="1245">
      <c r="A1245" s="6" t="inlineStr">
        <is>
          <t>612623</t>
        </is>
      </c>
      <c r="B1245" s="7" t="inlineStr">
        <is>
          <t>TIT zárszerkezet</t>
        </is>
      </c>
      <c r="C1245" s="6" t="inlineStr">
        <is>
          <t>Speciális felépítmény alkatrészek</t>
        </is>
      </c>
      <c r="D1245" s="6" t="inlineStr">
        <is>
          <t>Zárak</t>
        </is>
      </c>
      <c r="E1245" s="6" t="inlineStr">
        <is>
          <t>Titgemeyer</t>
        </is>
      </c>
      <c r="F1245" s="6" t="inlineStr"/>
      <c r="G1245" s="6" t="inlineStr">
        <is>
          <t>Quadris Excel</t>
        </is>
      </c>
      <c r="H1245" s="6" t="n">
        <v>0</v>
      </c>
      <c r="I1245" s="6" t="n">
        <v>0</v>
      </c>
      <c r="J1245" s="6" t="inlineStr">
        <is>
          <t>nincs</t>
        </is>
      </c>
      <c r="K1245" s="6">
        <f>IF(AND(H1245&gt;0,I1245&gt;0),"Rendben",IF(AND(H1245=0,I1245=0),"Nincs kép és adat",IF(H1245=0,"Nincs kép","Nincs adat")))</f>
        <v/>
      </c>
      <c r="L1245" s="6" t="inlineStr">
        <is>
          <t>Nem</t>
        </is>
      </c>
      <c r="M1245" s="7" t="inlineStr">
        <is>
          <t>–</t>
        </is>
      </c>
      <c r="N1245" s="7" t="inlineStr">
        <is>
          <t>Nem kerestük – nincs ismert weboldal vagy katalógus</t>
        </is>
      </c>
      <c r="O1245" s="6" t="inlineStr"/>
      <c r="P1245" s="11" t="inlineStr">
        <is>
          <t>https://website-9ib.pages.dev/termek/612623-tit-zarszerkezet/</t>
        </is>
      </c>
      <c r="Q1245" s="12" t="inlineStr"/>
      <c r="R1245" s="13" t="inlineStr"/>
      <c r="S1245" s="6" t="inlineStr">
        <is>
          <t>612623-tit-zarszerkezet</t>
        </is>
      </c>
    </row>
    <row r="1246">
      <c r="A1246" s="6" t="inlineStr">
        <is>
          <t>820384</t>
        </is>
      </c>
      <c r="B1246" s="7" t="inlineStr">
        <is>
          <t>Haub-csatoszár ellendarabbal</t>
        </is>
      </c>
      <c r="C1246" s="6" t="inlineStr">
        <is>
          <t>Speciális felépítmény alkatrészek</t>
        </is>
      </c>
      <c r="D1246" s="6" t="inlineStr">
        <is>
          <t>Zárak</t>
        </is>
      </c>
      <c r="E1246" s="6" t="inlineStr">
        <is>
          <t>TT-Parts</t>
        </is>
      </c>
      <c r="F1246" s="6" t="inlineStr">
        <is>
          <t>606001120009A</t>
        </is>
      </c>
      <c r="G1246" s="6" t="inlineStr">
        <is>
          <t>Quadris Excel</t>
        </is>
      </c>
      <c r="H1246" s="6" t="n">
        <v>0</v>
      </c>
      <c r="I1246" s="6" t="n">
        <v>0</v>
      </c>
      <c r="J1246" s="6" t="inlineStr">
        <is>
          <t>nincs</t>
        </is>
      </c>
      <c r="K1246" s="6">
        <f>IF(AND(H1246&gt;0,I1246&gt;0),"Rendben",IF(AND(H1246=0,I1246=0),"Nincs kép és adat",IF(H1246=0,"Nincs kép","Nincs adat")))</f>
        <v/>
      </c>
      <c r="L1246" s="6" t="inlineStr">
        <is>
          <t>Nem</t>
        </is>
      </c>
      <c r="M1246" s="7" t="inlineStr">
        <is>
          <t>–</t>
        </is>
      </c>
      <c r="N1246" s="7" t="inlineStr">
        <is>
          <t>Nem kerestük – nincs ismert weboldal vagy katalógus</t>
        </is>
      </c>
      <c r="O1246" s="6" t="inlineStr"/>
      <c r="P1246" s="11" t="inlineStr">
        <is>
          <t>https://website-9ib.pages.dev/termek/820384-haub-csatoszar-ellendarabbal/</t>
        </is>
      </c>
      <c r="Q1246" s="12" t="inlineStr"/>
      <c r="R1246" s="13" t="inlineStr"/>
      <c r="S1246" s="6" t="inlineStr">
        <is>
          <t>820384-haub-csatoszar-ellendarabbal</t>
        </is>
      </c>
    </row>
    <row r="1247">
      <c r="A1247" s="6" t="inlineStr"/>
      <c r="B1247" s="7" t="inlineStr">
        <is>
          <t>T-rakonca görgő</t>
        </is>
      </c>
      <c r="C1247" s="6" t="inlineStr">
        <is>
          <t>Elhúzható rolóponyvás rendszer</t>
        </is>
      </c>
      <c r="D1247" s="6" t="inlineStr">
        <is>
          <t>Versus</t>
        </is>
      </c>
      <c r="E1247" s="6" t="inlineStr">
        <is>
          <t>Versus</t>
        </is>
      </c>
      <c r="F1247" s="6" t="inlineStr">
        <is>
          <t>RTS-002</t>
        </is>
      </c>
      <c r="G1247" s="6" t="inlineStr">
        <is>
          <t>Quadris Excel</t>
        </is>
      </c>
      <c r="H1247" s="6" t="n">
        <v>0</v>
      </c>
      <c r="I1247" s="6" t="n">
        <v>0</v>
      </c>
      <c r="J1247" s="6" t="inlineStr">
        <is>
          <t>nincs</t>
        </is>
      </c>
      <c r="K1247" s="6">
        <f>IF(AND(H1247&gt;0,I1247&gt;0),"Rendben",IF(AND(H1247=0,I1247=0),"Nincs kép és adat",IF(H1247=0,"Nincs kép","Nincs adat")))</f>
        <v/>
      </c>
      <c r="L1247" s="6" t="inlineStr">
        <is>
          <t>Igen</t>
        </is>
      </c>
      <c r="M1247" s="7" t="inlineStr">
        <is>
          <t>versus-omega.com termékoldalak; Duo Trike Light alkatrész-PDF (Drive); Versus-Omega online katalógus 2026 (FlippingBook)</t>
        </is>
      </c>
      <c r="N1247" s="7" t="inlineStr">
        <is>
          <t>Nem találtuk: versus-omega.com termékoldalak; Duo Trike Light alkatrész-PDF (Drive); Versus-Omega online katalógus 2026 (FlippingBook)</t>
        </is>
      </c>
      <c r="O1247" s="6" t="inlineStr"/>
      <c r="P1247" s="11" t="inlineStr">
        <is>
          <t>https://website-9ib.pages.dev/termek/t-rakonca-gorgo/</t>
        </is>
      </c>
      <c r="Q1247" s="12" t="inlineStr"/>
      <c r="R1247" s="13" t="inlineStr"/>
      <c r="S1247" s="6" t="inlineStr">
        <is>
          <t>t-rakonca-gorgo</t>
        </is>
      </c>
    </row>
    <row r="1248">
      <c r="A1248" s="6" t="inlineStr"/>
      <c r="B1248" s="7" t="inlineStr">
        <is>
          <t>V144-01006 Elhúzó rúd</t>
        </is>
      </c>
      <c r="C1248" s="6" t="inlineStr">
        <is>
          <t>Elhúzható rolóponyvás rendszer</t>
        </is>
      </c>
      <c r="D1248" s="6" t="inlineStr">
        <is>
          <t>Versus</t>
        </is>
      </c>
      <c r="E1248" s="6" t="inlineStr">
        <is>
          <t>Versus</t>
        </is>
      </c>
      <c r="F1248" s="6" t="inlineStr"/>
      <c r="G1248" s="6" t="inlineStr">
        <is>
          <t>Quadris Excel</t>
        </is>
      </c>
      <c r="H1248" s="6" t="n">
        <v>1</v>
      </c>
      <c r="I1248" s="6" t="n">
        <v>3</v>
      </c>
      <c r="J1248" s="6" t="inlineStr">
        <is>
          <t>nincs</t>
        </is>
      </c>
      <c r="K1248" s="6">
        <f>IF(AND(H1248&gt;0,I1248&gt;0),"Rendben",IF(AND(H1248=0,I1248=0),"Nincs kép és adat",IF(H1248=0,"Nincs kép","Nincs adat")))</f>
        <v/>
      </c>
      <c r="L1248" s="6" t="inlineStr">
        <is>
          <t>Igen</t>
        </is>
      </c>
      <c r="M1248" s="7" t="inlineStr">
        <is>
          <t>versus-omega.com termékoldalak; Duo Trike Light alkatrész-PDF (Drive); Versus-Omega online katalógus 2026 (FlippingBook)</t>
        </is>
      </c>
      <c r="N1248" s="7" t="inlineStr">
        <is>
          <t>Megtalálva: Versus-Omega 144-01006 (kód: 144-01006)</t>
        </is>
      </c>
      <c r="O1248" s="11" t="inlineStr">
        <is>
          <t>https://www.versus-omega.com/en/products/2/duo-trike-light</t>
        </is>
      </c>
      <c r="P1248" s="11" t="inlineStr">
        <is>
          <t>https://website-9ib.pages.dev/termek/v144-01006-elhuzo-rud/</t>
        </is>
      </c>
      <c r="Q1248" s="12" t="inlineStr"/>
      <c r="R1248" s="13" t="inlineStr"/>
      <c r="S1248" s="6" t="inlineStr">
        <is>
          <t>v144-01006-elhuzo-rud</t>
        </is>
      </c>
    </row>
    <row r="1249">
      <c r="A1249" s="6" t="inlineStr"/>
      <c r="B1249" s="7" t="inlineStr">
        <is>
          <t>V144-10001 szerelő készlet DTL, MT</t>
        </is>
      </c>
      <c r="C1249" s="6" t="inlineStr">
        <is>
          <t>Elhúzható rolóponyvás rendszer</t>
        </is>
      </c>
      <c r="D1249" s="6" t="inlineStr">
        <is>
          <t>Versus</t>
        </is>
      </c>
      <c r="E1249" s="6" t="inlineStr">
        <is>
          <t>Versus</t>
        </is>
      </c>
      <c r="F1249" s="6" t="inlineStr"/>
      <c r="G1249" s="6" t="inlineStr">
        <is>
          <t>Quadris Excel</t>
        </is>
      </c>
      <c r="H1249" s="6" t="n">
        <v>1</v>
      </c>
      <c r="I1249" s="6" t="n">
        <v>4</v>
      </c>
      <c r="J1249" s="6" t="inlineStr">
        <is>
          <t>nincs</t>
        </is>
      </c>
      <c r="K1249" s="6">
        <f>IF(AND(H1249&gt;0,I1249&gt;0),"Rendben",IF(AND(H1249=0,I1249=0),"Nincs kép és adat",IF(H1249=0,"Nincs kép","Nincs adat")))</f>
        <v/>
      </c>
      <c r="L1249" s="6" t="inlineStr">
        <is>
          <t>Igen</t>
        </is>
      </c>
      <c r="M1249" s="7" t="inlineStr">
        <is>
          <t>versus-omega.com termékoldalak; Duo Trike Light alkatrész-PDF (Drive); Versus-Omega online katalógus 2026 (FlippingBook)</t>
        </is>
      </c>
      <c r="N1249" s="7" t="inlineStr">
        <is>
          <t>Megtalálva: Versus-Omega 144-10001 (kód: 144-10001)</t>
        </is>
      </c>
      <c r="O1249" s="11" t="inlineStr">
        <is>
          <t>https://www.versus-omega.com/en/products/2/duo-trike-light</t>
        </is>
      </c>
      <c r="P1249" s="11" t="inlineStr">
        <is>
          <t>https://website-9ib.pages.dev/termek/v144-10001-szerelo-keszlet-dtl-mt/</t>
        </is>
      </c>
      <c r="Q1249" s="12" t="inlineStr"/>
      <c r="R1249" s="13" t="inlineStr"/>
      <c r="S1249" s="6" t="inlineStr">
        <is>
          <t>v144-10001-szerelo-keszlet-dtl-mt</t>
        </is>
      </c>
    </row>
    <row r="1250">
      <c r="A1250" s="6" t="inlineStr"/>
      <c r="B1250" s="7" t="inlineStr">
        <is>
          <t>V144-10022 Csavarkészlet fekete lezáróhoz DTL, MT</t>
        </is>
      </c>
      <c r="C1250" s="6" t="inlineStr">
        <is>
          <t>Elhúzható rolóponyvás rendszer</t>
        </is>
      </c>
      <c r="D1250" s="6" t="inlineStr">
        <is>
          <t>Versus</t>
        </is>
      </c>
      <c r="E1250" s="6" t="inlineStr">
        <is>
          <t>Versus</t>
        </is>
      </c>
      <c r="F1250" s="6" t="inlineStr">
        <is>
          <t>144-10022</t>
        </is>
      </c>
      <c r="G1250" s="6" t="inlineStr">
        <is>
          <t>Quadris Excel</t>
        </is>
      </c>
      <c r="H1250" s="6" t="n">
        <v>1</v>
      </c>
      <c r="I1250" s="6" t="n">
        <v>4</v>
      </c>
      <c r="J1250" s="6" t="inlineStr">
        <is>
          <t>nincs</t>
        </is>
      </c>
      <c r="K1250" s="6">
        <f>IF(AND(H1250&gt;0,I1250&gt;0),"Rendben",IF(AND(H1250=0,I1250=0),"Nincs kép és adat",IF(H1250=0,"Nincs kép","Nincs adat")))</f>
        <v/>
      </c>
      <c r="L1250" s="6" t="inlineStr">
        <is>
          <t>Igen</t>
        </is>
      </c>
      <c r="M1250" s="7" t="inlineStr">
        <is>
          <t>versus-omega.com termékoldalak; Duo Trike Light alkatrész-PDF (Drive); Versus-Omega online katalógus 2026 (FlippingBook)</t>
        </is>
      </c>
      <c r="N1250" s="7" t="inlineStr">
        <is>
          <t>Megtalálva: Versus-Omega 144-10022 (kód: 144-10022)</t>
        </is>
      </c>
      <c r="O1250" s="11" t="inlineStr">
        <is>
          <t>https://www.versus-omega.com/en/products/2/duo-trike-light</t>
        </is>
      </c>
      <c r="P1250" s="11" t="inlineStr">
        <is>
          <t>https://website-9ib.pages.dev/termek/v144-10022-csavarkeszlet-fekete-lezarohoz-dtl-mt/</t>
        </is>
      </c>
      <c r="Q1250" s="12" t="inlineStr"/>
      <c r="R1250" s="13" t="inlineStr"/>
      <c r="S1250" s="6" t="inlineStr">
        <is>
          <t>v144-10022-csavarkeszlet-fekete-lezarohoz-dtl-mt</t>
        </is>
      </c>
    </row>
    <row r="1251">
      <c r="A1251" s="6" t="inlineStr"/>
      <c r="B1251" s="7" t="inlineStr">
        <is>
          <t>V144-10037, 112-07003 MT hátsó lezáró ponyvához</t>
        </is>
      </c>
      <c r="C1251" s="6" t="inlineStr">
        <is>
          <t>Elhúzható rolóponyvás rendszer</t>
        </is>
      </c>
      <c r="D1251" s="6" t="inlineStr">
        <is>
          <t>Versus</t>
        </is>
      </c>
      <c r="E1251" s="6" t="inlineStr">
        <is>
          <t>Versus</t>
        </is>
      </c>
      <c r="F1251" s="6" t="inlineStr"/>
      <c r="G1251" s="6" t="inlineStr">
        <is>
          <t>Quadris Excel</t>
        </is>
      </c>
      <c r="H1251" s="6" t="n">
        <v>1</v>
      </c>
      <c r="I1251" s="6" t="n">
        <v>4</v>
      </c>
      <c r="J1251" s="6" t="inlineStr">
        <is>
          <t>nincs</t>
        </is>
      </c>
      <c r="K1251" s="6">
        <f>IF(AND(H1251&gt;0,I1251&gt;0),"Rendben",IF(AND(H1251=0,I1251=0),"Nincs kép és adat",IF(H1251=0,"Nincs kép","Nincs adat")))</f>
        <v/>
      </c>
      <c r="L1251" s="6" t="inlineStr">
        <is>
          <t>Igen</t>
        </is>
      </c>
      <c r="M1251" s="7" t="inlineStr">
        <is>
          <t>versus-omega.com termékoldalak; Duo Trike Light alkatrész-PDF (Drive); Versus-Omega online katalógus 2026 (FlippingBook)</t>
        </is>
      </c>
      <c r="N1251" s="7" t="inlineStr">
        <is>
          <t>Megtalálva: Versus-Omega katalógus – 144-10037 (kód: 144-10037)</t>
        </is>
      </c>
      <c r="O1251" s="11" t="inlineStr">
        <is>
          <t>https://online.flippingbook.com/view/967067615/209/</t>
        </is>
      </c>
      <c r="P1251" s="11" t="inlineStr">
        <is>
          <t>https://website-9ib.pages.dev/termek/v144-10037-112-07003-mt-hatso-lezaro-ponyvahoz/</t>
        </is>
      </c>
      <c r="Q1251" s="12" t="inlineStr"/>
      <c r="R1251" s="13" t="inlineStr"/>
      <c r="S1251" s="6" t="inlineStr">
        <is>
          <t>v144-10037-112-07003-mt-hatso-lezaro-ponyvahoz</t>
        </is>
      </c>
    </row>
    <row r="1252">
      <c r="A1252" s="6" t="inlineStr"/>
      <c r="B1252" s="7" t="inlineStr">
        <is>
          <t>V144-10048 FIX keresztartó csavarkészlet</t>
        </is>
      </c>
      <c r="C1252" s="6" t="inlineStr">
        <is>
          <t>Elhúzható rolóponyvás rendszer</t>
        </is>
      </c>
      <c r="D1252" s="6" t="inlineStr">
        <is>
          <t>Versus</t>
        </is>
      </c>
      <c r="E1252" s="6" t="inlineStr">
        <is>
          <t>Versus</t>
        </is>
      </c>
      <c r="F1252" s="6" t="inlineStr">
        <is>
          <t>144-10048</t>
        </is>
      </c>
      <c r="G1252" s="6" t="inlineStr">
        <is>
          <t>Quadris Excel</t>
        </is>
      </c>
      <c r="H1252" s="6" t="n">
        <v>1</v>
      </c>
      <c r="I1252" s="6" t="n">
        <v>4</v>
      </c>
      <c r="J1252" s="6" t="inlineStr">
        <is>
          <t>nincs</t>
        </is>
      </c>
      <c r="K1252" s="6">
        <f>IF(AND(H1252&gt;0,I1252&gt;0),"Rendben",IF(AND(H1252=0,I1252=0),"Nincs kép és adat",IF(H1252=0,"Nincs kép","Nincs adat")))</f>
        <v/>
      </c>
      <c r="L1252" s="6" t="inlineStr">
        <is>
          <t>Igen</t>
        </is>
      </c>
      <c r="M1252" s="7" t="inlineStr">
        <is>
          <t>versus-omega.com termékoldalak; Duo Trike Light alkatrész-PDF (Drive); Versus-Omega online katalógus 2026 (FlippingBook)</t>
        </is>
      </c>
      <c r="N1252" s="7" t="inlineStr">
        <is>
          <t>Megtalálva: Versus-Omega 144-10048 (kód: 144-10048)</t>
        </is>
      </c>
      <c r="O1252" s="11" t="inlineStr">
        <is>
          <t>https://www.versus-omega.com/en/products/2/duo-trike-light</t>
        </is>
      </c>
      <c r="P1252" s="11" t="inlineStr">
        <is>
          <t>https://website-9ib.pages.dev/termek/v144-10048-fix-keresztarto-csavarkeszlet/</t>
        </is>
      </c>
      <c r="Q1252" s="12" t="inlineStr"/>
      <c r="R1252" s="13" t="inlineStr"/>
      <c r="S1252" s="6" t="inlineStr">
        <is>
          <t>v144-10048-fix-keresztarto-csavarkeszlet</t>
        </is>
      </c>
    </row>
    <row r="1253">
      <c r="A1253" s="6" t="inlineStr"/>
      <c r="B1253" s="7" t="inlineStr">
        <is>
          <t>V154-03013 Oszlop, sín összekötő készlet DTL</t>
        </is>
      </c>
      <c r="C1253" s="6" t="inlineStr">
        <is>
          <t>Elhúzható rolóponyvás rendszer</t>
        </is>
      </c>
      <c r="D1253" s="6" t="inlineStr">
        <is>
          <t>Versus</t>
        </is>
      </c>
      <c r="E1253" s="6" t="inlineStr">
        <is>
          <t>Versus</t>
        </is>
      </c>
      <c r="F1253" s="6" t="inlineStr"/>
      <c r="G1253" s="6" t="inlineStr">
        <is>
          <t>Quadris Excel</t>
        </is>
      </c>
      <c r="H1253" s="6" t="n">
        <v>1</v>
      </c>
      <c r="I1253" s="6" t="n">
        <v>4</v>
      </c>
      <c r="J1253" s="6" t="inlineStr">
        <is>
          <t>nincs</t>
        </is>
      </c>
      <c r="K1253" s="6">
        <f>IF(AND(H1253&gt;0,I1253&gt;0),"Rendben",IF(AND(H1253=0,I1253=0),"Nincs kép és adat",IF(H1253=0,"Nincs kép","Nincs adat")))</f>
        <v/>
      </c>
      <c r="L1253" s="6" t="inlineStr">
        <is>
          <t>Igen</t>
        </is>
      </c>
      <c r="M1253" s="7" t="inlineStr">
        <is>
          <t>versus-omega.com termékoldalak; Duo Trike Light alkatrész-PDF (Drive); Versus-Omega online katalógus 2026 (FlippingBook)</t>
        </is>
      </c>
      <c r="N1253" s="7" t="inlineStr">
        <is>
          <t>Megtalálva: Versus-Omega 154-03013 (kód: 154-03013)</t>
        </is>
      </c>
      <c r="O1253" s="11" t="inlineStr">
        <is>
          <t>https://www.versus-omega.com/en/products/2/duo-trike-light</t>
        </is>
      </c>
      <c r="P1253" s="11" t="inlineStr">
        <is>
          <t>https://website-9ib.pages.dev/termek/v154-03013-oszlop-sin-osszekoto-keszlet-dtl/</t>
        </is>
      </c>
      <c r="Q1253" s="12" t="inlineStr"/>
      <c r="R1253" s="13" t="inlineStr"/>
      <c r="S1253" s="6" t="inlineStr">
        <is>
          <t>v154-03013-oszlop-sin-osszekoto-keszlet-dtl</t>
        </is>
      </c>
    </row>
    <row r="1254">
      <c r="A1254" s="6" t="inlineStr"/>
      <c r="B1254" s="7" t="inlineStr">
        <is>
          <t>V154-03041 Oszlop, sín összekötő készlet MT</t>
        </is>
      </c>
      <c r="C1254" s="6" t="inlineStr">
        <is>
          <t>Elhúzható rolóponyvás rendszer</t>
        </is>
      </c>
      <c r="D1254" s="6" t="inlineStr">
        <is>
          <t>Versus</t>
        </is>
      </c>
      <c r="E1254" s="6" t="inlineStr">
        <is>
          <t>Versus</t>
        </is>
      </c>
      <c r="F1254" s="6" t="inlineStr">
        <is>
          <t>154-03041</t>
        </is>
      </c>
      <c r="G1254" s="6" t="inlineStr">
        <is>
          <t>Quadris Excel</t>
        </is>
      </c>
      <c r="H1254" s="6" t="n">
        <v>1</v>
      </c>
      <c r="I1254" s="6" t="n">
        <v>4</v>
      </c>
      <c r="J1254" s="6" t="inlineStr">
        <is>
          <t>nincs</t>
        </is>
      </c>
      <c r="K1254" s="6">
        <f>IF(AND(H1254&gt;0,I1254&gt;0),"Rendben",IF(AND(H1254=0,I1254=0),"Nincs kép és adat",IF(H1254=0,"Nincs kép","Nincs adat")))</f>
        <v/>
      </c>
      <c r="L1254" s="6" t="inlineStr">
        <is>
          <t>Igen</t>
        </is>
      </c>
      <c r="M1254" s="7" t="inlineStr">
        <is>
          <t>versus-omega.com termékoldalak; Duo Trike Light alkatrész-PDF (Drive); Versus-Omega online katalógus 2026 (FlippingBook)</t>
        </is>
      </c>
      <c r="N1254" s="7" t="inlineStr">
        <is>
          <t>Megtalálva: Versus-Omega katalógus – 154-03041 (kód: 154-03041)</t>
        </is>
      </c>
      <c r="O1254" s="11" t="inlineStr">
        <is>
          <t>https://online.flippingbook.com/view/967067615/124/</t>
        </is>
      </c>
      <c r="P1254" s="11" t="inlineStr">
        <is>
          <t>https://website-9ib.pages.dev/termek/v154-03041-oszlop-sin-osszekoto-keszlet-mt/</t>
        </is>
      </c>
      <c r="Q1254" s="12" t="inlineStr"/>
      <c r="R1254" s="13" t="inlineStr"/>
      <c r="S1254" s="6" t="inlineStr">
        <is>
          <t>v154-03041-oszlop-sin-osszekoto-keszlet-mt</t>
        </is>
      </c>
    </row>
    <row r="1255">
      <c r="A1255" s="6" t="inlineStr"/>
      <c r="B1255" s="7" t="inlineStr">
        <is>
          <t>V162-08700 Tetősín PICO</t>
        </is>
      </c>
      <c r="C1255" s="6" t="inlineStr">
        <is>
          <t>Elhúzható rolóponyvás rendszer</t>
        </is>
      </c>
      <c r="D1255" s="6" t="inlineStr">
        <is>
          <t>Versus</t>
        </is>
      </c>
      <c r="E1255" s="6" t="inlineStr">
        <is>
          <t>Versus</t>
        </is>
      </c>
      <c r="F1255" s="6" t="inlineStr">
        <is>
          <t>162-0870</t>
        </is>
      </c>
      <c r="G1255" s="6" t="inlineStr">
        <is>
          <t>Quadris Excel</t>
        </is>
      </c>
      <c r="H1255" s="6" t="n">
        <v>2</v>
      </c>
      <c r="I1255" s="6" t="n">
        <v>5</v>
      </c>
      <c r="J1255" s="6" t="inlineStr">
        <is>
          <t>van</t>
        </is>
      </c>
      <c r="K1255" s="6">
        <f>IF(AND(H1255&gt;0,I1255&gt;0),"Rendben",IF(AND(H1255=0,I1255=0),"Nincs kép és adat",IF(H1255=0,"Nincs kép","Nincs adat")))</f>
        <v/>
      </c>
      <c r="L1255" s="6" t="inlineStr">
        <is>
          <t>Igen</t>
        </is>
      </c>
      <c r="M1255" s="7" t="inlineStr">
        <is>
          <t>versus-omega.com termékoldalak; Duo Trike Light alkatrész-PDF (Drive); Versus-Omega online katalógus 2026 (FlippingBook)</t>
        </is>
      </c>
      <c r="N1255" s="7" t="inlineStr">
        <is>
          <t>Megtalálva: pico (kód: pico)</t>
        </is>
      </c>
      <c r="O1255" s="11" t="inlineStr">
        <is>
          <t>https://www.versus-omega.com/en/products/20/pico</t>
        </is>
      </c>
      <c r="P1255" s="11" t="inlineStr">
        <is>
          <t>https://website-9ib.pages.dev/termek/v162-08700-tetosin-pico/</t>
        </is>
      </c>
      <c r="Q1255" s="12" t="inlineStr"/>
      <c r="R1255" s="13" t="inlineStr"/>
      <c r="S1255" s="6" t="inlineStr">
        <is>
          <t>v162-08700-tetosin-pico</t>
        </is>
      </c>
    </row>
    <row r="1256">
      <c r="A1256" s="6" t="inlineStr"/>
      <c r="B1256" s="7" t="inlineStr">
        <is>
          <t>V162-238/10000 mm Tető sín DUO TRIKE Light</t>
        </is>
      </c>
      <c r="C1256" s="6" t="inlineStr">
        <is>
          <t>Elhúzható rolóponyvás rendszer</t>
        </is>
      </c>
      <c r="D1256" s="6" t="inlineStr">
        <is>
          <t>Versus</t>
        </is>
      </c>
      <c r="E1256" s="6" t="inlineStr">
        <is>
          <t>Versus</t>
        </is>
      </c>
      <c r="F1256" s="6" t="inlineStr">
        <is>
          <t>47076</t>
        </is>
      </c>
      <c r="G1256" s="6" t="inlineStr">
        <is>
          <t>Quadris Excel</t>
        </is>
      </c>
      <c r="H1256" s="6" t="n">
        <v>2</v>
      </c>
      <c r="I1256" s="6" t="n">
        <v>7</v>
      </c>
      <c r="J1256" s="6" t="inlineStr">
        <is>
          <t>van</t>
        </is>
      </c>
      <c r="K1256" s="6">
        <f>IF(AND(H1256&gt;0,I1256&gt;0),"Rendben",IF(AND(H1256=0,I1256=0),"Nincs kép és adat",IF(H1256=0,"Nincs kép","Nincs adat")))</f>
        <v/>
      </c>
      <c r="L1256" s="6" t="inlineStr">
        <is>
          <t>Igen</t>
        </is>
      </c>
      <c r="M1256" s="7" t="inlineStr">
        <is>
          <t>versus-omega.com termékoldalak; Duo Trike Light alkatrész-PDF (Drive); Versus-Omega online katalógus 2026 (FlippingBook)</t>
        </is>
      </c>
      <c r="N1256" s="7" t="inlineStr">
        <is>
          <t>Megtalálva: duo-trike-light (kód: duo-trike-light)</t>
        </is>
      </c>
      <c r="O1256" s="11" t="inlineStr">
        <is>
          <t>https://www.versus-omega.com/en/products/2/duo-trike-light</t>
        </is>
      </c>
      <c r="P1256" s="11" t="inlineStr">
        <is>
          <t>https://website-9ib.pages.dev/termek/v162-238-10000-mm-teto-sin-duo-trike-light/</t>
        </is>
      </c>
      <c r="Q1256" s="12" t="inlineStr"/>
      <c r="R1256" s="13" t="inlineStr"/>
      <c r="S1256" s="6" t="inlineStr">
        <is>
          <t>v162-238-10000-mm-teto-sin-duo-trike-light</t>
        </is>
      </c>
    </row>
    <row r="1257">
      <c r="A1257" s="6" t="inlineStr"/>
      <c r="B1257" s="7" t="inlineStr">
        <is>
          <t>V162-238/8500 mm Tető sín DUO TRIKE Light</t>
        </is>
      </c>
      <c r="C1257" s="6" t="inlineStr">
        <is>
          <t>Elhúzható rolóponyvás rendszer</t>
        </is>
      </c>
      <c r="D1257" s="6" t="inlineStr">
        <is>
          <t>Versus</t>
        </is>
      </c>
      <c r="E1257" s="6" t="inlineStr">
        <is>
          <t>Versus</t>
        </is>
      </c>
      <c r="F1257" s="6" t="inlineStr">
        <is>
          <t>47076</t>
        </is>
      </c>
      <c r="G1257" s="6" t="inlineStr">
        <is>
          <t>Quadris Excel</t>
        </is>
      </c>
      <c r="H1257" s="6" t="n">
        <v>2</v>
      </c>
      <c r="I1257" s="6" t="n">
        <v>7</v>
      </c>
      <c r="J1257" s="6" t="inlineStr">
        <is>
          <t>van</t>
        </is>
      </c>
      <c r="K1257" s="6">
        <f>IF(AND(H1257&gt;0,I1257&gt;0),"Rendben",IF(AND(H1257=0,I1257=0),"Nincs kép és adat",IF(H1257=0,"Nincs kép","Nincs adat")))</f>
        <v/>
      </c>
      <c r="L1257" s="6" t="inlineStr">
        <is>
          <t>Igen</t>
        </is>
      </c>
      <c r="M1257" s="7" t="inlineStr">
        <is>
          <t>versus-omega.com termékoldalak; Duo Trike Light alkatrész-PDF (Drive); Versus-Omega online katalógus 2026 (FlippingBook)</t>
        </is>
      </c>
      <c r="N1257" s="7" t="inlineStr">
        <is>
          <t>Megtalálva: duo-trike-light (kód: duo-trike-light)</t>
        </is>
      </c>
      <c r="O1257" s="11" t="inlineStr">
        <is>
          <t>https://www.versus-omega.com/en/products/2/duo-trike-light</t>
        </is>
      </c>
      <c r="P1257" s="11" t="inlineStr">
        <is>
          <t>https://website-9ib.pages.dev/termek/v162-238-8500-mm-teto-sin-duo-trike-light/</t>
        </is>
      </c>
      <c r="Q1257" s="12" t="inlineStr"/>
      <c r="R1257" s="13" t="inlineStr"/>
      <c r="S1257" s="6" t="inlineStr">
        <is>
          <t>v162-238-8500-mm-teto-sin-duo-trike-light</t>
        </is>
      </c>
    </row>
    <row r="1258">
      <c r="A1258" s="6" t="inlineStr"/>
      <c r="B1258" s="7" t="inlineStr">
        <is>
          <t>V162-238/9600 mm Tető sín DUO TRIKE Light</t>
        </is>
      </c>
      <c r="C1258" s="6" t="inlineStr">
        <is>
          <t>Elhúzható rolóponyvás rendszer</t>
        </is>
      </c>
      <c r="D1258" s="6" t="inlineStr">
        <is>
          <t>Versus</t>
        </is>
      </c>
      <c r="E1258" s="6" t="inlineStr">
        <is>
          <t>Versus</t>
        </is>
      </c>
      <c r="F1258" s="6" t="inlineStr">
        <is>
          <t>47076</t>
        </is>
      </c>
      <c r="G1258" s="6" t="inlineStr">
        <is>
          <t>Quadris Excel</t>
        </is>
      </c>
      <c r="H1258" s="6" t="n">
        <v>2</v>
      </c>
      <c r="I1258" s="6" t="n">
        <v>7</v>
      </c>
      <c r="J1258" s="6" t="inlineStr">
        <is>
          <t>van</t>
        </is>
      </c>
      <c r="K1258" s="6">
        <f>IF(AND(H1258&gt;0,I1258&gt;0),"Rendben",IF(AND(H1258=0,I1258=0),"Nincs kép és adat",IF(H1258=0,"Nincs kép","Nincs adat")))</f>
        <v/>
      </c>
      <c r="L1258" s="6" t="inlineStr">
        <is>
          <t>Igen</t>
        </is>
      </c>
      <c r="M1258" s="7" t="inlineStr">
        <is>
          <t>versus-omega.com termékoldalak; Duo Trike Light alkatrész-PDF (Drive); Versus-Omega online katalógus 2026 (FlippingBook)</t>
        </is>
      </c>
      <c r="N1258" s="7" t="inlineStr">
        <is>
          <t>Megtalálva: duo-trike-light (kód: duo-trike-light)</t>
        </is>
      </c>
      <c r="O1258" s="11" t="inlineStr">
        <is>
          <t>https://www.versus-omega.com/en/products/2/duo-trike-light</t>
        </is>
      </c>
      <c r="P1258" s="11" t="inlineStr">
        <is>
          <t>https://website-9ib.pages.dev/termek/v162-238-9600-mm-teto-sin-duo-trike-light/</t>
        </is>
      </c>
      <c r="Q1258" s="12" t="inlineStr"/>
      <c r="R1258" s="13" t="inlineStr"/>
      <c r="S1258" s="6" t="inlineStr">
        <is>
          <t>v162-238-9600-mm-teto-sin-duo-trike-light</t>
        </is>
      </c>
    </row>
    <row r="1259">
      <c r="A1259" s="6" t="inlineStr"/>
      <c r="B1259" s="7" t="inlineStr">
        <is>
          <t>V193-11001 Fekete lezáró MT</t>
        </is>
      </c>
      <c r="C1259" s="6" t="inlineStr">
        <is>
          <t>Elhúzható rolóponyvás rendszer</t>
        </is>
      </c>
      <c r="D1259" s="6" t="inlineStr">
        <is>
          <t>Versus</t>
        </is>
      </c>
      <c r="E1259" s="6" t="inlineStr">
        <is>
          <t>Versus</t>
        </is>
      </c>
      <c r="F1259" s="6" t="inlineStr">
        <is>
          <t>193-11001</t>
        </is>
      </c>
      <c r="G1259" s="6" t="inlineStr">
        <is>
          <t>Quadris Excel</t>
        </is>
      </c>
      <c r="H1259" s="6" t="n">
        <v>1</v>
      </c>
      <c r="I1259" s="6" t="n">
        <v>8</v>
      </c>
      <c r="J1259" s="6" t="inlineStr">
        <is>
          <t>nincs</t>
        </is>
      </c>
      <c r="K1259" s="6">
        <f>IF(AND(H1259&gt;0,I1259&gt;0),"Rendben",IF(AND(H1259=0,I1259=0),"Nincs kép és adat",IF(H1259=0,"Nincs kép","Nincs adat")))</f>
        <v/>
      </c>
      <c r="L1259" s="6" t="inlineStr">
        <is>
          <t>Igen</t>
        </is>
      </c>
      <c r="M1259" s="7" t="inlineStr">
        <is>
          <t>versus-omega.com termékoldalak; Duo Trike Light alkatrész-PDF (Drive); Versus-Omega online katalógus 2026 (FlippingBook)</t>
        </is>
      </c>
      <c r="N1259" s="7" t="inlineStr">
        <is>
          <t>Megtalálva: Versus-Omega katalógus – 193-11001 (kód: 193-11001)</t>
        </is>
      </c>
      <c r="O1259" s="11" t="inlineStr">
        <is>
          <t>https://online.flippingbook.com/view/967067615/123/</t>
        </is>
      </c>
      <c r="P1259" s="11" t="inlineStr">
        <is>
          <t>https://website-9ib.pages.dev/termek/v193-11001-fekete-lezaro-mt/</t>
        </is>
      </c>
      <c r="Q1259" s="12" t="inlineStr"/>
      <c r="R1259" s="13" t="inlineStr"/>
      <c r="S1259" s="6" t="inlineStr">
        <is>
          <t>v193-11001-fekete-lezaro-mt</t>
        </is>
      </c>
    </row>
    <row r="1260">
      <c r="A1260" s="6" t="inlineStr"/>
      <c r="B1260" s="7" t="inlineStr">
        <is>
          <t>V193-14001 Fekete lezáró DTL</t>
        </is>
      </c>
      <c r="C1260" s="6" t="inlineStr">
        <is>
          <t>Elhúzható rolóponyvás rendszer</t>
        </is>
      </c>
      <c r="D1260" s="6" t="inlineStr">
        <is>
          <t>Versus</t>
        </is>
      </c>
      <c r="E1260" s="6" t="inlineStr">
        <is>
          <t>Versus</t>
        </is>
      </c>
      <c r="F1260" s="6" t="inlineStr">
        <is>
          <t>193-14001</t>
        </is>
      </c>
      <c r="G1260" s="6" t="inlineStr">
        <is>
          <t>Quadris Excel</t>
        </is>
      </c>
      <c r="H1260" s="6" t="n">
        <v>1</v>
      </c>
      <c r="I1260" s="6" t="n">
        <v>6</v>
      </c>
      <c r="J1260" s="6" t="inlineStr">
        <is>
          <t>nincs</t>
        </is>
      </c>
      <c r="K1260" s="6">
        <f>IF(AND(H1260&gt;0,I1260&gt;0),"Rendben",IF(AND(H1260=0,I1260=0),"Nincs kép és adat",IF(H1260=0,"Nincs kép","Nincs adat")))</f>
        <v/>
      </c>
      <c r="L1260" s="6" t="inlineStr">
        <is>
          <t>Igen</t>
        </is>
      </c>
      <c r="M1260" s="7" t="inlineStr">
        <is>
          <t>versus-omega.com termékoldalak; Duo Trike Light alkatrész-PDF (Drive); Versus-Omega online katalógus 2026 (FlippingBook)</t>
        </is>
      </c>
      <c r="N1260" s="7" t="inlineStr">
        <is>
          <t>Megtalálva: Versus-Omega 193-14001 (kód: 193-14001)</t>
        </is>
      </c>
      <c r="O1260" s="11" t="inlineStr">
        <is>
          <t>https://www.versus-omega.com/en/products/2/duo-trike-light</t>
        </is>
      </c>
      <c r="P1260" s="11" t="inlineStr">
        <is>
          <t>https://website-9ib.pages.dev/termek/v193-14001-fekete-lezaro-dtl/</t>
        </is>
      </c>
      <c r="Q1260" s="12" t="inlineStr"/>
      <c r="R1260" s="13" t="inlineStr"/>
      <c r="S1260" s="6" t="inlineStr">
        <is>
          <t>v193-14001-fekete-lezaro-dtl</t>
        </is>
      </c>
    </row>
    <row r="1261">
      <c r="A1261" s="6" t="inlineStr"/>
      <c r="B1261" s="7" t="inlineStr">
        <is>
          <t>V214-47201 Elhúzókocsi DTL, MT</t>
        </is>
      </c>
      <c r="C1261" s="6" t="inlineStr">
        <is>
          <t>Elhúzható rolóponyvás rendszer</t>
        </is>
      </c>
      <c r="D1261" s="6" t="inlineStr">
        <is>
          <t>Versus</t>
        </is>
      </c>
      <c r="E1261" s="6" t="inlineStr">
        <is>
          <t>Versus</t>
        </is>
      </c>
      <c r="F1261" s="6" t="inlineStr">
        <is>
          <t>214-47201</t>
        </is>
      </c>
      <c r="G1261" s="6" t="inlineStr">
        <is>
          <t>Quadris Excel</t>
        </is>
      </c>
      <c r="H1261" s="6" t="n">
        <v>1</v>
      </c>
      <c r="I1261" s="6" t="n">
        <v>5</v>
      </c>
      <c r="J1261" s="6" t="inlineStr">
        <is>
          <t>nincs</t>
        </is>
      </c>
      <c r="K1261" s="6">
        <f>IF(AND(H1261&gt;0,I1261&gt;0),"Rendben",IF(AND(H1261=0,I1261=0),"Nincs kép és adat",IF(H1261=0,"Nincs kép","Nincs adat")))</f>
        <v/>
      </c>
      <c r="L1261" s="6" t="inlineStr">
        <is>
          <t>Igen</t>
        </is>
      </c>
      <c r="M1261" s="7" t="inlineStr">
        <is>
          <t>versus-omega.com termékoldalak; Duo Trike Light alkatrész-PDF (Drive); Versus-Omega online katalógus 2026 (FlippingBook)</t>
        </is>
      </c>
      <c r="N1261" s="7" t="inlineStr">
        <is>
          <t>Megtalálva: Versus-Omega 214-47201 (kód: 214-47201)</t>
        </is>
      </c>
      <c r="O1261" s="11" t="inlineStr">
        <is>
          <t>https://www.versus-omega.com/en/products/2/duo-trike-light</t>
        </is>
      </c>
      <c r="P1261" s="11" t="inlineStr">
        <is>
          <t>https://website-9ib.pages.dev/termek/v214-47201-elhuzokocsi-dtl-mt/</t>
        </is>
      </c>
      <c r="Q1261" s="12" t="inlineStr"/>
      <c r="R1261" s="13" t="inlineStr"/>
      <c r="S1261" s="6" t="inlineStr">
        <is>
          <t>v214-47201-elhuzokocsi-dtl-mt</t>
        </is>
      </c>
    </row>
    <row r="1262">
      <c r="A1262" s="6" t="inlineStr"/>
      <c r="B1262" s="7" t="inlineStr">
        <is>
          <t>V224-01001 Görgős kereszttartó ponyvához</t>
        </is>
      </c>
      <c r="C1262" s="6" t="inlineStr">
        <is>
          <t>Elhúzható rolóponyvás rendszer</t>
        </is>
      </c>
      <c r="D1262" s="6" t="inlineStr">
        <is>
          <t>Versus</t>
        </is>
      </c>
      <c r="E1262" s="6" t="inlineStr">
        <is>
          <t>Versus</t>
        </is>
      </c>
      <c r="F1262" s="6" t="inlineStr">
        <is>
          <t>224-01001</t>
        </is>
      </c>
      <c r="G1262" s="6" t="inlineStr">
        <is>
          <t>Quadris Excel</t>
        </is>
      </c>
      <c r="H1262" s="6" t="n">
        <v>1</v>
      </c>
      <c r="I1262" s="6" t="n">
        <v>4</v>
      </c>
      <c r="J1262" s="6" t="inlineStr">
        <is>
          <t>nincs</t>
        </is>
      </c>
      <c r="K1262" s="6">
        <f>IF(AND(H1262&gt;0,I1262&gt;0),"Rendben",IF(AND(H1262=0,I1262=0),"Nincs kép és adat",IF(H1262=0,"Nincs kép","Nincs adat")))</f>
        <v/>
      </c>
      <c r="L1262" s="6" t="inlineStr">
        <is>
          <t>Igen</t>
        </is>
      </c>
      <c r="M1262" s="7" t="inlineStr">
        <is>
          <t>versus-omega.com termékoldalak; Duo Trike Light alkatrész-PDF (Drive); Versus-Omega online katalógus 2026 (FlippingBook)</t>
        </is>
      </c>
      <c r="N1262" s="7" t="inlineStr">
        <is>
          <t>Megtalálva: Versus-Omega 224-01001 (kód: 224-01001)</t>
        </is>
      </c>
      <c r="O1262" s="11" t="inlineStr">
        <is>
          <t>https://www.versus-omega.com/en/products/2/duo-trike-light</t>
        </is>
      </c>
      <c r="P1262" s="11" t="inlineStr">
        <is>
          <t>https://website-9ib.pages.dev/termek/v224-01001-gorgos-kereszttarto-ponyvahoz/</t>
        </is>
      </c>
      <c r="Q1262" s="12" t="inlineStr"/>
      <c r="R1262" s="13" t="inlineStr"/>
      <c r="S1262" s="6" t="inlineStr">
        <is>
          <t>v224-01001-gorgos-kereszttarto-ponyvahoz</t>
        </is>
      </c>
    </row>
    <row r="1263">
      <c r="A1263" s="6" t="inlineStr"/>
      <c r="B1263" s="7" t="inlineStr">
        <is>
          <t>V224-41211 FIX kereszttartó ponyvához</t>
        </is>
      </c>
      <c r="C1263" s="6" t="inlineStr">
        <is>
          <t>Elhúzható rolóponyvás rendszer</t>
        </is>
      </c>
      <c r="D1263" s="6" t="inlineStr">
        <is>
          <t>Versus</t>
        </is>
      </c>
      <c r="E1263" s="6" t="inlineStr">
        <is>
          <t>Versus</t>
        </is>
      </c>
      <c r="F1263" s="6" t="inlineStr">
        <is>
          <t>224-41211</t>
        </is>
      </c>
      <c r="G1263" s="6" t="inlineStr">
        <is>
          <t>Quadris Excel</t>
        </is>
      </c>
      <c r="H1263" s="6" t="n">
        <v>1</v>
      </c>
      <c r="I1263" s="6" t="n">
        <v>5</v>
      </c>
      <c r="J1263" s="6" t="inlineStr">
        <is>
          <t>nincs</t>
        </is>
      </c>
      <c r="K1263" s="6">
        <f>IF(AND(H1263&gt;0,I1263&gt;0),"Rendben",IF(AND(H1263=0,I1263=0),"Nincs kép és adat",IF(H1263=0,"Nincs kép","Nincs adat")))</f>
        <v/>
      </c>
      <c r="L1263" s="6" t="inlineStr">
        <is>
          <t>Igen</t>
        </is>
      </c>
      <c r="M1263" s="7" t="inlineStr">
        <is>
          <t>versus-omega.com termékoldalak; Duo Trike Light alkatrész-PDF (Drive); Versus-Omega online katalógus 2026 (FlippingBook)</t>
        </is>
      </c>
      <c r="N1263" s="7" t="inlineStr">
        <is>
          <t>Megtalálva: Versus-Omega 224-41211 (kód: 224-41211)</t>
        </is>
      </c>
      <c r="O1263" s="11" t="inlineStr">
        <is>
          <t>https://www.versus-omega.com/en/products/2/duo-trike-light</t>
        </is>
      </c>
      <c r="P1263" s="11" t="inlineStr">
        <is>
          <t>https://website-9ib.pages.dev/termek/v224-41211-fix-kereszttarto-ponyvahoz/</t>
        </is>
      </c>
      <c r="Q1263" s="12" t="inlineStr"/>
      <c r="R1263" s="13" t="inlineStr"/>
      <c r="S1263" s="6" t="inlineStr">
        <is>
          <t>v224-41211-fix-kereszttarto-ponyvahoz</t>
        </is>
      </c>
    </row>
    <row r="1264">
      <c r="A1264" s="6" t="inlineStr"/>
      <c r="B1264" s="7" t="inlineStr">
        <is>
          <t>V242-01004 400 mm piros csukló</t>
        </is>
      </c>
      <c r="C1264" s="6" t="inlineStr">
        <is>
          <t>Elhúzható rolóponyvás rendszer</t>
        </is>
      </c>
      <c r="D1264" s="6" t="inlineStr">
        <is>
          <t>Versus</t>
        </is>
      </c>
      <c r="E1264" s="6" t="inlineStr">
        <is>
          <t>Versus</t>
        </is>
      </c>
      <c r="F1264" s="6" t="inlineStr">
        <is>
          <t>242-01004</t>
        </is>
      </c>
      <c r="G1264" s="6" t="inlineStr">
        <is>
          <t>Quadris Excel</t>
        </is>
      </c>
      <c r="H1264" s="6" t="n">
        <v>1</v>
      </c>
      <c r="I1264" s="6" t="n">
        <v>4</v>
      </c>
      <c r="J1264" s="6" t="inlineStr">
        <is>
          <t>nincs</t>
        </is>
      </c>
      <c r="K1264" s="6">
        <f>IF(AND(H1264&gt;0,I1264&gt;0),"Rendben",IF(AND(H1264=0,I1264=0),"Nincs kép és adat",IF(H1264=0,"Nincs kép","Nincs adat")))</f>
        <v/>
      </c>
      <c r="L1264" s="6" t="inlineStr">
        <is>
          <t>Igen</t>
        </is>
      </c>
      <c r="M1264" s="7" t="inlineStr">
        <is>
          <t>versus-omega.com termékoldalak; Duo Trike Light alkatrész-PDF (Drive); Versus-Omega online katalógus 2026 (FlippingBook)</t>
        </is>
      </c>
      <c r="N1264" s="7" t="inlineStr">
        <is>
          <t>Megtalálva: Versus-Omega 242-01004 (kód: 242-01004)</t>
        </is>
      </c>
      <c r="O1264" s="11" t="inlineStr">
        <is>
          <t>https://www.versus-omega.com/en/products/2/duo-trike-light</t>
        </is>
      </c>
      <c r="P1264" s="11" t="inlineStr">
        <is>
          <t>https://website-9ib.pages.dev/termek/v242-01004-400-mm-piros-csuklo/</t>
        </is>
      </c>
      <c r="Q1264" s="12" t="inlineStr"/>
      <c r="R1264" s="13" t="inlineStr"/>
      <c r="S1264" s="6" t="inlineStr">
        <is>
          <t>v242-01004-400-mm-piros-csuklo</t>
        </is>
      </c>
    </row>
    <row r="1265">
      <c r="A1265" s="6" t="inlineStr"/>
      <c r="B1265" s="7" t="inlineStr">
        <is>
          <t>V242-01007 700 mm piros csukló</t>
        </is>
      </c>
      <c r="C1265" s="6" t="inlineStr">
        <is>
          <t>Elhúzható rolóponyvás rendszer</t>
        </is>
      </c>
      <c r="D1265" s="6" t="inlineStr">
        <is>
          <t>Versus</t>
        </is>
      </c>
      <c r="E1265" s="6" t="inlineStr">
        <is>
          <t>Versus</t>
        </is>
      </c>
      <c r="F1265" s="6" t="inlineStr">
        <is>
          <t>242-01007</t>
        </is>
      </c>
      <c r="G1265" s="6" t="inlineStr">
        <is>
          <t>Quadris Excel</t>
        </is>
      </c>
      <c r="H1265" s="6" t="n">
        <v>1</v>
      </c>
      <c r="I1265" s="6" t="n">
        <v>4</v>
      </c>
      <c r="J1265" s="6" t="inlineStr">
        <is>
          <t>nincs</t>
        </is>
      </c>
      <c r="K1265" s="6">
        <f>IF(AND(H1265&gt;0,I1265&gt;0),"Rendben",IF(AND(H1265=0,I1265=0),"Nincs kép és adat",IF(H1265=0,"Nincs kép","Nincs adat")))</f>
        <v/>
      </c>
      <c r="L1265" s="6" t="inlineStr">
        <is>
          <t>Igen</t>
        </is>
      </c>
      <c r="M1265" s="7" t="inlineStr">
        <is>
          <t>versus-omega.com termékoldalak; Duo Trike Light alkatrész-PDF (Drive); Versus-Omega online katalógus 2026 (FlippingBook)</t>
        </is>
      </c>
      <c r="N1265" s="7" t="inlineStr">
        <is>
          <t>Megtalálva: Versus-Omega 242-01007 (kód: 242-01007)</t>
        </is>
      </c>
      <c r="O1265" s="11" t="inlineStr">
        <is>
          <t>https://www.versus-omega.com/en/products/2/duo-trike-light</t>
        </is>
      </c>
      <c r="P1265" s="11" t="inlineStr">
        <is>
          <t>https://website-9ib.pages.dev/termek/v242-01007-700-mm-piros-csuklo/</t>
        </is>
      </c>
      <c r="Q1265" s="12" t="inlineStr"/>
      <c r="R1265" s="13" t="inlineStr"/>
      <c r="S1265" s="6" t="inlineStr">
        <is>
          <t>v242-01007-700-mm-piros-csuklo</t>
        </is>
      </c>
    </row>
    <row r="1266">
      <c r="A1266" s="6" t="inlineStr"/>
      <c r="B1266" s="7" t="inlineStr">
        <is>
          <t>V242-01065 650 mm piros csukló</t>
        </is>
      </c>
      <c r="C1266" s="6" t="inlineStr">
        <is>
          <t>Elhúzható rolóponyvás rendszer</t>
        </is>
      </c>
      <c r="D1266" s="6" t="inlineStr">
        <is>
          <t>Versus</t>
        </is>
      </c>
      <c r="E1266" s="6" t="inlineStr">
        <is>
          <t>Versus</t>
        </is>
      </c>
      <c r="F1266" s="6" t="inlineStr">
        <is>
          <t>242-01065</t>
        </is>
      </c>
      <c r="G1266" s="6" t="inlineStr">
        <is>
          <t>Quadris Excel</t>
        </is>
      </c>
      <c r="H1266" s="6" t="n">
        <v>1</v>
      </c>
      <c r="I1266" s="6" t="n">
        <v>4</v>
      </c>
      <c r="J1266" s="6" t="inlineStr">
        <is>
          <t>nincs</t>
        </is>
      </c>
      <c r="K1266" s="6">
        <f>IF(AND(H1266&gt;0,I1266&gt;0),"Rendben",IF(AND(H1266=0,I1266=0),"Nincs kép és adat",IF(H1266=0,"Nincs kép","Nincs adat")))</f>
        <v/>
      </c>
      <c r="L1266" s="6" t="inlineStr">
        <is>
          <t>Igen</t>
        </is>
      </c>
      <c r="M1266" s="7" t="inlineStr">
        <is>
          <t>versus-omega.com termékoldalak; Duo Trike Light alkatrész-PDF (Drive); Versus-Omega online katalógus 2026 (FlippingBook)</t>
        </is>
      </c>
      <c r="N1266" s="7" t="inlineStr">
        <is>
          <t>Megtalálva: Versus-Omega 242-01065 (kód: 242-01065)</t>
        </is>
      </c>
      <c r="O1266" s="11" t="inlineStr">
        <is>
          <t>https://www.versus-omega.com/en/products/2/duo-trike-light</t>
        </is>
      </c>
      <c r="P1266" s="11" t="inlineStr">
        <is>
          <t>https://website-9ib.pages.dev/termek/v242-01065-650-mm-piros-csuklo/</t>
        </is>
      </c>
      <c r="Q1266" s="12" t="inlineStr"/>
      <c r="R1266" s="13" t="inlineStr"/>
      <c r="S1266" s="6" t="inlineStr">
        <is>
          <t>v242-01065-650-mm-piros-csuklo</t>
        </is>
      </c>
    </row>
    <row r="1267">
      <c r="A1267" s="6" t="inlineStr"/>
      <c r="B1267" s="7" t="inlineStr">
        <is>
          <t>V242-14109 Tömítés 9 m DTL</t>
        </is>
      </c>
      <c r="C1267" s="6" t="inlineStr">
        <is>
          <t>Elhúzható rolóponyvás rendszer</t>
        </is>
      </c>
      <c r="D1267" s="6" t="inlineStr">
        <is>
          <t>Versus</t>
        </is>
      </c>
      <c r="E1267" s="6" t="inlineStr">
        <is>
          <t>Versus</t>
        </is>
      </c>
      <c r="F1267" s="6" t="inlineStr">
        <is>
          <t>242-14109</t>
        </is>
      </c>
      <c r="G1267" s="6" t="inlineStr">
        <is>
          <t>Quadris Excel</t>
        </is>
      </c>
      <c r="H1267" s="6" t="n">
        <v>1</v>
      </c>
      <c r="I1267" s="6" t="n">
        <v>6</v>
      </c>
      <c r="J1267" s="6" t="inlineStr">
        <is>
          <t>nincs</t>
        </is>
      </c>
      <c r="K1267" s="6">
        <f>IF(AND(H1267&gt;0,I1267&gt;0),"Rendben",IF(AND(H1267=0,I1267=0),"Nincs kép és adat",IF(H1267=0,"Nincs kép","Nincs adat")))</f>
        <v/>
      </c>
      <c r="L1267" s="6" t="inlineStr">
        <is>
          <t>Igen</t>
        </is>
      </c>
      <c r="M1267" s="7" t="inlineStr">
        <is>
          <t>versus-omega.com termékoldalak; Duo Trike Light alkatrész-PDF (Drive); Versus-Omega online katalógus 2026 (FlippingBook)</t>
        </is>
      </c>
      <c r="N1267" s="7" t="inlineStr">
        <is>
          <t>Megtalálva: Versus-Omega 242-14109 (kód: 242-14109)</t>
        </is>
      </c>
      <c r="O1267" s="11" t="inlineStr">
        <is>
          <t>https://www.versus-omega.com/en/products/2/duo-trike-light</t>
        </is>
      </c>
      <c r="P1267" s="11" t="inlineStr">
        <is>
          <t>https://website-9ib.pages.dev/termek/v242-14109-tomites-9-m-dtl/</t>
        </is>
      </c>
      <c r="Q1267" s="12" t="inlineStr"/>
      <c r="R1267" s="13" t="inlineStr"/>
      <c r="S1267" s="6" t="inlineStr">
        <is>
          <t>v242-14109-tomites-9-m-dtl</t>
        </is>
      </c>
    </row>
    <row r="1268">
      <c r="A1268" s="6" t="inlineStr"/>
      <c r="B1268" s="7" t="inlineStr">
        <is>
          <t>V242-14116 Takaró gumi DTL</t>
        </is>
      </c>
      <c r="C1268" s="6" t="inlineStr">
        <is>
          <t>Elhúzható rolóponyvás rendszer</t>
        </is>
      </c>
      <c r="D1268" s="6" t="inlineStr">
        <is>
          <t>Versus</t>
        </is>
      </c>
      <c r="E1268" s="6" t="inlineStr">
        <is>
          <t>Versus</t>
        </is>
      </c>
      <c r="F1268" s="6" t="inlineStr">
        <is>
          <t>242-14116</t>
        </is>
      </c>
      <c r="G1268" s="6" t="inlineStr">
        <is>
          <t>Quadris Excel</t>
        </is>
      </c>
      <c r="H1268" s="6" t="n">
        <v>0</v>
      </c>
      <c r="I1268" s="6" t="n">
        <v>0</v>
      </c>
      <c r="J1268" s="6" t="inlineStr">
        <is>
          <t>nincs</t>
        </is>
      </c>
      <c r="K1268" s="6">
        <f>IF(AND(H1268&gt;0,I1268&gt;0),"Rendben",IF(AND(H1268=0,I1268=0),"Nincs kép és adat",IF(H1268=0,"Nincs kép","Nincs adat")))</f>
        <v/>
      </c>
      <c r="L1268" s="6" t="inlineStr">
        <is>
          <t>Igen</t>
        </is>
      </c>
      <c r="M1268" s="7" t="inlineStr">
        <is>
          <t>versus-omega.com termékoldalak; Duo Trike Light alkatrész-PDF (Drive); Versus-Omega online katalógus 2026 (FlippingBook)</t>
        </is>
      </c>
      <c r="N1268" s="7" t="inlineStr">
        <is>
          <t>Nem találtuk: versus-omega.com termékoldalak; Duo Trike Light alkatrész-PDF (Drive); Versus-Omega online katalógus 2026 (FlippingBook)</t>
        </is>
      </c>
      <c r="O1268" s="6" t="inlineStr"/>
      <c r="P1268" s="11" t="inlineStr">
        <is>
          <t>https://website-9ib.pages.dev/termek/v242-14116-takaro-gumi-dtl/</t>
        </is>
      </c>
      <c r="Q1268" s="12" t="inlineStr"/>
      <c r="R1268" s="13" t="inlineStr"/>
      <c r="S1268" s="6" t="inlineStr">
        <is>
          <t>v242-14116-takaro-gumi-dtl</t>
        </is>
      </c>
    </row>
    <row r="1269">
      <c r="A1269" s="6" t="inlineStr"/>
      <c r="B1269" s="7" t="inlineStr">
        <is>
          <t>V242-14121 Takaró gumi DTL</t>
        </is>
      </c>
      <c r="C1269" s="6" t="inlineStr">
        <is>
          <t>Elhúzható rolóponyvás rendszer</t>
        </is>
      </c>
      <c r="D1269" s="6" t="inlineStr">
        <is>
          <t>Versus</t>
        </is>
      </c>
      <c r="E1269" s="6" t="inlineStr">
        <is>
          <t>Versus</t>
        </is>
      </c>
      <c r="F1269" s="6" t="inlineStr"/>
      <c r="G1269" s="6" t="inlineStr">
        <is>
          <t>Quadris Excel</t>
        </is>
      </c>
      <c r="H1269" s="6" t="n">
        <v>0</v>
      </c>
      <c r="I1269" s="6" t="n">
        <v>0</v>
      </c>
      <c r="J1269" s="6" t="inlineStr">
        <is>
          <t>nincs</t>
        </is>
      </c>
      <c r="K1269" s="6">
        <f>IF(AND(H1269&gt;0,I1269&gt;0),"Rendben",IF(AND(H1269=0,I1269=0),"Nincs kép és adat",IF(H1269=0,"Nincs kép","Nincs adat")))</f>
        <v/>
      </c>
      <c r="L1269" s="6" t="inlineStr">
        <is>
          <t>Igen</t>
        </is>
      </c>
      <c r="M1269" s="7" t="inlineStr">
        <is>
          <t>versus-omega.com termékoldalak; Duo Trike Light alkatrész-PDF (Drive); Versus-Omega online katalógus 2026 (FlippingBook)</t>
        </is>
      </c>
      <c r="N1269" s="7" t="inlineStr">
        <is>
          <t>Nem találtuk: versus-omega.com termékoldalak; Duo Trike Light alkatrész-PDF (Drive); Versus-Omega online katalógus 2026 (FlippingBook)</t>
        </is>
      </c>
      <c r="O1269" s="6" t="inlineStr"/>
      <c r="P1269" s="11" t="inlineStr">
        <is>
          <t>https://website-9ib.pages.dev/termek/v242-14121-takaro-gumi-dtl/</t>
        </is>
      </c>
      <c r="Q1269" s="12" t="inlineStr"/>
      <c r="R1269" s="13" t="inlineStr"/>
      <c r="S1269" s="6" t="inlineStr">
        <is>
          <t>v242-14121-takaro-gumi-dtl</t>
        </is>
      </c>
    </row>
    <row r="1270">
      <c r="A1270" s="6" t="inlineStr"/>
      <c r="B1270" s="7" t="inlineStr">
        <is>
          <t>V242-14128 Tömítés DTL</t>
        </is>
      </c>
      <c r="C1270" s="6" t="inlineStr">
        <is>
          <t>Elhúzható rolóponyvás rendszer</t>
        </is>
      </c>
      <c r="D1270" s="6" t="inlineStr">
        <is>
          <t>Versus</t>
        </is>
      </c>
      <c r="E1270" s="6" t="inlineStr">
        <is>
          <t>Versus</t>
        </is>
      </c>
      <c r="F1270" s="6" t="inlineStr">
        <is>
          <t>242-14128</t>
        </is>
      </c>
      <c r="G1270" s="6" t="inlineStr">
        <is>
          <t>Quadris Excel</t>
        </is>
      </c>
      <c r="H1270" s="6" t="n">
        <v>0</v>
      </c>
      <c r="I1270" s="6" t="n">
        <v>0</v>
      </c>
      <c r="J1270" s="6" t="inlineStr">
        <is>
          <t>nincs</t>
        </is>
      </c>
      <c r="K1270" s="6">
        <f>IF(AND(H1270&gt;0,I1270&gt;0),"Rendben",IF(AND(H1270=0,I1270=0),"Nincs kép és adat",IF(H1270=0,"Nincs kép","Nincs adat")))</f>
        <v/>
      </c>
      <c r="L1270" s="6" t="inlineStr">
        <is>
          <t>Igen</t>
        </is>
      </c>
      <c r="M1270" s="7" t="inlineStr">
        <is>
          <t>versus-omega.com termékoldalak; Duo Trike Light alkatrész-PDF (Drive); Versus-Omega online katalógus 2026 (FlippingBook)</t>
        </is>
      </c>
      <c r="N1270" s="7" t="inlineStr">
        <is>
          <t>Nem találtuk: versus-omega.com termékoldalak; Duo Trike Light alkatrész-PDF (Drive); Versus-Omega online katalógus 2026 (FlippingBook)</t>
        </is>
      </c>
      <c r="O1270" s="6" t="inlineStr"/>
      <c r="P1270" s="11" t="inlineStr">
        <is>
          <t>https://website-9ib.pages.dev/termek/v242-14128-tomites-dtl/</t>
        </is>
      </c>
      <c r="Q1270" s="12" t="inlineStr"/>
      <c r="R1270" s="13" t="inlineStr"/>
      <c r="S1270" s="6" t="inlineStr">
        <is>
          <t>v242-14128-tomites-dtl</t>
        </is>
      </c>
    </row>
    <row r="1271">
      <c r="A1271" s="6" t="inlineStr"/>
      <c r="B1271" s="7" t="inlineStr">
        <is>
          <t>V242-14165 Takaró gumi DTL 16,5m</t>
        </is>
      </c>
      <c r="C1271" s="6" t="inlineStr">
        <is>
          <t>Elhúzható rolóponyvás rendszer</t>
        </is>
      </c>
      <c r="D1271" s="6" t="inlineStr">
        <is>
          <t>Versus</t>
        </is>
      </c>
      <c r="E1271" s="6" t="inlineStr">
        <is>
          <t>Versus</t>
        </is>
      </c>
      <c r="F1271" s="6" t="inlineStr">
        <is>
          <t>242-14165</t>
        </is>
      </c>
      <c r="G1271" s="6" t="inlineStr">
        <is>
          <t>Quadris Excel</t>
        </is>
      </c>
      <c r="H1271" s="6" t="n">
        <v>0</v>
      </c>
      <c r="I1271" s="6" t="n">
        <v>0</v>
      </c>
      <c r="J1271" s="6" t="inlineStr">
        <is>
          <t>nincs</t>
        </is>
      </c>
      <c r="K1271" s="6">
        <f>IF(AND(H1271&gt;0,I1271&gt;0),"Rendben",IF(AND(H1271=0,I1271=0),"Nincs kép és adat",IF(H1271=0,"Nincs kép","Nincs adat")))</f>
        <v/>
      </c>
      <c r="L1271" s="6" t="inlineStr">
        <is>
          <t>Igen</t>
        </is>
      </c>
      <c r="M1271" s="7" t="inlineStr">
        <is>
          <t>versus-omega.com termékoldalak; Duo Trike Light alkatrész-PDF (Drive); Versus-Omega online katalógus 2026 (FlippingBook)</t>
        </is>
      </c>
      <c r="N1271" s="7" t="inlineStr">
        <is>
          <t>Nem találtuk: versus-omega.com termékoldalak; Duo Trike Light alkatrész-PDF (Drive); Versus-Omega online katalógus 2026 (FlippingBook)</t>
        </is>
      </c>
      <c r="O1271" s="6" t="inlineStr"/>
      <c r="P1271" s="11" t="inlineStr">
        <is>
          <t>https://website-9ib.pages.dev/termek/v242-14165-takaro-gumi-dtl-16-5m/</t>
        </is>
      </c>
      <c r="Q1271" s="12" t="inlineStr"/>
      <c r="R1271" s="13" t="inlineStr"/>
      <c r="S1271" s="6" t="inlineStr">
        <is>
          <t>v242-14165-takaro-gumi-dtl-16-5m</t>
        </is>
      </c>
    </row>
    <row r="1272">
      <c r="A1272" s="6" t="inlineStr"/>
      <c r="B1272" s="7" t="inlineStr">
        <is>
          <t>V242-15109 Tömítés 9 m MT</t>
        </is>
      </c>
      <c r="C1272" s="6" t="inlineStr">
        <is>
          <t>Elhúzható rolóponyvás rendszer</t>
        </is>
      </c>
      <c r="D1272" s="6" t="inlineStr">
        <is>
          <t>Versus</t>
        </is>
      </c>
      <c r="E1272" s="6" t="inlineStr">
        <is>
          <t>Versus</t>
        </is>
      </c>
      <c r="F1272" s="6" t="inlineStr">
        <is>
          <t>242-15109</t>
        </is>
      </c>
      <c r="G1272" s="6" t="inlineStr">
        <is>
          <t>Quadris Excel</t>
        </is>
      </c>
      <c r="H1272" s="6" t="n">
        <v>1</v>
      </c>
      <c r="I1272" s="6" t="n">
        <v>6</v>
      </c>
      <c r="J1272" s="6" t="inlineStr">
        <is>
          <t>nincs</t>
        </is>
      </c>
      <c r="K1272" s="6">
        <f>IF(AND(H1272&gt;0,I1272&gt;0),"Rendben",IF(AND(H1272=0,I1272=0),"Nincs kép és adat",IF(H1272=0,"Nincs kép","Nincs adat")))</f>
        <v/>
      </c>
      <c r="L1272" s="6" t="inlineStr">
        <is>
          <t>Igen</t>
        </is>
      </c>
      <c r="M1272" s="7" t="inlineStr">
        <is>
          <t>versus-omega.com termékoldalak; Duo Trike Light alkatrész-PDF (Drive); Versus-Omega online katalógus 2026 (FlippingBook)</t>
        </is>
      </c>
      <c r="N1272" s="7" t="inlineStr">
        <is>
          <t>Megtalálva: Versus-Omega katalógus – 242-15109 (kód: 242-15109)</t>
        </is>
      </c>
      <c r="O1272" s="11" t="inlineStr">
        <is>
          <t>https://online.flippingbook.com/view/967067615/124/</t>
        </is>
      </c>
      <c r="P1272" s="11" t="inlineStr">
        <is>
          <t>https://website-9ib.pages.dev/termek/v242-15109-tomites-9-m-mt/</t>
        </is>
      </c>
      <c r="Q1272" s="12" t="inlineStr"/>
      <c r="R1272" s="13" t="inlineStr"/>
      <c r="S1272" s="6" t="inlineStr">
        <is>
          <t>v242-15109-tomites-9-m-mt</t>
        </is>
      </c>
    </row>
    <row r="1273">
      <c r="A1273" s="6" t="inlineStr"/>
      <c r="B1273" s="7" t="inlineStr">
        <is>
          <t>V242-15114 Tömítés 14 m MT</t>
        </is>
      </c>
      <c r="C1273" s="6" t="inlineStr">
        <is>
          <t>Elhúzható rolóponyvás rendszer</t>
        </is>
      </c>
      <c r="D1273" s="6" t="inlineStr">
        <is>
          <t>Versus</t>
        </is>
      </c>
      <c r="E1273" s="6" t="inlineStr">
        <is>
          <t>Versus</t>
        </is>
      </c>
      <c r="F1273" s="6" t="inlineStr"/>
      <c r="G1273" s="6" t="inlineStr">
        <is>
          <t>Quadris Excel</t>
        </is>
      </c>
      <c r="H1273" s="6" t="n">
        <v>1</v>
      </c>
      <c r="I1273" s="6" t="n">
        <v>6</v>
      </c>
      <c r="J1273" s="6" t="inlineStr">
        <is>
          <t>nincs</t>
        </is>
      </c>
      <c r="K1273" s="6">
        <f>IF(AND(H1273&gt;0,I1273&gt;0),"Rendben",IF(AND(H1273=0,I1273=0),"Nincs kép és adat",IF(H1273=0,"Nincs kép","Nincs adat")))</f>
        <v/>
      </c>
      <c r="L1273" s="6" t="inlineStr">
        <is>
          <t>Igen</t>
        </is>
      </c>
      <c r="M1273" s="7" t="inlineStr">
        <is>
          <t>versus-omega.com termékoldalak; Duo Trike Light alkatrész-PDF (Drive); Versus-Omega online katalógus 2026 (FlippingBook)</t>
        </is>
      </c>
      <c r="N1273" s="7" t="inlineStr">
        <is>
          <t>Megtalálva: Versus-Omega katalógus – 242-15114 (kód: 242-15114)</t>
        </is>
      </c>
      <c r="O1273" s="11" t="inlineStr">
        <is>
          <t>https://online.flippingbook.com/view/967067615/124/</t>
        </is>
      </c>
      <c r="P1273" s="11" t="inlineStr">
        <is>
          <t>https://website-9ib.pages.dev/termek/v242-15114-tomites-14-m-mt/</t>
        </is>
      </c>
      <c r="Q1273" s="12" t="inlineStr"/>
      <c r="R1273" s="13" t="inlineStr"/>
      <c r="S1273" s="6" t="inlineStr">
        <is>
          <t>v242-15114-tomites-14-m-mt</t>
        </is>
      </c>
    </row>
    <row r="1274">
      <c r="A1274" s="6" t="inlineStr"/>
      <c r="B1274" s="7" t="inlineStr">
        <is>
          <t>V262-05007 Rakonca pasz</t>
        </is>
      </c>
      <c r="C1274" s="6" t="inlineStr">
        <is>
          <t>Elhúzható rolóponyvás rendszer</t>
        </is>
      </c>
      <c r="D1274" s="6" t="inlineStr">
        <is>
          <t>Versus</t>
        </is>
      </c>
      <c r="E1274" s="6" t="inlineStr">
        <is>
          <t>Versus</t>
        </is>
      </c>
      <c r="F1274" s="6" t="inlineStr">
        <is>
          <t>262-05007</t>
        </is>
      </c>
      <c r="G1274" s="6" t="inlineStr">
        <is>
          <t>Quadris Excel</t>
        </is>
      </c>
      <c r="H1274" s="6" t="n">
        <v>1</v>
      </c>
      <c r="I1274" s="6" t="n">
        <v>3</v>
      </c>
      <c r="J1274" s="6" t="inlineStr">
        <is>
          <t>nincs</t>
        </is>
      </c>
      <c r="K1274" s="6">
        <f>IF(AND(H1274&gt;0,I1274&gt;0),"Rendben",IF(AND(H1274=0,I1274=0),"Nincs kép és adat",IF(H1274=0,"Nincs kép","Nincs adat")))</f>
        <v/>
      </c>
      <c r="L1274" s="6" t="inlineStr">
        <is>
          <t>Igen</t>
        </is>
      </c>
      <c r="M1274" s="7" t="inlineStr">
        <is>
          <t>versus-omega.com termékoldalak; Duo Trike Light alkatrész-PDF (Drive); Versus-Omega online katalógus 2026 (FlippingBook)</t>
        </is>
      </c>
      <c r="N1274" s="7" t="inlineStr">
        <is>
          <t>Megtalálva: Versus-Omega 262-05007 (kód: 262-05007)</t>
        </is>
      </c>
      <c r="O1274" s="11" t="inlineStr">
        <is>
          <t>https://www.versus-omega.com/en/products/2/duo-trike-light</t>
        </is>
      </c>
      <c r="P1274" s="11" t="inlineStr">
        <is>
          <t>https://website-9ib.pages.dev/termek/v262-05007-rakonca-pasz/</t>
        </is>
      </c>
      <c r="Q1274" s="12" t="inlineStr"/>
      <c r="R1274" s="13" t="inlineStr"/>
      <c r="S1274" s="6" t="inlineStr">
        <is>
          <t>v262-05007-rakonca-pasz</t>
        </is>
      </c>
    </row>
    <row r="1275">
      <c r="A1275" s="6" t="inlineStr"/>
      <c r="B1275" s="7" t="inlineStr">
        <is>
          <t>V264-01001 Rakonca kocsi</t>
        </is>
      </c>
      <c r="C1275" s="6" t="inlineStr">
        <is>
          <t>Elhúzható rolóponyvás rendszer</t>
        </is>
      </c>
      <c r="D1275" s="6" t="inlineStr">
        <is>
          <t>Versus</t>
        </is>
      </c>
      <c r="E1275" s="6" t="inlineStr">
        <is>
          <t>Versus</t>
        </is>
      </c>
      <c r="F1275" s="6" t="inlineStr">
        <is>
          <t>264-01001</t>
        </is>
      </c>
      <c r="G1275" s="6" t="inlineStr">
        <is>
          <t>Quadris Excel</t>
        </is>
      </c>
      <c r="H1275" s="6" t="n">
        <v>1</v>
      </c>
      <c r="I1275" s="6" t="n">
        <v>3</v>
      </c>
      <c r="J1275" s="6" t="inlineStr">
        <is>
          <t>nincs</t>
        </is>
      </c>
      <c r="K1275" s="6">
        <f>IF(AND(H1275&gt;0,I1275&gt;0),"Rendben",IF(AND(H1275=0,I1275=0),"Nincs kép és adat",IF(H1275=0,"Nincs kép","Nincs adat")))</f>
        <v/>
      </c>
      <c r="L1275" s="6" t="inlineStr">
        <is>
          <t>Igen</t>
        </is>
      </c>
      <c r="M1275" s="7" t="inlineStr">
        <is>
          <t>versus-omega.com termékoldalak; Duo Trike Light alkatrész-PDF (Drive); Versus-Omega online katalógus 2026 (FlippingBook)</t>
        </is>
      </c>
      <c r="N1275" s="7" t="inlineStr">
        <is>
          <t>Megtalálva: Versus-Omega 264-01001 (kód: 264-01001)</t>
        </is>
      </c>
      <c r="O1275" s="11" t="inlineStr">
        <is>
          <t>https://www.versus-omega.com/en/products/2/duo-trike-light</t>
        </is>
      </c>
      <c r="P1275" s="11" t="inlineStr">
        <is>
          <t>https://website-9ib.pages.dev/termek/v264-01001-rakonca-kocsi/</t>
        </is>
      </c>
      <c r="Q1275" s="12" t="inlineStr"/>
      <c r="R1275" s="13" t="inlineStr"/>
      <c r="S1275" s="6" t="inlineStr">
        <is>
          <t>v264-01001-rakonca-kocsi</t>
        </is>
      </c>
    </row>
    <row r="1276">
      <c r="A1276" s="6" t="inlineStr"/>
      <c r="B1276" s="7" t="inlineStr">
        <is>
          <t>V284-10024 Ponyvagörgő</t>
        </is>
      </c>
      <c r="C1276" s="6" t="inlineStr">
        <is>
          <t>Elhúzható rolóponyvás rendszer</t>
        </is>
      </c>
      <c r="D1276" s="6" t="inlineStr">
        <is>
          <t>Versus</t>
        </is>
      </c>
      <c r="E1276" s="6" t="inlineStr">
        <is>
          <t>Versus</t>
        </is>
      </c>
      <c r="F1276" s="6" t="inlineStr">
        <is>
          <t>284-10024</t>
        </is>
      </c>
      <c r="G1276" s="6" t="inlineStr">
        <is>
          <t>Quadris Excel</t>
        </is>
      </c>
      <c r="H1276" s="6" t="n">
        <v>1</v>
      </c>
      <c r="I1276" s="6" t="n">
        <v>3</v>
      </c>
      <c r="J1276" s="6" t="inlineStr">
        <is>
          <t>nincs</t>
        </is>
      </c>
      <c r="K1276" s="6">
        <f>IF(AND(H1276&gt;0,I1276&gt;0),"Rendben",IF(AND(H1276=0,I1276=0),"Nincs kép és adat",IF(H1276=0,"Nincs kép","Nincs adat")))</f>
        <v/>
      </c>
      <c r="L1276" s="6" t="inlineStr">
        <is>
          <t>Igen</t>
        </is>
      </c>
      <c r="M1276" s="7" t="inlineStr">
        <is>
          <t>versus-omega.com termékoldalak; Duo Trike Light alkatrész-PDF (Drive); Versus-Omega online katalógus 2026 (FlippingBook)</t>
        </is>
      </c>
      <c r="N1276" s="7" t="inlineStr">
        <is>
          <t>Megtalálva: Versus-Omega 284-10024 (kód: 284-10024)</t>
        </is>
      </c>
      <c r="O1276" s="11" t="inlineStr">
        <is>
          <t>https://www.versus-omega.com/en/products/2/duo-trike-light</t>
        </is>
      </c>
      <c r="P1276" s="11" t="inlineStr">
        <is>
          <t>https://website-9ib.pages.dev/termek/v284-10024-ponyvagorgo/</t>
        </is>
      </c>
      <c r="Q1276" s="12" t="inlineStr"/>
      <c r="R1276" s="13" t="inlineStr"/>
      <c r="S1276" s="6" t="inlineStr">
        <is>
          <t>v284-10024-ponyvagorgo</t>
        </is>
      </c>
    </row>
    <row r="1277">
      <c r="A1277" s="6" t="inlineStr"/>
      <c r="B1277" s="7" t="inlineStr">
        <is>
          <t>V324-47201 Hátsó teleszkóps lezáró FIX MT</t>
        </is>
      </c>
      <c r="C1277" s="6" t="inlineStr">
        <is>
          <t>Elhúzható rolóponyvás rendszer</t>
        </is>
      </c>
      <c r="D1277" s="6" t="inlineStr">
        <is>
          <t>Versus</t>
        </is>
      </c>
      <c r="E1277" s="6" t="inlineStr">
        <is>
          <t>Versus</t>
        </is>
      </c>
      <c r="F1277" s="6" t="inlineStr"/>
      <c r="G1277" s="6" t="inlineStr">
        <is>
          <t>Quadris Excel</t>
        </is>
      </c>
      <c r="H1277" s="6" t="n">
        <v>1</v>
      </c>
      <c r="I1277" s="6" t="n">
        <v>5</v>
      </c>
      <c r="J1277" s="6" t="inlineStr">
        <is>
          <t>nincs</t>
        </is>
      </c>
      <c r="K1277" s="6">
        <f>IF(AND(H1277&gt;0,I1277&gt;0),"Rendben",IF(AND(H1277=0,I1277=0),"Nincs kép és adat",IF(H1277=0,"Nincs kép","Nincs adat")))</f>
        <v/>
      </c>
      <c r="L1277" s="6" t="inlineStr">
        <is>
          <t>Igen</t>
        </is>
      </c>
      <c r="M1277" s="7" t="inlineStr">
        <is>
          <t>versus-omega.com termékoldalak; Duo Trike Light alkatrész-PDF (Drive); Versus-Omega online katalógus 2026 (FlippingBook)</t>
        </is>
      </c>
      <c r="N1277" s="7" t="inlineStr">
        <is>
          <t>Megtalálva: Versus-Omega 324-47201 (kód: 324-47201)</t>
        </is>
      </c>
      <c r="O1277" s="11" t="inlineStr">
        <is>
          <t>https://www.versus-omega.com/en/products/2/duo-trike-light</t>
        </is>
      </c>
      <c r="P1277" s="11" t="inlineStr">
        <is>
          <t>https://website-9ib.pages.dev/termek/v324-47201-hatso-teleszkops-lezaro-fix-mt/</t>
        </is>
      </c>
      <c r="Q1277" s="12" t="inlineStr"/>
      <c r="R1277" s="13" t="inlineStr"/>
      <c r="S1277" s="6" t="inlineStr">
        <is>
          <t>v324-47201-hatso-teleszkops-lezaro-fix-mt</t>
        </is>
      </c>
    </row>
    <row r="1278">
      <c r="A1278" s="6" t="inlineStr"/>
      <c r="B1278" s="7" t="inlineStr">
        <is>
          <t>V35991/6800 mm Tetősín MICRO TRIKE</t>
        </is>
      </c>
      <c r="C1278" s="6" t="inlineStr">
        <is>
          <t>Elhúzható rolóponyvás rendszer</t>
        </is>
      </c>
      <c r="D1278" s="6" t="inlineStr">
        <is>
          <t>Versus</t>
        </is>
      </c>
      <c r="E1278" s="6" t="inlineStr">
        <is>
          <t>Versus</t>
        </is>
      </c>
      <c r="F1278" s="6" t="inlineStr">
        <is>
          <t>35991</t>
        </is>
      </c>
      <c r="G1278" s="6" t="inlineStr">
        <is>
          <t>Quadris Excel</t>
        </is>
      </c>
      <c r="H1278" s="6" t="n">
        <v>2</v>
      </c>
      <c r="I1278" s="6" t="n">
        <v>7</v>
      </c>
      <c r="J1278" s="6" t="inlineStr">
        <is>
          <t>van</t>
        </is>
      </c>
      <c r="K1278" s="6">
        <f>IF(AND(H1278&gt;0,I1278&gt;0),"Rendben",IF(AND(H1278=0,I1278=0),"Nincs kép és adat",IF(H1278=0,"Nincs kép","Nincs adat")))</f>
        <v/>
      </c>
      <c r="L1278" s="6" t="inlineStr">
        <is>
          <t>Igen</t>
        </is>
      </c>
      <c r="M1278" s="7" t="inlineStr">
        <is>
          <t>versus-omega.com termékoldalak; Duo Trike Light alkatrész-PDF (Drive); Versus-Omega online katalógus 2026 (FlippingBook)</t>
        </is>
      </c>
      <c r="N1278" s="7" t="inlineStr">
        <is>
          <t>Megtalálva: micro-trike (kód: micro-trike)</t>
        </is>
      </c>
      <c r="O1278" s="11" t="inlineStr">
        <is>
          <t>https://www.versus-omega.com/en/products/18/micro-trike</t>
        </is>
      </c>
      <c r="P1278" s="11" t="inlineStr">
        <is>
          <t>https://website-9ib.pages.dev/termek/v35991-6800-mm-tetosin-micro-trike/</t>
        </is>
      </c>
      <c r="Q1278" s="12" t="inlineStr"/>
      <c r="R1278" s="13" t="inlineStr"/>
      <c r="S1278" s="6" t="inlineStr">
        <is>
          <t>v35991-6800-mm-tetosin-micro-trike</t>
        </is>
      </c>
    </row>
    <row r="1279">
      <c r="A1279" s="6" t="inlineStr"/>
      <c r="B1279" s="7" t="inlineStr">
        <is>
          <t>V35991/7500 mm Tetősín MICRO TRIKE</t>
        </is>
      </c>
      <c r="C1279" s="6" t="inlineStr">
        <is>
          <t>Elhúzható rolóponyvás rendszer</t>
        </is>
      </c>
      <c r="D1279" s="6" t="inlineStr">
        <is>
          <t>Versus</t>
        </is>
      </c>
      <c r="E1279" s="6" t="inlineStr">
        <is>
          <t>Versus</t>
        </is>
      </c>
      <c r="F1279" s="6" t="inlineStr">
        <is>
          <t>35991</t>
        </is>
      </c>
      <c r="G1279" s="6" t="inlineStr">
        <is>
          <t>Quadris Excel</t>
        </is>
      </c>
      <c r="H1279" s="6" t="n">
        <v>2</v>
      </c>
      <c r="I1279" s="6" t="n">
        <v>7</v>
      </c>
      <c r="J1279" s="6" t="inlineStr">
        <is>
          <t>van</t>
        </is>
      </c>
      <c r="K1279" s="6">
        <f>IF(AND(H1279&gt;0,I1279&gt;0),"Rendben",IF(AND(H1279=0,I1279=0),"Nincs kép és adat",IF(H1279=0,"Nincs kép","Nincs adat")))</f>
        <v/>
      </c>
      <c r="L1279" s="6" t="inlineStr">
        <is>
          <t>Igen</t>
        </is>
      </c>
      <c r="M1279" s="7" t="inlineStr">
        <is>
          <t>versus-omega.com termékoldalak; Duo Trike Light alkatrész-PDF (Drive); Versus-Omega online katalógus 2026 (FlippingBook)</t>
        </is>
      </c>
      <c r="N1279" s="7" t="inlineStr">
        <is>
          <t>Megtalálva: micro-trike (kód: micro-trike)</t>
        </is>
      </c>
      <c r="O1279" s="11" t="inlineStr">
        <is>
          <t>https://www.versus-omega.com/en/products/18/micro-trike</t>
        </is>
      </c>
      <c r="P1279" s="11" t="inlineStr">
        <is>
          <t>https://website-9ib.pages.dev/termek/v35991-7500-mm-tetosin-micro-trike/</t>
        </is>
      </c>
      <c r="Q1279" s="12" t="inlineStr"/>
      <c r="R1279" s="13" t="inlineStr"/>
      <c r="S1279" s="6" t="inlineStr">
        <is>
          <t>v35991-7500-mm-tetosin-micro-trike</t>
        </is>
      </c>
    </row>
    <row r="1280">
      <c r="A1280" s="6" t="inlineStr"/>
      <c r="B1280" s="7" t="inlineStr">
        <is>
          <t>V35991/7800 mm Tetősín MICRO TRIKE</t>
        </is>
      </c>
      <c r="C1280" s="6" t="inlineStr">
        <is>
          <t>Elhúzható rolóponyvás rendszer</t>
        </is>
      </c>
      <c r="D1280" s="6" t="inlineStr">
        <is>
          <t>Versus</t>
        </is>
      </c>
      <c r="E1280" s="6" t="inlineStr">
        <is>
          <t>Versus</t>
        </is>
      </c>
      <c r="F1280" s="6" t="inlineStr">
        <is>
          <t>35991</t>
        </is>
      </c>
      <c r="G1280" s="6" t="inlineStr">
        <is>
          <t>Quadris Excel</t>
        </is>
      </c>
      <c r="H1280" s="6" t="n">
        <v>2</v>
      </c>
      <c r="I1280" s="6" t="n">
        <v>7</v>
      </c>
      <c r="J1280" s="6" t="inlineStr">
        <is>
          <t>van</t>
        </is>
      </c>
      <c r="K1280" s="6">
        <f>IF(AND(H1280&gt;0,I1280&gt;0),"Rendben",IF(AND(H1280=0,I1280=0),"Nincs kép és adat",IF(H1280=0,"Nincs kép","Nincs adat")))</f>
        <v/>
      </c>
      <c r="L1280" s="6" t="inlineStr">
        <is>
          <t>Igen</t>
        </is>
      </c>
      <c r="M1280" s="7" t="inlineStr">
        <is>
          <t>versus-omega.com termékoldalak; Duo Trike Light alkatrész-PDF (Drive); Versus-Omega online katalógus 2026 (FlippingBook)</t>
        </is>
      </c>
      <c r="N1280" s="7" t="inlineStr">
        <is>
          <t>Megtalálva: micro-trike (kód: micro-trike)</t>
        </is>
      </c>
      <c r="O1280" s="11" t="inlineStr">
        <is>
          <t>https://www.versus-omega.com/en/products/18/micro-trike</t>
        </is>
      </c>
      <c r="P1280" s="11" t="inlineStr">
        <is>
          <t>https://website-9ib.pages.dev/termek/v35991-7800-mm-tetosin-micro-trike/</t>
        </is>
      </c>
      <c r="Q1280" s="12" t="inlineStr"/>
      <c r="R1280" s="13" t="inlineStr"/>
      <c r="S1280" s="6" t="inlineStr">
        <is>
          <t>v35991-7800-mm-tetosin-micro-trike</t>
        </is>
      </c>
    </row>
    <row r="1281">
      <c r="A1281" s="6" t="inlineStr"/>
      <c r="B1281" s="7" t="inlineStr">
        <is>
          <t>V35991/8200 mm Tetősín MICRO TRIKE</t>
        </is>
      </c>
      <c r="C1281" s="6" t="inlineStr">
        <is>
          <t>Elhúzható rolóponyvás rendszer</t>
        </is>
      </c>
      <c r="D1281" s="6" t="inlineStr">
        <is>
          <t>Versus</t>
        </is>
      </c>
      <c r="E1281" s="6" t="inlineStr">
        <is>
          <t>Versus</t>
        </is>
      </c>
      <c r="F1281" s="6" t="inlineStr">
        <is>
          <t>35991</t>
        </is>
      </c>
      <c r="G1281" s="6" t="inlineStr">
        <is>
          <t>Quadris Excel</t>
        </is>
      </c>
      <c r="H1281" s="6" t="n">
        <v>2</v>
      </c>
      <c r="I1281" s="6" t="n">
        <v>7</v>
      </c>
      <c r="J1281" s="6" t="inlineStr">
        <is>
          <t>van</t>
        </is>
      </c>
      <c r="K1281" s="6">
        <f>IF(AND(H1281&gt;0,I1281&gt;0),"Rendben",IF(AND(H1281=0,I1281=0),"Nincs kép és adat",IF(H1281=0,"Nincs kép","Nincs adat")))</f>
        <v/>
      </c>
      <c r="L1281" s="6" t="inlineStr">
        <is>
          <t>Igen</t>
        </is>
      </c>
      <c r="M1281" s="7" t="inlineStr">
        <is>
          <t>versus-omega.com termékoldalak; Duo Trike Light alkatrész-PDF (Drive); Versus-Omega online katalógus 2026 (FlippingBook)</t>
        </is>
      </c>
      <c r="N1281" s="7" t="inlineStr">
        <is>
          <t>Megtalálva: micro-trike (kód: micro-trike)</t>
        </is>
      </c>
      <c r="O1281" s="11" t="inlineStr">
        <is>
          <t>https://www.versus-omega.com/en/products/18/micro-trike</t>
        </is>
      </c>
      <c r="P1281" s="11" t="inlineStr">
        <is>
          <t>https://website-9ib.pages.dev/termek/v35991-8200-mm-tetosin-micro-trike/</t>
        </is>
      </c>
      <c r="Q1281" s="12" t="inlineStr"/>
      <c r="R1281" s="13" t="inlineStr"/>
      <c r="S1281" s="6" t="inlineStr">
        <is>
          <t>v35991-8200-mm-tetosin-micro-trike</t>
        </is>
      </c>
    </row>
    <row r="1282">
      <c r="A1282" s="6" t="inlineStr"/>
      <c r="B1282" s="7" t="inlineStr">
        <is>
          <t>V35991/8500 mm Tetősín MICRO TRIKE</t>
        </is>
      </c>
      <c r="C1282" s="6" t="inlineStr">
        <is>
          <t>Elhúzható rolóponyvás rendszer</t>
        </is>
      </c>
      <c r="D1282" s="6" t="inlineStr">
        <is>
          <t>Versus</t>
        </is>
      </c>
      <c r="E1282" s="6" t="inlineStr">
        <is>
          <t>Versus</t>
        </is>
      </c>
      <c r="F1282" s="6" t="inlineStr">
        <is>
          <t>35991</t>
        </is>
      </c>
      <c r="G1282" s="6" t="inlineStr">
        <is>
          <t>Quadris Excel</t>
        </is>
      </c>
      <c r="H1282" s="6" t="n">
        <v>2</v>
      </c>
      <c r="I1282" s="6" t="n">
        <v>7</v>
      </c>
      <c r="J1282" s="6" t="inlineStr">
        <is>
          <t>van</t>
        </is>
      </c>
      <c r="K1282" s="6">
        <f>IF(AND(H1282&gt;0,I1282&gt;0),"Rendben",IF(AND(H1282=0,I1282=0),"Nincs kép és adat",IF(H1282=0,"Nincs kép","Nincs adat")))</f>
        <v/>
      </c>
      <c r="L1282" s="6" t="inlineStr">
        <is>
          <t>Igen</t>
        </is>
      </c>
      <c r="M1282" s="7" t="inlineStr">
        <is>
          <t>versus-omega.com termékoldalak; Duo Trike Light alkatrész-PDF (Drive); Versus-Omega online katalógus 2026 (FlippingBook)</t>
        </is>
      </c>
      <c r="N1282" s="7" t="inlineStr">
        <is>
          <t>Megtalálva: micro-trike (kód: micro-trike)</t>
        </is>
      </c>
      <c r="O1282" s="11" t="inlineStr">
        <is>
          <t>https://www.versus-omega.com/en/products/18/micro-trike</t>
        </is>
      </c>
      <c r="P1282" s="11" t="inlineStr">
        <is>
          <t>https://website-9ib.pages.dev/termek/v35991-8500-mm-tetosin-micro-trike/</t>
        </is>
      </c>
      <c r="Q1282" s="12" t="inlineStr"/>
      <c r="R1282" s="13" t="inlineStr"/>
      <c r="S1282" s="6" t="inlineStr">
        <is>
          <t>v35991-8500-mm-tetosin-micro-trike</t>
        </is>
      </c>
    </row>
    <row r="1283">
      <c r="A1283" s="6" t="inlineStr"/>
      <c r="B1283" s="7" t="inlineStr">
        <is>
          <t>VERSUS DUO TRIKE L Tolótető rendszer</t>
        </is>
      </c>
      <c r="C1283" s="6" t="inlineStr">
        <is>
          <t>Elhúzható rolóponyvás rendszer</t>
        </is>
      </c>
      <c r="D1283" s="6" t="inlineStr">
        <is>
          <t>Versus</t>
        </is>
      </c>
      <c r="E1283" s="6" t="inlineStr">
        <is>
          <t>Versus</t>
        </is>
      </c>
      <c r="F1283" s="6" t="inlineStr"/>
      <c r="G1283" s="6" t="inlineStr">
        <is>
          <t>Quadris Excel</t>
        </is>
      </c>
      <c r="H1283" s="6" t="n">
        <v>2</v>
      </c>
      <c r="I1283" s="6" t="n">
        <v>6</v>
      </c>
      <c r="J1283" s="6" t="inlineStr">
        <is>
          <t>van</t>
        </is>
      </c>
      <c r="K1283" s="6">
        <f>IF(AND(H1283&gt;0,I1283&gt;0),"Rendben",IF(AND(H1283=0,I1283=0),"Nincs kép és adat",IF(H1283=0,"Nincs kép","Nincs adat")))</f>
        <v/>
      </c>
      <c r="L1283" s="6" t="inlineStr">
        <is>
          <t>Igen</t>
        </is>
      </c>
      <c r="M1283" s="7" t="inlineStr">
        <is>
          <t>versus-omega.com termékoldalak; Duo Trike Light alkatrész-PDF (Drive); Versus-Omega online katalógus 2026 (FlippingBook)</t>
        </is>
      </c>
      <c r="N1283" s="7" t="inlineStr">
        <is>
          <t>Megtalálva: duo-trike-light (kód: duo-trike-light)</t>
        </is>
      </c>
      <c r="O1283" s="11" t="inlineStr">
        <is>
          <t>https://www.versus-omega.com/en/products/2/duo-trike-light</t>
        </is>
      </c>
      <c r="P1283" s="11" t="inlineStr">
        <is>
          <t>https://website-9ib.pages.dev/termek/versus-duo-trike-l-toloteto-rendszer/</t>
        </is>
      </c>
      <c r="Q1283" s="12" t="inlineStr"/>
      <c r="R1283" s="13" t="inlineStr"/>
      <c r="S1283" s="6" t="inlineStr">
        <is>
          <t>versus-duo-trike-l-toloteto-rendszer</t>
        </is>
      </c>
    </row>
    <row r="1284">
      <c r="A1284" s="6" t="inlineStr"/>
      <c r="B1284" s="7" t="inlineStr">
        <is>
          <t>VERSUS MICRO TRIKE Tolótető rendszer</t>
        </is>
      </c>
      <c r="C1284" s="6" t="inlineStr">
        <is>
          <t>Elhúzható rolóponyvás rendszer</t>
        </is>
      </c>
      <c r="D1284" s="6" t="inlineStr">
        <is>
          <t>Versus</t>
        </is>
      </c>
      <c r="E1284" s="6" t="inlineStr">
        <is>
          <t>Versus</t>
        </is>
      </c>
      <c r="F1284" s="6" t="inlineStr"/>
      <c r="G1284" s="6" t="inlineStr">
        <is>
          <t>Quadris Excel</t>
        </is>
      </c>
      <c r="H1284" s="6" t="n">
        <v>2</v>
      </c>
      <c r="I1284" s="6" t="n">
        <v>6</v>
      </c>
      <c r="J1284" s="6" t="inlineStr">
        <is>
          <t>van</t>
        </is>
      </c>
      <c r="K1284" s="6">
        <f>IF(AND(H1284&gt;0,I1284&gt;0),"Rendben",IF(AND(H1284=0,I1284=0),"Nincs kép és adat",IF(H1284=0,"Nincs kép","Nincs adat")))</f>
        <v/>
      </c>
      <c r="L1284" s="6" t="inlineStr">
        <is>
          <t>Igen</t>
        </is>
      </c>
      <c r="M1284" s="7" t="inlineStr">
        <is>
          <t>versus-omega.com termékoldalak; Duo Trike Light alkatrész-PDF (Drive); Versus-Omega online katalógus 2026 (FlippingBook)</t>
        </is>
      </c>
      <c r="N1284" s="7" t="inlineStr">
        <is>
          <t>Megtalálva: micro-trike (kód: micro-trike)</t>
        </is>
      </c>
      <c r="O1284" s="11" t="inlineStr">
        <is>
          <t>https://www.versus-omega.com/en/products/18/micro-trike</t>
        </is>
      </c>
      <c r="P1284" s="11" t="inlineStr">
        <is>
          <t>https://website-9ib.pages.dev/termek/versus-micro-trike-toloteto-rendszer/</t>
        </is>
      </c>
      <c r="Q1284" s="12" t="inlineStr"/>
      <c r="R1284" s="13" t="inlineStr"/>
      <c r="S1284" s="6" t="inlineStr">
        <is>
          <t>versus-micro-trike-toloteto-rendszer</t>
        </is>
      </c>
    </row>
    <row r="1285">
      <c r="A1285" s="6" t="inlineStr"/>
      <c r="B1285" s="7" t="inlineStr">
        <is>
          <t>VERSUS PENTA Flex Tolótető rendszer</t>
        </is>
      </c>
      <c r="C1285" s="6" t="inlineStr">
        <is>
          <t>Elhúzható rolóponyvás rendszer</t>
        </is>
      </c>
      <c r="D1285" s="6" t="inlineStr">
        <is>
          <t>Versus</t>
        </is>
      </c>
      <c r="E1285" s="6" t="inlineStr">
        <is>
          <t>Versus</t>
        </is>
      </c>
      <c r="F1285" s="6" t="inlineStr"/>
      <c r="G1285" s="6" t="inlineStr">
        <is>
          <t>Quadris Excel</t>
        </is>
      </c>
      <c r="H1285" s="6" t="n">
        <v>0</v>
      </c>
      <c r="I1285" s="6" t="n">
        <v>0</v>
      </c>
      <c r="J1285" s="6" t="inlineStr">
        <is>
          <t>nincs</t>
        </is>
      </c>
      <c r="K1285" s="6">
        <f>IF(AND(H1285&gt;0,I1285&gt;0),"Rendben",IF(AND(H1285=0,I1285=0),"Nincs kép és adat",IF(H1285=0,"Nincs kép","Nincs adat")))</f>
        <v/>
      </c>
      <c r="L1285" s="6" t="inlineStr">
        <is>
          <t>Igen</t>
        </is>
      </c>
      <c r="M1285" s="7" t="inlineStr">
        <is>
          <t>versus-omega.com termékoldalak; Duo Trike Light alkatrész-PDF (Drive); Versus-Omega online katalógus 2026 (FlippingBook)</t>
        </is>
      </c>
      <c r="N1285" s="7" t="inlineStr">
        <is>
          <t>Nem találtuk: versus-omega.com termékoldalak; Duo Trike Light alkatrész-PDF (Drive); Versus-Omega online katalógus 2026 (FlippingBook)</t>
        </is>
      </c>
      <c r="O1285" s="6" t="inlineStr"/>
      <c r="P1285" s="11" t="inlineStr">
        <is>
          <t>https://website-9ib.pages.dev/termek/versus-penta-flex-toloteto-rendszer/</t>
        </is>
      </c>
      <c r="Q1285" s="12" t="inlineStr"/>
      <c r="R1285" s="13" t="inlineStr"/>
      <c r="S1285" s="6" t="inlineStr">
        <is>
          <t>versus-penta-flex-toloteto-rendszer</t>
        </is>
      </c>
    </row>
    <row r="1286">
      <c r="A1286" s="6" t="inlineStr"/>
      <c r="B1286" s="7" t="inlineStr">
        <is>
          <t>VERSUS PICO Tolótető rendszer</t>
        </is>
      </c>
      <c r="C1286" s="6" t="inlineStr">
        <is>
          <t>Elhúzható rolóponyvás rendszer</t>
        </is>
      </c>
      <c r="D1286" s="6" t="inlineStr">
        <is>
          <t>Versus</t>
        </is>
      </c>
      <c r="E1286" s="6" t="inlineStr">
        <is>
          <t>Versus</t>
        </is>
      </c>
      <c r="F1286" s="6" t="inlineStr"/>
      <c r="G1286" s="6" t="inlineStr">
        <is>
          <t>Quadris Excel</t>
        </is>
      </c>
      <c r="H1286" s="6" t="n">
        <v>2</v>
      </c>
      <c r="I1286" s="6" t="n">
        <v>5</v>
      </c>
      <c r="J1286" s="6" t="inlineStr">
        <is>
          <t>van</t>
        </is>
      </c>
      <c r="K1286" s="6">
        <f>IF(AND(H1286&gt;0,I1286&gt;0),"Rendben",IF(AND(H1286=0,I1286=0),"Nincs kép és adat",IF(H1286=0,"Nincs kép","Nincs adat")))</f>
        <v/>
      </c>
      <c r="L1286" s="6" t="inlineStr">
        <is>
          <t>Igen</t>
        </is>
      </c>
      <c r="M1286" s="7" t="inlineStr">
        <is>
          <t>versus-omega.com termékoldalak; Duo Trike Light alkatrész-PDF (Drive); Versus-Omega online katalógus 2026 (FlippingBook)</t>
        </is>
      </c>
      <c r="N1286" s="7" t="inlineStr">
        <is>
          <t>Megtalálva: pico (kód: pico)</t>
        </is>
      </c>
      <c r="O1286" s="11" t="inlineStr">
        <is>
          <t>https://www.versus-omega.com/en/products/20/pico</t>
        </is>
      </c>
      <c r="P1286" s="11" t="inlineStr">
        <is>
          <t>https://website-9ib.pages.dev/termek/versus-pico-toloteto-rendszer/</t>
        </is>
      </c>
      <c r="Q1286" s="12" t="inlineStr"/>
      <c r="R1286" s="13" t="inlineStr"/>
      <c r="S1286" s="6" t="inlineStr">
        <is>
          <t>versus-pico-toloteto-rendszer</t>
        </is>
      </c>
    </row>
    <row r="1287">
      <c r="A1287" s="6" t="inlineStr"/>
      <c r="B1287" s="7" t="inlineStr">
        <is>
          <t>G 4x1200x10000 2T S/S Általános gumiszőnyeg</t>
        </is>
      </c>
      <c r="C1287" s="6" t="inlineStr">
        <is>
          <t>Gumiszőnyegek és gumilemezek</t>
        </is>
      </c>
      <c r="D1287" s="6" t="inlineStr">
        <is>
          <t>Általános gumi szőnyeg</t>
        </is>
      </c>
      <c r="E1287" s="6" t="inlineStr">
        <is>
          <t>VR-Trade</t>
        </is>
      </c>
      <c r="F1287" s="6" t="inlineStr"/>
      <c r="G1287" s="6" t="inlineStr">
        <is>
          <t>Quadris Excel</t>
        </is>
      </c>
      <c r="H1287" s="6" t="n">
        <v>3</v>
      </c>
      <c r="I1287" s="6" t="n">
        <v>3</v>
      </c>
      <c r="J1287" s="6" t="inlineStr">
        <is>
          <t>nincs</t>
        </is>
      </c>
      <c r="K1287" s="6">
        <f>IF(AND(H1287&gt;0,I1287&gt;0),"Rendben",IF(AND(H1287=0,I1287=0),"Nincs kép és adat",IF(H1287=0,"Nincs kép","Nincs adat")))</f>
        <v/>
      </c>
      <c r="L1287" s="6" t="inlineStr">
        <is>
          <t>Nem</t>
        </is>
      </c>
      <c r="M1287" s="7" t="inlineStr">
        <is>
          <t>Quadris-megnevezés (nincs beszállítói forrás)</t>
        </is>
      </c>
      <c r="N1287" s="7" t="inlineStr">
        <is>
          <t>Beszállítói forrás nincs – adatlap a Quadris-megnevezésből (méretek, elméleti tömeg)</t>
        </is>
      </c>
      <c r="O1287" s="6" t="inlineStr"/>
      <c r="P1287" s="11" t="inlineStr">
        <is>
          <t>https://website-9ib.pages.dev/termek/g-4x1200x10000-2t-s-s-altalanos-gumiszonyeg/</t>
        </is>
      </c>
      <c r="Q1287" s="12" t="inlineStr"/>
      <c r="R1287" s="13" t="inlineStr"/>
      <c r="S1287" s="6" t="inlineStr">
        <is>
          <t>g-4x1200x10000-2t-s-s-altalanos-gumiszonyeg</t>
        </is>
      </c>
    </row>
    <row r="1288">
      <c r="A1288" s="6" t="inlineStr"/>
      <c r="B1288" s="7" t="inlineStr">
        <is>
          <t>G 8x2000 Istálló szőnyeg</t>
        </is>
      </c>
      <c r="C1288" s="6" t="inlineStr">
        <is>
          <t>Gumiszőnyegek és gumilemezek</t>
        </is>
      </c>
      <c r="D1288" s="6" t="inlineStr">
        <is>
          <t>Istálló szőnyeg</t>
        </is>
      </c>
      <c r="E1288" s="6" t="inlineStr">
        <is>
          <t>VR-Trade</t>
        </is>
      </c>
      <c r="F1288" s="6" t="inlineStr"/>
      <c r="G1288" s="6" t="inlineStr">
        <is>
          <t>Quadris Excel</t>
        </is>
      </c>
      <c r="H1288" s="6" t="n">
        <v>3</v>
      </c>
      <c r="I1288" s="6" t="n">
        <v>3</v>
      </c>
      <c r="J1288" s="6" t="inlineStr">
        <is>
          <t>nincs</t>
        </is>
      </c>
      <c r="K1288" s="6">
        <f>IF(AND(H1288&gt;0,I1288&gt;0),"Rendben",IF(AND(H1288=0,I1288=0),"Nincs kép és adat",IF(H1288=0,"Nincs kép","Nincs adat")))</f>
        <v/>
      </c>
      <c r="L1288" s="6" t="inlineStr">
        <is>
          <t>Nem</t>
        </is>
      </c>
      <c r="M1288" s="7" t="inlineStr">
        <is>
          <t>Quadris-megnevezés (nincs beszállítói forrás)</t>
        </is>
      </c>
      <c r="N1288" s="7" t="inlineStr">
        <is>
          <t>Beszállítói forrás nincs – adatlap a Quadris-megnevezésből (méretek, elméleti tömeg)</t>
        </is>
      </c>
      <c r="O1288" s="6" t="inlineStr"/>
      <c r="P1288" s="11" t="inlineStr">
        <is>
          <t>https://website-9ib.pages.dev/termek/g-8x2000-istallo-szonyeg/</t>
        </is>
      </c>
      <c r="Q1288" s="12" t="inlineStr"/>
      <c r="R1288" s="13" t="inlineStr"/>
      <c r="S1288" s="6" t="inlineStr">
        <is>
          <t>g-8x2000-istallo-szonyeg</t>
        </is>
      </c>
    </row>
    <row r="1289">
      <c r="A1289" s="6" t="inlineStr"/>
      <c r="B1289" s="7" t="inlineStr">
        <is>
          <t>3420766.00 Vonóhorog</t>
        </is>
      </c>
      <c r="C1289" s="6" t="inlineStr">
        <is>
          <t>Speciális felépítmény alkatrészek</t>
        </is>
      </c>
      <c r="D1289" s="6" t="inlineStr">
        <is>
          <t>Egyéb</t>
        </is>
      </c>
      <c r="E1289" s="6" t="inlineStr">
        <is>
          <t>Westfalia</t>
        </is>
      </c>
      <c r="F1289" s="6" t="inlineStr">
        <is>
          <t>329103600001</t>
        </is>
      </c>
      <c r="G1289" s="6" t="inlineStr">
        <is>
          <t>Quadris Excel</t>
        </is>
      </c>
      <c r="H1289" s="6" t="n">
        <v>0</v>
      </c>
      <c r="I1289" s="6" t="n">
        <v>0</v>
      </c>
      <c r="J1289" s="6" t="inlineStr">
        <is>
          <t>nincs</t>
        </is>
      </c>
      <c r="K1289" s="6">
        <f>IF(AND(H1289&gt;0,I1289&gt;0),"Rendben",IF(AND(H1289=0,I1289=0),"Nincs kép és adat",IF(H1289=0,"Nincs kép","Nincs adat")))</f>
        <v/>
      </c>
      <c r="L1289" s="6" t="inlineStr">
        <is>
          <t>Nem</t>
        </is>
      </c>
      <c r="M1289" s="7" t="inlineStr">
        <is>
          <t>–</t>
        </is>
      </c>
      <c r="N1289" s="7" t="inlineStr">
        <is>
          <t>Nem kerestük – nincs ismert weboldal vagy katalógus</t>
        </is>
      </c>
      <c r="O1289" s="6" t="inlineStr"/>
      <c r="P1289" s="11" t="inlineStr">
        <is>
          <t>https://website-9ib.pages.dev/termek/3420766-00-vonohorog/</t>
        </is>
      </c>
      <c r="Q1289" s="12" t="inlineStr"/>
      <c r="R1289" s="13" t="inlineStr"/>
      <c r="S1289" s="6" t="inlineStr">
        <is>
          <t>3420766-00-vonohorog</t>
        </is>
      </c>
    </row>
    <row r="1290">
      <c r="A1290" s="6" t="inlineStr">
        <is>
          <t>3421796/1</t>
        </is>
      </c>
      <c r="B1290" s="7" t="inlineStr">
        <is>
          <t>Vonóhorog felfogatás</t>
        </is>
      </c>
      <c r="C1290" s="6" t="inlineStr">
        <is>
          <t>Speciális felépítmény alkatrészek</t>
        </is>
      </c>
      <c r="D1290" s="6" t="inlineStr">
        <is>
          <t>Egyéb</t>
        </is>
      </c>
      <c r="E1290" s="6" t="inlineStr">
        <is>
          <t>Westfalia</t>
        </is>
      </c>
      <c r="F1290" s="6" t="inlineStr">
        <is>
          <t>342179600001</t>
        </is>
      </c>
      <c r="G1290" s="6" t="inlineStr">
        <is>
          <t>Quadris Excel</t>
        </is>
      </c>
      <c r="H1290" s="6" t="n">
        <v>0</v>
      </c>
      <c r="I1290" s="6" t="n">
        <v>0</v>
      </c>
      <c r="J1290" s="6" t="inlineStr">
        <is>
          <t>nincs</t>
        </is>
      </c>
      <c r="K1290" s="6">
        <f>IF(AND(H1290&gt;0,I1290&gt;0),"Rendben",IF(AND(H1290=0,I1290=0),"Nincs kép és adat",IF(H1290=0,"Nincs kép","Nincs adat")))</f>
        <v/>
      </c>
      <c r="L1290" s="6" t="inlineStr">
        <is>
          <t>Nem</t>
        </is>
      </c>
      <c r="M1290" s="7" t="inlineStr">
        <is>
          <t>–</t>
        </is>
      </c>
      <c r="N1290" s="7" t="inlineStr">
        <is>
          <t>Nem kerestük – nincs ismert weboldal vagy katalógus</t>
        </is>
      </c>
      <c r="O1290" s="6" t="inlineStr"/>
      <c r="P1290" s="11" t="inlineStr">
        <is>
          <t>https://website-9ib.pages.dev/termek/3421796-1-vonohorog-felfogatas/</t>
        </is>
      </c>
      <c r="Q1290" s="12" t="inlineStr"/>
      <c r="R1290" s="13" t="inlineStr"/>
      <c r="S1290" s="6" t="inlineStr">
        <is>
          <t>3421796-1-vonohorog-felfogatas</t>
        </is>
      </c>
    </row>
    <row r="1291">
      <c r="A1291" s="6" t="inlineStr">
        <is>
          <t>124821</t>
        </is>
      </c>
      <c r="B1291" s="7" t="inlineStr">
        <is>
          <t>Kombi sínhez gyűrüs csatlakozó</t>
        </is>
      </c>
      <c r="C1291" s="6" t="inlineStr">
        <is>
          <t>Rakományrögzítés</t>
        </is>
      </c>
      <c r="D1291" s="6" t="inlineStr">
        <is>
          <t>Rakományrögzítés</t>
        </is>
      </c>
      <c r="E1291" s="6" t="inlineStr">
        <is>
          <t>Wistra</t>
        </is>
      </c>
      <c r="F1291" s="6" t="inlineStr">
        <is>
          <t>140000082100</t>
        </is>
      </c>
      <c r="G1291" s="6" t="inlineStr">
        <is>
          <t>Quadris Excel</t>
        </is>
      </c>
      <c r="H1291" s="6" t="n">
        <v>0</v>
      </c>
      <c r="I1291" s="6" t="n">
        <v>0</v>
      </c>
      <c r="J1291" s="6" t="inlineStr">
        <is>
          <t>nincs</t>
        </is>
      </c>
      <c r="K1291" s="6">
        <f>IF(AND(H1291&gt;0,I1291&gt;0),"Rendben",IF(AND(H1291=0,I1291=0),"Nincs kép és adat",IF(H1291=0,"Nincs kép","Nincs adat")))</f>
        <v/>
      </c>
      <c r="L1291" s="6" t="inlineStr">
        <is>
          <t>Nem</t>
        </is>
      </c>
      <c r="M1291" s="7" t="inlineStr">
        <is>
          <t>–</t>
        </is>
      </c>
      <c r="N1291" s="7" t="inlineStr">
        <is>
          <t>Nem kerestük – nincs ismert weboldal vagy katalógus</t>
        </is>
      </c>
      <c r="O1291" s="6" t="inlineStr"/>
      <c r="P1291" s="11" t="inlineStr">
        <is>
          <t>https://website-9ib.pages.dev/termek/124821-kombi-sinhez-gyurus-csatlakozo/</t>
        </is>
      </c>
      <c r="Q1291" s="12" t="inlineStr"/>
      <c r="R1291" s="13" t="inlineStr"/>
      <c r="S1291" s="6" t="inlineStr">
        <is>
          <t>124821-kombi-sinhez-gyurus-csatlakozo</t>
        </is>
      </c>
    </row>
    <row r="1292">
      <c r="A1292" s="6" t="inlineStr">
        <is>
          <t>122185</t>
        </is>
      </c>
      <c r="B1292" s="7" t="inlineStr">
        <is>
          <t>Rakomány rögzítő rúd Airline sínhez 1600</t>
        </is>
      </c>
      <c r="C1292" s="6" t="inlineStr">
        <is>
          <t>Rakományrögzítés</t>
        </is>
      </c>
      <c r="D1292" s="6" t="inlineStr">
        <is>
          <t>Rakományrögzítés</t>
        </is>
      </c>
      <c r="E1292" s="6" t="inlineStr">
        <is>
          <t>Wistra</t>
        </is>
      </c>
      <c r="F1292" s="6" t="inlineStr">
        <is>
          <t>221855-600-1600</t>
        </is>
      </c>
      <c r="G1292" s="6" t="inlineStr">
        <is>
          <t>Quadris Excel</t>
        </is>
      </c>
      <c r="H1292" s="6" t="n">
        <v>0</v>
      </c>
      <c r="I1292" s="6" t="n">
        <v>0</v>
      </c>
      <c r="J1292" s="6" t="inlineStr">
        <is>
          <t>nincs</t>
        </is>
      </c>
      <c r="K1292" s="6">
        <f>IF(AND(H1292&gt;0,I1292&gt;0),"Rendben",IF(AND(H1292=0,I1292=0),"Nincs kép és adat",IF(H1292=0,"Nincs kép","Nincs adat")))</f>
        <v/>
      </c>
      <c r="L1292" s="6" t="inlineStr">
        <is>
          <t>Nem</t>
        </is>
      </c>
      <c r="M1292" s="7" t="inlineStr">
        <is>
          <t>–</t>
        </is>
      </c>
      <c r="N1292" s="7" t="inlineStr">
        <is>
          <t>Nem kerestük – nincs ismert weboldal vagy katalógus</t>
        </is>
      </c>
      <c r="O1292" s="6" t="inlineStr"/>
      <c r="P1292" s="11" t="inlineStr">
        <is>
          <t>https://website-9ib.pages.dev/termek/122185-rakomany-rogzito-rud-airline-sinhez-1600/</t>
        </is>
      </c>
      <c r="Q1292" s="12" t="inlineStr"/>
      <c r="R1292" s="13" t="inlineStr"/>
      <c r="S1292" s="6" t="inlineStr">
        <is>
          <t>122185-rakomany-rogzito-rud-airline-sinhez-1600</t>
        </is>
      </c>
    </row>
    <row r="1293">
      <c r="A1293" s="6" t="inlineStr">
        <is>
          <t>122186</t>
        </is>
      </c>
      <c r="B1293" s="7" t="inlineStr">
        <is>
          <t>Rakomány rögzítő rúd Airline sínhez 1800</t>
        </is>
      </c>
      <c r="C1293" s="6" t="inlineStr">
        <is>
          <t>Rakományrögzítés</t>
        </is>
      </c>
      <c r="D1293" s="6" t="inlineStr">
        <is>
          <t>Rakományrögzítés</t>
        </is>
      </c>
      <c r="E1293" s="6" t="inlineStr">
        <is>
          <t>Wistra</t>
        </is>
      </c>
      <c r="F1293" s="6" t="inlineStr">
        <is>
          <t>221855-600-1800</t>
        </is>
      </c>
      <c r="G1293" s="6" t="inlineStr">
        <is>
          <t>Quadris Excel</t>
        </is>
      </c>
      <c r="H1293" s="6" t="n">
        <v>0</v>
      </c>
      <c r="I1293" s="6" t="n">
        <v>0</v>
      </c>
      <c r="J1293" s="6" t="inlineStr">
        <is>
          <t>nincs</t>
        </is>
      </c>
      <c r="K1293" s="6">
        <f>IF(AND(H1293&gt;0,I1293&gt;0),"Rendben",IF(AND(H1293=0,I1293=0),"Nincs kép és adat",IF(H1293=0,"Nincs kép","Nincs adat")))</f>
        <v/>
      </c>
      <c r="L1293" s="6" t="inlineStr">
        <is>
          <t>Nem</t>
        </is>
      </c>
      <c r="M1293" s="7" t="inlineStr">
        <is>
          <t>–</t>
        </is>
      </c>
      <c r="N1293" s="7" t="inlineStr">
        <is>
          <t>Nem kerestük – nincs ismert weboldal vagy katalógus</t>
        </is>
      </c>
      <c r="O1293" s="6" t="inlineStr"/>
      <c r="P1293" s="11" t="inlineStr">
        <is>
          <t>https://website-9ib.pages.dev/termek/122186-rakomany-rogzito-rud-airline-sinhez-1800/</t>
        </is>
      </c>
      <c r="Q1293" s="12" t="inlineStr"/>
      <c r="R1293" s="13" t="inlineStr"/>
      <c r="S1293" s="6" t="inlineStr">
        <is>
          <t>122186-rakomany-rogzito-rud-airline-sinhez-1800</t>
        </is>
      </c>
    </row>
    <row r="1294">
      <c r="A1294" s="6" t="inlineStr">
        <is>
          <t>121824</t>
        </is>
      </c>
      <c r="B1294" s="7" t="inlineStr">
        <is>
          <t>Rakományrögzítő rúd alu-elox</t>
        </is>
      </c>
      <c r="C1294" s="6" t="inlineStr">
        <is>
          <t>Rakományrögzítés</t>
        </is>
      </c>
      <c r="D1294" s="6" t="inlineStr">
        <is>
          <t>Rakományrögzítés</t>
        </is>
      </c>
      <c r="E1294" s="6" t="inlineStr">
        <is>
          <t>Wistra</t>
        </is>
      </c>
      <c r="F1294" s="6" t="inlineStr">
        <is>
          <t>221808000920</t>
        </is>
      </c>
      <c r="G1294" s="6" t="inlineStr">
        <is>
          <t>Quadris Excel</t>
        </is>
      </c>
      <c r="H1294" s="6" t="n">
        <v>0</v>
      </c>
      <c r="I1294" s="6" t="n">
        <v>0</v>
      </c>
      <c r="J1294" s="6" t="inlineStr">
        <is>
          <t>nincs</t>
        </is>
      </c>
      <c r="K1294" s="6">
        <f>IF(AND(H1294&gt;0,I1294&gt;0),"Rendben",IF(AND(H1294=0,I1294=0),"Nincs kép és adat",IF(H1294=0,"Nincs kép","Nincs adat")))</f>
        <v/>
      </c>
      <c r="L1294" s="6" t="inlineStr">
        <is>
          <t>Nem</t>
        </is>
      </c>
      <c r="M1294" s="7" t="inlineStr">
        <is>
          <t>–</t>
        </is>
      </c>
      <c r="N1294" s="7" t="inlineStr">
        <is>
          <t>Nem kerestük – nincs ismert weboldal vagy katalógus</t>
        </is>
      </c>
      <c r="O1294" s="6" t="inlineStr"/>
      <c r="P1294" s="11" t="inlineStr">
        <is>
          <t>https://website-9ib.pages.dev/termek/121824-rakomanyrogzito-rud-alu-elox/</t>
        </is>
      </c>
      <c r="Q1294" s="12" t="inlineStr"/>
      <c r="R1294" s="13" t="inlineStr"/>
      <c r="S1294" s="6" t="inlineStr">
        <is>
          <t>121824-rakomanyrogzito-rud-alu-elox</t>
        </is>
      </c>
    </row>
    <row r="1295">
      <c r="A1295" s="6" t="inlineStr">
        <is>
          <t>B 300</t>
        </is>
      </c>
      <c r="B1295" s="7" t="inlineStr">
        <is>
          <t>Acél oldalfal B 300 mm</t>
        </is>
      </c>
      <c r="C1295" s="6" t="inlineStr">
        <is>
          <t>Acél profilok</t>
        </is>
      </c>
      <c r="D1295" s="6" t="inlineStr">
        <is>
          <t>Lézerhegesztett acél oldalfalak</t>
        </is>
      </c>
      <c r="E1295" s="6" t="inlineStr">
        <is>
          <t>Fuhrmann</t>
        </is>
      </c>
      <c r="F1295" s="6" t="inlineStr">
        <is>
          <t>B 300</t>
        </is>
      </c>
      <c r="G1295" s="6" t="inlineStr">
        <is>
          <t>Teljes kínálat</t>
        </is>
      </c>
      <c r="H1295" s="6" t="n">
        <v>1</v>
      </c>
      <c r="I1295" s="6" t="n">
        <v>6</v>
      </c>
      <c r="J1295" s="6" t="inlineStr">
        <is>
          <t>van</t>
        </is>
      </c>
      <c r="K1295" s="6">
        <f>IF(AND(H1295&gt;0,I1295&gt;0),"Rendben",IF(AND(H1295=0,I1295=0),"Nincs kép és adat",IF(H1295=0,"Nincs kép","Nincs adat")))</f>
        <v/>
      </c>
      <c r="L1295" s="6" t="inlineStr">
        <is>
          <t>Igen</t>
        </is>
      </c>
      <c r="M1295" s="7" t="inlineStr">
        <is>
          <t>Fuhrmann teljes kínálata (gyártói katalógus / weboldal)</t>
        </is>
      </c>
      <c r="N1295" s="7" t="inlineStr">
        <is>
          <t>Megtalálva: a beszállító teljes kínálatából felvett termék</t>
        </is>
      </c>
      <c r="O1295" s="11" t="inlineStr">
        <is>
          <t>https://www.fuhrmann.at/de/stbw300.php</t>
        </is>
      </c>
      <c r="P1295" s="11" t="inlineStr">
        <is>
          <t>https://website-9ib.pages.dev/termek/acel-oldalfal-b-300/</t>
        </is>
      </c>
      <c r="Q1295" s="12" t="inlineStr"/>
      <c r="R1295" s="13" t="inlineStr"/>
      <c r="S1295" s="6" t="inlineStr">
        <is>
          <t>acel-oldalfal-b-300</t>
        </is>
      </c>
    </row>
    <row r="1296">
      <c r="A1296" s="6" t="inlineStr">
        <is>
          <t>B 400</t>
        </is>
      </c>
      <c r="B1296" s="7" t="inlineStr">
        <is>
          <t>Acél oldalfal B 400 mm</t>
        </is>
      </c>
      <c r="C1296" s="6" t="inlineStr">
        <is>
          <t>Acél profilok</t>
        </is>
      </c>
      <c r="D1296" s="6" t="inlineStr">
        <is>
          <t>Lézerhegesztett acél oldalfalak</t>
        </is>
      </c>
      <c r="E1296" s="6" t="inlineStr">
        <is>
          <t>Fuhrmann</t>
        </is>
      </c>
      <c r="F1296" s="6" t="inlineStr">
        <is>
          <t>B 400</t>
        </is>
      </c>
      <c r="G1296" s="6" t="inlineStr">
        <is>
          <t>Teljes kínálat</t>
        </is>
      </c>
      <c r="H1296" s="6" t="n">
        <v>1</v>
      </c>
      <c r="I1296" s="6" t="n">
        <v>6</v>
      </c>
      <c r="J1296" s="6" t="inlineStr">
        <is>
          <t>van</t>
        </is>
      </c>
      <c r="K1296" s="6">
        <f>IF(AND(H1296&gt;0,I1296&gt;0),"Rendben",IF(AND(H1296=0,I1296=0),"Nincs kép és adat",IF(H1296=0,"Nincs kép","Nincs adat")))</f>
        <v/>
      </c>
      <c r="L1296" s="6" t="inlineStr">
        <is>
          <t>Igen</t>
        </is>
      </c>
      <c r="M1296" s="7" t="inlineStr">
        <is>
          <t>Fuhrmann teljes kínálata (gyártói katalógus / weboldal)</t>
        </is>
      </c>
      <c r="N1296" s="7" t="inlineStr">
        <is>
          <t>Megtalálva: a beszállító teljes kínálatából felvett termék</t>
        </is>
      </c>
      <c r="O1296" s="11" t="inlineStr">
        <is>
          <t>https://www.fuhrmann.at/de/stbw400.php</t>
        </is>
      </c>
      <c r="P1296" s="11" t="inlineStr">
        <is>
          <t>https://website-9ib.pages.dev/termek/acel-oldalfal-b-400/</t>
        </is>
      </c>
      <c r="Q1296" s="12" t="inlineStr"/>
      <c r="R1296" s="13" t="inlineStr"/>
      <c r="S1296" s="6" t="inlineStr">
        <is>
          <t>acel-oldalfal-b-400</t>
        </is>
      </c>
    </row>
    <row r="1297">
      <c r="A1297" s="6" t="inlineStr">
        <is>
          <t>B 450</t>
        </is>
      </c>
      <c r="B1297" s="7" t="inlineStr">
        <is>
          <t>Acél oldalfal B 450 mm</t>
        </is>
      </c>
      <c r="C1297" s="6" t="inlineStr">
        <is>
          <t>Acél profilok</t>
        </is>
      </c>
      <c r="D1297" s="6" t="inlineStr">
        <is>
          <t>Lézerhegesztett acél oldalfalak</t>
        </is>
      </c>
      <c r="E1297" s="6" t="inlineStr">
        <is>
          <t>Fuhrmann</t>
        </is>
      </c>
      <c r="F1297" s="6" t="inlineStr">
        <is>
          <t>B 450</t>
        </is>
      </c>
      <c r="G1297" s="6" t="inlineStr">
        <is>
          <t>Teljes kínálat</t>
        </is>
      </c>
      <c r="H1297" s="6" t="n">
        <v>1</v>
      </c>
      <c r="I1297" s="6" t="n">
        <v>6</v>
      </c>
      <c r="J1297" s="6" t="inlineStr">
        <is>
          <t>van</t>
        </is>
      </c>
      <c r="K1297" s="6">
        <f>IF(AND(H1297&gt;0,I1297&gt;0),"Rendben",IF(AND(H1297=0,I1297=0),"Nincs kép és adat",IF(H1297=0,"Nincs kép","Nincs adat")))</f>
        <v/>
      </c>
      <c r="L1297" s="6" t="inlineStr">
        <is>
          <t>Igen</t>
        </is>
      </c>
      <c r="M1297" s="7" t="inlineStr">
        <is>
          <t>Fuhrmann teljes kínálata (gyártói katalógus / weboldal)</t>
        </is>
      </c>
      <c r="N1297" s="7" t="inlineStr">
        <is>
          <t>Megtalálva: a beszállító teljes kínálatából felvett termék</t>
        </is>
      </c>
      <c r="O1297" s="11" t="inlineStr">
        <is>
          <t>https://www.fuhrmann.at/de/stbw450.php</t>
        </is>
      </c>
      <c r="P1297" s="11" t="inlineStr">
        <is>
          <t>https://website-9ib.pages.dev/termek/acel-oldalfal-b-450/</t>
        </is>
      </c>
      <c r="Q1297" s="12" t="inlineStr"/>
      <c r="R1297" s="13" t="inlineStr"/>
      <c r="S1297" s="6" t="inlineStr">
        <is>
          <t>acel-oldalfal-b-450</t>
        </is>
      </c>
    </row>
    <row r="1298">
      <c r="A1298" s="6" t="inlineStr">
        <is>
          <t>B 500</t>
        </is>
      </c>
      <c r="B1298" s="7" t="inlineStr">
        <is>
          <t>Acél oldalfal B 500 mm</t>
        </is>
      </c>
      <c r="C1298" s="6" t="inlineStr">
        <is>
          <t>Acél profilok</t>
        </is>
      </c>
      <c r="D1298" s="6" t="inlineStr">
        <is>
          <t>Lézerhegesztett acél oldalfalak</t>
        </is>
      </c>
      <c r="E1298" s="6" t="inlineStr">
        <is>
          <t>Fuhrmann</t>
        </is>
      </c>
      <c r="F1298" s="6" t="inlineStr">
        <is>
          <t>B 500</t>
        </is>
      </c>
      <c r="G1298" s="6" t="inlineStr">
        <is>
          <t>Teljes kínálat</t>
        </is>
      </c>
      <c r="H1298" s="6" t="n">
        <v>1</v>
      </c>
      <c r="I1298" s="6" t="n">
        <v>6</v>
      </c>
      <c r="J1298" s="6" t="inlineStr">
        <is>
          <t>van</t>
        </is>
      </c>
      <c r="K1298" s="6">
        <f>IF(AND(H1298&gt;0,I1298&gt;0),"Rendben",IF(AND(H1298=0,I1298=0),"Nincs kép és adat",IF(H1298=0,"Nincs kép","Nincs adat")))</f>
        <v/>
      </c>
      <c r="L1298" s="6" t="inlineStr">
        <is>
          <t>Igen</t>
        </is>
      </c>
      <c r="M1298" s="7" t="inlineStr">
        <is>
          <t>Fuhrmann teljes kínálata (gyártói katalógus / weboldal)</t>
        </is>
      </c>
      <c r="N1298" s="7" t="inlineStr">
        <is>
          <t>Megtalálva: a beszállító teljes kínálatából felvett termék</t>
        </is>
      </c>
      <c r="O1298" s="11" t="inlineStr">
        <is>
          <t>https://www.fuhrmann.at/de/stbw500.php</t>
        </is>
      </c>
      <c r="P1298" s="11" t="inlineStr">
        <is>
          <t>https://website-9ib.pages.dev/termek/acel-oldalfal-b-500/</t>
        </is>
      </c>
      <c r="Q1298" s="12" t="inlineStr"/>
      <c r="R1298" s="13" t="inlineStr"/>
      <c r="S1298" s="6" t="inlineStr">
        <is>
          <t>acel-oldalfal-b-500</t>
        </is>
      </c>
    </row>
    <row r="1299">
      <c r="A1299" s="6" t="inlineStr">
        <is>
          <t>B 600</t>
        </is>
      </c>
      <c r="B1299" s="7" t="inlineStr">
        <is>
          <t>Acél oldalfal B 600 mm</t>
        </is>
      </c>
      <c r="C1299" s="6" t="inlineStr">
        <is>
          <t>Acél profilok</t>
        </is>
      </c>
      <c r="D1299" s="6" t="inlineStr">
        <is>
          <t>Lézerhegesztett acél oldalfalak</t>
        </is>
      </c>
      <c r="E1299" s="6" t="inlineStr">
        <is>
          <t>Fuhrmann</t>
        </is>
      </c>
      <c r="F1299" s="6" t="inlineStr">
        <is>
          <t>B 600</t>
        </is>
      </c>
      <c r="G1299" s="6" t="inlineStr">
        <is>
          <t>Teljes kínálat</t>
        </is>
      </c>
      <c r="H1299" s="6" t="n">
        <v>1</v>
      </c>
      <c r="I1299" s="6" t="n">
        <v>6</v>
      </c>
      <c r="J1299" s="6" t="inlineStr">
        <is>
          <t>van</t>
        </is>
      </c>
      <c r="K1299" s="6">
        <f>IF(AND(H1299&gt;0,I1299&gt;0),"Rendben",IF(AND(H1299=0,I1299=0),"Nincs kép és adat",IF(H1299=0,"Nincs kép","Nincs adat")))</f>
        <v/>
      </c>
      <c r="L1299" s="6" t="inlineStr">
        <is>
          <t>Igen</t>
        </is>
      </c>
      <c r="M1299" s="7" t="inlineStr">
        <is>
          <t>Fuhrmann teljes kínálata (gyártói katalógus / weboldal)</t>
        </is>
      </c>
      <c r="N1299" s="7" t="inlineStr">
        <is>
          <t>Megtalálva: a beszállító teljes kínálatából felvett termék</t>
        </is>
      </c>
      <c r="O1299" s="11" t="inlineStr">
        <is>
          <t>https://www.fuhrmann.at/de/stbw600.php</t>
        </is>
      </c>
      <c r="P1299" s="11" t="inlineStr">
        <is>
          <t>https://website-9ib.pages.dev/termek/acel-oldalfal-b-600/</t>
        </is>
      </c>
      <c r="Q1299" s="12" t="inlineStr"/>
      <c r="R1299" s="13" t="inlineStr"/>
      <c r="S1299" s="6" t="inlineStr">
        <is>
          <t>acel-oldalfal-b-600</t>
        </is>
      </c>
    </row>
    <row r="1300">
      <c r="A1300" s="6" t="inlineStr">
        <is>
          <t>BAK 300</t>
        </is>
      </c>
      <c r="B1300" s="7" t="inlineStr">
        <is>
          <t>Acél oldalfal BAK 300 mm</t>
        </is>
      </c>
      <c r="C1300" s="6" t="inlineStr">
        <is>
          <t>Acél profilok</t>
        </is>
      </c>
      <c r="D1300" s="6" t="inlineStr">
        <is>
          <t>Lézerhegesztett acél oldalfalak</t>
        </is>
      </c>
      <c r="E1300" s="6" t="inlineStr">
        <is>
          <t>Fuhrmann</t>
        </is>
      </c>
      <c r="F1300" s="6" t="inlineStr">
        <is>
          <t>BAK 300</t>
        </is>
      </c>
      <c r="G1300" s="6" t="inlineStr">
        <is>
          <t>Teljes kínálat</t>
        </is>
      </c>
      <c r="H1300" s="6" t="n">
        <v>1</v>
      </c>
      <c r="I1300" s="6" t="n">
        <v>6</v>
      </c>
      <c r="J1300" s="6" t="inlineStr">
        <is>
          <t>van</t>
        </is>
      </c>
      <c r="K1300" s="6">
        <f>IF(AND(H1300&gt;0,I1300&gt;0),"Rendben",IF(AND(H1300=0,I1300=0),"Nincs kép és adat",IF(H1300=0,"Nincs kép","Nincs adat")))</f>
        <v/>
      </c>
      <c r="L1300" s="6" t="inlineStr">
        <is>
          <t>Igen</t>
        </is>
      </c>
      <c r="M1300" s="7" t="inlineStr">
        <is>
          <t>Fuhrmann teljes kínálata (gyártói katalógus / weboldal)</t>
        </is>
      </c>
      <c r="N1300" s="7" t="inlineStr">
        <is>
          <t>Megtalálva: a beszállító teljes kínálatából felvett termék</t>
        </is>
      </c>
      <c r="O1300" s="11" t="inlineStr">
        <is>
          <t>https://www.fuhrmann.at/de/stbw300.php</t>
        </is>
      </c>
      <c r="P1300" s="11" t="inlineStr">
        <is>
          <t>https://website-9ib.pages.dev/termek/acel-oldalfal-bak-300/</t>
        </is>
      </c>
      <c r="Q1300" s="12" t="inlineStr"/>
      <c r="R1300" s="13" t="inlineStr"/>
      <c r="S1300" s="6" t="inlineStr">
        <is>
          <t>acel-oldalfal-bak-300</t>
        </is>
      </c>
    </row>
    <row r="1301">
      <c r="A1301" s="6" t="inlineStr">
        <is>
          <t>BAK 400</t>
        </is>
      </c>
      <c r="B1301" s="7" t="inlineStr">
        <is>
          <t>Acél oldalfal BAK 400 mm</t>
        </is>
      </c>
      <c r="C1301" s="6" t="inlineStr">
        <is>
          <t>Acél profilok</t>
        </is>
      </c>
      <c r="D1301" s="6" t="inlineStr">
        <is>
          <t>Lézerhegesztett acél oldalfalak</t>
        </is>
      </c>
      <c r="E1301" s="6" t="inlineStr">
        <is>
          <t>Fuhrmann</t>
        </is>
      </c>
      <c r="F1301" s="6" t="inlineStr">
        <is>
          <t>BAK 400</t>
        </is>
      </c>
      <c r="G1301" s="6" t="inlineStr">
        <is>
          <t>Teljes kínálat</t>
        </is>
      </c>
      <c r="H1301" s="6" t="n">
        <v>1</v>
      </c>
      <c r="I1301" s="6" t="n">
        <v>6</v>
      </c>
      <c r="J1301" s="6" t="inlineStr">
        <is>
          <t>van</t>
        </is>
      </c>
      <c r="K1301" s="6">
        <f>IF(AND(H1301&gt;0,I1301&gt;0),"Rendben",IF(AND(H1301=0,I1301=0),"Nincs kép és adat",IF(H1301=0,"Nincs kép","Nincs adat")))</f>
        <v/>
      </c>
      <c r="L1301" s="6" t="inlineStr">
        <is>
          <t>Igen</t>
        </is>
      </c>
      <c r="M1301" s="7" t="inlineStr">
        <is>
          <t>Fuhrmann teljes kínálata (gyártói katalógus / weboldal)</t>
        </is>
      </c>
      <c r="N1301" s="7" t="inlineStr">
        <is>
          <t>Megtalálva: a beszállító teljes kínálatából felvett termék</t>
        </is>
      </c>
      <c r="O1301" s="11" t="inlineStr">
        <is>
          <t>https://www.fuhrmann.at/de/stbw400.php</t>
        </is>
      </c>
      <c r="P1301" s="11" t="inlineStr">
        <is>
          <t>https://website-9ib.pages.dev/termek/acel-oldalfal-bak-400/</t>
        </is>
      </c>
      <c r="Q1301" s="12" t="inlineStr"/>
      <c r="R1301" s="13" t="inlineStr"/>
      <c r="S1301" s="6" t="inlineStr">
        <is>
          <t>acel-oldalfal-bak-400</t>
        </is>
      </c>
    </row>
    <row r="1302">
      <c r="A1302" s="6" t="inlineStr">
        <is>
          <t>BAK 450</t>
        </is>
      </c>
      <c r="B1302" s="7" t="inlineStr">
        <is>
          <t>Acél oldalfal BAK 450 mm</t>
        </is>
      </c>
      <c r="C1302" s="6" t="inlineStr">
        <is>
          <t>Acél profilok</t>
        </is>
      </c>
      <c r="D1302" s="6" t="inlineStr">
        <is>
          <t>Lézerhegesztett acél oldalfalak</t>
        </is>
      </c>
      <c r="E1302" s="6" t="inlineStr">
        <is>
          <t>Fuhrmann</t>
        </is>
      </c>
      <c r="F1302" s="6" t="inlineStr">
        <is>
          <t>BAK 450</t>
        </is>
      </c>
      <c r="G1302" s="6" t="inlineStr">
        <is>
          <t>Teljes kínálat</t>
        </is>
      </c>
      <c r="H1302" s="6" t="n">
        <v>0</v>
      </c>
      <c r="I1302" s="6" t="n">
        <v>6</v>
      </c>
      <c r="J1302" s="6" t="inlineStr">
        <is>
          <t>van</t>
        </is>
      </c>
      <c r="K1302" s="6">
        <f>IF(AND(H1302&gt;0,I1302&gt;0),"Rendben",IF(AND(H1302=0,I1302=0),"Nincs kép és adat",IF(H1302=0,"Nincs kép","Nincs adat")))</f>
        <v/>
      </c>
      <c r="L1302" s="6" t="inlineStr">
        <is>
          <t>Igen</t>
        </is>
      </c>
      <c r="M1302" s="7" t="inlineStr">
        <is>
          <t>Fuhrmann teljes kínálata (gyártói katalógus / weboldal)</t>
        </is>
      </c>
      <c r="N1302" s="7" t="inlineStr">
        <is>
          <t>Megtalálva: a beszállító teljes kínálatából felvett termék</t>
        </is>
      </c>
      <c r="O1302" s="11" t="inlineStr">
        <is>
          <t>https://www.fuhrmann.at/de/stbw450.php</t>
        </is>
      </c>
      <c r="P1302" s="11" t="inlineStr">
        <is>
          <t>https://website-9ib.pages.dev/termek/acel-oldalfal-bak-450/</t>
        </is>
      </c>
      <c r="Q1302" s="12" t="inlineStr"/>
      <c r="R1302" s="13" t="inlineStr"/>
      <c r="S1302" s="6" t="inlineStr">
        <is>
          <t>acel-oldalfal-bak-450</t>
        </is>
      </c>
    </row>
    <row r="1303">
      <c r="A1303" s="6" t="inlineStr">
        <is>
          <t>BAK 500</t>
        </is>
      </c>
      <c r="B1303" s="7" t="inlineStr">
        <is>
          <t>Acél oldalfal BAK 500 mm</t>
        </is>
      </c>
      <c r="C1303" s="6" t="inlineStr">
        <is>
          <t>Acél profilok</t>
        </is>
      </c>
      <c r="D1303" s="6" t="inlineStr">
        <is>
          <t>Lézerhegesztett acél oldalfalak</t>
        </is>
      </c>
      <c r="E1303" s="6" t="inlineStr">
        <is>
          <t>Fuhrmann</t>
        </is>
      </c>
      <c r="F1303" s="6" t="inlineStr">
        <is>
          <t>BAK 500</t>
        </is>
      </c>
      <c r="G1303" s="6" t="inlineStr">
        <is>
          <t>Teljes kínálat</t>
        </is>
      </c>
      <c r="H1303" s="6" t="n">
        <v>1</v>
      </c>
      <c r="I1303" s="6" t="n">
        <v>6</v>
      </c>
      <c r="J1303" s="6" t="inlineStr">
        <is>
          <t>van</t>
        </is>
      </c>
      <c r="K1303" s="6">
        <f>IF(AND(H1303&gt;0,I1303&gt;0),"Rendben",IF(AND(H1303=0,I1303=0),"Nincs kép és adat",IF(H1303=0,"Nincs kép","Nincs adat")))</f>
        <v/>
      </c>
      <c r="L1303" s="6" t="inlineStr">
        <is>
          <t>Igen</t>
        </is>
      </c>
      <c r="M1303" s="7" t="inlineStr">
        <is>
          <t>Fuhrmann teljes kínálata (gyártói katalógus / weboldal)</t>
        </is>
      </c>
      <c r="N1303" s="7" t="inlineStr">
        <is>
          <t>Megtalálva: a beszállító teljes kínálatából felvett termék</t>
        </is>
      </c>
      <c r="O1303" s="11" t="inlineStr">
        <is>
          <t>https://www.fuhrmann.at/de/stbw500.php</t>
        </is>
      </c>
      <c r="P1303" s="11" t="inlineStr">
        <is>
          <t>https://website-9ib.pages.dev/termek/acel-oldalfal-bak-500/</t>
        </is>
      </c>
      <c r="Q1303" s="12" t="inlineStr"/>
      <c r="R1303" s="13" t="inlineStr"/>
      <c r="S1303" s="6" t="inlineStr">
        <is>
          <t>acel-oldalfal-bak-500</t>
        </is>
      </c>
    </row>
    <row r="1304">
      <c r="A1304" s="6" t="inlineStr">
        <is>
          <t>BAK 600</t>
        </is>
      </c>
      <c r="B1304" s="7" t="inlineStr">
        <is>
          <t>Acél oldalfal BAK 600 mm</t>
        </is>
      </c>
      <c r="C1304" s="6" t="inlineStr">
        <is>
          <t>Acél profilok</t>
        </is>
      </c>
      <c r="D1304" s="6" t="inlineStr">
        <is>
          <t>Lézerhegesztett acél oldalfalak</t>
        </is>
      </c>
      <c r="E1304" s="6" t="inlineStr">
        <is>
          <t>Fuhrmann</t>
        </is>
      </c>
      <c r="F1304" s="6" t="inlineStr">
        <is>
          <t>BAK 600</t>
        </is>
      </c>
      <c r="G1304" s="6" t="inlineStr">
        <is>
          <t>Teljes kínálat</t>
        </is>
      </c>
      <c r="H1304" s="6" t="n">
        <v>1</v>
      </c>
      <c r="I1304" s="6" t="n">
        <v>6</v>
      </c>
      <c r="J1304" s="6" t="inlineStr">
        <is>
          <t>van</t>
        </is>
      </c>
      <c r="K1304" s="6">
        <f>IF(AND(H1304&gt;0,I1304&gt;0),"Rendben",IF(AND(H1304=0,I1304=0),"Nincs kép és adat",IF(H1304=0,"Nincs kép","Nincs adat")))</f>
        <v/>
      </c>
      <c r="L1304" s="6" t="inlineStr">
        <is>
          <t>Igen</t>
        </is>
      </c>
      <c r="M1304" s="7" t="inlineStr">
        <is>
          <t>Fuhrmann teljes kínálata (gyártói katalógus / weboldal)</t>
        </is>
      </c>
      <c r="N1304" s="7" t="inlineStr">
        <is>
          <t>Megtalálva: a beszállító teljes kínálatából felvett termék</t>
        </is>
      </c>
      <c r="O1304" s="11" t="inlineStr">
        <is>
          <t>https://www.fuhrmann.at/de/stbw600.php</t>
        </is>
      </c>
      <c r="P1304" s="11" t="inlineStr">
        <is>
          <t>https://website-9ib.pages.dev/termek/acel-oldalfal-bak-600/</t>
        </is>
      </c>
      <c r="Q1304" s="12" t="inlineStr"/>
      <c r="R1304" s="13" t="inlineStr"/>
      <c r="S1304" s="6" t="inlineStr">
        <is>
          <t>acel-oldalfal-bak-600</t>
        </is>
      </c>
    </row>
    <row r="1305">
      <c r="A1305" s="6" t="inlineStr">
        <is>
          <t>BAKS 500</t>
        </is>
      </c>
      <c r="B1305" s="7" t="inlineStr">
        <is>
          <t>Acél oldalfal BAKS 500 mm</t>
        </is>
      </c>
      <c r="C1305" s="6" t="inlineStr">
        <is>
          <t>Acél profilok</t>
        </is>
      </c>
      <c r="D1305" s="6" t="inlineStr">
        <is>
          <t>Lézerhegesztett acél oldalfalak</t>
        </is>
      </c>
      <c r="E1305" s="6" t="inlineStr">
        <is>
          <t>Fuhrmann</t>
        </is>
      </c>
      <c r="F1305" s="6" t="inlineStr">
        <is>
          <t>BAKS 500</t>
        </is>
      </c>
      <c r="G1305" s="6" t="inlineStr">
        <is>
          <t>Teljes kínálat</t>
        </is>
      </c>
      <c r="H1305" s="6" t="n">
        <v>1</v>
      </c>
      <c r="I1305" s="6" t="n">
        <v>6</v>
      </c>
      <c r="J1305" s="6" t="inlineStr">
        <is>
          <t>van</t>
        </is>
      </c>
      <c r="K1305" s="6">
        <f>IF(AND(H1305&gt;0,I1305&gt;0),"Rendben",IF(AND(H1305=0,I1305=0),"Nincs kép és adat",IF(H1305=0,"Nincs kép","Nincs adat")))</f>
        <v/>
      </c>
      <c r="L1305" s="6" t="inlineStr">
        <is>
          <t>Igen</t>
        </is>
      </c>
      <c r="M1305" s="7" t="inlineStr">
        <is>
          <t>Fuhrmann teljes kínálata (gyártói katalógus / weboldal)</t>
        </is>
      </c>
      <c r="N1305" s="7" t="inlineStr">
        <is>
          <t>Megtalálva: a beszállító teljes kínálatából felvett termék</t>
        </is>
      </c>
      <c r="O1305" s="11" t="inlineStr">
        <is>
          <t>https://www.fuhrmann.at/de/stbw500.php</t>
        </is>
      </c>
      <c r="P1305" s="11" t="inlineStr">
        <is>
          <t>https://website-9ib.pages.dev/termek/acel-oldalfal-baks-500/</t>
        </is>
      </c>
      <c r="Q1305" s="12" t="inlineStr"/>
      <c r="R1305" s="13" t="inlineStr"/>
      <c r="S1305" s="6" t="inlineStr">
        <is>
          <t>acel-oldalfal-baks-500</t>
        </is>
      </c>
    </row>
    <row r="1306">
      <c r="A1306" s="6" t="inlineStr">
        <is>
          <t>BAKS 600</t>
        </is>
      </c>
      <c r="B1306" s="7" t="inlineStr">
        <is>
          <t>Acél oldalfal BAKS 600 mm</t>
        </is>
      </c>
      <c r="C1306" s="6" t="inlineStr">
        <is>
          <t>Acél profilok</t>
        </is>
      </c>
      <c r="D1306" s="6" t="inlineStr">
        <is>
          <t>Lézerhegesztett acél oldalfalak</t>
        </is>
      </c>
      <c r="E1306" s="6" t="inlineStr">
        <is>
          <t>Fuhrmann</t>
        </is>
      </c>
      <c r="F1306" s="6" t="inlineStr">
        <is>
          <t>BAKS 600</t>
        </is>
      </c>
      <c r="G1306" s="6" t="inlineStr">
        <is>
          <t>Teljes kínálat</t>
        </is>
      </c>
      <c r="H1306" s="6" t="n">
        <v>1</v>
      </c>
      <c r="I1306" s="6" t="n">
        <v>6</v>
      </c>
      <c r="J1306" s="6" t="inlineStr">
        <is>
          <t>van</t>
        </is>
      </c>
      <c r="K1306" s="6">
        <f>IF(AND(H1306&gt;0,I1306&gt;0),"Rendben",IF(AND(H1306=0,I1306=0),"Nincs kép és adat",IF(H1306=0,"Nincs kép","Nincs adat")))</f>
        <v/>
      </c>
      <c r="L1306" s="6" t="inlineStr">
        <is>
          <t>Igen</t>
        </is>
      </c>
      <c r="M1306" s="7" t="inlineStr">
        <is>
          <t>Fuhrmann teljes kínálata (gyártói katalógus / weboldal)</t>
        </is>
      </c>
      <c r="N1306" s="7" t="inlineStr">
        <is>
          <t>Megtalálva: a beszállító teljes kínálatából felvett termék</t>
        </is>
      </c>
      <c r="O1306" s="11" t="inlineStr">
        <is>
          <t>https://www.fuhrmann.at/de/stbw600.php</t>
        </is>
      </c>
      <c r="P1306" s="11" t="inlineStr">
        <is>
          <t>https://website-9ib.pages.dev/termek/acel-oldalfal-baks-600/</t>
        </is>
      </c>
      <c r="Q1306" s="12" t="inlineStr"/>
      <c r="R1306" s="13" t="inlineStr"/>
      <c r="S1306" s="6" t="inlineStr">
        <is>
          <t>acel-oldalfal-baks-600</t>
        </is>
      </c>
    </row>
    <row r="1307">
      <c r="A1307" s="6" t="inlineStr">
        <is>
          <t>BAKSkt 400</t>
        </is>
      </c>
      <c r="B1307" s="7" t="inlineStr">
        <is>
          <t>Acél oldalfal BAKSkt 400 mm</t>
        </is>
      </c>
      <c r="C1307" s="6" t="inlineStr">
        <is>
          <t>Acél profilok</t>
        </is>
      </c>
      <c r="D1307" s="6" t="inlineStr">
        <is>
          <t>Lézerhegesztett acél oldalfalak</t>
        </is>
      </c>
      <c r="E1307" s="6" t="inlineStr">
        <is>
          <t>Fuhrmann</t>
        </is>
      </c>
      <c r="F1307" s="6" t="inlineStr">
        <is>
          <t>BAKSkt 400</t>
        </is>
      </c>
      <c r="G1307" s="6" t="inlineStr">
        <is>
          <t>Teljes kínálat</t>
        </is>
      </c>
      <c r="H1307" s="6" t="n">
        <v>1</v>
      </c>
      <c r="I1307" s="6" t="n">
        <v>6</v>
      </c>
      <c r="J1307" s="6" t="inlineStr">
        <is>
          <t>van</t>
        </is>
      </c>
      <c r="K1307" s="6">
        <f>IF(AND(H1307&gt;0,I1307&gt;0),"Rendben",IF(AND(H1307=0,I1307=0),"Nincs kép és adat",IF(H1307=0,"Nincs kép","Nincs adat")))</f>
        <v/>
      </c>
      <c r="L1307" s="6" t="inlineStr">
        <is>
          <t>Igen</t>
        </is>
      </c>
      <c r="M1307" s="7" t="inlineStr">
        <is>
          <t>Fuhrmann teljes kínálata (gyártói katalógus / weboldal)</t>
        </is>
      </c>
      <c r="N1307" s="7" t="inlineStr">
        <is>
          <t>Megtalálva: a beszállító teljes kínálatából felvett termék</t>
        </is>
      </c>
      <c r="O1307" s="11" t="inlineStr">
        <is>
          <t>https://www.fuhrmann.at/de/stbw400.php</t>
        </is>
      </c>
      <c r="P1307" s="11" t="inlineStr">
        <is>
          <t>https://website-9ib.pages.dev/termek/acel-oldalfal-bakskt-400/</t>
        </is>
      </c>
      <c r="Q1307" s="12" t="inlineStr"/>
      <c r="R1307" s="13" t="inlineStr"/>
      <c r="S1307" s="6" t="inlineStr">
        <is>
          <t>acel-oldalfal-bakskt-400</t>
        </is>
      </c>
    </row>
    <row r="1308">
      <c r="A1308" s="6" t="inlineStr">
        <is>
          <t>BAKT 600</t>
        </is>
      </c>
      <c r="B1308" s="7" t="inlineStr">
        <is>
          <t>Acél oldalfal BAKT 600 mm</t>
        </is>
      </c>
      <c r="C1308" s="6" t="inlineStr">
        <is>
          <t>Acél profilok</t>
        </is>
      </c>
      <c r="D1308" s="6" t="inlineStr">
        <is>
          <t>Lézerhegesztett acél oldalfalak</t>
        </is>
      </c>
      <c r="E1308" s="6" t="inlineStr">
        <is>
          <t>Fuhrmann</t>
        </is>
      </c>
      <c r="F1308" s="6" t="inlineStr">
        <is>
          <t>BAKT 600</t>
        </is>
      </c>
      <c r="G1308" s="6" t="inlineStr">
        <is>
          <t>Teljes kínálat</t>
        </is>
      </c>
      <c r="H1308" s="6" t="n">
        <v>1</v>
      </c>
      <c r="I1308" s="6" t="n">
        <v>6</v>
      </c>
      <c r="J1308" s="6" t="inlineStr">
        <is>
          <t>van</t>
        </is>
      </c>
      <c r="K1308" s="6">
        <f>IF(AND(H1308&gt;0,I1308&gt;0),"Rendben",IF(AND(H1308=0,I1308=0),"Nincs kép és adat",IF(H1308=0,"Nincs kép","Nincs adat")))</f>
        <v/>
      </c>
      <c r="L1308" s="6" t="inlineStr">
        <is>
          <t>Igen</t>
        </is>
      </c>
      <c r="M1308" s="7" t="inlineStr">
        <is>
          <t>Fuhrmann teljes kínálata (gyártói katalógus / weboldal)</t>
        </is>
      </c>
      <c r="N1308" s="7" t="inlineStr">
        <is>
          <t>Megtalálva: a beszállító teljes kínálatából felvett termék</t>
        </is>
      </c>
      <c r="O1308" s="11" t="inlineStr">
        <is>
          <t>https://www.fuhrmann.at/de/stbw600.php</t>
        </is>
      </c>
      <c r="P1308" s="11" t="inlineStr">
        <is>
          <t>https://website-9ib.pages.dev/termek/acel-oldalfal-bakt-600/</t>
        </is>
      </c>
      <c r="Q1308" s="12" t="inlineStr"/>
      <c r="R1308" s="13" t="inlineStr"/>
      <c r="S1308" s="6" t="inlineStr">
        <is>
          <t>acel-oldalfal-bakt-600</t>
        </is>
      </c>
    </row>
    <row r="1309">
      <c r="A1309" s="6" t="inlineStr">
        <is>
          <t>BAKTT 800</t>
        </is>
      </c>
      <c r="B1309" s="7" t="inlineStr">
        <is>
          <t>Acél oldalfal BAKTT 800 mm</t>
        </is>
      </c>
      <c r="C1309" s="6" t="inlineStr">
        <is>
          <t>Acél profilok</t>
        </is>
      </c>
      <c r="D1309" s="6" t="inlineStr">
        <is>
          <t>Lézerhegesztett acél oldalfalak</t>
        </is>
      </c>
      <c r="E1309" s="6" t="inlineStr">
        <is>
          <t>Fuhrmann</t>
        </is>
      </c>
      <c r="F1309" s="6" t="inlineStr">
        <is>
          <t>BAKTT 800</t>
        </is>
      </c>
      <c r="G1309" s="6" t="inlineStr">
        <is>
          <t>Teljes kínálat</t>
        </is>
      </c>
      <c r="H1309" s="6" t="n">
        <v>1</v>
      </c>
      <c r="I1309" s="6" t="n">
        <v>6</v>
      </c>
      <c r="J1309" s="6" t="inlineStr">
        <is>
          <t>van</t>
        </is>
      </c>
      <c r="K1309" s="6">
        <f>IF(AND(H1309&gt;0,I1309&gt;0),"Rendben",IF(AND(H1309=0,I1309=0),"Nincs kép és adat",IF(H1309=0,"Nincs kép","Nincs adat")))</f>
        <v/>
      </c>
      <c r="L1309" s="6" t="inlineStr">
        <is>
          <t>Igen</t>
        </is>
      </c>
      <c r="M1309" s="7" t="inlineStr">
        <is>
          <t>Fuhrmann teljes kínálata (gyártói katalógus / weboldal)</t>
        </is>
      </c>
      <c r="N1309" s="7" t="inlineStr">
        <is>
          <t>Megtalálva: a beszállító teljes kínálatából felvett termék</t>
        </is>
      </c>
      <c r="O1309" s="11" t="inlineStr">
        <is>
          <t>https://www.fuhrmann.at/de/stbw800.php</t>
        </is>
      </c>
      <c r="P1309" s="11" t="inlineStr">
        <is>
          <t>https://website-9ib.pages.dev/termek/acel-oldalfal-baktt-800/</t>
        </is>
      </c>
      <c r="Q1309" s="12" t="inlineStr"/>
      <c r="R1309" s="13" t="inlineStr"/>
      <c r="S1309" s="6" t="inlineStr">
        <is>
          <t>acel-oldalfal-baktt-800</t>
        </is>
      </c>
    </row>
    <row r="1310">
      <c r="A1310" s="6" t="inlineStr">
        <is>
          <t>BAKkt 400</t>
        </is>
      </c>
      <c r="B1310" s="7" t="inlineStr">
        <is>
          <t>Acél oldalfal BAKkt 400 mm</t>
        </is>
      </c>
      <c r="C1310" s="6" t="inlineStr">
        <is>
          <t>Acél profilok</t>
        </is>
      </c>
      <c r="D1310" s="6" t="inlineStr">
        <is>
          <t>Lézerhegesztett acél oldalfalak</t>
        </is>
      </c>
      <c r="E1310" s="6" t="inlineStr">
        <is>
          <t>Fuhrmann</t>
        </is>
      </c>
      <c r="F1310" s="6" t="inlineStr">
        <is>
          <t>BAKkt 400</t>
        </is>
      </c>
      <c r="G1310" s="6" t="inlineStr">
        <is>
          <t>Teljes kínálat</t>
        </is>
      </c>
      <c r="H1310" s="6" t="n">
        <v>1</v>
      </c>
      <c r="I1310" s="6" t="n">
        <v>6</v>
      </c>
      <c r="J1310" s="6" t="inlineStr">
        <is>
          <t>van</t>
        </is>
      </c>
      <c r="K1310" s="6">
        <f>IF(AND(H1310&gt;0,I1310&gt;0),"Rendben",IF(AND(H1310=0,I1310=0),"Nincs kép és adat",IF(H1310=0,"Nincs kép","Nincs adat")))</f>
        <v/>
      </c>
      <c r="L1310" s="6" t="inlineStr">
        <is>
          <t>Igen</t>
        </is>
      </c>
      <c r="M1310" s="7" t="inlineStr">
        <is>
          <t>Fuhrmann teljes kínálata (gyártói katalógus / weboldal)</t>
        </is>
      </c>
      <c r="N1310" s="7" t="inlineStr">
        <is>
          <t>Megtalálva: a beszállító teljes kínálatából felvett termék</t>
        </is>
      </c>
      <c r="O1310" s="11" t="inlineStr">
        <is>
          <t>https://www.fuhrmann.at/de/stbw400.php</t>
        </is>
      </c>
      <c r="P1310" s="11" t="inlineStr">
        <is>
          <t>https://website-9ib.pages.dev/termek/acel-oldalfal-bakkt-400/</t>
        </is>
      </c>
      <c r="Q1310" s="12" t="inlineStr"/>
      <c r="R1310" s="13" t="inlineStr"/>
      <c r="S1310" s="6" t="inlineStr">
        <is>
          <t>acel-oldalfal-bakkt-400</t>
        </is>
      </c>
    </row>
    <row r="1311">
      <c r="A1311" s="6" t="inlineStr">
        <is>
          <t>BN 450</t>
        </is>
      </c>
      <c r="B1311" s="7" t="inlineStr">
        <is>
          <t>Acél oldalfal BN 450 mm</t>
        </is>
      </c>
      <c r="C1311" s="6" t="inlineStr">
        <is>
          <t>Acél profilok</t>
        </is>
      </c>
      <c r="D1311" s="6" t="inlineStr">
        <is>
          <t>Lézerhegesztett acél oldalfalak</t>
        </is>
      </c>
      <c r="E1311" s="6" t="inlineStr">
        <is>
          <t>Fuhrmann</t>
        </is>
      </c>
      <c r="F1311" s="6" t="inlineStr">
        <is>
          <t>BN 450</t>
        </is>
      </c>
      <c r="G1311" s="6" t="inlineStr">
        <is>
          <t>Teljes kínálat</t>
        </is>
      </c>
      <c r="H1311" s="6" t="n">
        <v>1</v>
      </c>
      <c r="I1311" s="6" t="n">
        <v>6</v>
      </c>
      <c r="J1311" s="6" t="inlineStr">
        <is>
          <t>van</t>
        </is>
      </c>
      <c r="K1311" s="6">
        <f>IF(AND(H1311&gt;0,I1311&gt;0),"Rendben",IF(AND(H1311=0,I1311=0),"Nincs kép és adat",IF(H1311=0,"Nincs kép","Nincs adat")))</f>
        <v/>
      </c>
      <c r="L1311" s="6" t="inlineStr">
        <is>
          <t>Igen</t>
        </is>
      </c>
      <c r="M1311" s="7" t="inlineStr">
        <is>
          <t>Fuhrmann teljes kínálata (gyártói katalógus / weboldal)</t>
        </is>
      </c>
      <c r="N1311" s="7" t="inlineStr">
        <is>
          <t>Megtalálva: a beszállító teljes kínálatából felvett termék</t>
        </is>
      </c>
      <c r="O1311" s="11" t="inlineStr">
        <is>
          <t>https://www.fuhrmann.at/de/stbw450.php</t>
        </is>
      </c>
      <c r="P1311" s="11" t="inlineStr">
        <is>
          <t>https://website-9ib.pages.dev/termek/acel-oldalfal-bn-450/</t>
        </is>
      </c>
      <c r="Q1311" s="12" t="inlineStr"/>
      <c r="R1311" s="13" t="inlineStr"/>
      <c r="S1311" s="6" t="inlineStr">
        <is>
          <t>acel-oldalfal-bn-450</t>
        </is>
      </c>
    </row>
    <row r="1312">
      <c r="A1312" s="6" t="inlineStr">
        <is>
          <t>BN 500</t>
        </is>
      </c>
      <c r="B1312" s="7" t="inlineStr">
        <is>
          <t>Acél oldalfal BN 500 mm</t>
        </is>
      </c>
      <c r="C1312" s="6" t="inlineStr">
        <is>
          <t>Acél profilok</t>
        </is>
      </c>
      <c r="D1312" s="6" t="inlineStr">
        <is>
          <t>Lézerhegesztett acél oldalfalak</t>
        </is>
      </c>
      <c r="E1312" s="6" t="inlineStr">
        <is>
          <t>Fuhrmann</t>
        </is>
      </c>
      <c r="F1312" s="6" t="inlineStr">
        <is>
          <t>BN 500</t>
        </is>
      </c>
      <c r="G1312" s="6" t="inlineStr">
        <is>
          <t>Teljes kínálat</t>
        </is>
      </c>
      <c r="H1312" s="6" t="n">
        <v>1</v>
      </c>
      <c r="I1312" s="6" t="n">
        <v>6</v>
      </c>
      <c r="J1312" s="6" t="inlineStr">
        <is>
          <t>van</t>
        </is>
      </c>
      <c r="K1312" s="6">
        <f>IF(AND(H1312&gt;0,I1312&gt;0),"Rendben",IF(AND(H1312=0,I1312=0),"Nincs kép és adat",IF(H1312=0,"Nincs kép","Nincs adat")))</f>
        <v/>
      </c>
      <c r="L1312" s="6" t="inlineStr">
        <is>
          <t>Igen</t>
        </is>
      </c>
      <c r="M1312" s="7" t="inlineStr">
        <is>
          <t>Fuhrmann teljes kínálata (gyártói katalógus / weboldal)</t>
        </is>
      </c>
      <c r="N1312" s="7" t="inlineStr">
        <is>
          <t>Megtalálva: a beszállító teljes kínálatából felvett termék</t>
        </is>
      </c>
      <c r="O1312" s="11" t="inlineStr">
        <is>
          <t>https://www.fuhrmann.at/de/stbw500.php</t>
        </is>
      </c>
      <c r="P1312" s="11" t="inlineStr">
        <is>
          <t>https://website-9ib.pages.dev/termek/acel-oldalfal-bn-500/</t>
        </is>
      </c>
      <c r="Q1312" s="12" t="inlineStr"/>
      <c r="R1312" s="13" t="inlineStr"/>
      <c r="S1312" s="6" t="inlineStr">
        <is>
          <t>acel-oldalfal-bn-500</t>
        </is>
      </c>
    </row>
    <row r="1313">
      <c r="A1313" s="6" t="inlineStr">
        <is>
          <t>BN 600</t>
        </is>
      </c>
      <c r="B1313" s="7" t="inlineStr">
        <is>
          <t>Acél oldalfal BN 600 mm</t>
        </is>
      </c>
      <c r="C1313" s="6" t="inlineStr">
        <is>
          <t>Acél profilok</t>
        </is>
      </c>
      <c r="D1313" s="6" t="inlineStr">
        <is>
          <t>Lézerhegesztett acél oldalfalak</t>
        </is>
      </c>
      <c r="E1313" s="6" t="inlineStr">
        <is>
          <t>Fuhrmann</t>
        </is>
      </c>
      <c r="F1313" s="6" t="inlineStr">
        <is>
          <t>BN 600</t>
        </is>
      </c>
      <c r="G1313" s="6" t="inlineStr">
        <is>
          <t>Teljes kínálat</t>
        </is>
      </c>
      <c r="H1313" s="6" t="n">
        <v>1</v>
      </c>
      <c r="I1313" s="6" t="n">
        <v>6</v>
      </c>
      <c r="J1313" s="6" t="inlineStr">
        <is>
          <t>van</t>
        </is>
      </c>
      <c r="K1313" s="6">
        <f>IF(AND(H1313&gt;0,I1313&gt;0),"Rendben",IF(AND(H1313=0,I1313=0),"Nincs kép és adat",IF(H1313=0,"Nincs kép","Nincs adat")))</f>
        <v/>
      </c>
      <c r="L1313" s="6" t="inlineStr">
        <is>
          <t>Igen</t>
        </is>
      </c>
      <c r="M1313" s="7" t="inlineStr">
        <is>
          <t>Fuhrmann teljes kínálata (gyártói katalógus / weboldal)</t>
        </is>
      </c>
      <c r="N1313" s="7" t="inlineStr">
        <is>
          <t>Megtalálva: a beszállító teljes kínálatából felvett termék</t>
        </is>
      </c>
      <c r="O1313" s="11" t="inlineStr">
        <is>
          <t>https://www.fuhrmann.at/de/stbw600.php</t>
        </is>
      </c>
      <c r="P1313" s="11" t="inlineStr">
        <is>
          <t>https://website-9ib.pages.dev/termek/acel-oldalfal-bn-600/</t>
        </is>
      </c>
      <c r="Q1313" s="12" t="inlineStr"/>
      <c r="R1313" s="13" t="inlineStr"/>
      <c r="S1313" s="6" t="inlineStr">
        <is>
          <t>acel-oldalfal-bn-600</t>
        </is>
      </c>
    </row>
    <row r="1314">
      <c r="A1314" s="6" t="inlineStr">
        <is>
          <t>BNKT 400</t>
        </is>
      </c>
      <c r="B1314" s="7" t="inlineStr">
        <is>
          <t>Acél oldalfal BNKT 400 mm</t>
        </is>
      </c>
      <c r="C1314" s="6" t="inlineStr">
        <is>
          <t>Acél profilok</t>
        </is>
      </c>
      <c r="D1314" s="6" t="inlineStr">
        <is>
          <t>Lézerhegesztett acél oldalfalak</t>
        </is>
      </c>
      <c r="E1314" s="6" t="inlineStr">
        <is>
          <t>Fuhrmann</t>
        </is>
      </c>
      <c r="F1314" s="6" t="inlineStr">
        <is>
          <t>BNKT 400</t>
        </is>
      </c>
      <c r="G1314" s="6" t="inlineStr">
        <is>
          <t>Teljes kínálat</t>
        </is>
      </c>
      <c r="H1314" s="6" t="n">
        <v>1</v>
      </c>
      <c r="I1314" s="6" t="n">
        <v>6</v>
      </c>
      <c r="J1314" s="6" t="inlineStr">
        <is>
          <t>van</t>
        </is>
      </c>
      <c r="K1314" s="6">
        <f>IF(AND(H1314&gt;0,I1314&gt;0),"Rendben",IF(AND(H1314=0,I1314=0),"Nincs kép és adat",IF(H1314=0,"Nincs kép","Nincs adat")))</f>
        <v/>
      </c>
      <c r="L1314" s="6" t="inlineStr">
        <is>
          <t>Igen</t>
        </is>
      </c>
      <c r="M1314" s="7" t="inlineStr">
        <is>
          <t>Fuhrmann teljes kínálata (gyártói katalógus / weboldal)</t>
        </is>
      </c>
      <c r="N1314" s="7" t="inlineStr">
        <is>
          <t>Megtalálva: a beszállító teljes kínálatából felvett termék</t>
        </is>
      </c>
      <c r="O1314" s="11" t="inlineStr">
        <is>
          <t>https://www.fuhrmann.at/de/stbw400.php</t>
        </is>
      </c>
      <c r="P1314" s="11" t="inlineStr">
        <is>
          <t>https://website-9ib.pages.dev/termek/acel-oldalfal-bnkt-400/</t>
        </is>
      </c>
      <c r="Q1314" s="12" t="inlineStr"/>
      <c r="R1314" s="13" t="inlineStr"/>
      <c r="S1314" s="6" t="inlineStr">
        <is>
          <t>acel-oldalfal-bnkt-400</t>
        </is>
      </c>
    </row>
    <row r="1315">
      <c r="A1315" s="6" t="inlineStr">
        <is>
          <t>BNS 500</t>
        </is>
      </c>
      <c r="B1315" s="7" t="inlineStr">
        <is>
          <t>Acél oldalfal BNS 500 mm</t>
        </is>
      </c>
      <c r="C1315" s="6" t="inlineStr">
        <is>
          <t>Acél profilok</t>
        </is>
      </c>
      <c r="D1315" s="6" t="inlineStr">
        <is>
          <t>Lézerhegesztett acél oldalfalak</t>
        </is>
      </c>
      <c r="E1315" s="6" t="inlineStr">
        <is>
          <t>Fuhrmann</t>
        </is>
      </c>
      <c r="F1315" s="6" t="inlineStr">
        <is>
          <t>BNS 500</t>
        </is>
      </c>
      <c r="G1315" s="6" t="inlineStr">
        <is>
          <t>Teljes kínálat</t>
        </is>
      </c>
      <c r="H1315" s="6" t="n">
        <v>1</v>
      </c>
      <c r="I1315" s="6" t="n">
        <v>6</v>
      </c>
      <c r="J1315" s="6" t="inlineStr">
        <is>
          <t>van</t>
        </is>
      </c>
      <c r="K1315" s="6">
        <f>IF(AND(H1315&gt;0,I1315&gt;0),"Rendben",IF(AND(H1315=0,I1315=0),"Nincs kép és adat",IF(H1315=0,"Nincs kép","Nincs adat")))</f>
        <v/>
      </c>
      <c r="L1315" s="6" t="inlineStr">
        <is>
          <t>Igen</t>
        </is>
      </c>
      <c r="M1315" s="7" t="inlineStr">
        <is>
          <t>Fuhrmann teljes kínálata (gyártói katalógus / weboldal)</t>
        </is>
      </c>
      <c r="N1315" s="7" t="inlineStr">
        <is>
          <t>Megtalálva: a beszállító teljes kínálatából felvett termék</t>
        </is>
      </c>
      <c r="O1315" s="11" t="inlineStr">
        <is>
          <t>https://www.fuhrmann.at/de/stbw500.php</t>
        </is>
      </c>
      <c r="P1315" s="11" t="inlineStr">
        <is>
          <t>https://website-9ib.pages.dev/termek/acel-oldalfal-bns-500/</t>
        </is>
      </c>
      <c r="Q1315" s="12" t="inlineStr"/>
      <c r="R1315" s="13" t="inlineStr"/>
      <c r="S1315" s="6" t="inlineStr">
        <is>
          <t>acel-oldalfal-bns-500</t>
        </is>
      </c>
    </row>
    <row r="1316">
      <c r="A1316" s="6" t="inlineStr">
        <is>
          <t>BNS 600</t>
        </is>
      </c>
      <c r="B1316" s="7" t="inlineStr">
        <is>
          <t>Acél oldalfal BNS 600 mm</t>
        </is>
      </c>
      <c r="C1316" s="6" t="inlineStr">
        <is>
          <t>Acél profilok</t>
        </is>
      </c>
      <c r="D1316" s="6" t="inlineStr">
        <is>
          <t>Lézerhegesztett acél oldalfalak</t>
        </is>
      </c>
      <c r="E1316" s="6" t="inlineStr">
        <is>
          <t>Fuhrmann</t>
        </is>
      </c>
      <c r="F1316" s="6" t="inlineStr">
        <is>
          <t>BNS 600</t>
        </is>
      </c>
      <c r="G1316" s="6" t="inlineStr">
        <is>
          <t>Teljes kínálat</t>
        </is>
      </c>
      <c r="H1316" s="6" t="n">
        <v>1</v>
      </c>
      <c r="I1316" s="6" t="n">
        <v>6</v>
      </c>
      <c r="J1316" s="6" t="inlineStr">
        <is>
          <t>van</t>
        </is>
      </c>
      <c r="K1316" s="6">
        <f>IF(AND(H1316&gt;0,I1316&gt;0),"Rendben",IF(AND(H1316=0,I1316=0),"Nincs kép és adat",IF(H1316=0,"Nincs kép","Nincs adat")))</f>
        <v/>
      </c>
      <c r="L1316" s="6" t="inlineStr">
        <is>
          <t>Igen</t>
        </is>
      </c>
      <c r="M1316" s="7" t="inlineStr">
        <is>
          <t>Fuhrmann teljes kínálata (gyártói katalógus / weboldal)</t>
        </is>
      </c>
      <c r="N1316" s="7" t="inlineStr">
        <is>
          <t>Megtalálva: a beszállító teljes kínálatából felvett termék</t>
        </is>
      </c>
      <c r="O1316" s="11" t="inlineStr">
        <is>
          <t>https://www.fuhrmann.at/de/stbw600.php</t>
        </is>
      </c>
      <c r="P1316" s="11" t="inlineStr">
        <is>
          <t>https://website-9ib.pages.dev/termek/acel-oldalfal-bns-600/</t>
        </is>
      </c>
      <c r="Q1316" s="12" t="inlineStr"/>
      <c r="R1316" s="13" t="inlineStr"/>
      <c r="S1316" s="6" t="inlineStr">
        <is>
          <t>acel-oldalfal-bns-600</t>
        </is>
      </c>
    </row>
    <row r="1317">
      <c r="A1317" s="6" t="inlineStr">
        <is>
          <t>BNSKT 400</t>
        </is>
      </c>
      <c r="B1317" s="7" t="inlineStr">
        <is>
          <t>Acél oldalfal BNSKT 400 mm</t>
        </is>
      </c>
      <c r="C1317" s="6" t="inlineStr">
        <is>
          <t>Acél profilok</t>
        </is>
      </c>
      <c r="D1317" s="6" t="inlineStr">
        <is>
          <t>Lézerhegesztett acél oldalfalak</t>
        </is>
      </c>
      <c r="E1317" s="6" t="inlineStr">
        <is>
          <t>Fuhrmann</t>
        </is>
      </c>
      <c r="F1317" s="6" t="inlineStr">
        <is>
          <t>BNSKT 400</t>
        </is>
      </c>
      <c r="G1317" s="6" t="inlineStr">
        <is>
          <t>Teljes kínálat</t>
        </is>
      </c>
      <c r="H1317" s="6" t="n">
        <v>1</v>
      </c>
      <c r="I1317" s="6" t="n">
        <v>6</v>
      </c>
      <c r="J1317" s="6" t="inlineStr">
        <is>
          <t>van</t>
        </is>
      </c>
      <c r="K1317" s="6">
        <f>IF(AND(H1317&gt;0,I1317&gt;0),"Rendben",IF(AND(H1317=0,I1317=0),"Nincs kép és adat",IF(H1317=0,"Nincs kép","Nincs adat")))</f>
        <v/>
      </c>
      <c r="L1317" s="6" t="inlineStr">
        <is>
          <t>Igen</t>
        </is>
      </c>
      <c r="M1317" s="7" t="inlineStr">
        <is>
          <t>Fuhrmann teljes kínálata (gyártói katalógus / weboldal)</t>
        </is>
      </c>
      <c r="N1317" s="7" t="inlineStr">
        <is>
          <t>Megtalálva: a beszállító teljes kínálatából felvett termék</t>
        </is>
      </c>
      <c r="O1317" s="11" t="inlineStr">
        <is>
          <t>https://www.fuhrmann.at/de/stbw400.php</t>
        </is>
      </c>
      <c r="P1317" s="11" t="inlineStr">
        <is>
          <t>https://website-9ib.pages.dev/termek/acel-oldalfal-bnskt-400/</t>
        </is>
      </c>
      <c r="Q1317" s="12" t="inlineStr"/>
      <c r="R1317" s="13" t="inlineStr"/>
      <c r="S1317" s="6" t="inlineStr">
        <is>
          <t>acel-oldalfal-bnskt-400</t>
        </is>
      </c>
    </row>
    <row r="1318">
      <c r="A1318" s="6" t="inlineStr">
        <is>
          <t>BNTT 800</t>
        </is>
      </c>
      <c r="B1318" s="7" t="inlineStr">
        <is>
          <t>Acél oldalfal BNTT 800 mm</t>
        </is>
      </c>
      <c r="C1318" s="6" t="inlineStr">
        <is>
          <t>Acél profilok</t>
        </is>
      </c>
      <c r="D1318" s="6" t="inlineStr">
        <is>
          <t>Lézerhegesztett acél oldalfalak</t>
        </is>
      </c>
      <c r="E1318" s="6" t="inlineStr">
        <is>
          <t>Fuhrmann</t>
        </is>
      </c>
      <c r="F1318" s="6" t="inlineStr">
        <is>
          <t>BNTT 800</t>
        </is>
      </c>
      <c r="G1318" s="6" t="inlineStr">
        <is>
          <t>Teljes kínálat</t>
        </is>
      </c>
      <c r="H1318" s="6" t="n">
        <v>1</v>
      </c>
      <c r="I1318" s="6" t="n">
        <v>6</v>
      </c>
      <c r="J1318" s="6" t="inlineStr">
        <is>
          <t>van</t>
        </is>
      </c>
      <c r="K1318" s="6">
        <f>IF(AND(H1318&gt;0,I1318&gt;0),"Rendben",IF(AND(H1318=0,I1318=0),"Nincs kép és adat",IF(H1318=0,"Nincs kép","Nincs adat")))</f>
        <v/>
      </c>
      <c r="L1318" s="6" t="inlineStr">
        <is>
          <t>Igen</t>
        </is>
      </c>
      <c r="M1318" s="7" t="inlineStr">
        <is>
          <t>Fuhrmann teljes kínálata (gyártói katalógus / weboldal)</t>
        </is>
      </c>
      <c r="N1318" s="7" t="inlineStr">
        <is>
          <t>Megtalálva: a beszállító teljes kínálatából felvett termék</t>
        </is>
      </c>
      <c r="O1318" s="11" t="inlineStr">
        <is>
          <t>https://www.fuhrmann.at/de/stbw800.php</t>
        </is>
      </c>
      <c r="P1318" s="11" t="inlineStr">
        <is>
          <t>https://website-9ib.pages.dev/termek/acel-oldalfal-bntt-800/</t>
        </is>
      </c>
      <c r="Q1318" s="12" t="inlineStr"/>
      <c r="R1318" s="13" t="inlineStr"/>
      <c r="S1318" s="6" t="inlineStr">
        <is>
          <t>acel-oldalfal-bntt-800</t>
        </is>
      </c>
    </row>
    <row r="1319">
      <c r="A1319" s="6" t="inlineStr">
        <is>
          <t>BTT 800</t>
        </is>
      </c>
      <c r="B1319" s="7" t="inlineStr">
        <is>
          <t>Acél oldalfal BTT 800 mm</t>
        </is>
      </c>
      <c r="C1319" s="6" t="inlineStr">
        <is>
          <t>Acél profilok</t>
        </is>
      </c>
      <c r="D1319" s="6" t="inlineStr">
        <is>
          <t>Lézerhegesztett acél oldalfalak</t>
        </is>
      </c>
      <c r="E1319" s="6" t="inlineStr">
        <is>
          <t>Fuhrmann</t>
        </is>
      </c>
      <c r="F1319" s="6" t="inlineStr">
        <is>
          <t>BTT 800</t>
        </is>
      </c>
      <c r="G1319" s="6" t="inlineStr">
        <is>
          <t>Teljes kínálat</t>
        </is>
      </c>
      <c r="H1319" s="6" t="n">
        <v>1</v>
      </c>
      <c r="I1319" s="6" t="n">
        <v>6</v>
      </c>
      <c r="J1319" s="6" t="inlineStr">
        <is>
          <t>van</t>
        </is>
      </c>
      <c r="K1319" s="6">
        <f>IF(AND(H1319&gt;0,I1319&gt;0),"Rendben",IF(AND(H1319=0,I1319=0),"Nincs kép és adat",IF(H1319=0,"Nincs kép","Nincs adat")))</f>
        <v/>
      </c>
      <c r="L1319" s="6" t="inlineStr">
        <is>
          <t>Igen</t>
        </is>
      </c>
      <c r="M1319" s="7" t="inlineStr">
        <is>
          <t>Fuhrmann teljes kínálata (gyártói katalógus / weboldal)</t>
        </is>
      </c>
      <c r="N1319" s="7" t="inlineStr">
        <is>
          <t>Megtalálva: a beszállító teljes kínálatából felvett termék</t>
        </is>
      </c>
      <c r="O1319" s="11" t="inlineStr">
        <is>
          <t>https://www.fuhrmann.at/de/stbw800.php</t>
        </is>
      </c>
      <c r="P1319" s="11" t="inlineStr">
        <is>
          <t>https://website-9ib.pages.dev/termek/acel-oldalfal-btt-800/</t>
        </is>
      </c>
      <c r="Q1319" s="12" t="inlineStr"/>
      <c r="R1319" s="13" t="inlineStr"/>
      <c r="S1319" s="6" t="inlineStr">
        <is>
          <t>acel-oldalfal-btt-800</t>
        </is>
      </c>
    </row>
    <row r="1320">
      <c r="A1320" s="6" t="inlineStr">
        <is>
          <t>FHD 600</t>
        </is>
      </c>
      <c r="B1320" s="7" t="inlineStr">
        <is>
          <t>Acél oldalfal FHD 600 mm</t>
        </is>
      </c>
      <c r="C1320" s="6" t="inlineStr">
        <is>
          <t>Acél profilok</t>
        </is>
      </c>
      <c r="D1320" s="6" t="inlineStr">
        <is>
          <t>Heavy Duty acél oldalfalak</t>
        </is>
      </c>
      <c r="E1320" s="6" t="inlineStr">
        <is>
          <t>Fuhrmann</t>
        </is>
      </c>
      <c r="F1320" s="6" t="inlineStr">
        <is>
          <t>FHD 600</t>
        </is>
      </c>
      <c r="G1320" s="6" t="inlineStr">
        <is>
          <t>Teljes kínálat</t>
        </is>
      </c>
      <c r="H1320" s="6" t="n">
        <v>1</v>
      </c>
      <c r="I1320" s="6" t="n">
        <v>5</v>
      </c>
      <c r="J1320" s="6" t="inlineStr">
        <is>
          <t>van</t>
        </is>
      </c>
      <c r="K1320" s="6">
        <f>IF(AND(H1320&gt;0,I1320&gt;0),"Rendben",IF(AND(H1320=0,I1320=0),"Nincs kép és adat",IF(H1320=0,"Nincs kép","Nincs adat")))</f>
        <v/>
      </c>
      <c r="L1320" s="6" t="inlineStr">
        <is>
          <t>Igen</t>
        </is>
      </c>
      <c r="M1320" s="7" t="inlineStr">
        <is>
          <t>Fuhrmann teljes kínálata (gyártói katalógus / weboldal)</t>
        </is>
      </c>
      <c r="N1320" s="7" t="inlineStr">
        <is>
          <t>Megtalálva: a beszállító teljes kínálatából felvett termék</t>
        </is>
      </c>
      <c r="O1320" s="11" t="inlineStr">
        <is>
          <t>https://www.fuhrmann.at/de/stbwfhd.php</t>
        </is>
      </c>
      <c r="P1320" s="11" t="inlineStr">
        <is>
          <t>https://website-9ib.pages.dev/termek/acel-oldalfal-fhd-600/</t>
        </is>
      </c>
      <c r="Q1320" s="12" t="inlineStr"/>
      <c r="R1320" s="13" t="inlineStr"/>
      <c r="S1320" s="6" t="inlineStr">
        <is>
          <t>acel-oldalfal-fhd-600</t>
        </is>
      </c>
    </row>
    <row r="1321">
      <c r="A1321" s="6" t="inlineStr">
        <is>
          <t>FHD 800</t>
        </is>
      </c>
      <c r="B1321" s="7" t="inlineStr">
        <is>
          <t>Acél oldalfal FHD 800 mm</t>
        </is>
      </c>
      <c r="C1321" s="6" t="inlineStr">
        <is>
          <t>Acél profilok</t>
        </is>
      </c>
      <c r="D1321" s="6" t="inlineStr">
        <is>
          <t>Heavy Duty acél oldalfalak</t>
        </is>
      </c>
      <c r="E1321" s="6" t="inlineStr">
        <is>
          <t>Fuhrmann</t>
        </is>
      </c>
      <c r="F1321" s="6" t="inlineStr">
        <is>
          <t>FHD 800</t>
        </is>
      </c>
      <c r="G1321" s="6" t="inlineStr">
        <is>
          <t>Teljes kínálat</t>
        </is>
      </c>
      <c r="H1321" s="6" t="n">
        <v>1</v>
      </c>
      <c r="I1321" s="6" t="n">
        <v>5</v>
      </c>
      <c r="J1321" s="6" t="inlineStr">
        <is>
          <t>van</t>
        </is>
      </c>
      <c r="K1321" s="6">
        <f>IF(AND(H1321&gt;0,I1321&gt;0),"Rendben",IF(AND(H1321=0,I1321=0),"Nincs kép és adat",IF(H1321=0,"Nincs kép","Nincs adat")))</f>
        <v/>
      </c>
      <c r="L1321" s="6" t="inlineStr">
        <is>
          <t>Igen</t>
        </is>
      </c>
      <c r="M1321" s="7" t="inlineStr">
        <is>
          <t>Fuhrmann teljes kínálata (gyártói katalógus / weboldal)</t>
        </is>
      </c>
      <c r="N1321" s="7" t="inlineStr">
        <is>
          <t>Megtalálva: a beszállító teljes kínálatából felvett termék</t>
        </is>
      </c>
      <c r="O1321" s="11" t="inlineStr">
        <is>
          <t>https://www.fuhrmann.at/de/stbwfhd.php</t>
        </is>
      </c>
      <c r="P1321" s="11" t="inlineStr">
        <is>
          <t>https://website-9ib.pages.dev/termek/acel-oldalfal-fhd-800/</t>
        </is>
      </c>
      <c r="Q1321" s="12" t="inlineStr"/>
      <c r="R1321" s="13" t="inlineStr"/>
      <c r="S1321" s="6" t="inlineStr">
        <is>
          <t>acel-oldalfal-fhd-800</t>
        </is>
      </c>
    </row>
    <row r="1322">
      <c r="A1322" s="6" t="inlineStr">
        <is>
          <t>FOX-ROCK HEAVY</t>
        </is>
      </c>
      <c r="B1322" s="7" t="inlineStr">
        <is>
          <t>Acél oldalfal FOX-ROCK HEAVY</t>
        </is>
      </c>
      <c r="C1322" s="6" t="inlineStr">
        <is>
          <t>Acél profilok</t>
        </is>
      </c>
      <c r="D1322" s="6" t="inlineStr">
        <is>
          <t>Heavy Duty acél oldalfalak</t>
        </is>
      </c>
      <c r="E1322" s="6" t="inlineStr">
        <is>
          <t>Fuhrmann</t>
        </is>
      </c>
      <c r="F1322" s="6" t="inlineStr">
        <is>
          <t>FOX-ROCK HEAVY</t>
        </is>
      </c>
      <c r="G1322" s="6" t="inlineStr">
        <is>
          <t>Teljes kínálat</t>
        </is>
      </c>
      <c r="H1322" s="6" t="n">
        <v>1</v>
      </c>
      <c r="I1322" s="6" t="n">
        <v>6</v>
      </c>
      <c r="J1322" s="6" t="inlineStr">
        <is>
          <t>van</t>
        </is>
      </c>
      <c r="K1322" s="6">
        <f>IF(AND(H1322&gt;0,I1322&gt;0),"Rendben",IF(AND(H1322=0,I1322=0),"Nincs kép és adat",IF(H1322=0,"Nincs kép","Nincs adat")))</f>
        <v/>
      </c>
      <c r="L1322" s="6" t="inlineStr">
        <is>
          <t>Igen</t>
        </is>
      </c>
      <c r="M1322" s="7" t="inlineStr">
        <is>
          <t>Fuhrmann teljes kínálata (gyártói katalógus / weboldal)</t>
        </is>
      </c>
      <c r="N1322" s="7" t="inlineStr">
        <is>
          <t>Megtalálva: a beszállító teljes kínálatából felvett termék</t>
        </is>
      </c>
      <c r="O1322" s="11" t="inlineStr">
        <is>
          <t>https://www.fuhrmann.at/de/foxrock.php</t>
        </is>
      </c>
      <c r="P1322" s="11" t="inlineStr">
        <is>
          <t>https://website-9ib.pages.dev/termek/acel-oldalfal-fox-rock-heavy/</t>
        </is>
      </c>
      <c r="Q1322" s="12" t="inlineStr"/>
      <c r="R1322" s="13" t="inlineStr"/>
      <c r="S1322" s="6" t="inlineStr">
        <is>
          <t>acel-oldalfal-fox-rock-heavy</t>
        </is>
      </c>
    </row>
    <row r="1323">
      <c r="A1323" s="6" t="inlineStr">
        <is>
          <t>FOX-ROCK LIGHT</t>
        </is>
      </c>
      <c r="B1323" s="7" t="inlineStr">
        <is>
          <t>Acél oldalfal FOX-ROCK LIGHT</t>
        </is>
      </c>
      <c r="C1323" s="6" t="inlineStr">
        <is>
          <t>Acél profilok</t>
        </is>
      </c>
      <c r="D1323" s="6" t="inlineStr">
        <is>
          <t>Heavy Duty acél oldalfalak</t>
        </is>
      </c>
      <c r="E1323" s="6" t="inlineStr">
        <is>
          <t>Fuhrmann</t>
        </is>
      </c>
      <c r="F1323" s="6" t="inlineStr">
        <is>
          <t>FOX-ROCK LIGHT</t>
        </is>
      </c>
      <c r="G1323" s="6" t="inlineStr">
        <is>
          <t>Teljes kínálat</t>
        </is>
      </c>
      <c r="H1323" s="6" t="n">
        <v>1</v>
      </c>
      <c r="I1323" s="6" t="n">
        <v>6</v>
      </c>
      <c r="J1323" s="6" t="inlineStr">
        <is>
          <t>van</t>
        </is>
      </c>
      <c r="K1323" s="6">
        <f>IF(AND(H1323&gt;0,I1323&gt;0),"Rendben",IF(AND(H1323=0,I1323=0),"Nincs kép és adat",IF(H1323=0,"Nincs kép","Nincs adat")))</f>
        <v/>
      </c>
      <c r="L1323" s="6" t="inlineStr">
        <is>
          <t>Igen</t>
        </is>
      </c>
      <c r="M1323" s="7" t="inlineStr">
        <is>
          <t>Fuhrmann teljes kínálata (gyártói katalógus / weboldal)</t>
        </is>
      </c>
      <c r="N1323" s="7" t="inlineStr">
        <is>
          <t>Megtalálva: a beszállító teljes kínálatából felvett termék</t>
        </is>
      </c>
      <c r="O1323" s="11" t="inlineStr">
        <is>
          <t>https://www.fuhrmann.at/de/foxrock.php</t>
        </is>
      </c>
      <c r="P1323" s="11" t="inlineStr">
        <is>
          <t>https://website-9ib.pages.dev/termek/acel-oldalfal-fox-rock-light/</t>
        </is>
      </c>
      <c r="Q1323" s="12" t="inlineStr"/>
      <c r="R1323" s="13" t="inlineStr"/>
      <c r="S1323" s="6" t="inlineStr">
        <is>
          <t>acel-oldalfal-fox-rock-light</t>
        </is>
      </c>
    </row>
    <row r="1324">
      <c r="A1324" s="6" t="inlineStr">
        <is>
          <t>FOXB 1000</t>
        </is>
      </c>
      <c r="B1324" s="7" t="inlineStr">
        <is>
          <t>Acél oldalfal FOXB 1000 mm</t>
        </is>
      </c>
      <c r="C1324" s="6" t="inlineStr">
        <is>
          <t>Acél profilok</t>
        </is>
      </c>
      <c r="D1324" s="6" t="inlineStr">
        <is>
          <t>Heavy Duty acél oldalfalak</t>
        </is>
      </c>
      <c r="E1324" s="6" t="inlineStr">
        <is>
          <t>Fuhrmann</t>
        </is>
      </c>
      <c r="F1324" s="6" t="inlineStr">
        <is>
          <t>FOXB 1000</t>
        </is>
      </c>
      <c r="G1324" s="6" t="inlineStr">
        <is>
          <t>Teljes kínálat</t>
        </is>
      </c>
      <c r="H1324" s="6" t="n">
        <v>1</v>
      </c>
      <c r="I1324" s="6" t="n">
        <v>5</v>
      </c>
      <c r="J1324" s="6" t="inlineStr">
        <is>
          <t>van</t>
        </is>
      </c>
      <c r="K1324" s="6">
        <f>IF(AND(H1324&gt;0,I1324&gt;0),"Rendben",IF(AND(H1324=0,I1324=0),"Nincs kép és adat",IF(H1324=0,"Nincs kép","Nincs adat")))</f>
        <v/>
      </c>
      <c r="L1324" s="6" t="inlineStr">
        <is>
          <t>Igen</t>
        </is>
      </c>
      <c r="M1324" s="7" t="inlineStr">
        <is>
          <t>Fuhrmann teljes kínálata (gyártói katalógus / weboldal)</t>
        </is>
      </c>
      <c r="N1324" s="7" t="inlineStr">
        <is>
          <t>Megtalálva: a beszállító teljes kínálatából felvett termék</t>
        </is>
      </c>
      <c r="O1324" s="11" t="inlineStr">
        <is>
          <t>https://www.fuhrmann.at/de/stbwfox.php</t>
        </is>
      </c>
      <c r="P1324" s="11" t="inlineStr">
        <is>
          <t>https://website-9ib.pages.dev/termek/acel-oldalfal-foxb-1000/</t>
        </is>
      </c>
      <c r="Q1324" s="12" t="inlineStr"/>
      <c r="R1324" s="13" t="inlineStr"/>
      <c r="S1324" s="6" t="inlineStr">
        <is>
          <t>acel-oldalfal-foxb-1000</t>
        </is>
      </c>
    </row>
    <row r="1325">
      <c r="A1325" s="6" t="inlineStr">
        <is>
          <t>FOXB 600</t>
        </is>
      </c>
      <c r="B1325" s="7" t="inlineStr">
        <is>
          <t>Acél oldalfal FOXB 600 mm</t>
        </is>
      </c>
      <c r="C1325" s="6" t="inlineStr">
        <is>
          <t>Acél profilok</t>
        </is>
      </c>
      <c r="D1325" s="6" t="inlineStr">
        <is>
          <t>Heavy Duty acél oldalfalak</t>
        </is>
      </c>
      <c r="E1325" s="6" t="inlineStr">
        <is>
          <t>Fuhrmann</t>
        </is>
      </c>
      <c r="F1325" s="6" t="inlineStr">
        <is>
          <t>FOXB 600</t>
        </is>
      </c>
      <c r="G1325" s="6" t="inlineStr">
        <is>
          <t>Teljes kínálat</t>
        </is>
      </c>
      <c r="H1325" s="6" t="n">
        <v>1</v>
      </c>
      <c r="I1325" s="6" t="n">
        <v>5</v>
      </c>
      <c r="J1325" s="6" t="inlineStr">
        <is>
          <t>van</t>
        </is>
      </c>
      <c r="K1325" s="6">
        <f>IF(AND(H1325&gt;0,I1325&gt;0),"Rendben",IF(AND(H1325=0,I1325=0),"Nincs kép és adat",IF(H1325=0,"Nincs kép","Nincs adat")))</f>
        <v/>
      </c>
      <c r="L1325" s="6" t="inlineStr">
        <is>
          <t>Igen</t>
        </is>
      </c>
      <c r="M1325" s="7" t="inlineStr">
        <is>
          <t>Fuhrmann teljes kínálata (gyártói katalógus / weboldal)</t>
        </is>
      </c>
      <c r="N1325" s="7" t="inlineStr">
        <is>
          <t>Megtalálva: a beszállító teljes kínálatából felvett termék</t>
        </is>
      </c>
      <c r="O1325" s="11" t="inlineStr">
        <is>
          <t>https://www.fuhrmann.at/de/stbwfox.php</t>
        </is>
      </c>
      <c r="P1325" s="11" t="inlineStr">
        <is>
          <t>https://website-9ib.pages.dev/termek/acel-oldalfal-foxb-600/</t>
        </is>
      </c>
      <c r="Q1325" s="12" t="inlineStr"/>
      <c r="R1325" s="13" t="inlineStr"/>
      <c r="S1325" s="6" t="inlineStr">
        <is>
          <t>acel-oldalfal-foxb-600</t>
        </is>
      </c>
    </row>
    <row r="1326">
      <c r="A1326" s="6" t="inlineStr">
        <is>
          <t>FOXB 700</t>
        </is>
      </c>
      <c r="B1326" s="7" t="inlineStr">
        <is>
          <t>Acél oldalfal FOXB 700 mm</t>
        </is>
      </c>
      <c r="C1326" s="6" t="inlineStr">
        <is>
          <t>Acél profilok</t>
        </is>
      </c>
      <c r="D1326" s="6" t="inlineStr">
        <is>
          <t>Heavy Duty acél oldalfalak</t>
        </is>
      </c>
      <c r="E1326" s="6" t="inlineStr">
        <is>
          <t>Fuhrmann</t>
        </is>
      </c>
      <c r="F1326" s="6" t="inlineStr">
        <is>
          <t>FOXB 700</t>
        </is>
      </c>
      <c r="G1326" s="6" t="inlineStr">
        <is>
          <t>Teljes kínálat</t>
        </is>
      </c>
      <c r="H1326" s="6" t="n">
        <v>1</v>
      </c>
      <c r="I1326" s="6" t="n">
        <v>5</v>
      </c>
      <c r="J1326" s="6" t="inlineStr">
        <is>
          <t>van</t>
        </is>
      </c>
      <c r="K1326" s="6">
        <f>IF(AND(H1326&gt;0,I1326&gt;0),"Rendben",IF(AND(H1326=0,I1326=0),"Nincs kép és adat",IF(H1326=0,"Nincs kép","Nincs adat")))</f>
        <v/>
      </c>
      <c r="L1326" s="6" t="inlineStr">
        <is>
          <t>Igen</t>
        </is>
      </c>
      <c r="M1326" s="7" t="inlineStr">
        <is>
          <t>Fuhrmann teljes kínálata (gyártói katalógus / weboldal)</t>
        </is>
      </c>
      <c r="N1326" s="7" t="inlineStr">
        <is>
          <t>Megtalálva: a beszállító teljes kínálatából felvett termék</t>
        </is>
      </c>
      <c r="O1326" s="11" t="inlineStr">
        <is>
          <t>https://www.fuhrmann.at/de/stbwfox.php</t>
        </is>
      </c>
      <c r="P1326" s="11" t="inlineStr">
        <is>
          <t>https://website-9ib.pages.dev/termek/acel-oldalfal-foxb-700/</t>
        </is>
      </c>
      <c r="Q1326" s="12" t="inlineStr"/>
      <c r="R1326" s="13" t="inlineStr"/>
      <c r="S1326" s="6" t="inlineStr">
        <is>
          <t>acel-oldalfal-foxb-700</t>
        </is>
      </c>
    </row>
    <row r="1327">
      <c r="A1327" s="6" t="inlineStr">
        <is>
          <t>FOXB 800</t>
        </is>
      </c>
      <c r="B1327" s="7" t="inlineStr">
        <is>
          <t>Acél oldalfal FOXB 800 mm</t>
        </is>
      </c>
      <c r="C1327" s="6" t="inlineStr">
        <is>
          <t>Acél profilok</t>
        </is>
      </c>
      <c r="D1327" s="6" t="inlineStr">
        <is>
          <t>Heavy Duty acél oldalfalak</t>
        </is>
      </c>
      <c r="E1327" s="6" t="inlineStr">
        <is>
          <t>Fuhrmann</t>
        </is>
      </c>
      <c r="F1327" s="6" t="inlineStr">
        <is>
          <t>FOXB 800</t>
        </is>
      </c>
      <c r="G1327" s="6" t="inlineStr">
        <is>
          <t>Teljes kínálat</t>
        </is>
      </c>
      <c r="H1327" s="6" t="n">
        <v>1</v>
      </c>
      <c r="I1327" s="6" t="n">
        <v>5</v>
      </c>
      <c r="J1327" s="6" t="inlineStr">
        <is>
          <t>van</t>
        </is>
      </c>
      <c r="K1327" s="6">
        <f>IF(AND(H1327&gt;0,I1327&gt;0),"Rendben",IF(AND(H1327=0,I1327=0),"Nincs kép és adat",IF(H1327=0,"Nincs kép","Nincs adat")))</f>
        <v/>
      </c>
      <c r="L1327" s="6" t="inlineStr">
        <is>
          <t>Igen</t>
        </is>
      </c>
      <c r="M1327" s="7" t="inlineStr">
        <is>
          <t>Fuhrmann teljes kínálata (gyártói katalógus / weboldal)</t>
        </is>
      </c>
      <c r="N1327" s="7" t="inlineStr">
        <is>
          <t>Megtalálva: a beszállító teljes kínálatából felvett termék</t>
        </is>
      </c>
      <c r="O1327" s="11" t="inlineStr">
        <is>
          <t>https://www.fuhrmann.at/de/stbwfox.php</t>
        </is>
      </c>
      <c r="P1327" s="11" t="inlineStr">
        <is>
          <t>https://website-9ib.pages.dev/termek/acel-oldalfal-foxb-800/</t>
        </is>
      </c>
      <c r="Q1327" s="12" t="inlineStr"/>
      <c r="R1327" s="13" t="inlineStr"/>
      <c r="S1327" s="6" t="inlineStr">
        <is>
          <t>acel-oldalfal-foxb-800</t>
        </is>
      </c>
    </row>
    <row r="1328">
      <c r="A1328" s="6" t="inlineStr">
        <is>
          <t>FOXB 900</t>
        </is>
      </c>
      <c r="B1328" s="7" t="inlineStr">
        <is>
          <t>Acél oldalfal FOXB 900 mm</t>
        </is>
      </c>
      <c r="C1328" s="6" t="inlineStr">
        <is>
          <t>Acél profilok</t>
        </is>
      </c>
      <c r="D1328" s="6" t="inlineStr">
        <is>
          <t>Heavy Duty acél oldalfalak</t>
        </is>
      </c>
      <c r="E1328" s="6" t="inlineStr">
        <is>
          <t>Fuhrmann</t>
        </is>
      </c>
      <c r="F1328" s="6" t="inlineStr">
        <is>
          <t>FOXB 900</t>
        </is>
      </c>
      <c r="G1328" s="6" t="inlineStr">
        <is>
          <t>Teljes kínálat</t>
        </is>
      </c>
      <c r="H1328" s="6" t="n">
        <v>1</v>
      </c>
      <c r="I1328" s="6" t="n">
        <v>5</v>
      </c>
      <c r="J1328" s="6" t="inlineStr">
        <is>
          <t>van</t>
        </is>
      </c>
      <c r="K1328" s="6">
        <f>IF(AND(H1328&gt;0,I1328&gt;0),"Rendben",IF(AND(H1328=0,I1328=0),"Nincs kép és adat",IF(H1328=0,"Nincs kép","Nincs adat")))</f>
        <v/>
      </c>
      <c r="L1328" s="6" t="inlineStr">
        <is>
          <t>Igen</t>
        </is>
      </c>
      <c r="M1328" s="7" t="inlineStr">
        <is>
          <t>Fuhrmann teljes kínálata (gyártói katalógus / weboldal)</t>
        </is>
      </c>
      <c r="N1328" s="7" t="inlineStr">
        <is>
          <t>Megtalálva: a beszállító teljes kínálatából felvett termék</t>
        </is>
      </c>
      <c r="O1328" s="11" t="inlineStr">
        <is>
          <t>https://www.fuhrmann.at/de/stbwfox.php</t>
        </is>
      </c>
      <c r="P1328" s="11" t="inlineStr">
        <is>
          <t>https://website-9ib.pages.dev/termek/acel-oldalfal-foxb-900/</t>
        </is>
      </c>
      <c r="Q1328" s="12" t="inlineStr"/>
      <c r="R1328" s="13" t="inlineStr"/>
      <c r="S1328" s="6" t="inlineStr">
        <is>
          <t>acel-oldalfal-foxb-900</t>
        </is>
      </c>
    </row>
    <row r="1329">
      <c r="A1329" s="6" t="inlineStr">
        <is>
          <t>FOXHV 1000</t>
        </is>
      </c>
      <c r="B1329" s="7" t="inlineStr">
        <is>
          <t>Acél oldalfal FOXHV 1000 mm</t>
        </is>
      </c>
      <c r="C1329" s="6" t="inlineStr">
        <is>
          <t>Acél profilok</t>
        </is>
      </c>
      <c r="D1329" s="6" t="inlineStr">
        <is>
          <t>Heavy Duty acél oldalfalak</t>
        </is>
      </c>
      <c r="E1329" s="6" t="inlineStr">
        <is>
          <t>Fuhrmann</t>
        </is>
      </c>
      <c r="F1329" s="6" t="inlineStr">
        <is>
          <t>FOXHV 1000</t>
        </is>
      </c>
      <c r="G1329" s="6" t="inlineStr">
        <is>
          <t>Teljes kínálat</t>
        </is>
      </c>
      <c r="H1329" s="6" t="n">
        <v>1</v>
      </c>
      <c r="I1329" s="6" t="n">
        <v>5</v>
      </c>
      <c r="J1329" s="6" t="inlineStr">
        <is>
          <t>van</t>
        </is>
      </c>
      <c r="K1329" s="6">
        <f>IF(AND(H1329&gt;0,I1329&gt;0),"Rendben",IF(AND(H1329=0,I1329=0),"Nincs kép és adat",IF(H1329=0,"Nincs kép","Nincs adat")))</f>
        <v/>
      </c>
      <c r="L1329" s="6" t="inlineStr">
        <is>
          <t>Igen</t>
        </is>
      </c>
      <c r="M1329" s="7" t="inlineStr">
        <is>
          <t>Fuhrmann teljes kínálata (gyártói katalógus / weboldal)</t>
        </is>
      </c>
      <c r="N1329" s="7" t="inlineStr">
        <is>
          <t>Megtalálva: a beszállító teljes kínálatából felvett termék</t>
        </is>
      </c>
      <c r="O1329" s="11" t="inlineStr">
        <is>
          <t>https://www.fuhrmann.at/de/stbwfox.php</t>
        </is>
      </c>
      <c r="P1329" s="11" t="inlineStr">
        <is>
          <t>https://website-9ib.pages.dev/termek/acel-oldalfal-foxhv-1000/</t>
        </is>
      </c>
      <c r="Q1329" s="12" t="inlineStr"/>
      <c r="R1329" s="13" t="inlineStr"/>
      <c r="S1329" s="6" t="inlineStr">
        <is>
          <t>acel-oldalfal-foxhv-1000</t>
        </is>
      </c>
    </row>
    <row r="1330">
      <c r="A1330" s="6" t="inlineStr">
        <is>
          <t>FOXHV 600</t>
        </is>
      </c>
      <c r="B1330" s="7" t="inlineStr">
        <is>
          <t>Acél oldalfal FOXHV 600 mm</t>
        </is>
      </c>
      <c r="C1330" s="6" t="inlineStr">
        <is>
          <t>Acél profilok</t>
        </is>
      </c>
      <c r="D1330" s="6" t="inlineStr">
        <is>
          <t>Heavy Duty acél oldalfalak</t>
        </is>
      </c>
      <c r="E1330" s="6" t="inlineStr">
        <is>
          <t>Fuhrmann</t>
        </is>
      </c>
      <c r="F1330" s="6" t="inlineStr">
        <is>
          <t>FOXHV 600</t>
        </is>
      </c>
      <c r="G1330" s="6" t="inlineStr">
        <is>
          <t>Teljes kínálat</t>
        </is>
      </c>
      <c r="H1330" s="6" t="n">
        <v>1</v>
      </c>
      <c r="I1330" s="6" t="n">
        <v>5</v>
      </c>
      <c r="J1330" s="6" t="inlineStr">
        <is>
          <t>van</t>
        </is>
      </c>
      <c r="K1330" s="6">
        <f>IF(AND(H1330&gt;0,I1330&gt;0),"Rendben",IF(AND(H1330=0,I1330=0),"Nincs kép és adat",IF(H1330=0,"Nincs kép","Nincs adat")))</f>
        <v/>
      </c>
      <c r="L1330" s="6" t="inlineStr">
        <is>
          <t>Igen</t>
        </is>
      </c>
      <c r="M1330" s="7" t="inlineStr">
        <is>
          <t>Fuhrmann teljes kínálata (gyártói katalógus / weboldal)</t>
        </is>
      </c>
      <c r="N1330" s="7" t="inlineStr">
        <is>
          <t>Megtalálva: a beszállító teljes kínálatából felvett termék</t>
        </is>
      </c>
      <c r="O1330" s="11" t="inlineStr">
        <is>
          <t>https://www.fuhrmann.at/de/stbwfox.php</t>
        </is>
      </c>
      <c r="P1330" s="11" t="inlineStr">
        <is>
          <t>https://website-9ib.pages.dev/termek/acel-oldalfal-foxhv-600/</t>
        </is>
      </c>
      <c r="Q1330" s="12" t="inlineStr"/>
      <c r="R1330" s="13" t="inlineStr"/>
      <c r="S1330" s="6" t="inlineStr">
        <is>
          <t>acel-oldalfal-foxhv-600</t>
        </is>
      </c>
    </row>
    <row r="1331">
      <c r="A1331" s="6" t="inlineStr">
        <is>
          <t>FOXHV 700</t>
        </is>
      </c>
      <c r="B1331" s="7" t="inlineStr">
        <is>
          <t>Acél oldalfal FOXHV 700 mm</t>
        </is>
      </c>
      <c r="C1331" s="6" t="inlineStr">
        <is>
          <t>Acél profilok</t>
        </is>
      </c>
      <c r="D1331" s="6" t="inlineStr">
        <is>
          <t>Heavy Duty acél oldalfalak</t>
        </is>
      </c>
      <c r="E1331" s="6" t="inlineStr">
        <is>
          <t>Fuhrmann</t>
        </is>
      </c>
      <c r="F1331" s="6" t="inlineStr">
        <is>
          <t>FOXHV 700</t>
        </is>
      </c>
      <c r="G1331" s="6" t="inlineStr">
        <is>
          <t>Teljes kínálat</t>
        </is>
      </c>
      <c r="H1331" s="6" t="n">
        <v>1</v>
      </c>
      <c r="I1331" s="6" t="n">
        <v>5</v>
      </c>
      <c r="J1331" s="6" t="inlineStr">
        <is>
          <t>van</t>
        </is>
      </c>
      <c r="K1331" s="6">
        <f>IF(AND(H1331&gt;0,I1331&gt;0),"Rendben",IF(AND(H1331=0,I1331=0),"Nincs kép és adat",IF(H1331=0,"Nincs kép","Nincs adat")))</f>
        <v/>
      </c>
      <c r="L1331" s="6" t="inlineStr">
        <is>
          <t>Igen</t>
        </is>
      </c>
      <c r="M1331" s="7" t="inlineStr">
        <is>
          <t>Fuhrmann teljes kínálata (gyártói katalógus / weboldal)</t>
        </is>
      </c>
      <c r="N1331" s="7" t="inlineStr">
        <is>
          <t>Megtalálva: a beszállító teljes kínálatából felvett termék</t>
        </is>
      </c>
      <c r="O1331" s="11" t="inlineStr">
        <is>
          <t>https://www.fuhrmann.at/de/stbwfox.php</t>
        </is>
      </c>
      <c r="P1331" s="11" t="inlineStr">
        <is>
          <t>https://website-9ib.pages.dev/termek/acel-oldalfal-foxhv-700/</t>
        </is>
      </c>
      <c r="Q1331" s="12" t="inlineStr"/>
      <c r="R1331" s="13" t="inlineStr"/>
      <c r="S1331" s="6" t="inlineStr">
        <is>
          <t>acel-oldalfal-foxhv-700</t>
        </is>
      </c>
    </row>
    <row r="1332">
      <c r="A1332" s="6" t="inlineStr">
        <is>
          <t>FOXHV 800</t>
        </is>
      </c>
      <c r="B1332" s="7" t="inlineStr">
        <is>
          <t>Acél oldalfal FOXHV 800 mm</t>
        </is>
      </c>
      <c r="C1332" s="6" t="inlineStr">
        <is>
          <t>Acél profilok</t>
        </is>
      </c>
      <c r="D1332" s="6" t="inlineStr">
        <is>
          <t>Heavy Duty acél oldalfalak</t>
        </is>
      </c>
      <c r="E1332" s="6" t="inlineStr">
        <is>
          <t>Fuhrmann</t>
        </is>
      </c>
      <c r="F1332" s="6" t="inlineStr">
        <is>
          <t>FOXHV 800</t>
        </is>
      </c>
      <c r="G1332" s="6" t="inlineStr">
        <is>
          <t>Teljes kínálat</t>
        </is>
      </c>
      <c r="H1332" s="6" t="n">
        <v>1</v>
      </c>
      <c r="I1332" s="6" t="n">
        <v>5</v>
      </c>
      <c r="J1332" s="6" t="inlineStr">
        <is>
          <t>van</t>
        </is>
      </c>
      <c r="K1332" s="6">
        <f>IF(AND(H1332&gt;0,I1332&gt;0),"Rendben",IF(AND(H1332=0,I1332=0),"Nincs kép és adat",IF(H1332=0,"Nincs kép","Nincs adat")))</f>
        <v/>
      </c>
      <c r="L1332" s="6" t="inlineStr">
        <is>
          <t>Igen</t>
        </is>
      </c>
      <c r="M1332" s="7" t="inlineStr">
        <is>
          <t>Fuhrmann teljes kínálata (gyártói katalógus / weboldal)</t>
        </is>
      </c>
      <c r="N1332" s="7" t="inlineStr">
        <is>
          <t>Megtalálva: a beszállító teljes kínálatából felvett termék</t>
        </is>
      </c>
      <c r="O1332" s="11" t="inlineStr">
        <is>
          <t>https://www.fuhrmann.at/de/stbwfox.php</t>
        </is>
      </c>
      <c r="P1332" s="11" t="inlineStr">
        <is>
          <t>https://website-9ib.pages.dev/termek/acel-oldalfal-foxhv-800/</t>
        </is>
      </c>
      <c r="Q1332" s="12" t="inlineStr"/>
      <c r="R1332" s="13" t="inlineStr"/>
      <c r="S1332" s="6" t="inlineStr">
        <is>
          <t>acel-oldalfal-foxhv-800</t>
        </is>
      </c>
    </row>
    <row r="1333">
      <c r="A1333" s="6" t="inlineStr">
        <is>
          <t>FOXHV 900</t>
        </is>
      </c>
      <c r="B1333" s="7" t="inlineStr">
        <is>
          <t>Acél oldalfal FOXHV 900 mm</t>
        </is>
      </c>
      <c r="C1333" s="6" t="inlineStr">
        <is>
          <t>Acél profilok</t>
        </is>
      </c>
      <c r="D1333" s="6" t="inlineStr">
        <is>
          <t>Heavy Duty acél oldalfalak</t>
        </is>
      </c>
      <c r="E1333" s="6" t="inlineStr">
        <is>
          <t>Fuhrmann</t>
        </is>
      </c>
      <c r="F1333" s="6" t="inlineStr">
        <is>
          <t>FOXHV 900</t>
        </is>
      </c>
      <c r="G1333" s="6" t="inlineStr">
        <is>
          <t>Teljes kínálat</t>
        </is>
      </c>
      <c r="H1333" s="6" t="n">
        <v>1</v>
      </c>
      <c r="I1333" s="6" t="n">
        <v>5</v>
      </c>
      <c r="J1333" s="6" t="inlineStr">
        <is>
          <t>van</t>
        </is>
      </c>
      <c r="K1333" s="6">
        <f>IF(AND(H1333&gt;0,I1333&gt;0),"Rendben",IF(AND(H1333=0,I1333=0),"Nincs kép és adat",IF(H1333=0,"Nincs kép","Nincs adat")))</f>
        <v/>
      </c>
      <c r="L1333" s="6" t="inlineStr">
        <is>
          <t>Igen</t>
        </is>
      </c>
      <c r="M1333" s="7" t="inlineStr">
        <is>
          <t>Fuhrmann teljes kínálata (gyártói katalógus / weboldal)</t>
        </is>
      </c>
      <c r="N1333" s="7" t="inlineStr">
        <is>
          <t>Megtalálva: a beszállító teljes kínálatából felvett termék</t>
        </is>
      </c>
      <c r="O1333" s="11" t="inlineStr">
        <is>
          <t>https://www.fuhrmann.at/de/stbwfox.php</t>
        </is>
      </c>
      <c r="P1333" s="11" t="inlineStr">
        <is>
          <t>https://website-9ib.pages.dev/termek/acel-oldalfal-foxhv-900/</t>
        </is>
      </c>
      <c r="Q1333" s="12" t="inlineStr"/>
      <c r="R1333" s="13" t="inlineStr"/>
      <c r="S1333" s="6" t="inlineStr">
        <is>
          <t>acel-oldalfal-foxhv-900</t>
        </is>
      </c>
    </row>
    <row r="1334">
      <c r="A1334" s="6" t="inlineStr">
        <is>
          <t>FOXLB 1000</t>
        </is>
      </c>
      <c r="B1334" s="7" t="inlineStr">
        <is>
          <t>Acél oldalfal FOXLB 1000 mm</t>
        </is>
      </c>
      <c r="C1334" s="6" t="inlineStr">
        <is>
          <t>Acél profilok</t>
        </is>
      </c>
      <c r="D1334" s="6" t="inlineStr">
        <is>
          <t>Heavy Duty acél oldalfalak</t>
        </is>
      </c>
      <c r="E1334" s="6" t="inlineStr">
        <is>
          <t>Fuhrmann</t>
        </is>
      </c>
      <c r="F1334" s="6" t="inlineStr">
        <is>
          <t>FOXLB 1000</t>
        </is>
      </c>
      <c r="G1334" s="6" t="inlineStr">
        <is>
          <t>Teljes kínálat</t>
        </is>
      </c>
      <c r="H1334" s="6" t="n">
        <v>1</v>
      </c>
      <c r="I1334" s="6" t="n">
        <v>5</v>
      </c>
      <c r="J1334" s="6" t="inlineStr">
        <is>
          <t>van</t>
        </is>
      </c>
      <c r="K1334" s="6">
        <f>IF(AND(H1334&gt;0,I1334&gt;0),"Rendben",IF(AND(H1334=0,I1334=0),"Nincs kép és adat",IF(H1334=0,"Nincs kép","Nincs adat")))</f>
        <v/>
      </c>
      <c r="L1334" s="6" t="inlineStr">
        <is>
          <t>Igen</t>
        </is>
      </c>
      <c r="M1334" s="7" t="inlineStr">
        <is>
          <t>Fuhrmann teljes kínálata (gyártói katalógus / weboldal)</t>
        </is>
      </c>
      <c r="N1334" s="7" t="inlineStr">
        <is>
          <t>Megtalálva: a beszállító teljes kínálatából felvett termék</t>
        </is>
      </c>
      <c r="O1334" s="11" t="inlineStr">
        <is>
          <t>https://www.fuhrmann.at/de/stbwfoxl.php</t>
        </is>
      </c>
      <c r="P1334" s="11" t="inlineStr">
        <is>
          <t>https://website-9ib.pages.dev/termek/acel-oldalfal-foxlb-1000/</t>
        </is>
      </c>
      <c r="Q1334" s="12" t="inlineStr"/>
      <c r="R1334" s="13" t="inlineStr"/>
      <c r="S1334" s="6" t="inlineStr">
        <is>
          <t>acel-oldalfal-foxlb-1000</t>
        </is>
      </c>
    </row>
    <row r="1335">
      <c r="A1335" s="6" t="inlineStr">
        <is>
          <t>FOXLB 400</t>
        </is>
      </c>
      <c r="B1335" s="7" t="inlineStr">
        <is>
          <t>Acél oldalfal FOXLB 400 mm</t>
        </is>
      </c>
      <c r="C1335" s="6" t="inlineStr">
        <is>
          <t>Acél profilok</t>
        </is>
      </c>
      <c r="D1335" s="6" t="inlineStr">
        <is>
          <t>Heavy Duty acél oldalfalak</t>
        </is>
      </c>
      <c r="E1335" s="6" t="inlineStr">
        <is>
          <t>Fuhrmann</t>
        </is>
      </c>
      <c r="F1335" s="6" t="inlineStr">
        <is>
          <t>FOXLB 400</t>
        </is>
      </c>
      <c r="G1335" s="6" t="inlineStr">
        <is>
          <t>Teljes kínálat</t>
        </is>
      </c>
      <c r="H1335" s="6" t="n">
        <v>1</v>
      </c>
      <c r="I1335" s="6" t="n">
        <v>5</v>
      </c>
      <c r="J1335" s="6" t="inlineStr">
        <is>
          <t>van</t>
        </is>
      </c>
      <c r="K1335" s="6">
        <f>IF(AND(H1335&gt;0,I1335&gt;0),"Rendben",IF(AND(H1335=0,I1335=0),"Nincs kép és adat",IF(H1335=0,"Nincs kép","Nincs adat")))</f>
        <v/>
      </c>
      <c r="L1335" s="6" t="inlineStr">
        <is>
          <t>Igen</t>
        </is>
      </c>
      <c r="M1335" s="7" t="inlineStr">
        <is>
          <t>Fuhrmann teljes kínálata (gyártói katalógus / weboldal)</t>
        </is>
      </c>
      <c r="N1335" s="7" t="inlineStr">
        <is>
          <t>Megtalálva: a beszállító teljes kínálatából felvett termék</t>
        </is>
      </c>
      <c r="O1335" s="11" t="inlineStr">
        <is>
          <t>https://www.fuhrmann.at/de/stbwfoxl.php</t>
        </is>
      </c>
      <c r="P1335" s="11" t="inlineStr">
        <is>
          <t>https://website-9ib.pages.dev/termek/acel-oldalfal-foxlb-400/</t>
        </is>
      </c>
      <c r="Q1335" s="12" t="inlineStr"/>
      <c r="R1335" s="13" t="inlineStr"/>
      <c r="S1335" s="6" t="inlineStr">
        <is>
          <t>acel-oldalfal-foxlb-400</t>
        </is>
      </c>
    </row>
    <row r="1336">
      <c r="A1336" s="6" t="inlineStr">
        <is>
          <t>FOXLB 500</t>
        </is>
      </c>
      <c r="B1336" s="7" t="inlineStr">
        <is>
          <t>Acél oldalfal FOXLB 500 mm</t>
        </is>
      </c>
      <c r="C1336" s="6" t="inlineStr">
        <is>
          <t>Acél profilok</t>
        </is>
      </c>
      <c r="D1336" s="6" t="inlineStr">
        <is>
          <t>Heavy Duty acél oldalfalak</t>
        </is>
      </c>
      <c r="E1336" s="6" t="inlineStr">
        <is>
          <t>Fuhrmann</t>
        </is>
      </c>
      <c r="F1336" s="6" t="inlineStr">
        <is>
          <t>FOXLB 500</t>
        </is>
      </c>
      <c r="G1336" s="6" t="inlineStr">
        <is>
          <t>Teljes kínálat</t>
        </is>
      </c>
      <c r="H1336" s="6" t="n">
        <v>1</v>
      </c>
      <c r="I1336" s="6" t="n">
        <v>5</v>
      </c>
      <c r="J1336" s="6" t="inlineStr">
        <is>
          <t>van</t>
        </is>
      </c>
      <c r="K1336" s="6">
        <f>IF(AND(H1336&gt;0,I1336&gt;0),"Rendben",IF(AND(H1336=0,I1336=0),"Nincs kép és adat",IF(H1336=0,"Nincs kép","Nincs adat")))</f>
        <v/>
      </c>
      <c r="L1336" s="6" t="inlineStr">
        <is>
          <t>Igen</t>
        </is>
      </c>
      <c r="M1336" s="7" t="inlineStr">
        <is>
          <t>Fuhrmann teljes kínálata (gyártói katalógus / weboldal)</t>
        </is>
      </c>
      <c r="N1336" s="7" t="inlineStr">
        <is>
          <t>Megtalálva: a beszállító teljes kínálatából felvett termék</t>
        </is>
      </c>
      <c r="O1336" s="11" t="inlineStr">
        <is>
          <t>https://www.fuhrmann.at/de/stbwfoxl.php</t>
        </is>
      </c>
      <c r="P1336" s="11" t="inlineStr">
        <is>
          <t>https://website-9ib.pages.dev/termek/acel-oldalfal-foxlb-500/</t>
        </is>
      </c>
      <c r="Q1336" s="12" t="inlineStr"/>
      <c r="R1336" s="13" t="inlineStr"/>
      <c r="S1336" s="6" t="inlineStr">
        <is>
          <t>acel-oldalfal-foxlb-500</t>
        </is>
      </c>
    </row>
    <row r="1337">
      <c r="A1337" s="6" t="inlineStr">
        <is>
          <t>FOXLB 600</t>
        </is>
      </c>
      <c r="B1337" s="7" t="inlineStr">
        <is>
          <t>Acél oldalfal FOXLB 600 mm</t>
        </is>
      </c>
      <c r="C1337" s="6" t="inlineStr">
        <is>
          <t>Acél profilok</t>
        </is>
      </c>
      <c r="D1337" s="6" t="inlineStr">
        <is>
          <t>Heavy Duty acél oldalfalak</t>
        </is>
      </c>
      <c r="E1337" s="6" t="inlineStr">
        <is>
          <t>Fuhrmann</t>
        </is>
      </c>
      <c r="F1337" s="6" t="inlineStr">
        <is>
          <t>FOXLB 600</t>
        </is>
      </c>
      <c r="G1337" s="6" t="inlineStr">
        <is>
          <t>Teljes kínálat</t>
        </is>
      </c>
      <c r="H1337" s="6" t="n">
        <v>1</v>
      </c>
      <c r="I1337" s="6" t="n">
        <v>5</v>
      </c>
      <c r="J1337" s="6" t="inlineStr">
        <is>
          <t>van</t>
        </is>
      </c>
      <c r="K1337" s="6">
        <f>IF(AND(H1337&gt;0,I1337&gt;0),"Rendben",IF(AND(H1337=0,I1337=0),"Nincs kép és adat",IF(H1337=0,"Nincs kép","Nincs adat")))</f>
        <v/>
      </c>
      <c r="L1337" s="6" t="inlineStr">
        <is>
          <t>Igen</t>
        </is>
      </c>
      <c r="M1337" s="7" t="inlineStr">
        <is>
          <t>Fuhrmann teljes kínálata (gyártói katalógus / weboldal)</t>
        </is>
      </c>
      <c r="N1337" s="7" t="inlineStr">
        <is>
          <t>Megtalálva: a beszállító teljes kínálatából felvett termék</t>
        </is>
      </c>
      <c r="O1337" s="11" t="inlineStr">
        <is>
          <t>https://www.fuhrmann.at/de/stbwfoxl.php</t>
        </is>
      </c>
      <c r="P1337" s="11" t="inlineStr">
        <is>
          <t>https://website-9ib.pages.dev/termek/acel-oldalfal-foxlb-600/</t>
        </is>
      </c>
      <c r="Q1337" s="12" t="inlineStr"/>
      <c r="R1337" s="13" t="inlineStr"/>
      <c r="S1337" s="6" t="inlineStr">
        <is>
          <t>acel-oldalfal-foxlb-600</t>
        </is>
      </c>
    </row>
    <row r="1338">
      <c r="A1338" s="6" t="inlineStr">
        <is>
          <t>FOXLB 700</t>
        </is>
      </c>
      <c r="B1338" s="7" t="inlineStr">
        <is>
          <t>Acél oldalfal FOXLB 700 mm</t>
        </is>
      </c>
      <c r="C1338" s="6" t="inlineStr">
        <is>
          <t>Acél profilok</t>
        </is>
      </c>
      <c r="D1338" s="6" t="inlineStr">
        <is>
          <t>Heavy Duty acél oldalfalak</t>
        </is>
      </c>
      <c r="E1338" s="6" t="inlineStr">
        <is>
          <t>Fuhrmann</t>
        </is>
      </c>
      <c r="F1338" s="6" t="inlineStr">
        <is>
          <t>FOXLB 700</t>
        </is>
      </c>
      <c r="G1338" s="6" t="inlineStr">
        <is>
          <t>Teljes kínálat</t>
        </is>
      </c>
      <c r="H1338" s="6" t="n">
        <v>1</v>
      </c>
      <c r="I1338" s="6" t="n">
        <v>5</v>
      </c>
      <c r="J1338" s="6" t="inlineStr">
        <is>
          <t>van</t>
        </is>
      </c>
      <c r="K1338" s="6">
        <f>IF(AND(H1338&gt;0,I1338&gt;0),"Rendben",IF(AND(H1338=0,I1338=0),"Nincs kép és adat",IF(H1338=0,"Nincs kép","Nincs adat")))</f>
        <v/>
      </c>
      <c r="L1338" s="6" t="inlineStr">
        <is>
          <t>Igen</t>
        </is>
      </c>
      <c r="M1338" s="7" t="inlineStr">
        <is>
          <t>Fuhrmann teljes kínálata (gyártói katalógus / weboldal)</t>
        </is>
      </c>
      <c r="N1338" s="7" t="inlineStr">
        <is>
          <t>Megtalálva: a beszállító teljes kínálatából felvett termék</t>
        </is>
      </c>
      <c r="O1338" s="11" t="inlineStr">
        <is>
          <t>https://www.fuhrmann.at/de/stbwfoxl.php</t>
        </is>
      </c>
      <c r="P1338" s="11" t="inlineStr">
        <is>
          <t>https://website-9ib.pages.dev/termek/acel-oldalfal-foxlb-700/</t>
        </is>
      </c>
      <c r="Q1338" s="12" t="inlineStr"/>
      <c r="R1338" s="13" t="inlineStr"/>
      <c r="S1338" s="6" t="inlineStr">
        <is>
          <t>acel-oldalfal-foxlb-700</t>
        </is>
      </c>
    </row>
    <row r="1339">
      <c r="A1339" s="6" t="inlineStr">
        <is>
          <t>FOXLB 800</t>
        </is>
      </c>
      <c r="B1339" s="7" t="inlineStr">
        <is>
          <t>Acél oldalfal FOXLB 800 mm</t>
        </is>
      </c>
      <c r="C1339" s="6" t="inlineStr">
        <is>
          <t>Acél profilok</t>
        </is>
      </c>
      <c r="D1339" s="6" t="inlineStr">
        <is>
          <t>Heavy Duty acél oldalfalak</t>
        </is>
      </c>
      <c r="E1339" s="6" t="inlineStr">
        <is>
          <t>Fuhrmann</t>
        </is>
      </c>
      <c r="F1339" s="6" t="inlineStr">
        <is>
          <t>FOXLB 800</t>
        </is>
      </c>
      <c r="G1339" s="6" t="inlineStr">
        <is>
          <t>Teljes kínálat</t>
        </is>
      </c>
      <c r="H1339" s="6" t="n">
        <v>1</v>
      </c>
      <c r="I1339" s="6" t="n">
        <v>5</v>
      </c>
      <c r="J1339" s="6" t="inlineStr">
        <is>
          <t>van</t>
        </is>
      </c>
      <c r="K1339" s="6">
        <f>IF(AND(H1339&gt;0,I1339&gt;0),"Rendben",IF(AND(H1339=0,I1339=0),"Nincs kép és adat",IF(H1339=0,"Nincs kép","Nincs adat")))</f>
        <v/>
      </c>
      <c r="L1339" s="6" t="inlineStr">
        <is>
          <t>Igen</t>
        </is>
      </c>
      <c r="M1339" s="7" t="inlineStr">
        <is>
          <t>Fuhrmann teljes kínálata (gyártói katalógus / weboldal)</t>
        </is>
      </c>
      <c r="N1339" s="7" t="inlineStr">
        <is>
          <t>Megtalálva: a beszállító teljes kínálatából felvett termék</t>
        </is>
      </c>
      <c r="O1339" s="11" t="inlineStr">
        <is>
          <t>https://www.fuhrmann.at/de/stbwfoxl.php</t>
        </is>
      </c>
      <c r="P1339" s="11" t="inlineStr">
        <is>
          <t>https://website-9ib.pages.dev/termek/acel-oldalfal-foxlb-800/</t>
        </is>
      </c>
      <c r="Q1339" s="12" t="inlineStr"/>
      <c r="R1339" s="13" t="inlineStr"/>
      <c r="S1339" s="6" t="inlineStr">
        <is>
          <t>acel-oldalfal-foxlb-800</t>
        </is>
      </c>
    </row>
    <row r="1340">
      <c r="A1340" s="6" t="inlineStr">
        <is>
          <t>FOXLB 900</t>
        </is>
      </c>
      <c r="B1340" s="7" t="inlineStr">
        <is>
          <t>Acél oldalfal FOXLB 900 mm</t>
        </is>
      </c>
      <c r="C1340" s="6" t="inlineStr">
        <is>
          <t>Acél profilok</t>
        </is>
      </c>
      <c r="D1340" s="6" t="inlineStr">
        <is>
          <t>Heavy Duty acél oldalfalak</t>
        </is>
      </c>
      <c r="E1340" s="6" t="inlineStr">
        <is>
          <t>Fuhrmann</t>
        </is>
      </c>
      <c r="F1340" s="6" t="inlineStr">
        <is>
          <t>FOXLB 900</t>
        </is>
      </c>
      <c r="G1340" s="6" t="inlineStr">
        <is>
          <t>Teljes kínálat</t>
        </is>
      </c>
      <c r="H1340" s="6" t="n">
        <v>1</v>
      </c>
      <c r="I1340" s="6" t="n">
        <v>5</v>
      </c>
      <c r="J1340" s="6" t="inlineStr">
        <is>
          <t>van</t>
        </is>
      </c>
      <c r="K1340" s="6">
        <f>IF(AND(H1340&gt;0,I1340&gt;0),"Rendben",IF(AND(H1340=0,I1340=0),"Nincs kép és adat",IF(H1340=0,"Nincs kép","Nincs adat")))</f>
        <v/>
      </c>
      <c r="L1340" s="6" t="inlineStr">
        <is>
          <t>Igen</t>
        </is>
      </c>
      <c r="M1340" s="7" t="inlineStr">
        <is>
          <t>Fuhrmann teljes kínálata (gyártói katalógus / weboldal)</t>
        </is>
      </c>
      <c r="N1340" s="7" t="inlineStr">
        <is>
          <t>Megtalálva: a beszállító teljes kínálatából felvett termék</t>
        </is>
      </c>
      <c r="O1340" s="11" t="inlineStr">
        <is>
          <t>https://www.fuhrmann.at/de/stbwfoxl.php</t>
        </is>
      </c>
      <c r="P1340" s="11" t="inlineStr">
        <is>
          <t>https://website-9ib.pages.dev/termek/acel-oldalfal-foxlb-900/</t>
        </is>
      </c>
      <c r="Q1340" s="12" t="inlineStr"/>
      <c r="R1340" s="13" t="inlineStr"/>
      <c r="S1340" s="6" t="inlineStr">
        <is>
          <t>acel-oldalfal-foxlb-900</t>
        </is>
      </c>
    </row>
    <row r="1341">
      <c r="A1341" s="6" t="inlineStr">
        <is>
          <t>FOXLBAK 400</t>
        </is>
      </c>
      <c r="B1341" s="7" t="inlineStr">
        <is>
          <t>Acél oldalfal FOXLBAK 400 mm</t>
        </is>
      </c>
      <c r="C1341" s="6" t="inlineStr">
        <is>
          <t>Acél profilok</t>
        </is>
      </c>
      <c r="D1341" s="6" t="inlineStr">
        <is>
          <t>Heavy Duty acél oldalfalak</t>
        </is>
      </c>
      <c r="E1341" s="6" t="inlineStr">
        <is>
          <t>Fuhrmann</t>
        </is>
      </c>
      <c r="F1341" s="6" t="inlineStr">
        <is>
          <t>FOXLBAK 400</t>
        </is>
      </c>
      <c r="G1341" s="6" t="inlineStr">
        <is>
          <t>Teljes kínálat</t>
        </is>
      </c>
      <c r="H1341" s="6" t="n">
        <v>1</v>
      </c>
      <c r="I1341" s="6" t="n">
        <v>5</v>
      </c>
      <c r="J1341" s="6" t="inlineStr">
        <is>
          <t>van</t>
        </is>
      </c>
      <c r="K1341" s="6">
        <f>IF(AND(H1341&gt;0,I1341&gt;0),"Rendben",IF(AND(H1341=0,I1341=0),"Nincs kép és adat",IF(H1341=0,"Nincs kép","Nincs adat")))</f>
        <v/>
      </c>
      <c r="L1341" s="6" t="inlineStr">
        <is>
          <t>Igen</t>
        </is>
      </c>
      <c r="M1341" s="7" t="inlineStr">
        <is>
          <t>Fuhrmann teljes kínálata (gyártói katalógus / weboldal)</t>
        </is>
      </c>
      <c r="N1341" s="7" t="inlineStr">
        <is>
          <t>Megtalálva: a beszállító teljes kínálatából felvett termék</t>
        </is>
      </c>
      <c r="O1341" s="11" t="inlineStr">
        <is>
          <t>https://www.fuhrmann.at/de/stbwfoxla.php</t>
        </is>
      </c>
      <c r="P1341" s="11" t="inlineStr">
        <is>
          <t>https://website-9ib.pages.dev/termek/acel-oldalfal-foxlbak-400/</t>
        </is>
      </c>
      <c r="Q1341" s="12" t="inlineStr"/>
      <c r="R1341" s="13" t="inlineStr"/>
      <c r="S1341" s="6" t="inlineStr">
        <is>
          <t>acel-oldalfal-foxlbak-400</t>
        </is>
      </c>
    </row>
    <row r="1342">
      <c r="A1342" s="6" t="inlineStr">
        <is>
          <t>FOXLBAK 500</t>
        </is>
      </c>
      <c r="B1342" s="7" t="inlineStr">
        <is>
          <t>Acél oldalfal FOXLBAK 500 mm</t>
        </is>
      </c>
      <c r="C1342" s="6" t="inlineStr">
        <is>
          <t>Acél profilok</t>
        </is>
      </c>
      <c r="D1342" s="6" t="inlineStr">
        <is>
          <t>Heavy Duty acél oldalfalak</t>
        </is>
      </c>
      <c r="E1342" s="6" t="inlineStr">
        <is>
          <t>Fuhrmann</t>
        </is>
      </c>
      <c r="F1342" s="6" t="inlineStr">
        <is>
          <t>FOXLBAK 500</t>
        </is>
      </c>
      <c r="G1342" s="6" t="inlineStr">
        <is>
          <t>Teljes kínálat</t>
        </is>
      </c>
      <c r="H1342" s="6" t="n">
        <v>1</v>
      </c>
      <c r="I1342" s="6" t="n">
        <v>5</v>
      </c>
      <c r="J1342" s="6" t="inlineStr">
        <is>
          <t>van</t>
        </is>
      </c>
      <c r="K1342" s="6">
        <f>IF(AND(H1342&gt;0,I1342&gt;0),"Rendben",IF(AND(H1342=0,I1342=0),"Nincs kép és adat",IF(H1342=0,"Nincs kép","Nincs adat")))</f>
        <v/>
      </c>
      <c r="L1342" s="6" t="inlineStr">
        <is>
          <t>Igen</t>
        </is>
      </c>
      <c r="M1342" s="7" t="inlineStr">
        <is>
          <t>Fuhrmann teljes kínálata (gyártói katalógus / weboldal)</t>
        </is>
      </c>
      <c r="N1342" s="7" t="inlineStr">
        <is>
          <t>Megtalálva: a beszállító teljes kínálatából felvett termék</t>
        </is>
      </c>
      <c r="O1342" s="11" t="inlineStr">
        <is>
          <t>https://www.fuhrmann.at/de/stbwfoxla.php</t>
        </is>
      </c>
      <c r="P1342" s="11" t="inlineStr">
        <is>
          <t>https://website-9ib.pages.dev/termek/acel-oldalfal-foxlbak-500/</t>
        </is>
      </c>
      <c r="Q1342" s="12" t="inlineStr"/>
      <c r="R1342" s="13" t="inlineStr"/>
      <c r="S1342" s="6" t="inlineStr">
        <is>
          <t>acel-oldalfal-foxlbak-500</t>
        </is>
      </c>
    </row>
    <row r="1343">
      <c r="A1343" s="6" t="inlineStr">
        <is>
          <t>FOXLBAK 600</t>
        </is>
      </c>
      <c r="B1343" s="7" t="inlineStr">
        <is>
          <t>Acél oldalfal FOXLBAK 600 mm</t>
        </is>
      </c>
      <c r="C1343" s="6" t="inlineStr">
        <is>
          <t>Acél profilok</t>
        </is>
      </c>
      <c r="D1343" s="6" t="inlineStr">
        <is>
          <t>Heavy Duty acél oldalfalak</t>
        </is>
      </c>
      <c r="E1343" s="6" t="inlineStr">
        <is>
          <t>Fuhrmann</t>
        </is>
      </c>
      <c r="F1343" s="6" t="inlineStr">
        <is>
          <t>FOXLBAK 600</t>
        </is>
      </c>
      <c r="G1343" s="6" t="inlineStr">
        <is>
          <t>Teljes kínálat</t>
        </is>
      </c>
      <c r="H1343" s="6" t="n">
        <v>1</v>
      </c>
      <c r="I1343" s="6" t="n">
        <v>5</v>
      </c>
      <c r="J1343" s="6" t="inlineStr">
        <is>
          <t>van</t>
        </is>
      </c>
      <c r="K1343" s="6">
        <f>IF(AND(H1343&gt;0,I1343&gt;0),"Rendben",IF(AND(H1343=0,I1343=0),"Nincs kép és adat",IF(H1343=0,"Nincs kép","Nincs adat")))</f>
        <v/>
      </c>
      <c r="L1343" s="6" t="inlineStr">
        <is>
          <t>Igen</t>
        </is>
      </c>
      <c r="M1343" s="7" t="inlineStr">
        <is>
          <t>Fuhrmann teljes kínálata (gyártói katalógus / weboldal)</t>
        </is>
      </c>
      <c r="N1343" s="7" t="inlineStr">
        <is>
          <t>Megtalálva: a beszállító teljes kínálatából felvett termék</t>
        </is>
      </c>
      <c r="O1343" s="11" t="inlineStr">
        <is>
          <t>https://www.fuhrmann.at/de/stbwfoxla.php</t>
        </is>
      </c>
      <c r="P1343" s="11" t="inlineStr">
        <is>
          <t>https://website-9ib.pages.dev/termek/acel-oldalfal-foxlbak-600/</t>
        </is>
      </c>
      <c r="Q1343" s="12" t="inlineStr"/>
      <c r="R1343" s="13" t="inlineStr"/>
      <c r="S1343" s="6" t="inlineStr">
        <is>
          <t>acel-oldalfal-foxlbak-600</t>
        </is>
      </c>
    </row>
    <row r="1344">
      <c r="A1344" s="6" t="inlineStr">
        <is>
          <t>FOXLBAK 700</t>
        </is>
      </c>
      <c r="B1344" s="7" t="inlineStr">
        <is>
          <t>Acél oldalfal FOXLBAK 700 mm</t>
        </is>
      </c>
      <c r="C1344" s="6" t="inlineStr">
        <is>
          <t>Acél profilok</t>
        </is>
      </c>
      <c r="D1344" s="6" t="inlineStr">
        <is>
          <t>Heavy Duty acél oldalfalak</t>
        </is>
      </c>
      <c r="E1344" s="6" t="inlineStr">
        <is>
          <t>Fuhrmann</t>
        </is>
      </c>
      <c r="F1344" s="6" t="inlineStr">
        <is>
          <t>FOXLBAK 700</t>
        </is>
      </c>
      <c r="G1344" s="6" t="inlineStr">
        <is>
          <t>Teljes kínálat</t>
        </is>
      </c>
      <c r="H1344" s="6" t="n">
        <v>1</v>
      </c>
      <c r="I1344" s="6" t="n">
        <v>5</v>
      </c>
      <c r="J1344" s="6" t="inlineStr">
        <is>
          <t>van</t>
        </is>
      </c>
      <c r="K1344" s="6">
        <f>IF(AND(H1344&gt;0,I1344&gt;0),"Rendben",IF(AND(H1344=0,I1344=0),"Nincs kép és adat",IF(H1344=0,"Nincs kép","Nincs adat")))</f>
        <v/>
      </c>
      <c r="L1344" s="6" t="inlineStr">
        <is>
          <t>Igen</t>
        </is>
      </c>
      <c r="M1344" s="7" t="inlineStr">
        <is>
          <t>Fuhrmann teljes kínálata (gyártói katalógus / weboldal)</t>
        </is>
      </c>
      <c r="N1344" s="7" t="inlineStr">
        <is>
          <t>Megtalálva: a beszállító teljes kínálatából felvett termék</t>
        </is>
      </c>
      <c r="O1344" s="11" t="inlineStr">
        <is>
          <t>https://www.fuhrmann.at/de/stbwfoxla.php</t>
        </is>
      </c>
      <c r="P1344" s="11" t="inlineStr">
        <is>
          <t>https://website-9ib.pages.dev/termek/acel-oldalfal-foxlbak-700/</t>
        </is>
      </c>
      <c r="Q1344" s="12" t="inlineStr"/>
      <c r="R1344" s="13" t="inlineStr"/>
      <c r="S1344" s="6" t="inlineStr">
        <is>
          <t>acel-oldalfal-foxlbak-700</t>
        </is>
      </c>
    </row>
    <row r="1345">
      <c r="A1345" s="6" t="inlineStr">
        <is>
          <t>FOXLBAK 800</t>
        </is>
      </c>
      <c r="B1345" s="7" t="inlineStr">
        <is>
          <t>Acél oldalfal FOXLBAK 800 mm</t>
        </is>
      </c>
      <c r="C1345" s="6" t="inlineStr">
        <is>
          <t>Acél profilok</t>
        </is>
      </c>
      <c r="D1345" s="6" t="inlineStr">
        <is>
          <t>Heavy Duty acél oldalfalak</t>
        </is>
      </c>
      <c r="E1345" s="6" t="inlineStr">
        <is>
          <t>Fuhrmann</t>
        </is>
      </c>
      <c r="F1345" s="6" t="inlineStr">
        <is>
          <t>FOXLBAK 800</t>
        </is>
      </c>
      <c r="G1345" s="6" t="inlineStr">
        <is>
          <t>Teljes kínálat</t>
        </is>
      </c>
      <c r="H1345" s="6" t="n">
        <v>1</v>
      </c>
      <c r="I1345" s="6" t="n">
        <v>5</v>
      </c>
      <c r="J1345" s="6" t="inlineStr">
        <is>
          <t>van</t>
        </is>
      </c>
      <c r="K1345" s="6">
        <f>IF(AND(H1345&gt;0,I1345&gt;0),"Rendben",IF(AND(H1345=0,I1345=0),"Nincs kép és adat",IF(H1345=0,"Nincs kép","Nincs adat")))</f>
        <v/>
      </c>
      <c r="L1345" s="6" t="inlineStr">
        <is>
          <t>Igen</t>
        </is>
      </c>
      <c r="M1345" s="7" t="inlineStr">
        <is>
          <t>Fuhrmann teljes kínálata (gyártói katalógus / weboldal)</t>
        </is>
      </c>
      <c r="N1345" s="7" t="inlineStr">
        <is>
          <t>Megtalálva: a beszállító teljes kínálatából felvett termék</t>
        </is>
      </c>
      <c r="O1345" s="11" t="inlineStr">
        <is>
          <t>https://www.fuhrmann.at/de/stbwfoxla.php</t>
        </is>
      </c>
      <c r="P1345" s="11" t="inlineStr">
        <is>
          <t>https://website-9ib.pages.dev/termek/acel-oldalfal-foxlbak-800/</t>
        </is>
      </c>
      <c r="Q1345" s="12" t="inlineStr"/>
      <c r="R1345" s="13" t="inlineStr"/>
      <c r="S1345" s="6" t="inlineStr">
        <is>
          <t>acel-oldalfal-foxlbak-800</t>
        </is>
      </c>
    </row>
    <row r="1346">
      <c r="A1346" s="6" t="inlineStr">
        <is>
          <t>FOXLBN 400</t>
        </is>
      </c>
      <c r="B1346" s="7" t="inlineStr">
        <is>
          <t>Acél oldalfal FOXLBN 400 mm</t>
        </is>
      </c>
      <c r="C1346" s="6" t="inlineStr">
        <is>
          <t>Acél profilok</t>
        </is>
      </c>
      <c r="D1346" s="6" t="inlineStr">
        <is>
          <t>Heavy Duty acél oldalfalak</t>
        </is>
      </c>
      <c r="E1346" s="6" t="inlineStr">
        <is>
          <t>Fuhrmann</t>
        </is>
      </c>
      <c r="F1346" s="6" t="inlineStr">
        <is>
          <t>FOXLBN 400</t>
        </is>
      </c>
      <c r="G1346" s="6" t="inlineStr">
        <is>
          <t>Teljes kínálat</t>
        </is>
      </c>
      <c r="H1346" s="6" t="n">
        <v>1</v>
      </c>
      <c r="I1346" s="6" t="n">
        <v>5</v>
      </c>
      <c r="J1346" s="6" t="inlineStr">
        <is>
          <t>van</t>
        </is>
      </c>
      <c r="K1346" s="6">
        <f>IF(AND(H1346&gt;0,I1346&gt;0),"Rendben",IF(AND(H1346=0,I1346=0),"Nincs kép és adat",IF(H1346=0,"Nincs kép","Nincs adat")))</f>
        <v/>
      </c>
      <c r="L1346" s="6" t="inlineStr">
        <is>
          <t>Igen</t>
        </is>
      </c>
      <c r="M1346" s="7" t="inlineStr">
        <is>
          <t>Fuhrmann teljes kínálata (gyártói katalógus / weboldal)</t>
        </is>
      </c>
      <c r="N1346" s="7" t="inlineStr">
        <is>
          <t>Megtalálva: a beszállító teljes kínálatából felvett termék</t>
        </is>
      </c>
      <c r="O1346" s="11" t="inlineStr">
        <is>
          <t>https://www.fuhrmann.at/de/stbwfoxln.php</t>
        </is>
      </c>
      <c r="P1346" s="11" t="inlineStr">
        <is>
          <t>https://website-9ib.pages.dev/termek/acel-oldalfal-foxlbn-400/</t>
        </is>
      </c>
      <c r="Q1346" s="12" t="inlineStr"/>
      <c r="R1346" s="13" t="inlineStr"/>
      <c r="S1346" s="6" t="inlineStr">
        <is>
          <t>acel-oldalfal-foxlbn-400</t>
        </is>
      </c>
    </row>
    <row r="1347">
      <c r="A1347" s="6" t="inlineStr">
        <is>
          <t>FOXLBN 500</t>
        </is>
      </c>
      <c r="B1347" s="7" t="inlineStr">
        <is>
          <t>Acél oldalfal FOXLBN 500 mm</t>
        </is>
      </c>
      <c r="C1347" s="6" t="inlineStr">
        <is>
          <t>Acél profilok</t>
        </is>
      </c>
      <c r="D1347" s="6" t="inlineStr">
        <is>
          <t>Heavy Duty acél oldalfalak</t>
        </is>
      </c>
      <c r="E1347" s="6" t="inlineStr">
        <is>
          <t>Fuhrmann</t>
        </is>
      </c>
      <c r="F1347" s="6" t="inlineStr">
        <is>
          <t>FOXLBN 500</t>
        </is>
      </c>
      <c r="G1347" s="6" t="inlineStr">
        <is>
          <t>Teljes kínálat</t>
        </is>
      </c>
      <c r="H1347" s="6" t="n">
        <v>1</v>
      </c>
      <c r="I1347" s="6" t="n">
        <v>5</v>
      </c>
      <c r="J1347" s="6" t="inlineStr">
        <is>
          <t>van</t>
        </is>
      </c>
      <c r="K1347" s="6">
        <f>IF(AND(H1347&gt;0,I1347&gt;0),"Rendben",IF(AND(H1347=0,I1347=0),"Nincs kép és adat",IF(H1347=0,"Nincs kép","Nincs adat")))</f>
        <v/>
      </c>
      <c r="L1347" s="6" t="inlineStr">
        <is>
          <t>Igen</t>
        </is>
      </c>
      <c r="M1347" s="7" t="inlineStr">
        <is>
          <t>Fuhrmann teljes kínálata (gyártói katalógus / weboldal)</t>
        </is>
      </c>
      <c r="N1347" s="7" t="inlineStr">
        <is>
          <t>Megtalálva: a beszállító teljes kínálatából felvett termék</t>
        </is>
      </c>
      <c r="O1347" s="11" t="inlineStr">
        <is>
          <t>https://www.fuhrmann.at/de/stbwfoxln.php</t>
        </is>
      </c>
      <c r="P1347" s="11" t="inlineStr">
        <is>
          <t>https://website-9ib.pages.dev/termek/acel-oldalfal-foxlbn-500/</t>
        </is>
      </c>
      <c r="Q1347" s="12" t="inlineStr"/>
      <c r="R1347" s="13" t="inlineStr"/>
      <c r="S1347" s="6" t="inlineStr">
        <is>
          <t>acel-oldalfal-foxlbn-500</t>
        </is>
      </c>
    </row>
    <row r="1348">
      <c r="A1348" s="6" t="inlineStr">
        <is>
          <t>FOXLBN 600</t>
        </is>
      </c>
      <c r="B1348" s="7" t="inlineStr">
        <is>
          <t>Acél oldalfal FOXLBN 600 mm</t>
        </is>
      </c>
      <c r="C1348" s="6" t="inlineStr">
        <is>
          <t>Acél profilok</t>
        </is>
      </c>
      <c r="D1348" s="6" t="inlineStr">
        <is>
          <t>Heavy Duty acél oldalfalak</t>
        </is>
      </c>
      <c r="E1348" s="6" t="inlineStr">
        <is>
          <t>Fuhrmann</t>
        </is>
      </c>
      <c r="F1348" s="6" t="inlineStr">
        <is>
          <t>FOXLBN 600</t>
        </is>
      </c>
      <c r="G1348" s="6" t="inlineStr">
        <is>
          <t>Teljes kínálat</t>
        </is>
      </c>
      <c r="H1348" s="6" t="n">
        <v>1</v>
      </c>
      <c r="I1348" s="6" t="n">
        <v>5</v>
      </c>
      <c r="J1348" s="6" t="inlineStr">
        <is>
          <t>van</t>
        </is>
      </c>
      <c r="K1348" s="6">
        <f>IF(AND(H1348&gt;0,I1348&gt;0),"Rendben",IF(AND(H1348=0,I1348=0),"Nincs kép és adat",IF(H1348=0,"Nincs kép","Nincs adat")))</f>
        <v/>
      </c>
      <c r="L1348" s="6" t="inlineStr">
        <is>
          <t>Igen</t>
        </is>
      </c>
      <c r="M1348" s="7" t="inlineStr">
        <is>
          <t>Fuhrmann teljes kínálata (gyártói katalógus / weboldal)</t>
        </is>
      </c>
      <c r="N1348" s="7" t="inlineStr">
        <is>
          <t>Megtalálva: a beszállító teljes kínálatából felvett termék</t>
        </is>
      </c>
      <c r="O1348" s="11" t="inlineStr">
        <is>
          <t>https://www.fuhrmann.at/de/stbwfoxln.php</t>
        </is>
      </c>
      <c r="P1348" s="11" t="inlineStr">
        <is>
          <t>https://website-9ib.pages.dev/termek/acel-oldalfal-foxlbn-600/</t>
        </is>
      </c>
      <c r="Q1348" s="12" t="inlineStr"/>
      <c r="R1348" s="13" t="inlineStr"/>
      <c r="S1348" s="6" t="inlineStr">
        <is>
          <t>acel-oldalfal-foxlbn-600</t>
        </is>
      </c>
    </row>
    <row r="1349">
      <c r="A1349" s="6" t="inlineStr">
        <is>
          <t>FOXLBN 700</t>
        </is>
      </c>
      <c r="B1349" s="7" t="inlineStr">
        <is>
          <t>Acél oldalfal FOXLBN 700 mm</t>
        </is>
      </c>
      <c r="C1349" s="6" t="inlineStr">
        <is>
          <t>Acél profilok</t>
        </is>
      </c>
      <c r="D1349" s="6" t="inlineStr">
        <is>
          <t>Heavy Duty acél oldalfalak</t>
        </is>
      </c>
      <c r="E1349" s="6" t="inlineStr">
        <is>
          <t>Fuhrmann</t>
        </is>
      </c>
      <c r="F1349" s="6" t="inlineStr">
        <is>
          <t>FOXLBN 700</t>
        </is>
      </c>
      <c r="G1349" s="6" t="inlineStr">
        <is>
          <t>Teljes kínálat</t>
        </is>
      </c>
      <c r="H1349" s="6" t="n">
        <v>1</v>
      </c>
      <c r="I1349" s="6" t="n">
        <v>5</v>
      </c>
      <c r="J1349" s="6" t="inlineStr">
        <is>
          <t>van</t>
        </is>
      </c>
      <c r="K1349" s="6">
        <f>IF(AND(H1349&gt;0,I1349&gt;0),"Rendben",IF(AND(H1349=0,I1349=0),"Nincs kép és adat",IF(H1349=0,"Nincs kép","Nincs adat")))</f>
        <v/>
      </c>
      <c r="L1349" s="6" t="inlineStr">
        <is>
          <t>Igen</t>
        </is>
      </c>
      <c r="M1349" s="7" t="inlineStr">
        <is>
          <t>Fuhrmann teljes kínálata (gyártói katalógus / weboldal)</t>
        </is>
      </c>
      <c r="N1349" s="7" t="inlineStr">
        <is>
          <t>Megtalálva: a beszállító teljes kínálatából felvett termék</t>
        </is>
      </c>
      <c r="O1349" s="11" t="inlineStr">
        <is>
          <t>https://www.fuhrmann.at/de/stbwfoxln.php</t>
        </is>
      </c>
      <c r="P1349" s="11" t="inlineStr">
        <is>
          <t>https://website-9ib.pages.dev/termek/acel-oldalfal-foxlbn-700/</t>
        </is>
      </c>
      <c r="Q1349" s="12" t="inlineStr"/>
      <c r="R1349" s="13" t="inlineStr"/>
      <c r="S1349" s="6" t="inlineStr">
        <is>
          <t>acel-oldalfal-foxlbn-700</t>
        </is>
      </c>
    </row>
    <row r="1350">
      <c r="A1350" s="6" t="inlineStr">
        <is>
          <t>FOXLBN 800</t>
        </is>
      </c>
      <c r="B1350" s="7" t="inlineStr">
        <is>
          <t>Acél oldalfal FOXLBN 800 mm</t>
        </is>
      </c>
      <c r="C1350" s="6" t="inlineStr">
        <is>
          <t>Acél profilok</t>
        </is>
      </c>
      <c r="D1350" s="6" t="inlineStr">
        <is>
          <t>Heavy Duty acél oldalfalak</t>
        </is>
      </c>
      <c r="E1350" s="6" t="inlineStr">
        <is>
          <t>Fuhrmann</t>
        </is>
      </c>
      <c r="F1350" s="6" t="inlineStr">
        <is>
          <t>FOXLBN 800</t>
        </is>
      </c>
      <c r="G1350" s="6" t="inlineStr">
        <is>
          <t>Teljes kínálat</t>
        </is>
      </c>
      <c r="H1350" s="6" t="n">
        <v>1</v>
      </c>
      <c r="I1350" s="6" t="n">
        <v>5</v>
      </c>
      <c r="J1350" s="6" t="inlineStr">
        <is>
          <t>van</t>
        </is>
      </c>
      <c r="K1350" s="6">
        <f>IF(AND(H1350&gt;0,I1350&gt;0),"Rendben",IF(AND(H1350=0,I1350=0),"Nincs kép és adat",IF(H1350=0,"Nincs kép","Nincs adat")))</f>
        <v/>
      </c>
      <c r="L1350" s="6" t="inlineStr">
        <is>
          <t>Igen</t>
        </is>
      </c>
      <c r="M1350" s="7" t="inlineStr">
        <is>
          <t>Fuhrmann teljes kínálata (gyártói katalógus / weboldal)</t>
        </is>
      </c>
      <c r="N1350" s="7" t="inlineStr">
        <is>
          <t>Megtalálva: a beszállító teljes kínálatából felvett termék</t>
        </is>
      </c>
      <c r="O1350" s="11" t="inlineStr">
        <is>
          <t>https://www.fuhrmann.at/de/stbwfoxln.php</t>
        </is>
      </c>
      <c r="P1350" s="11" t="inlineStr">
        <is>
          <t>https://website-9ib.pages.dev/termek/acel-oldalfal-foxlbn-800/</t>
        </is>
      </c>
      <c r="Q1350" s="12" t="inlineStr"/>
      <c r="R1350" s="13" t="inlineStr"/>
      <c r="S1350" s="6" t="inlineStr">
        <is>
          <t>acel-oldalfal-foxlbn-800</t>
        </is>
      </c>
    </row>
    <row r="1351">
      <c r="A1351" s="6" t="inlineStr">
        <is>
          <t>FOXLHV 400</t>
        </is>
      </c>
      <c r="B1351" s="7" t="inlineStr">
        <is>
          <t>Acél oldalfal FOXLHV 400 mm</t>
        </is>
      </c>
      <c r="C1351" s="6" t="inlineStr">
        <is>
          <t>Acél profilok</t>
        </is>
      </c>
      <c r="D1351" s="6" t="inlineStr">
        <is>
          <t>Heavy Duty acél oldalfalak</t>
        </is>
      </c>
      <c r="E1351" s="6" t="inlineStr">
        <is>
          <t>Fuhrmann</t>
        </is>
      </c>
      <c r="F1351" s="6" t="inlineStr">
        <is>
          <t>FOXLHV 400</t>
        </is>
      </c>
      <c r="G1351" s="6" t="inlineStr">
        <is>
          <t>Teljes kínálat</t>
        </is>
      </c>
      <c r="H1351" s="6" t="n">
        <v>1</v>
      </c>
      <c r="I1351" s="6" t="n">
        <v>5</v>
      </c>
      <c r="J1351" s="6" t="inlineStr">
        <is>
          <t>van</t>
        </is>
      </c>
      <c r="K1351" s="6">
        <f>IF(AND(H1351&gt;0,I1351&gt;0),"Rendben",IF(AND(H1351=0,I1351=0),"Nincs kép és adat",IF(H1351=0,"Nincs kép","Nincs adat")))</f>
        <v/>
      </c>
      <c r="L1351" s="6" t="inlineStr">
        <is>
          <t>Igen</t>
        </is>
      </c>
      <c r="M1351" s="7" t="inlineStr">
        <is>
          <t>Fuhrmann teljes kínálata (gyártói katalógus / weboldal)</t>
        </is>
      </c>
      <c r="N1351" s="7" t="inlineStr">
        <is>
          <t>Megtalálva: a beszállító teljes kínálatából felvett termék</t>
        </is>
      </c>
      <c r="O1351" s="11" t="inlineStr">
        <is>
          <t>https://www.fuhrmann.at/de/stbwfoxl.php</t>
        </is>
      </c>
      <c r="P1351" s="11" t="inlineStr">
        <is>
          <t>https://website-9ib.pages.dev/termek/acel-oldalfal-foxlhv-400/</t>
        </is>
      </c>
      <c r="Q1351" s="12" t="inlineStr"/>
      <c r="R1351" s="13" t="inlineStr"/>
      <c r="S1351" s="6" t="inlineStr">
        <is>
          <t>acel-oldalfal-foxlhv-400</t>
        </is>
      </c>
    </row>
    <row r="1352">
      <c r="A1352" s="6" t="inlineStr">
        <is>
          <t>FOXLHV 500</t>
        </is>
      </c>
      <c r="B1352" s="7" t="inlineStr">
        <is>
          <t>Acél oldalfal FOXLHV 500 mm</t>
        </is>
      </c>
      <c r="C1352" s="6" t="inlineStr">
        <is>
          <t>Acél profilok</t>
        </is>
      </c>
      <c r="D1352" s="6" t="inlineStr">
        <is>
          <t>Heavy Duty acél oldalfalak</t>
        </is>
      </c>
      <c r="E1352" s="6" t="inlineStr">
        <is>
          <t>Fuhrmann</t>
        </is>
      </c>
      <c r="F1352" s="6" t="inlineStr">
        <is>
          <t>FOXLHV 500</t>
        </is>
      </c>
      <c r="G1352" s="6" t="inlineStr">
        <is>
          <t>Teljes kínálat</t>
        </is>
      </c>
      <c r="H1352" s="6" t="n">
        <v>1</v>
      </c>
      <c r="I1352" s="6" t="n">
        <v>5</v>
      </c>
      <c r="J1352" s="6" t="inlineStr">
        <is>
          <t>van</t>
        </is>
      </c>
      <c r="K1352" s="6">
        <f>IF(AND(H1352&gt;0,I1352&gt;0),"Rendben",IF(AND(H1352=0,I1352=0),"Nincs kép és adat",IF(H1352=0,"Nincs kép","Nincs adat")))</f>
        <v/>
      </c>
      <c r="L1352" s="6" t="inlineStr">
        <is>
          <t>Igen</t>
        </is>
      </c>
      <c r="M1352" s="7" t="inlineStr">
        <is>
          <t>Fuhrmann teljes kínálata (gyártói katalógus / weboldal)</t>
        </is>
      </c>
      <c r="N1352" s="7" t="inlineStr">
        <is>
          <t>Megtalálva: a beszállító teljes kínálatából felvett termék</t>
        </is>
      </c>
      <c r="O1352" s="11" t="inlineStr">
        <is>
          <t>https://www.fuhrmann.at/de/stbwfoxl.php</t>
        </is>
      </c>
      <c r="P1352" s="11" t="inlineStr">
        <is>
          <t>https://website-9ib.pages.dev/termek/acel-oldalfal-foxlhv-500/</t>
        </is>
      </c>
      <c r="Q1352" s="12" t="inlineStr"/>
      <c r="R1352" s="13" t="inlineStr"/>
      <c r="S1352" s="6" t="inlineStr">
        <is>
          <t>acel-oldalfal-foxlhv-500</t>
        </is>
      </c>
    </row>
    <row r="1353">
      <c r="A1353" s="6" t="inlineStr">
        <is>
          <t>FOXLHV 600</t>
        </is>
      </c>
      <c r="B1353" s="7" t="inlineStr">
        <is>
          <t>Acél oldalfal FOXLHV 600 mm</t>
        </is>
      </c>
      <c r="C1353" s="6" t="inlineStr">
        <is>
          <t>Acél profilok</t>
        </is>
      </c>
      <c r="D1353" s="6" t="inlineStr">
        <is>
          <t>Heavy Duty acél oldalfalak</t>
        </is>
      </c>
      <c r="E1353" s="6" t="inlineStr">
        <is>
          <t>Fuhrmann</t>
        </is>
      </c>
      <c r="F1353" s="6" t="inlineStr">
        <is>
          <t>FOXLHV 600</t>
        </is>
      </c>
      <c r="G1353" s="6" t="inlineStr">
        <is>
          <t>Teljes kínálat</t>
        </is>
      </c>
      <c r="H1353" s="6" t="n">
        <v>1</v>
      </c>
      <c r="I1353" s="6" t="n">
        <v>5</v>
      </c>
      <c r="J1353" s="6" t="inlineStr">
        <is>
          <t>van</t>
        </is>
      </c>
      <c r="K1353" s="6">
        <f>IF(AND(H1353&gt;0,I1353&gt;0),"Rendben",IF(AND(H1353=0,I1353=0),"Nincs kép és adat",IF(H1353=0,"Nincs kép","Nincs adat")))</f>
        <v/>
      </c>
      <c r="L1353" s="6" t="inlineStr">
        <is>
          <t>Igen</t>
        </is>
      </c>
      <c r="M1353" s="7" t="inlineStr">
        <is>
          <t>Fuhrmann teljes kínálata (gyártói katalógus / weboldal)</t>
        </is>
      </c>
      <c r="N1353" s="7" t="inlineStr">
        <is>
          <t>Megtalálva: a beszállító teljes kínálatából felvett termék</t>
        </is>
      </c>
      <c r="O1353" s="11" t="inlineStr">
        <is>
          <t>https://www.fuhrmann.at/de/stbwfoxl.php</t>
        </is>
      </c>
      <c r="P1353" s="11" t="inlineStr">
        <is>
          <t>https://website-9ib.pages.dev/termek/acel-oldalfal-foxlhv-600/</t>
        </is>
      </c>
      <c r="Q1353" s="12" t="inlineStr"/>
      <c r="R1353" s="13" t="inlineStr"/>
      <c r="S1353" s="6" t="inlineStr">
        <is>
          <t>acel-oldalfal-foxlhv-600</t>
        </is>
      </c>
    </row>
    <row r="1354">
      <c r="A1354" s="6" t="inlineStr">
        <is>
          <t>FOXLHV 700</t>
        </is>
      </c>
      <c r="B1354" s="7" t="inlineStr">
        <is>
          <t>Acél oldalfal FOXLHV 700 mm</t>
        </is>
      </c>
      <c r="C1354" s="6" t="inlineStr">
        <is>
          <t>Acél profilok</t>
        </is>
      </c>
      <c r="D1354" s="6" t="inlineStr">
        <is>
          <t>Heavy Duty acél oldalfalak</t>
        </is>
      </c>
      <c r="E1354" s="6" t="inlineStr">
        <is>
          <t>Fuhrmann</t>
        </is>
      </c>
      <c r="F1354" s="6" t="inlineStr">
        <is>
          <t>FOXLHV 700</t>
        </is>
      </c>
      <c r="G1354" s="6" t="inlineStr">
        <is>
          <t>Teljes kínálat</t>
        </is>
      </c>
      <c r="H1354" s="6" t="n">
        <v>1</v>
      </c>
      <c r="I1354" s="6" t="n">
        <v>5</v>
      </c>
      <c r="J1354" s="6" t="inlineStr">
        <is>
          <t>van</t>
        </is>
      </c>
      <c r="K1354" s="6">
        <f>IF(AND(H1354&gt;0,I1354&gt;0),"Rendben",IF(AND(H1354=0,I1354=0),"Nincs kép és adat",IF(H1354=0,"Nincs kép","Nincs adat")))</f>
        <v/>
      </c>
      <c r="L1354" s="6" t="inlineStr">
        <is>
          <t>Igen</t>
        </is>
      </c>
      <c r="M1354" s="7" t="inlineStr">
        <is>
          <t>Fuhrmann teljes kínálata (gyártói katalógus / weboldal)</t>
        </is>
      </c>
      <c r="N1354" s="7" t="inlineStr">
        <is>
          <t>Megtalálva: a beszállító teljes kínálatából felvett termék</t>
        </is>
      </c>
      <c r="O1354" s="11" t="inlineStr">
        <is>
          <t>https://www.fuhrmann.at/de/stbwfoxl.php</t>
        </is>
      </c>
      <c r="P1354" s="11" t="inlineStr">
        <is>
          <t>https://website-9ib.pages.dev/termek/acel-oldalfal-foxlhv-700/</t>
        </is>
      </c>
      <c r="Q1354" s="12" t="inlineStr"/>
      <c r="R1354" s="13" t="inlineStr"/>
      <c r="S1354" s="6" t="inlineStr">
        <is>
          <t>acel-oldalfal-foxlhv-700</t>
        </is>
      </c>
    </row>
    <row r="1355">
      <c r="A1355" s="6" t="inlineStr">
        <is>
          <t>FOXLHV 800</t>
        </is>
      </c>
      <c r="B1355" s="7" t="inlineStr">
        <is>
          <t>Acél oldalfal FOXLHV 800 mm</t>
        </is>
      </c>
      <c r="C1355" s="6" t="inlineStr">
        <is>
          <t>Acél profilok</t>
        </is>
      </c>
      <c r="D1355" s="6" t="inlineStr">
        <is>
          <t>Heavy Duty acél oldalfalak</t>
        </is>
      </c>
      <c r="E1355" s="6" t="inlineStr">
        <is>
          <t>Fuhrmann</t>
        </is>
      </c>
      <c r="F1355" s="6" t="inlineStr">
        <is>
          <t>FOXLHV 800</t>
        </is>
      </c>
      <c r="G1355" s="6" t="inlineStr">
        <is>
          <t>Teljes kínálat</t>
        </is>
      </c>
      <c r="H1355" s="6" t="n">
        <v>1</v>
      </c>
      <c r="I1355" s="6" t="n">
        <v>5</v>
      </c>
      <c r="J1355" s="6" t="inlineStr">
        <is>
          <t>van</t>
        </is>
      </c>
      <c r="K1355" s="6">
        <f>IF(AND(H1355&gt;0,I1355&gt;0),"Rendben",IF(AND(H1355=0,I1355=0),"Nincs kép és adat",IF(H1355=0,"Nincs kép","Nincs adat")))</f>
        <v/>
      </c>
      <c r="L1355" s="6" t="inlineStr">
        <is>
          <t>Igen</t>
        </is>
      </c>
      <c r="M1355" s="7" t="inlineStr">
        <is>
          <t>Fuhrmann teljes kínálata (gyártói katalógus / weboldal)</t>
        </is>
      </c>
      <c r="N1355" s="7" t="inlineStr">
        <is>
          <t>Megtalálva: a beszállító teljes kínálatából felvett termék</t>
        </is>
      </c>
      <c r="O1355" s="11" t="inlineStr">
        <is>
          <t>https://www.fuhrmann.at/de/stbwfoxl.php</t>
        </is>
      </c>
      <c r="P1355" s="11" t="inlineStr">
        <is>
          <t>https://website-9ib.pages.dev/termek/acel-oldalfal-foxlhv-800/</t>
        </is>
      </c>
      <c r="Q1355" s="12" t="inlineStr"/>
      <c r="R1355" s="13" t="inlineStr"/>
      <c r="S1355" s="6" t="inlineStr">
        <is>
          <t>acel-oldalfal-foxlhv-800</t>
        </is>
      </c>
    </row>
    <row r="1356">
      <c r="A1356" s="6" t="inlineStr">
        <is>
          <t>FOXLHVAK 400</t>
        </is>
      </c>
      <c r="B1356" s="7" t="inlineStr">
        <is>
          <t>Acél oldalfal FOXLHVAK 400 mm</t>
        </is>
      </c>
      <c r="C1356" s="6" t="inlineStr">
        <is>
          <t>Acél profilok</t>
        </is>
      </c>
      <c r="D1356" s="6" t="inlineStr">
        <is>
          <t>Heavy Duty acél oldalfalak</t>
        </is>
      </c>
      <c r="E1356" s="6" t="inlineStr">
        <is>
          <t>Fuhrmann</t>
        </is>
      </c>
      <c r="F1356" s="6" t="inlineStr">
        <is>
          <t>FOXLHVAK 400</t>
        </is>
      </c>
      <c r="G1356" s="6" t="inlineStr">
        <is>
          <t>Teljes kínálat</t>
        </is>
      </c>
      <c r="H1356" s="6" t="n">
        <v>1</v>
      </c>
      <c r="I1356" s="6" t="n">
        <v>5</v>
      </c>
      <c r="J1356" s="6" t="inlineStr">
        <is>
          <t>van</t>
        </is>
      </c>
      <c r="K1356" s="6">
        <f>IF(AND(H1356&gt;0,I1356&gt;0),"Rendben",IF(AND(H1356=0,I1356=0),"Nincs kép és adat",IF(H1356=0,"Nincs kép","Nincs adat")))</f>
        <v/>
      </c>
      <c r="L1356" s="6" t="inlineStr">
        <is>
          <t>Igen</t>
        </is>
      </c>
      <c r="M1356" s="7" t="inlineStr">
        <is>
          <t>Fuhrmann teljes kínálata (gyártói katalógus / weboldal)</t>
        </is>
      </c>
      <c r="N1356" s="7" t="inlineStr">
        <is>
          <t>Megtalálva: a beszállító teljes kínálatából felvett termék</t>
        </is>
      </c>
      <c r="O1356" s="11" t="inlineStr">
        <is>
          <t>https://www.fuhrmann.at/de/stbwfoxla.php</t>
        </is>
      </c>
      <c r="P1356" s="11" t="inlineStr">
        <is>
          <t>https://website-9ib.pages.dev/termek/acel-oldalfal-foxlhvak-400/</t>
        </is>
      </c>
      <c r="Q1356" s="12" t="inlineStr"/>
      <c r="R1356" s="13" t="inlineStr"/>
      <c r="S1356" s="6" t="inlineStr">
        <is>
          <t>acel-oldalfal-foxlhvak-400</t>
        </is>
      </c>
    </row>
    <row r="1357">
      <c r="A1357" s="6" t="inlineStr">
        <is>
          <t>FOXLHVAK 500</t>
        </is>
      </c>
      <c r="B1357" s="7" t="inlineStr">
        <is>
          <t>Acél oldalfal FOXLHVAK 500 mm</t>
        </is>
      </c>
      <c r="C1357" s="6" t="inlineStr">
        <is>
          <t>Acél profilok</t>
        </is>
      </c>
      <c r="D1357" s="6" t="inlineStr">
        <is>
          <t>Heavy Duty acél oldalfalak</t>
        </is>
      </c>
      <c r="E1357" s="6" t="inlineStr">
        <is>
          <t>Fuhrmann</t>
        </is>
      </c>
      <c r="F1357" s="6" t="inlineStr">
        <is>
          <t>FOXLHVAK 500</t>
        </is>
      </c>
      <c r="G1357" s="6" t="inlineStr">
        <is>
          <t>Teljes kínálat</t>
        </is>
      </c>
      <c r="H1357" s="6" t="n">
        <v>1</v>
      </c>
      <c r="I1357" s="6" t="n">
        <v>5</v>
      </c>
      <c r="J1357" s="6" t="inlineStr">
        <is>
          <t>van</t>
        </is>
      </c>
      <c r="K1357" s="6">
        <f>IF(AND(H1357&gt;0,I1357&gt;0),"Rendben",IF(AND(H1357=0,I1357=0),"Nincs kép és adat",IF(H1357=0,"Nincs kép","Nincs adat")))</f>
        <v/>
      </c>
      <c r="L1357" s="6" t="inlineStr">
        <is>
          <t>Igen</t>
        </is>
      </c>
      <c r="M1357" s="7" t="inlineStr">
        <is>
          <t>Fuhrmann teljes kínálata (gyártói katalógus / weboldal)</t>
        </is>
      </c>
      <c r="N1357" s="7" t="inlineStr">
        <is>
          <t>Megtalálva: a beszállító teljes kínálatából felvett termék</t>
        </is>
      </c>
      <c r="O1357" s="11" t="inlineStr">
        <is>
          <t>https://www.fuhrmann.at/de/stbwfoxla.php</t>
        </is>
      </c>
      <c r="P1357" s="11" t="inlineStr">
        <is>
          <t>https://website-9ib.pages.dev/termek/acel-oldalfal-foxlhvak-500/</t>
        </is>
      </c>
      <c r="Q1357" s="12" t="inlineStr"/>
      <c r="R1357" s="13" t="inlineStr"/>
      <c r="S1357" s="6" t="inlineStr">
        <is>
          <t>acel-oldalfal-foxlhvak-500</t>
        </is>
      </c>
    </row>
    <row r="1358">
      <c r="A1358" s="6" t="inlineStr">
        <is>
          <t>FOXLHVAK 600</t>
        </is>
      </c>
      <c r="B1358" s="7" t="inlineStr">
        <is>
          <t>Acél oldalfal FOXLHVAK 600 mm</t>
        </is>
      </c>
      <c r="C1358" s="6" t="inlineStr">
        <is>
          <t>Acél profilok</t>
        </is>
      </c>
      <c r="D1358" s="6" t="inlineStr">
        <is>
          <t>Heavy Duty acél oldalfalak</t>
        </is>
      </c>
      <c r="E1358" s="6" t="inlineStr">
        <is>
          <t>Fuhrmann</t>
        </is>
      </c>
      <c r="F1358" s="6" t="inlineStr">
        <is>
          <t>FOXLHVAK 600</t>
        </is>
      </c>
      <c r="G1358" s="6" t="inlineStr">
        <is>
          <t>Teljes kínálat</t>
        </is>
      </c>
      <c r="H1358" s="6" t="n">
        <v>1</v>
      </c>
      <c r="I1358" s="6" t="n">
        <v>5</v>
      </c>
      <c r="J1358" s="6" t="inlineStr">
        <is>
          <t>van</t>
        </is>
      </c>
      <c r="K1358" s="6">
        <f>IF(AND(H1358&gt;0,I1358&gt;0),"Rendben",IF(AND(H1358=0,I1358=0),"Nincs kép és adat",IF(H1358=0,"Nincs kép","Nincs adat")))</f>
        <v/>
      </c>
      <c r="L1358" s="6" t="inlineStr">
        <is>
          <t>Igen</t>
        </is>
      </c>
      <c r="M1358" s="7" t="inlineStr">
        <is>
          <t>Fuhrmann teljes kínálata (gyártói katalógus / weboldal)</t>
        </is>
      </c>
      <c r="N1358" s="7" t="inlineStr">
        <is>
          <t>Megtalálva: a beszállító teljes kínálatából felvett termék</t>
        </is>
      </c>
      <c r="O1358" s="11" t="inlineStr">
        <is>
          <t>https://www.fuhrmann.at/de/stbwfoxla.php</t>
        </is>
      </c>
      <c r="P1358" s="11" t="inlineStr">
        <is>
          <t>https://website-9ib.pages.dev/termek/acel-oldalfal-foxlhvak-600/</t>
        </is>
      </c>
      <c r="Q1358" s="12" t="inlineStr"/>
      <c r="R1358" s="13" t="inlineStr"/>
      <c r="S1358" s="6" t="inlineStr">
        <is>
          <t>acel-oldalfal-foxlhvak-600</t>
        </is>
      </c>
    </row>
    <row r="1359">
      <c r="A1359" s="6" t="inlineStr">
        <is>
          <t>FOXLHVAK 700</t>
        </is>
      </c>
      <c r="B1359" s="7" t="inlineStr">
        <is>
          <t>Acél oldalfal FOXLHVAK 700 mm</t>
        </is>
      </c>
      <c r="C1359" s="6" t="inlineStr">
        <is>
          <t>Acél profilok</t>
        </is>
      </c>
      <c r="D1359" s="6" t="inlineStr">
        <is>
          <t>Heavy Duty acél oldalfalak</t>
        </is>
      </c>
      <c r="E1359" s="6" t="inlineStr">
        <is>
          <t>Fuhrmann</t>
        </is>
      </c>
      <c r="F1359" s="6" t="inlineStr">
        <is>
          <t>FOXLHVAK 700</t>
        </is>
      </c>
      <c r="G1359" s="6" t="inlineStr">
        <is>
          <t>Teljes kínálat</t>
        </is>
      </c>
      <c r="H1359" s="6" t="n">
        <v>1</v>
      </c>
      <c r="I1359" s="6" t="n">
        <v>5</v>
      </c>
      <c r="J1359" s="6" t="inlineStr">
        <is>
          <t>van</t>
        </is>
      </c>
      <c r="K1359" s="6">
        <f>IF(AND(H1359&gt;0,I1359&gt;0),"Rendben",IF(AND(H1359=0,I1359=0),"Nincs kép és adat",IF(H1359=0,"Nincs kép","Nincs adat")))</f>
        <v/>
      </c>
      <c r="L1359" s="6" t="inlineStr">
        <is>
          <t>Igen</t>
        </is>
      </c>
      <c r="M1359" s="7" t="inlineStr">
        <is>
          <t>Fuhrmann teljes kínálata (gyártói katalógus / weboldal)</t>
        </is>
      </c>
      <c r="N1359" s="7" t="inlineStr">
        <is>
          <t>Megtalálva: a beszállító teljes kínálatából felvett termék</t>
        </is>
      </c>
      <c r="O1359" s="11" t="inlineStr">
        <is>
          <t>https://www.fuhrmann.at/de/stbwfoxla.php</t>
        </is>
      </c>
      <c r="P1359" s="11" t="inlineStr">
        <is>
          <t>https://website-9ib.pages.dev/termek/acel-oldalfal-foxlhvak-700/</t>
        </is>
      </c>
      <c r="Q1359" s="12" t="inlineStr"/>
      <c r="R1359" s="13" t="inlineStr"/>
      <c r="S1359" s="6" t="inlineStr">
        <is>
          <t>acel-oldalfal-foxlhvak-700</t>
        </is>
      </c>
    </row>
    <row r="1360">
      <c r="A1360" s="6" t="inlineStr">
        <is>
          <t>FOXLHVAK 800</t>
        </is>
      </c>
      <c r="B1360" s="7" t="inlineStr">
        <is>
          <t>Acél oldalfal FOXLHVAK 800 mm</t>
        </is>
      </c>
      <c r="C1360" s="6" t="inlineStr">
        <is>
          <t>Acél profilok</t>
        </is>
      </c>
      <c r="D1360" s="6" t="inlineStr">
        <is>
          <t>Heavy Duty acél oldalfalak</t>
        </is>
      </c>
      <c r="E1360" s="6" t="inlineStr">
        <is>
          <t>Fuhrmann</t>
        </is>
      </c>
      <c r="F1360" s="6" t="inlineStr">
        <is>
          <t>FOXLHVAK 800</t>
        </is>
      </c>
      <c r="G1360" s="6" t="inlineStr">
        <is>
          <t>Teljes kínálat</t>
        </is>
      </c>
      <c r="H1360" s="6" t="n">
        <v>1</v>
      </c>
      <c r="I1360" s="6" t="n">
        <v>5</v>
      </c>
      <c r="J1360" s="6" t="inlineStr">
        <is>
          <t>van</t>
        </is>
      </c>
      <c r="K1360" s="6">
        <f>IF(AND(H1360&gt;0,I1360&gt;0),"Rendben",IF(AND(H1360=0,I1360=0),"Nincs kép és adat",IF(H1360=0,"Nincs kép","Nincs adat")))</f>
        <v/>
      </c>
      <c r="L1360" s="6" t="inlineStr">
        <is>
          <t>Igen</t>
        </is>
      </c>
      <c r="M1360" s="7" t="inlineStr">
        <is>
          <t>Fuhrmann teljes kínálata (gyártói katalógus / weboldal)</t>
        </is>
      </c>
      <c r="N1360" s="7" t="inlineStr">
        <is>
          <t>Megtalálva: a beszállító teljes kínálatából felvett termék</t>
        </is>
      </c>
      <c r="O1360" s="11" t="inlineStr">
        <is>
          <t>https://www.fuhrmann.at/de/stbwfoxla.php</t>
        </is>
      </c>
      <c r="P1360" s="11" t="inlineStr">
        <is>
          <t>https://website-9ib.pages.dev/termek/acel-oldalfal-foxlhvak-800/</t>
        </is>
      </c>
      <c r="Q1360" s="12" t="inlineStr"/>
      <c r="R1360" s="13" t="inlineStr"/>
      <c r="S1360" s="6" t="inlineStr">
        <is>
          <t>acel-oldalfal-foxlhvak-800</t>
        </is>
      </c>
    </row>
    <row r="1361">
      <c r="A1361" s="6" t="inlineStr">
        <is>
          <t>FOXLHVN 400</t>
        </is>
      </c>
      <c r="B1361" s="7" t="inlineStr">
        <is>
          <t>Acél oldalfal FOXLHVN 400 mm</t>
        </is>
      </c>
      <c r="C1361" s="6" t="inlineStr">
        <is>
          <t>Acél profilok</t>
        </is>
      </c>
      <c r="D1361" s="6" t="inlineStr">
        <is>
          <t>Heavy Duty acél oldalfalak</t>
        </is>
      </c>
      <c r="E1361" s="6" t="inlineStr">
        <is>
          <t>Fuhrmann</t>
        </is>
      </c>
      <c r="F1361" s="6" t="inlineStr">
        <is>
          <t>FOXLHVN 400</t>
        </is>
      </c>
      <c r="G1361" s="6" t="inlineStr">
        <is>
          <t>Teljes kínálat</t>
        </is>
      </c>
      <c r="H1361" s="6" t="n">
        <v>1</v>
      </c>
      <c r="I1361" s="6" t="n">
        <v>5</v>
      </c>
      <c r="J1361" s="6" t="inlineStr">
        <is>
          <t>van</t>
        </is>
      </c>
      <c r="K1361" s="6">
        <f>IF(AND(H1361&gt;0,I1361&gt;0),"Rendben",IF(AND(H1361=0,I1361=0),"Nincs kép és adat",IF(H1361=0,"Nincs kép","Nincs adat")))</f>
        <v/>
      </c>
      <c r="L1361" s="6" t="inlineStr">
        <is>
          <t>Igen</t>
        </is>
      </c>
      <c r="M1361" s="7" t="inlineStr">
        <is>
          <t>Fuhrmann teljes kínálata (gyártói katalógus / weboldal)</t>
        </is>
      </c>
      <c r="N1361" s="7" t="inlineStr">
        <is>
          <t>Megtalálva: a beszállító teljes kínálatából felvett termék</t>
        </is>
      </c>
      <c r="O1361" s="11" t="inlineStr">
        <is>
          <t>https://www.fuhrmann.at/de/stbwfoxln.php</t>
        </is>
      </c>
      <c r="P1361" s="11" t="inlineStr">
        <is>
          <t>https://website-9ib.pages.dev/termek/acel-oldalfal-foxlhvn-400/</t>
        </is>
      </c>
      <c r="Q1361" s="12" t="inlineStr"/>
      <c r="R1361" s="13" t="inlineStr"/>
      <c r="S1361" s="6" t="inlineStr">
        <is>
          <t>acel-oldalfal-foxlhvn-400</t>
        </is>
      </c>
    </row>
    <row r="1362">
      <c r="A1362" s="6" t="inlineStr">
        <is>
          <t>FOXLHVN 500</t>
        </is>
      </c>
      <c r="B1362" s="7" t="inlineStr">
        <is>
          <t>Acél oldalfal FOXLHVN 500 mm</t>
        </is>
      </c>
      <c r="C1362" s="6" t="inlineStr">
        <is>
          <t>Acél profilok</t>
        </is>
      </c>
      <c r="D1362" s="6" t="inlineStr">
        <is>
          <t>Heavy Duty acél oldalfalak</t>
        </is>
      </c>
      <c r="E1362" s="6" t="inlineStr">
        <is>
          <t>Fuhrmann</t>
        </is>
      </c>
      <c r="F1362" s="6" t="inlineStr">
        <is>
          <t>FOXLHVN 500</t>
        </is>
      </c>
      <c r="G1362" s="6" t="inlineStr">
        <is>
          <t>Teljes kínálat</t>
        </is>
      </c>
      <c r="H1362" s="6" t="n">
        <v>1</v>
      </c>
      <c r="I1362" s="6" t="n">
        <v>5</v>
      </c>
      <c r="J1362" s="6" t="inlineStr">
        <is>
          <t>van</t>
        </is>
      </c>
      <c r="K1362" s="6">
        <f>IF(AND(H1362&gt;0,I1362&gt;0),"Rendben",IF(AND(H1362=0,I1362=0),"Nincs kép és adat",IF(H1362=0,"Nincs kép","Nincs adat")))</f>
        <v/>
      </c>
      <c r="L1362" s="6" t="inlineStr">
        <is>
          <t>Igen</t>
        </is>
      </c>
      <c r="M1362" s="7" t="inlineStr">
        <is>
          <t>Fuhrmann teljes kínálata (gyártói katalógus / weboldal)</t>
        </is>
      </c>
      <c r="N1362" s="7" t="inlineStr">
        <is>
          <t>Megtalálva: a beszállító teljes kínálatából felvett termék</t>
        </is>
      </c>
      <c r="O1362" s="11" t="inlineStr">
        <is>
          <t>https://www.fuhrmann.at/de/stbwfoxln.php</t>
        </is>
      </c>
      <c r="P1362" s="11" t="inlineStr">
        <is>
          <t>https://website-9ib.pages.dev/termek/acel-oldalfal-foxlhvn-500/</t>
        </is>
      </c>
      <c r="Q1362" s="12" t="inlineStr"/>
      <c r="R1362" s="13" t="inlineStr"/>
      <c r="S1362" s="6" t="inlineStr">
        <is>
          <t>acel-oldalfal-foxlhvn-500</t>
        </is>
      </c>
    </row>
    <row r="1363">
      <c r="A1363" s="6" t="inlineStr">
        <is>
          <t>FOXLHVN 600</t>
        </is>
      </c>
      <c r="B1363" s="7" t="inlineStr">
        <is>
          <t>Acél oldalfal FOXLHVN 600 mm</t>
        </is>
      </c>
      <c r="C1363" s="6" t="inlineStr">
        <is>
          <t>Acél profilok</t>
        </is>
      </c>
      <c r="D1363" s="6" t="inlineStr">
        <is>
          <t>Heavy Duty acél oldalfalak</t>
        </is>
      </c>
      <c r="E1363" s="6" t="inlineStr">
        <is>
          <t>Fuhrmann</t>
        </is>
      </c>
      <c r="F1363" s="6" t="inlineStr">
        <is>
          <t>FOXLHVN 600</t>
        </is>
      </c>
      <c r="G1363" s="6" t="inlineStr">
        <is>
          <t>Teljes kínálat</t>
        </is>
      </c>
      <c r="H1363" s="6" t="n">
        <v>1</v>
      </c>
      <c r="I1363" s="6" t="n">
        <v>5</v>
      </c>
      <c r="J1363" s="6" t="inlineStr">
        <is>
          <t>van</t>
        </is>
      </c>
      <c r="K1363" s="6">
        <f>IF(AND(H1363&gt;0,I1363&gt;0),"Rendben",IF(AND(H1363=0,I1363=0),"Nincs kép és adat",IF(H1363=0,"Nincs kép","Nincs adat")))</f>
        <v/>
      </c>
      <c r="L1363" s="6" t="inlineStr">
        <is>
          <t>Igen</t>
        </is>
      </c>
      <c r="M1363" s="7" t="inlineStr">
        <is>
          <t>Fuhrmann teljes kínálata (gyártói katalógus / weboldal)</t>
        </is>
      </c>
      <c r="N1363" s="7" t="inlineStr">
        <is>
          <t>Megtalálva: a beszállító teljes kínálatából felvett termék</t>
        </is>
      </c>
      <c r="O1363" s="11" t="inlineStr">
        <is>
          <t>https://www.fuhrmann.at/de/stbwfoxln.php</t>
        </is>
      </c>
      <c r="P1363" s="11" t="inlineStr">
        <is>
          <t>https://website-9ib.pages.dev/termek/acel-oldalfal-foxlhvn-600/</t>
        </is>
      </c>
      <c r="Q1363" s="12" t="inlineStr"/>
      <c r="R1363" s="13" t="inlineStr"/>
      <c r="S1363" s="6" t="inlineStr">
        <is>
          <t>acel-oldalfal-foxlhvn-600</t>
        </is>
      </c>
    </row>
    <row r="1364">
      <c r="A1364" s="6" t="inlineStr">
        <is>
          <t>FOXLHVN 700</t>
        </is>
      </c>
      <c r="B1364" s="7" t="inlineStr">
        <is>
          <t>Acél oldalfal FOXLHVN 700 mm</t>
        </is>
      </c>
      <c r="C1364" s="6" t="inlineStr">
        <is>
          <t>Acél profilok</t>
        </is>
      </c>
      <c r="D1364" s="6" t="inlineStr">
        <is>
          <t>Heavy Duty acél oldalfalak</t>
        </is>
      </c>
      <c r="E1364" s="6" t="inlineStr">
        <is>
          <t>Fuhrmann</t>
        </is>
      </c>
      <c r="F1364" s="6" t="inlineStr">
        <is>
          <t>FOXLHVN 700</t>
        </is>
      </c>
      <c r="G1364" s="6" t="inlineStr">
        <is>
          <t>Teljes kínálat</t>
        </is>
      </c>
      <c r="H1364" s="6" t="n">
        <v>1</v>
      </c>
      <c r="I1364" s="6" t="n">
        <v>5</v>
      </c>
      <c r="J1364" s="6" t="inlineStr">
        <is>
          <t>van</t>
        </is>
      </c>
      <c r="K1364" s="6">
        <f>IF(AND(H1364&gt;0,I1364&gt;0),"Rendben",IF(AND(H1364=0,I1364=0),"Nincs kép és adat",IF(H1364=0,"Nincs kép","Nincs adat")))</f>
        <v/>
      </c>
      <c r="L1364" s="6" t="inlineStr">
        <is>
          <t>Igen</t>
        </is>
      </c>
      <c r="M1364" s="7" t="inlineStr">
        <is>
          <t>Fuhrmann teljes kínálata (gyártói katalógus / weboldal)</t>
        </is>
      </c>
      <c r="N1364" s="7" t="inlineStr">
        <is>
          <t>Megtalálva: a beszállító teljes kínálatából felvett termék</t>
        </is>
      </c>
      <c r="O1364" s="11" t="inlineStr">
        <is>
          <t>https://www.fuhrmann.at/de/stbwfoxln.php</t>
        </is>
      </c>
      <c r="P1364" s="11" t="inlineStr">
        <is>
          <t>https://website-9ib.pages.dev/termek/acel-oldalfal-foxlhvn-700/</t>
        </is>
      </c>
      <c r="Q1364" s="12" t="inlineStr"/>
      <c r="R1364" s="13" t="inlineStr"/>
      <c r="S1364" s="6" t="inlineStr">
        <is>
          <t>acel-oldalfal-foxlhvn-700</t>
        </is>
      </c>
    </row>
    <row r="1365">
      <c r="A1365" s="6" t="inlineStr">
        <is>
          <t>FOXLHVN 800</t>
        </is>
      </c>
      <c r="B1365" s="7" t="inlineStr">
        <is>
          <t>Acél oldalfal FOXLHVN 800 mm</t>
        </is>
      </c>
      <c r="C1365" s="6" t="inlineStr">
        <is>
          <t>Acél profilok</t>
        </is>
      </c>
      <c r="D1365" s="6" t="inlineStr">
        <is>
          <t>Heavy Duty acél oldalfalak</t>
        </is>
      </c>
      <c r="E1365" s="6" t="inlineStr">
        <is>
          <t>Fuhrmann</t>
        </is>
      </c>
      <c r="F1365" s="6" t="inlineStr">
        <is>
          <t>FOXLHVN 800</t>
        </is>
      </c>
      <c r="G1365" s="6" t="inlineStr">
        <is>
          <t>Teljes kínálat</t>
        </is>
      </c>
      <c r="H1365" s="6" t="n">
        <v>1</v>
      </c>
      <c r="I1365" s="6" t="n">
        <v>5</v>
      </c>
      <c r="J1365" s="6" t="inlineStr">
        <is>
          <t>van</t>
        </is>
      </c>
      <c r="K1365" s="6">
        <f>IF(AND(H1365&gt;0,I1365&gt;0),"Rendben",IF(AND(H1365=0,I1365=0),"Nincs kép és adat",IF(H1365=0,"Nincs kép","Nincs adat")))</f>
        <v/>
      </c>
      <c r="L1365" s="6" t="inlineStr">
        <is>
          <t>Igen</t>
        </is>
      </c>
      <c r="M1365" s="7" t="inlineStr">
        <is>
          <t>Fuhrmann teljes kínálata (gyártói katalógus / weboldal)</t>
        </is>
      </c>
      <c r="N1365" s="7" t="inlineStr">
        <is>
          <t>Megtalálva: a beszállító teljes kínálatából felvett termék</t>
        </is>
      </c>
      <c r="O1365" s="11" t="inlineStr">
        <is>
          <t>https://www.fuhrmann.at/de/stbwfoxln.php</t>
        </is>
      </c>
      <c r="P1365" s="11" t="inlineStr">
        <is>
          <t>https://website-9ib.pages.dev/termek/acel-oldalfal-foxlhvn-800/</t>
        </is>
      </c>
      <c r="Q1365" s="12" t="inlineStr"/>
      <c r="R1365" s="13" t="inlineStr"/>
      <c r="S1365" s="6" t="inlineStr">
        <is>
          <t>acel-oldalfal-foxlhvn-800</t>
        </is>
      </c>
    </row>
    <row r="1366">
      <c r="A1366" s="6" t="inlineStr">
        <is>
          <t>HV 300</t>
        </is>
      </c>
      <c r="B1366" s="7" t="inlineStr">
        <is>
          <t>Acél oldalfal HV 300 mm</t>
        </is>
      </c>
      <c r="C1366" s="6" t="inlineStr">
        <is>
          <t>Acél profilok</t>
        </is>
      </c>
      <c r="D1366" s="6" t="inlineStr">
        <is>
          <t>Lézerhegesztett acél oldalfalak</t>
        </is>
      </c>
      <c r="E1366" s="6" t="inlineStr">
        <is>
          <t>Fuhrmann</t>
        </is>
      </c>
      <c r="F1366" s="6" t="inlineStr">
        <is>
          <t>HV 300</t>
        </is>
      </c>
      <c r="G1366" s="6" t="inlineStr">
        <is>
          <t>Teljes kínálat</t>
        </is>
      </c>
      <c r="H1366" s="6" t="n">
        <v>1</v>
      </c>
      <c r="I1366" s="6" t="n">
        <v>6</v>
      </c>
      <c r="J1366" s="6" t="inlineStr">
        <is>
          <t>van</t>
        </is>
      </c>
      <c r="K1366" s="6">
        <f>IF(AND(H1366&gt;0,I1366&gt;0),"Rendben",IF(AND(H1366=0,I1366=0),"Nincs kép és adat",IF(H1366=0,"Nincs kép","Nincs adat")))</f>
        <v/>
      </c>
      <c r="L1366" s="6" t="inlineStr">
        <is>
          <t>Igen</t>
        </is>
      </c>
      <c r="M1366" s="7" t="inlineStr">
        <is>
          <t>Fuhrmann teljes kínálata (gyártói katalógus / weboldal)</t>
        </is>
      </c>
      <c r="N1366" s="7" t="inlineStr">
        <is>
          <t>Megtalálva: a beszállító teljes kínálatából felvett termék</t>
        </is>
      </c>
      <c r="O1366" s="11" t="inlineStr">
        <is>
          <t>https://www.fuhrmann.at/de/stbw300.php</t>
        </is>
      </c>
      <c r="P1366" s="11" t="inlineStr">
        <is>
          <t>https://website-9ib.pages.dev/termek/acel-oldalfal-hv-300/</t>
        </is>
      </c>
      <c r="Q1366" s="12" t="inlineStr"/>
      <c r="R1366" s="13" t="inlineStr"/>
      <c r="S1366" s="6" t="inlineStr">
        <is>
          <t>acel-oldalfal-hv-300</t>
        </is>
      </c>
    </row>
    <row r="1367">
      <c r="A1367" s="6" t="inlineStr">
        <is>
          <t>HV 350</t>
        </is>
      </c>
      <c r="B1367" s="7" t="inlineStr">
        <is>
          <t>Acél oldalfal HV 350 mm</t>
        </is>
      </c>
      <c r="C1367" s="6" t="inlineStr">
        <is>
          <t>Acél profilok</t>
        </is>
      </c>
      <c r="D1367" s="6" t="inlineStr">
        <is>
          <t>Lézerhegesztett acél oldalfalak</t>
        </is>
      </c>
      <c r="E1367" s="6" t="inlineStr">
        <is>
          <t>Fuhrmann</t>
        </is>
      </c>
      <c r="F1367" s="6" t="inlineStr">
        <is>
          <t>HV 350</t>
        </is>
      </c>
      <c r="G1367" s="6" t="inlineStr">
        <is>
          <t>Teljes kínálat</t>
        </is>
      </c>
      <c r="H1367" s="6" t="n">
        <v>1</v>
      </c>
      <c r="I1367" s="6" t="n">
        <v>6</v>
      </c>
      <c r="J1367" s="6" t="inlineStr">
        <is>
          <t>van</t>
        </is>
      </c>
      <c r="K1367" s="6">
        <f>IF(AND(H1367&gt;0,I1367&gt;0),"Rendben",IF(AND(H1367=0,I1367=0),"Nincs kép és adat",IF(H1367=0,"Nincs kép","Nincs adat")))</f>
        <v/>
      </c>
      <c r="L1367" s="6" t="inlineStr">
        <is>
          <t>Igen</t>
        </is>
      </c>
      <c r="M1367" s="7" t="inlineStr">
        <is>
          <t>Fuhrmann teljes kínálata (gyártói katalógus / weboldal)</t>
        </is>
      </c>
      <c r="N1367" s="7" t="inlineStr">
        <is>
          <t>Megtalálva: a beszállító teljes kínálatából felvett termék</t>
        </is>
      </c>
      <c r="O1367" s="11" t="inlineStr">
        <is>
          <t>https://www.fuhrmann.at/de/stbw350.php</t>
        </is>
      </c>
      <c r="P1367" s="11" t="inlineStr">
        <is>
          <t>https://website-9ib.pages.dev/termek/acel-oldalfal-hv-350/</t>
        </is>
      </c>
      <c r="Q1367" s="12" t="inlineStr"/>
      <c r="R1367" s="13" t="inlineStr"/>
      <c r="S1367" s="6" t="inlineStr">
        <is>
          <t>acel-oldalfal-hv-350</t>
        </is>
      </c>
    </row>
    <row r="1368">
      <c r="A1368" s="6" t="inlineStr">
        <is>
          <t>HV 400</t>
        </is>
      </c>
      <c r="B1368" s="7" t="inlineStr">
        <is>
          <t>Acél oldalfal HV 400 mm</t>
        </is>
      </c>
      <c r="C1368" s="6" t="inlineStr">
        <is>
          <t>Acél profilok</t>
        </is>
      </c>
      <c r="D1368" s="6" t="inlineStr">
        <is>
          <t>Lézerhegesztett acél oldalfalak</t>
        </is>
      </c>
      <c r="E1368" s="6" t="inlineStr">
        <is>
          <t>Fuhrmann</t>
        </is>
      </c>
      <c r="F1368" s="6" t="inlineStr">
        <is>
          <t>HV 400</t>
        </is>
      </c>
      <c r="G1368" s="6" t="inlineStr">
        <is>
          <t>Teljes kínálat</t>
        </is>
      </c>
      <c r="H1368" s="6" t="n">
        <v>1</v>
      </c>
      <c r="I1368" s="6" t="n">
        <v>6</v>
      </c>
      <c r="J1368" s="6" t="inlineStr">
        <is>
          <t>van</t>
        </is>
      </c>
      <c r="K1368" s="6">
        <f>IF(AND(H1368&gt;0,I1368&gt;0),"Rendben",IF(AND(H1368=0,I1368=0),"Nincs kép és adat",IF(H1368=0,"Nincs kép","Nincs adat")))</f>
        <v/>
      </c>
      <c r="L1368" s="6" t="inlineStr">
        <is>
          <t>Igen</t>
        </is>
      </c>
      <c r="M1368" s="7" t="inlineStr">
        <is>
          <t>Fuhrmann teljes kínálata (gyártói katalógus / weboldal)</t>
        </is>
      </c>
      <c r="N1368" s="7" t="inlineStr">
        <is>
          <t>Megtalálva: a beszállító teljes kínálatából felvett termék</t>
        </is>
      </c>
      <c r="O1368" s="11" t="inlineStr">
        <is>
          <t>https://www.fuhrmann.at/de/stbw400.php</t>
        </is>
      </c>
      <c r="P1368" s="11" t="inlineStr">
        <is>
          <t>https://website-9ib.pages.dev/termek/acel-oldalfal-hv-400/</t>
        </is>
      </c>
      <c r="Q1368" s="12" t="inlineStr"/>
      <c r="R1368" s="13" t="inlineStr"/>
      <c r="S1368" s="6" t="inlineStr">
        <is>
          <t>acel-oldalfal-hv-400</t>
        </is>
      </c>
    </row>
    <row r="1369">
      <c r="A1369" s="6" t="inlineStr">
        <is>
          <t>HV 450</t>
        </is>
      </c>
      <c r="B1369" s="7" t="inlineStr">
        <is>
          <t>Acél oldalfal HV 450 mm</t>
        </is>
      </c>
      <c r="C1369" s="6" t="inlineStr">
        <is>
          <t>Acél profilok</t>
        </is>
      </c>
      <c r="D1369" s="6" t="inlineStr">
        <is>
          <t>Lézerhegesztett acél oldalfalak</t>
        </is>
      </c>
      <c r="E1369" s="6" t="inlineStr">
        <is>
          <t>Fuhrmann</t>
        </is>
      </c>
      <c r="F1369" s="6" t="inlineStr">
        <is>
          <t>HV 450</t>
        </is>
      </c>
      <c r="G1369" s="6" t="inlineStr">
        <is>
          <t>Teljes kínálat</t>
        </is>
      </c>
      <c r="H1369" s="6" t="n">
        <v>1</v>
      </c>
      <c r="I1369" s="6" t="n">
        <v>6</v>
      </c>
      <c r="J1369" s="6" t="inlineStr">
        <is>
          <t>van</t>
        </is>
      </c>
      <c r="K1369" s="6">
        <f>IF(AND(H1369&gt;0,I1369&gt;0),"Rendben",IF(AND(H1369=0,I1369=0),"Nincs kép és adat",IF(H1369=0,"Nincs kép","Nincs adat")))</f>
        <v/>
      </c>
      <c r="L1369" s="6" t="inlineStr">
        <is>
          <t>Igen</t>
        </is>
      </c>
      <c r="M1369" s="7" t="inlineStr">
        <is>
          <t>Fuhrmann teljes kínálata (gyártói katalógus / weboldal)</t>
        </is>
      </c>
      <c r="N1369" s="7" t="inlineStr">
        <is>
          <t>Megtalálva: a beszállító teljes kínálatából felvett termék</t>
        </is>
      </c>
      <c r="O1369" s="11" t="inlineStr">
        <is>
          <t>https://www.fuhrmann.at/de/stbw450.php</t>
        </is>
      </c>
      <c r="P1369" s="11" t="inlineStr">
        <is>
          <t>https://website-9ib.pages.dev/termek/acel-oldalfal-hv-450/</t>
        </is>
      </c>
      <c r="Q1369" s="12" t="inlineStr"/>
      <c r="R1369" s="13" t="inlineStr"/>
      <c r="S1369" s="6" t="inlineStr">
        <is>
          <t>acel-oldalfal-hv-450</t>
        </is>
      </c>
    </row>
    <row r="1370">
      <c r="A1370" s="6" t="inlineStr">
        <is>
          <t>HV 500</t>
        </is>
      </c>
      <c r="B1370" s="7" t="inlineStr">
        <is>
          <t>Acél oldalfal HV 500 mm</t>
        </is>
      </c>
      <c r="C1370" s="6" t="inlineStr">
        <is>
          <t>Acél profilok</t>
        </is>
      </c>
      <c r="D1370" s="6" t="inlineStr">
        <is>
          <t>Lézerhegesztett acél oldalfalak</t>
        </is>
      </c>
      <c r="E1370" s="6" t="inlineStr">
        <is>
          <t>Fuhrmann</t>
        </is>
      </c>
      <c r="F1370" s="6" t="inlineStr">
        <is>
          <t>HV 500</t>
        </is>
      </c>
      <c r="G1370" s="6" t="inlineStr">
        <is>
          <t>Teljes kínálat</t>
        </is>
      </c>
      <c r="H1370" s="6" t="n">
        <v>1</v>
      </c>
      <c r="I1370" s="6" t="n">
        <v>6</v>
      </c>
      <c r="J1370" s="6" t="inlineStr">
        <is>
          <t>van</t>
        </is>
      </c>
      <c r="K1370" s="6">
        <f>IF(AND(H1370&gt;0,I1370&gt;0),"Rendben",IF(AND(H1370=0,I1370=0),"Nincs kép és adat",IF(H1370=0,"Nincs kép","Nincs adat")))</f>
        <v/>
      </c>
      <c r="L1370" s="6" t="inlineStr">
        <is>
          <t>Igen</t>
        </is>
      </c>
      <c r="M1370" s="7" t="inlineStr">
        <is>
          <t>Fuhrmann teljes kínálata (gyártói katalógus / weboldal)</t>
        </is>
      </c>
      <c r="N1370" s="7" t="inlineStr">
        <is>
          <t>Megtalálva: a beszállító teljes kínálatából felvett termék</t>
        </is>
      </c>
      <c r="O1370" s="11" t="inlineStr">
        <is>
          <t>https://www.fuhrmann.at/de/stbw500.php</t>
        </is>
      </c>
      <c r="P1370" s="11" t="inlineStr">
        <is>
          <t>https://website-9ib.pages.dev/termek/acel-oldalfal-hv-500/</t>
        </is>
      </c>
      <c r="Q1370" s="12" t="inlineStr"/>
      <c r="R1370" s="13" t="inlineStr"/>
      <c r="S1370" s="6" t="inlineStr">
        <is>
          <t>acel-oldalfal-hv-500</t>
        </is>
      </c>
    </row>
    <row r="1371">
      <c r="A1371" s="6" t="inlineStr">
        <is>
          <t>HV 600</t>
        </is>
      </c>
      <c r="B1371" s="7" t="inlineStr">
        <is>
          <t>Acél oldalfal HV 600 mm</t>
        </is>
      </c>
      <c r="C1371" s="6" t="inlineStr">
        <is>
          <t>Acél profilok</t>
        </is>
      </c>
      <c r="D1371" s="6" t="inlineStr">
        <is>
          <t>Lézerhegesztett acél oldalfalak</t>
        </is>
      </c>
      <c r="E1371" s="6" t="inlineStr">
        <is>
          <t>Fuhrmann</t>
        </is>
      </c>
      <c r="F1371" s="6" t="inlineStr">
        <is>
          <t>HV 600</t>
        </is>
      </c>
      <c r="G1371" s="6" t="inlineStr">
        <is>
          <t>Teljes kínálat</t>
        </is>
      </c>
      <c r="H1371" s="6" t="n">
        <v>1</v>
      </c>
      <c r="I1371" s="6" t="n">
        <v>6</v>
      </c>
      <c r="J1371" s="6" t="inlineStr">
        <is>
          <t>van</t>
        </is>
      </c>
      <c r="K1371" s="6">
        <f>IF(AND(H1371&gt;0,I1371&gt;0),"Rendben",IF(AND(H1371=0,I1371=0),"Nincs kép és adat",IF(H1371=0,"Nincs kép","Nincs adat")))</f>
        <v/>
      </c>
      <c r="L1371" s="6" t="inlineStr">
        <is>
          <t>Igen</t>
        </is>
      </c>
      <c r="M1371" s="7" t="inlineStr">
        <is>
          <t>Fuhrmann teljes kínálata (gyártói katalógus / weboldal)</t>
        </is>
      </c>
      <c r="N1371" s="7" t="inlineStr">
        <is>
          <t>Megtalálva: a beszállító teljes kínálatából felvett termék</t>
        </is>
      </c>
      <c r="O1371" s="11" t="inlineStr">
        <is>
          <t>https://www.fuhrmann.at/de/stbw600.php</t>
        </is>
      </c>
      <c r="P1371" s="11" t="inlineStr">
        <is>
          <t>https://website-9ib.pages.dev/termek/acel-oldalfal-hv-600/</t>
        </is>
      </c>
      <c r="Q1371" s="12" t="inlineStr"/>
      <c r="R1371" s="13" t="inlineStr"/>
      <c r="S1371" s="6" t="inlineStr">
        <is>
          <t>acel-oldalfal-hv-600</t>
        </is>
      </c>
    </row>
    <row r="1372">
      <c r="A1372" s="6" t="inlineStr">
        <is>
          <t>HV 800</t>
        </is>
      </c>
      <c r="B1372" s="7" t="inlineStr">
        <is>
          <t>Acél oldalfal HV 800 mm</t>
        </is>
      </c>
      <c r="C1372" s="6" t="inlineStr">
        <is>
          <t>Acél profilok</t>
        </is>
      </c>
      <c r="D1372" s="6" t="inlineStr">
        <is>
          <t>Lézerhegesztett acél oldalfalak</t>
        </is>
      </c>
      <c r="E1372" s="6" t="inlineStr">
        <is>
          <t>Fuhrmann</t>
        </is>
      </c>
      <c r="F1372" s="6" t="inlineStr">
        <is>
          <t>HV 800</t>
        </is>
      </c>
      <c r="G1372" s="6" t="inlineStr">
        <is>
          <t>Teljes kínálat</t>
        </is>
      </c>
      <c r="H1372" s="6" t="n">
        <v>1</v>
      </c>
      <c r="I1372" s="6" t="n">
        <v>6</v>
      </c>
      <c r="J1372" s="6" t="inlineStr">
        <is>
          <t>van</t>
        </is>
      </c>
      <c r="K1372" s="6">
        <f>IF(AND(H1372&gt;0,I1372&gt;0),"Rendben",IF(AND(H1372=0,I1372=0),"Nincs kép és adat",IF(H1372=0,"Nincs kép","Nincs adat")))</f>
        <v/>
      </c>
      <c r="L1372" s="6" t="inlineStr">
        <is>
          <t>Igen</t>
        </is>
      </c>
      <c r="M1372" s="7" t="inlineStr">
        <is>
          <t>Fuhrmann teljes kínálata (gyártói katalógus / weboldal)</t>
        </is>
      </c>
      <c r="N1372" s="7" t="inlineStr">
        <is>
          <t>Megtalálva: a beszállító teljes kínálatából felvett termék</t>
        </is>
      </c>
      <c r="O1372" s="11" t="inlineStr">
        <is>
          <t>https://www.fuhrmann.at/de/stbw800.php</t>
        </is>
      </c>
      <c r="P1372" s="11" t="inlineStr">
        <is>
          <t>https://website-9ib.pages.dev/termek/acel-oldalfal-hv-800/</t>
        </is>
      </c>
      <c r="Q1372" s="12" t="inlineStr"/>
      <c r="R1372" s="13" t="inlineStr"/>
      <c r="S1372" s="6" t="inlineStr">
        <is>
          <t>acel-oldalfal-hv-800</t>
        </is>
      </c>
    </row>
    <row r="1373">
      <c r="A1373" s="6" t="inlineStr">
        <is>
          <t>HV 900</t>
        </is>
      </c>
      <c r="B1373" s="7" t="inlineStr">
        <is>
          <t>Acél oldalfal HV 900 mm</t>
        </is>
      </c>
      <c r="C1373" s="6" t="inlineStr">
        <is>
          <t>Acél profilok</t>
        </is>
      </c>
      <c r="D1373" s="6" t="inlineStr">
        <is>
          <t>Lézerhegesztett acél oldalfalak</t>
        </is>
      </c>
      <c r="E1373" s="6" t="inlineStr">
        <is>
          <t>Fuhrmann</t>
        </is>
      </c>
      <c r="F1373" s="6" t="inlineStr">
        <is>
          <t>HV 900</t>
        </is>
      </c>
      <c r="G1373" s="6" t="inlineStr">
        <is>
          <t>Teljes kínálat</t>
        </is>
      </c>
      <c r="H1373" s="6" t="n">
        <v>1</v>
      </c>
      <c r="I1373" s="6" t="n">
        <v>6</v>
      </c>
      <c r="J1373" s="6" t="inlineStr">
        <is>
          <t>van</t>
        </is>
      </c>
      <c r="K1373" s="6">
        <f>IF(AND(H1373&gt;0,I1373&gt;0),"Rendben",IF(AND(H1373=0,I1373=0),"Nincs kép és adat",IF(H1373=0,"Nincs kép","Nincs adat")))</f>
        <v/>
      </c>
      <c r="L1373" s="6" t="inlineStr">
        <is>
          <t>Igen</t>
        </is>
      </c>
      <c r="M1373" s="7" t="inlineStr">
        <is>
          <t>Fuhrmann teljes kínálata (gyártói katalógus / weboldal)</t>
        </is>
      </c>
      <c r="N1373" s="7" t="inlineStr">
        <is>
          <t>Megtalálva: a beszállító teljes kínálatából felvett termék</t>
        </is>
      </c>
      <c r="O1373" s="11" t="inlineStr">
        <is>
          <t>https://www.fuhrmann.at/de/stbw1000.php</t>
        </is>
      </c>
      <c r="P1373" s="11" t="inlineStr">
        <is>
          <t>https://website-9ib.pages.dev/termek/acel-oldalfal-hv-900/</t>
        </is>
      </c>
      <c r="Q1373" s="12" t="inlineStr"/>
      <c r="R1373" s="13" t="inlineStr"/>
      <c r="S1373" s="6" t="inlineStr">
        <is>
          <t>acel-oldalfal-hv-900</t>
        </is>
      </c>
    </row>
    <row r="1374">
      <c r="A1374" s="6" t="inlineStr">
        <is>
          <t>HVAK 300</t>
        </is>
      </c>
      <c r="B1374" s="7" t="inlineStr">
        <is>
          <t>Acél oldalfal HVAK 300 mm</t>
        </is>
      </c>
      <c r="C1374" s="6" t="inlineStr">
        <is>
          <t>Acél profilok</t>
        </is>
      </c>
      <c r="D1374" s="6" t="inlineStr">
        <is>
          <t>Lézerhegesztett acél oldalfalak</t>
        </is>
      </c>
      <c r="E1374" s="6" t="inlineStr">
        <is>
          <t>Fuhrmann</t>
        </is>
      </c>
      <c r="F1374" s="6" t="inlineStr">
        <is>
          <t>HVAK 300</t>
        </is>
      </c>
      <c r="G1374" s="6" t="inlineStr">
        <is>
          <t>Teljes kínálat</t>
        </is>
      </c>
      <c r="H1374" s="6" t="n">
        <v>1</v>
      </c>
      <c r="I1374" s="6" t="n">
        <v>6</v>
      </c>
      <c r="J1374" s="6" t="inlineStr">
        <is>
          <t>van</t>
        </is>
      </c>
      <c r="K1374" s="6">
        <f>IF(AND(H1374&gt;0,I1374&gt;0),"Rendben",IF(AND(H1374=0,I1374=0),"Nincs kép és adat",IF(H1374=0,"Nincs kép","Nincs adat")))</f>
        <v/>
      </c>
      <c r="L1374" s="6" t="inlineStr">
        <is>
          <t>Igen</t>
        </is>
      </c>
      <c r="M1374" s="7" t="inlineStr">
        <is>
          <t>Fuhrmann teljes kínálata (gyártói katalógus / weboldal)</t>
        </is>
      </c>
      <c r="N1374" s="7" t="inlineStr">
        <is>
          <t>Megtalálva: a beszállító teljes kínálatából felvett termék</t>
        </is>
      </c>
      <c r="O1374" s="11" t="inlineStr">
        <is>
          <t>https://www.fuhrmann.at/de/stbw300.php</t>
        </is>
      </c>
      <c r="P1374" s="11" t="inlineStr">
        <is>
          <t>https://website-9ib.pages.dev/termek/acel-oldalfal-hvak-300/</t>
        </is>
      </c>
      <c r="Q1374" s="12" t="inlineStr"/>
      <c r="R1374" s="13" t="inlineStr"/>
      <c r="S1374" s="6" t="inlineStr">
        <is>
          <t>acel-oldalfal-hvak-300</t>
        </is>
      </c>
    </row>
    <row r="1375">
      <c r="A1375" s="6" t="inlineStr">
        <is>
          <t>HVAK 400</t>
        </is>
      </c>
      <c r="B1375" s="7" t="inlineStr">
        <is>
          <t>Acél oldalfal HVAK 400 mm</t>
        </is>
      </c>
      <c r="C1375" s="6" t="inlineStr">
        <is>
          <t>Acél profilok</t>
        </is>
      </c>
      <c r="D1375" s="6" t="inlineStr">
        <is>
          <t>Lézerhegesztett acél oldalfalak</t>
        </is>
      </c>
      <c r="E1375" s="6" t="inlineStr">
        <is>
          <t>Fuhrmann</t>
        </is>
      </c>
      <c r="F1375" s="6" t="inlineStr">
        <is>
          <t>HVAK 400</t>
        </is>
      </c>
      <c r="G1375" s="6" t="inlineStr">
        <is>
          <t>Teljes kínálat</t>
        </is>
      </c>
      <c r="H1375" s="6" t="n">
        <v>1</v>
      </c>
      <c r="I1375" s="6" t="n">
        <v>6</v>
      </c>
      <c r="J1375" s="6" t="inlineStr">
        <is>
          <t>van</t>
        </is>
      </c>
      <c r="K1375" s="6">
        <f>IF(AND(H1375&gt;0,I1375&gt;0),"Rendben",IF(AND(H1375=0,I1375=0),"Nincs kép és adat",IF(H1375=0,"Nincs kép","Nincs adat")))</f>
        <v/>
      </c>
      <c r="L1375" s="6" t="inlineStr">
        <is>
          <t>Igen</t>
        </is>
      </c>
      <c r="M1375" s="7" t="inlineStr">
        <is>
          <t>Fuhrmann teljes kínálata (gyártói katalógus / weboldal)</t>
        </is>
      </c>
      <c r="N1375" s="7" t="inlineStr">
        <is>
          <t>Megtalálva: a beszállító teljes kínálatából felvett termék</t>
        </is>
      </c>
      <c r="O1375" s="11" t="inlineStr">
        <is>
          <t>https://www.fuhrmann.at/de/stbw400.php</t>
        </is>
      </c>
      <c r="P1375" s="11" t="inlineStr">
        <is>
          <t>https://website-9ib.pages.dev/termek/acel-oldalfal-hvak-400/</t>
        </is>
      </c>
      <c r="Q1375" s="12" t="inlineStr"/>
      <c r="R1375" s="13" t="inlineStr"/>
      <c r="S1375" s="6" t="inlineStr">
        <is>
          <t>acel-oldalfal-hvak-400</t>
        </is>
      </c>
    </row>
    <row r="1376">
      <c r="A1376" s="6" t="inlineStr">
        <is>
          <t>HVAK 450</t>
        </is>
      </c>
      <c r="B1376" s="7" t="inlineStr">
        <is>
          <t>Acél oldalfal HVAK 450 mm</t>
        </is>
      </c>
      <c r="C1376" s="6" t="inlineStr">
        <is>
          <t>Acél profilok</t>
        </is>
      </c>
      <c r="D1376" s="6" t="inlineStr">
        <is>
          <t>Lézerhegesztett acél oldalfalak</t>
        </is>
      </c>
      <c r="E1376" s="6" t="inlineStr">
        <is>
          <t>Fuhrmann</t>
        </is>
      </c>
      <c r="F1376" s="6" t="inlineStr">
        <is>
          <t>HVAK 450</t>
        </is>
      </c>
      <c r="G1376" s="6" t="inlineStr">
        <is>
          <t>Teljes kínálat</t>
        </is>
      </c>
      <c r="H1376" s="6" t="n">
        <v>0</v>
      </c>
      <c r="I1376" s="6" t="n">
        <v>6</v>
      </c>
      <c r="J1376" s="6" t="inlineStr">
        <is>
          <t>van</t>
        </is>
      </c>
      <c r="K1376" s="6">
        <f>IF(AND(H1376&gt;0,I1376&gt;0),"Rendben",IF(AND(H1376=0,I1376=0),"Nincs kép és adat",IF(H1376=0,"Nincs kép","Nincs adat")))</f>
        <v/>
      </c>
      <c r="L1376" s="6" t="inlineStr">
        <is>
          <t>Igen</t>
        </is>
      </c>
      <c r="M1376" s="7" t="inlineStr">
        <is>
          <t>Fuhrmann teljes kínálata (gyártói katalógus / weboldal)</t>
        </is>
      </c>
      <c r="N1376" s="7" t="inlineStr">
        <is>
          <t>Megtalálva: a beszállító teljes kínálatából felvett termék</t>
        </is>
      </c>
      <c r="O1376" s="11" t="inlineStr">
        <is>
          <t>https://www.fuhrmann.at/de/stbw450.php</t>
        </is>
      </c>
      <c r="P1376" s="11" t="inlineStr">
        <is>
          <t>https://website-9ib.pages.dev/termek/acel-oldalfal-hvak-450/</t>
        </is>
      </c>
      <c r="Q1376" s="12" t="inlineStr"/>
      <c r="R1376" s="13" t="inlineStr"/>
      <c r="S1376" s="6" t="inlineStr">
        <is>
          <t>acel-oldalfal-hvak-450</t>
        </is>
      </c>
    </row>
    <row r="1377">
      <c r="A1377" s="6" t="inlineStr">
        <is>
          <t>HVAK 500</t>
        </is>
      </c>
      <c r="B1377" s="7" t="inlineStr">
        <is>
          <t>Acél oldalfal HVAK 500 mm</t>
        </is>
      </c>
      <c r="C1377" s="6" t="inlineStr">
        <is>
          <t>Acél profilok</t>
        </is>
      </c>
      <c r="D1377" s="6" t="inlineStr">
        <is>
          <t>Lézerhegesztett acél oldalfalak</t>
        </is>
      </c>
      <c r="E1377" s="6" t="inlineStr">
        <is>
          <t>Fuhrmann</t>
        </is>
      </c>
      <c r="F1377" s="6" t="inlineStr">
        <is>
          <t>HVAK 500</t>
        </is>
      </c>
      <c r="G1377" s="6" t="inlineStr">
        <is>
          <t>Teljes kínálat</t>
        </is>
      </c>
      <c r="H1377" s="6" t="n">
        <v>1</v>
      </c>
      <c r="I1377" s="6" t="n">
        <v>6</v>
      </c>
      <c r="J1377" s="6" t="inlineStr">
        <is>
          <t>van</t>
        </is>
      </c>
      <c r="K1377" s="6">
        <f>IF(AND(H1377&gt;0,I1377&gt;0),"Rendben",IF(AND(H1377=0,I1377=0),"Nincs kép és adat",IF(H1377=0,"Nincs kép","Nincs adat")))</f>
        <v/>
      </c>
      <c r="L1377" s="6" t="inlineStr">
        <is>
          <t>Igen</t>
        </is>
      </c>
      <c r="M1377" s="7" t="inlineStr">
        <is>
          <t>Fuhrmann teljes kínálata (gyártói katalógus / weboldal)</t>
        </is>
      </c>
      <c r="N1377" s="7" t="inlineStr">
        <is>
          <t>Megtalálva: a beszállító teljes kínálatából felvett termék</t>
        </is>
      </c>
      <c r="O1377" s="11" t="inlineStr">
        <is>
          <t>https://www.fuhrmann.at/de/stbw500.php</t>
        </is>
      </c>
      <c r="P1377" s="11" t="inlineStr">
        <is>
          <t>https://website-9ib.pages.dev/termek/acel-oldalfal-hvak-500/</t>
        </is>
      </c>
      <c r="Q1377" s="12" t="inlineStr"/>
      <c r="R1377" s="13" t="inlineStr"/>
      <c r="S1377" s="6" t="inlineStr">
        <is>
          <t>acel-oldalfal-hvak-500</t>
        </is>
      </c>
    </row>
    <row r="1378">
      <c r="A1378" s="6" t="inlineStr">
        <is>
          <t>HVAK 600</t>
        </is>
      </c>
      <c r="B1378" s="7" t="inlineStr">
        <is>
          <t>Acél oldalfal HVAK 600 mm</t>
        </is>
      </c>
      <c r="C1378" s="6" t="inlineStr">
        <is>
          <t>Acél profilok</t>
        </is>
      </c>
      <c r="D1378" s="6" t="inlineStr">
        <is>
          <t>Lézerhegesztett acél oldalfalak</t>
        </is>
      </c>
      <c r="E1378" s="6" t="inlineStr">
        <is>
          <t>Fuhrmann</t>
        </is>
      </c>
      <c r="F1378" s="6" t="inlineStr">
        <is>
          <t>HVAK 600</t>
        </is>
      </c>
      <c r="G1378" s="6" t="inlineStr">
        <is>
          <t>Teljes kínálat</t>
        </is>
      </c>
      <c r="H1378" s="6" t="n">
        <v>1</v>
      </c>
      <c r="I1378" s="6" t="n">
        <v>6</v>
      </c>
      <c r="J1378" s="6" t="inlineStr">
        <is>
          <t>van</t>
        </is>
      </c>
      <c r="K1378" s="6">
        <f>IF(AND(H1378&gt;0,I1378&gt;0),"Rendben",IF(AND(H1378=0,I1378=0),"Nincs kép és adat",IF(H1378=0,"Nincs kép","Nincs adat")))</f>
        <v/>
      </c>
      <c r="L1378" s="6" t="inlineStr">
        <is>
          <t>Igen</t>
        </is>
      </c>
      <c r="M1378" s="7" t="inlineStr">
        <is>
          <t>Fuhrmann teljes kínálata (gyártói katalógus / weboldal)</t>
        </is>
      </c>
      <c r="N1378" s="7" t="inlineStr">
        <is>
          <t>Megtalálva: a beszállító teljes kínálatából felvett termék</t>
        </is>
      </c>
      <c r="O1378" s="11" t="inlineStr">
        <is>
          <t>https://www.fuhrmann.at/de/stbw600.php</t>
        </is>
      </c>
      <c r="P1378" s="11" t="inlineStr">
        <is>
          <t>https://website-9ib.pages.dev/termek/acel-oldalfal-hvak-600/</t>
        </is>
      </c>
      <c r="Q1378" s="12" t="inlineStr"/>
      <c r="R1378" s="13" t="inlineStr"/>
      <c r="S1378" s="6" t="inlineStr">
        <is>
          <t>acel-oldalfal-hvak-600</t>
        </is>
      </c>
    </row>
    <row r="1379">
      <c r="A1379" s="6" t="inlineStr">
        <is>
          <t>HVAKT 600</t>
        </is>
      </c>
      <c r="B1379" s="7" t="inlineStr">
        <is>
          <t>Acél oldalfal HVAKT 600 mm</t>
        </is>
      </c>
      <c r="C1379" s="6" t="inlineStr">
        <is>
          <t>Acél profilok</t>
        </is>
      </c>
      <c r="D1379" s="6" t="inlineStr">
        <is>
          <t>Lézerhegesztett acél oldalfalak</t>
        </is>
      </c>
      <c r="E1379" s="6" t="inlineStr">
        <is>
          <t>Fuhrmann</t>
        </is>
      </c>
      <c r="F1379" s="6" t="inlineStr">
        <is>
          <t>HVAKT 600</t>
        </is>
      </c>
      <c r="G1379" s="6" t="inlineStr">
        <is>
          <t>Teljes kínálat</t>
        </is>
      </c>
      <c r="H1379" s="6" t="n">
        <v>1</v>
      </c>
      <c r="I1379" s="6" t="n">
        <v>6</v>
      </c>
      <c r="J1379" s="6" t="inlineStr">
        <is>
          <t>van</t>
        </is>
      </c>
      <c r="K1379" s="6">
        <f>IF(AND(H1379&gt;0,I1379&gt;0),"Rendben",IF(AND(H1379=0,I1379=0),"Nincs kép és adat",IF(H1379=0,"Nincs kép","Nincs adat")))</f>
        <v/>
      </c>
      <c r="L1379" s="6" t="inlineStr">
        <is>
          <t>Igen</t>
        </is>
      </c>
      <c r="M1379" s="7" t="inlineStr">
        <is>
          <t>Fuhrmann teljes kínálata (gyártói katalógus / weboldal)</t>
        </is>
      </c>
      <c r="N1379" s="7" t="inlineStr">
        <is>
          <t>Megtalálva: a beszállító teljes kínálatából felvett termék</t>
        </is>
      </c>
      <c r="O1379" s="11" t="inlineStr">
        <is>
          <t>https://www.fuhrmann.at/de/stbw600.php</t>
        </is>
      </c>
      <c r="P1379" s="11" t="inlineStr">
        <is>
          <t>https://website-9ib.pages.dev/termek/acel-oldalfal-hvakt-600/</t>
        </is>
      </c>
      <c r="Q1379" s="12" t="inlineStr"/>
      <c r="R1379" s="13" t="inlineStr"/>
      <c r="S1379" s="6" t="inlineStr">
        <is>
          <t>acel-oldalfal-hvakt-600</t>
        </is>
      </c>
    </row>
    <row r="1380">
      <c r="A1380" s="6" t="inlineStr">
        <is>
          <t>HVAKTT 800</t>
        </is>
      </c>
      <c r="B1380" s="7" t="inlineStr">
        <is>
          <t>Acél oldalfal HVAKTT 800 mm</t>
        </is>
      </c>
      <c r="C1380" s="6" t="inlineStr">
        <is>
          <t>Acél profilok</t>
        </is>
      </c>
      <c r="D1380" s="6" t="inlineStr">
        <is>
          <t>Lézerhegesztett acél oldalfalak</t>
        </is>
      </c>
      <c r="E1380" s="6" t="inlineStr">
        <is>
          <t>Fuhrmann</t>
        </is>
      </c>
      <c r="F1380" s="6" t="inlineStr">
        <is>
          <t>HVAKTT 800</t>
        </is>
      </c>
      <c r="G1380" s="6" t="inlineStr">
        <is>
          <t>Teljes kínálat</t>
        </is>
      </c>
      <c r="H1380" s="6" t="n">
        <v>1</v>
      </c>
      <c r="I1380" s="6" t="n">
        <v>6</v>
      </c>
      <c r="J1380" s="6" t="inlineStr">
        <is>
          <t>van</t>
        </is>
      </c>
      <c r="K1380" s="6">
        <f>IF(AND(H1380&gt;0,I1380&gt;0),"Rendben",IF(AND(H1380=0,I1380=0),"Nincs kép és adat",IF(H1380=0,"Nincs kép","Nincs adat")))</f>
        <v/>
      </c>
      <c r="L1380" s="6" t="inlineStr">
        <is>
          <t>Igen</t>
        </is>
      </c>
      <c r="M1380" s="7" t="inlineStr">
        <is>
          <t>Fuhrmann teljes kínálata (gyártói katalógus / weboldal)</t>
        </is>
      </c>
      <c r="N1380" s="7" t="inlineStr">
        <is>
          <t>Megtalálva: a beszállító teljes kínálatából felvett termék</t>
        </is>
      </c>
      <c r="O1380" s="11" t="inlineStr">
        <is>
          <t>https://www.fuhrmann.at/de/stbw800.php</t>
        </is>
      </c>
      <c r="P1380" s="11" t="inlineStr">
        <is>
          <t>https://website-9ib.pages.dev/termek/acel-oldalfal-hvaktt-800/</t>
        </is>
      </c>
      <c r="Q1380" s="12" t="inlineStr"/>
      <c r="R1380" s="13" t="inlineStr"/>
      <c r="S1380" s="6" t="inlineStr">
        <is>
          <t>acel-oldalfal-hvaktt-800</t>
        </is>
      </c>
    </row>
    <row r="1381">
      <c r="A1381" s="6" t="inlineStr">
        <is>
          <t>HVAKkT 400</t>
        </is>
      </c>
      <c r="B1381" s="7" t="inlineStr">
        <is>
          <t>Acél oldalfal HVAKkT 400 mm</t>
        </is>
      </c>
      <c r="C1381" s="6" t="inlineStr">
        <is>
          <t>Acél profilok</t>
        </is>
      </c>
      <c r="D1381" s="6" t="inlineStr">
        <is>
          <t>Lézerhegesztett acél oldalfalak</t>
        </is>
      </c>
      <c r="E1381" s="6" t="inlineStr">
        <is>
          <t>Fuhrmann</t>
        </is>
      </c>
      <c r="F1381" s="6" t="inlineStr">
        <is>
          <t>HVAKkT 400</t>
        </is>
      </c>
      <c r="G1381" s="6" t="inlineStr">
        <is>
          <t>Teljes kínálat</t>
        </is>
      </c>
      <c r="H1381" s="6" t="n">
        <v>1</v>
      </c>
      <c r="I1381" s="6" t="n">
        <v>6</v>
      </c>
      <c r="J1381" s="6" t="inlineStr">
        <is>
          <t>van</t>
        </is>
      </c>
      <c r="K1381" s="6">
        <f>IF(AND(H1381&gt;0,I1381&gt;0),"Rendben",IF(AND(H1381=0,I1381=0),"Nincs kép és adat",IF(H1381=0,"Nincs kép","Nincs adat")))</f>
        <v/>
      </c>
      <c r="L1381" s="6" t="inlineStr">
        <is>
          <t>Igen</t>
        </is>
      </c>
      <c r="M1381" s="7" t="inlineStr">
        <is>
          <t>Fuhrmann teljes kínálata (gyártói katalógus / weboldal)</t>
        </is>
      </c>
      <c r="N1381" s="7" t="inlineStr">
        <is>
          <t>Megtalálva: a beszállító teljes kínálatából felvett termék</t>
        </is>
      </c>
      <c r="O1381" s="11" t="inlineStr">
        <is>
          <t>https://www.fuhrmann.at/de/stbw400.php</t>
        </is>
      </c>
      <c r="P1381" s="11" t="inlineStr">
        <is>
          <t>https://website-9ib.pages.dev/termek/acel-oldalfal-hvakkt-400/</t>
        </is>
      </c>
      <c r="Q1381" s="12" t="inlineStr"/>
      <c r="R1381" s="13" t="inlineStr"/>
      <c r="S1381" s="6" t="inlineStr">
        <is>
          <t>acel-oldalfal-hvakkt-400</t>
        </is>
      </c>
    </row>
    <row r="1382">
      <c r="A1382" s="6" t="inlineStr">
        <is>
          <t>HVD 400</t>
        </is>
      </c>
      <c r="B1382" s="7" t="inlineStr">
        <is>
          <t>Acél oldalfal HVD 400 mm</t>
        </is>
      </c>
      <c r="C1382" s="6" t="inlineStr">
        <is>
          <t>Acél profilok</t>
        </is>
      </c>
      <c r="D1382" s="6" t="inlineStr">
        <is>
          <t>Lézerhegesztett acél oldalfalak</t>
        </is>
      </c>
      <c r="E1382" s="6" t="inlineStr">
        <is>
          <t>Fuhrmann</t>
        </is>
      </c>
      <c r="F1382" s="6" t="inlineStr">
        <is>
          <t>HVD 400</t>
        </is>
      </c>
      <c r="G1382" s="6" t="inlineStr">
        <is>
          <t>Teljes kínálat</t>
        </is>
      </c>
      <c r="H1382" s="6" t="n">
        <v>1</v>
      </c>
      <c r="I1382" s="6" t="n">
        <v>6</v>
      </c>
      <c r="J1382" s="6" t="inlineStr">
        <is>
          <t>van</t>
        </is>
      </c>
      <c r="K1382" s="6">
        <f>IF(AND(H1382&gt;0,I1382&gt;0),"Rendben",IF(AND(H1382=0,I1382=0),"Nincs kép és adat",IF(H1382=0,"Nincs kép","Nincs adat")))</f>
        <v/>
      </c>
      <c r="L1382" s="6" t="inlineStr">
        <is>
          <t>Igen</t>
        </is>
      </c>
      <c r="M1382" s="7" t="inlineStr">
        <is>
          <t>Fuhrmann teljes kínálata (gyártói katalógus / weboldal)</t>
        </is>
      </c>
      <c r="N1382" s="7" t="inlineStr">
        <is>
          <t>Megtalálva: a beszállító teljes kínálatából felvett termék</t>
        </is>
      </c>
      <c r="O1382" s="11" t="inlineStr">
        <is>
          <t>https://www.fuhrmann.at/de/stbw400.php</t>
        </is>
      </c>
      <c r="P1382" s="11" t="inlineStr">
        <is>
          <t>https://website-9ib.pages.dev/termek/acel-oldalfal-hvd-400/</t>
        </is>
      </c>
      <c r="Q1382" s="12" t="inlineStr"/>
      <c r="R1382" s="13" t="inlineStr"/>
      <c r="S1382" s="6" t="inlineStr">
        <is>
          <t>acel-oldalfal-hvd-400</t>
        </is>
      </c>
    </row>
    <row r="1383">
      <c r="A1383" s="6" t="inlineStr">
        <is>
          <t>HVD 500</t>
        </is>
      </c>
      <c r="B1383" s="7" t="inlineStr">
        <is>
          <t>Acél oldalfal HVD 500 mm</t>
        </is>
      </c>
      <c r="C1383" s="6" t="inlineStr">
        <is>
          <t>Acél profilok</t>
        </is>
      </c>
      <c r="D1383" s="6" t="inlineStr">
        <is>
          <t>Lézerhegesztett acél oldalfalak</t>
        </is>
      </c>
      <c r="E1383" s="6" t="inlineStr">
        <is>
          <t>Fuhrmann</t>
        </is>
      </c>
      <c r="F1383" s="6" t="inlineStr">
        <is>
          <t>HVD 500</t>
        </is>
      </c>
      <c r="G1383" s="6" t="inlineStr">
        <is>
          <t>Teljes kínálat</t>
        </is>
      </c>
      <c r="H1383" s="6" t="n">
        <v>1</v>
      </c>
      <c r="I1383" s="6" t="n">
        <v>6</v>
      </c>
      <c r="J1383" s="6" t="inlineStr">
        <is>
          <t>van</t>
        </is>
      </c>
      <c r="K1383" s="6">
        <f>IF(AND(H1383&gt;0,I1383&gt;0),"Rendben",IF(AND(H1383=0,I1383=0),"Nincs kép és adat",IF(H1383=0,"Nincs kép","Nincs adat")))</f>
        <v/>
      </c>
      <c r="L1383" s="6" t="inlineStr">
        <is>
          <t>Igen</t>
        </is>
      </c>
      <c r="M1383" s="7" t="inlineStr">
        <is>
          <t>Fuhrmann teljes kínálata (gyártói katalógus / weboldal)</t>
        </is>
      </c>
      <c r="N1383" s="7" t="inlineStr">
        <is>
          <t>Megtalálva: a beszállító teljes kínálatából felvett termék</t>
        </is>
      </c>
      <c r="O1383" s="11" t="inlineStr">
        <is>
          <t>https://www.fuhrmann.at/de/stbw500.php</t>
        </is>
      </c>
      <c r="P1383" s="11" t="inlineStr">
        <is>
          <t>https://website-9ib.pages.dev/termek/acel-oldalfal-hvd-500/</t>
        </is>
      </c>
      <c r="Q1383" s="12" t="inlineStr"/>
      <c r="R1383" s="13" t="inlineStr"/>
      <c r="S1383" s="6" t="inlineStr">
        <is>
          <t>acel-oldalfal-hvd-500</t>
        </is>
      </c>
    </row>
    <row r="1384">
      <c r="A1384" s="6" t="inlineStr">
        <is>
          <t>HVD 600</t>
        </is>
      </c>
      <c r="B1384" s="7" t="inlineStr">
        <is>
          <t>Acél oldalfal HVD 600 mm</t>
        </is>
      </c>
      <c r="C1384" s="6" t="inlineStr">
        <is>
          <t>Acél profilok</t>
        </is>
      </c>
      <c r="D1384" s="6" t="inlineStr">
        <is>
          <t>Lézerhegesztett acél oldalfalak</t>
        </is>
      </c>
      <c r="E1384" s="6" t="inlineStr">
        <is>
          <t>Fuhrmann</t>
        </is>
      </c>
      <c r="F1384" s="6" t="inlineStr">
        <is>
          <t>HVD 600</t>
        </is>
      </c>
      <c r="G1384" s="6" t="inlineStr">
        <is>
          <t>Teljes kínálat</t>
        </is>
      </c>
      <c r="H1384" s="6" t="n">
        <v>1</v>
      </c>
      <c r="I1384" s="6" t="n">
        <v>6</v>
      </c>
      <c r="J1384" s="6" t="inlineStr">
        <is>
          <t>van</t>
        </is>
      </c>
      <c r="K1384" s="6">
        <f>IF(AND(H1384&gt;0,I1384&gt;0),"Rendben",IF(AND(H1384=0,I1384=0),"Nincs kép és adat",IF(H1384=0,"Nincs kép","Nincs adat")))</f>
        <v/>
      </c>
      <c r="L1384" s="6" t="inlineStr">
        <is>
          <t>Igen</t>
        </is>
      </c>
      <c r="M1384" s="7" t="inlineStr">
        <is>
          <t>Fuhrmann teljes kínálata (gyártói katalógus / weboldal)</t>
        </is>
      </c>
      <c r="N1384" s="7" t="inlineStr">
        <is>
          <t>Megtalálva: a beszállító teljes kínálatából felvett termék</t>
        </is>
      </c>
      <c r="O1384" s="11" t="inlineStr">
        <is>
          <t>https://www.fuhrmann.at/de/stbw600.php</t>
        </is>
      </c>
      <c r="P1384" s="11" t="inlineStr">
        <is>
          <t>https://website-9ib.pages.dev/termek/acel-oldalfal-hvd-600/</t>
        </is>
      </c>
      <c r="Q1384" s="12" t="inlineStr"/>
      <c r="R1384" s="13" t="inlineStr"/>
      <c r="S1384" s="6" t="inlineStr">
        <is>
          <t>acel-oldalfal-hvd-600</t>
        </is>
      </c>
    </row>
    <row r="1385">
      <c r="A1385" s="6" t="inlineStr">
        <is>
          <t>HVN 400</t>
        </is>
      </c>
      <c r="B1385" s="7" t="inlineStr">
        <is>
          <t>Acél oldalfal HVN 400 mm</t>
        </is>
      </c>
      <c r="C1385" s="6" t="inlineStr">
        <is>
          <t>Acél profilok</t>
        </is>
      </c>
      <c r="D1385" s="6" t="inlineStr">
        <is>
          <t>Lézerhegesztett acél oldalfalak</t>
        </is>
      </c>
      <c r="E1385" s="6" t="inlineStr">
        <is>
          <t>Fuhrmann</t>
        </is>
      </c>
      <c r="F1385" s="6" t="inlineStr">
        <is>
          <t>HVN 400</t>
        </is>
      </c>
      <c r="G1385" s="6" t="inlineStr">
        <is>
          <t>Teljes kínálat</t>
        </is>
      </c>
      <c r="H1385" s="6" t="n">
        <v>1</v>
      </c>
      <c r="I1385" s="6" t="n">
        <v>6</v>
      </c>
      <c r="J1385" s="6" t="inlineStr">
        <is>
          <t>van</t>
        </is>
      </c>
      <c r="K1385" s="6">
        <f>IF(AND(H1385&gt;0,I1385&gt;0),"Rendben",IF(AND(H1385=0,I1385=0),"Nincs kép és adat",IF(H1385=0,"Nincs kép","Nincs adat")))</f>
        <v/>
      </c>
      <c r="L1385" s="6" t="inlineStr">
        <is>
          <t>Igen</t>
        </is>
      </c>
      <c r="M1385" s="7" t="inlineStr">
        <is>
          <t>Fuhrmann teljes kínálata (gyártói katalógus / weboldal)</t>
        </is>
      </c>
      <c r="N1385" s="7" t="inlineStr">
        <is>
          <t>Megtalálva: a beszállító teljes kínálatából felvett termék</t>
        </is>
      </c>
      <c r="O1385" s="11" t="inlineStr">
        <is>
          <t>https://www.fuhrmann.at/de/stbw400.php</t>
        </is>
      </c>
      <c r="P1385" s="11" t="inlineStr">
        <is>
          <t>https://website-9ib.pages.dev/termek/acel-oldalfal-hvn-400/</t>
        </is>
      </c>
      <c r="Q1385" s="12" t="inlineStr"/>
      <c r="R1385" s="13" t="inlineStr"/>
      <c r="S1385" s="6" t="inlineStr">
        <is>
          <t>acel-oldalfal-hvn-400</t>
        </is>
      </c>
    </row>
    <row r="1386">
      <c r="A1386" s="6" t="inlineStr">
        <is>
          <t>HVN 450</t>
        </is>
      </c>
      <c r="B1386" s="7" t="inlineStr">
        <is>
          <t>Acél oldalfal HVN 450 mm</t>
        </is>
      </c>
      <c r="C1386" s="6" t="inlineStr">
        <is>
          <t>Acél profilok</t>
        </is>
      </c>
      <c r="D1386" s="6" t="inlineStr">
        <is>
          <t>Lézerhegesztett acél oldalfalak</t>
        </is>
      </c>
      <c r="E1386" s="6" t="inlineStr">
        <is>
          <t>Fuhrmann</t>
        </is>
      </c>
      <c r="F1386" s="6" t="inlineStr">
        <is>
          <t>HVN 450</t>
        </is>
      </c>
      <c r="G1386" s="6" t="inlineStr">
        <is>
          <t>Teljes kínálat</t>
        </is>
      </c>
      <c r="H1386" s="6" t="n">
        <v>1</v>
      </c>
      <c r="I1386" s="6" t="n">
        <v>6</v>
      </c>
      <c r="J1386" s="6" t="inlineStr">
        <is>
          <t>van</t>
        </is>
      </c>
      <c r="K1386" s="6">
        <f>IF(AND(H1386&gt;0,I1386&gt;0),"Rendben",IF(AND(H1386=0,I1386=0),"Nincs kép és adat",IF(H1386=0,"Nincs kép","Nincs adat")))</f>
        <v/>
      </c>
      <c r="L1386" s="6" t="inlineStr">
        <is>
          <t>Igen</t>
        </is>
      </c>
      <c r="M1386" s="7" t="inlineStr">
        <is>
          <t>Fuhrmann teljes kínálata (gyártói katalógus / weboldal)</t>
        </is>
      </c>
      <c r="N1386" s="7" t="inlineStr">
        <is>
          <t>Megtalálva: a beszállító teljes kínálatából felvett termék</t>
        </is>
      </c>
      <c r="O1386" s="11" t="inlineStr">
        <is>
          <t>https://www.fuhrmann.at/de/stbw450.php</t>
        </is>
      </c>
      <c r="P1386" s="11" t="inlineStr">
        <is>
          <t>https://website-9ib.pages.dev/termek/acel-oldalfal-hvn-450/</t>
        </is>
      </c>
      <c r="Q1386" s="12" t="inlineStr"/>
      <c r="R1386" s="13" t="inlineStr"/>
      <c r="S1386" s="6" t="inlineStr">
        <is>
          <t>acel-oldalfal-hvn-450</t>
        </is>
      </c>
    </row>
    <row r="1387">
      <c r="A1387" s="6" t="inlineStr">
        <is>
          <t>HVN 500</t>
        </is>
      </c>
      <c r="B1387" s="7" t="inlineStr">
        <is>
          <t>Acél oldalfal HVN 500 mm</t>
        </is>
      </c>
      <c r="C1387" s="6" t="inlineStr">
        <is>
          <t>Acél profilok</t>
        </is>
      </c>
      <c r="D1387" s="6" t="inlineStr">
        <is>
          <t>Lézerhegesztett acél oldalfalak</t>
        </is>
      </c>
      <c r="E1387" s="6" t="inlineStr">
        <is>
          <t>Fuhrmann</t>
        </is>
      </c>
      <c r="F1387" s="6" t="inlineStr">
        <is>
          <t>HVN 500</t>
        </is>
      </c>
      <c r="G1387" s="6" t="inlineStr">
        <is>
          <t>Teljes kínálat</t>
        </is>
      </c>
      <c r="H1387" s="6" t="n">
        <v>1</v>
      </c>
      <c r="I1387" s="6" t="n">
        <v>6</v>
      </c>
      <c r="J1387" s="6" t="inlineStr">
        <is>
          <t>van</t>
        </is>
      </c>
      <c r="K1387" s="6">
        <f>IF(AND(H1387&gt;0,I1387&gt;0),"Rendben",IF(AND(H1387=0,I1387=0),"Nincs kép és adat",IF(H1387=0,"Nincs kép","Nincs adat")))</f>
        <v/>
      </c>
      <c r="L1387" s="6" t="inlineStr">
        <is>
          <t>Igen</t>
        </is>
      </c>
      <c r="M1387" s="7" t="inlineStr">
        <is>
          <t>Fuhrmann teljes kínálata (gyártói katalógus / weboldal)</t>
        </is>
      </c>
      <c r="N1387" s="7" t="inlineStr">
        <is>
          <t>Megtalálva: a beszállító teljes kínálatából felvett termék</t>
        </is>
      </c>
      <c r="O1387" s="11" t="inlineStr">
        <is>
          <t>https://www.fuhrmann.at/de/stbw500.php</t>
        </is>
      </c>
      <c r="P1387" s="11" t="inlineStr">
        <is>
          <t>https://website-9ib.pages.dev/termek/acel-oldalfal-hvn-500/</t>
        </is>
      </c>
      <c r="Q1387" s="12" t="inlineStr"/>
      <c r="R1387" s="13" t="inlineStr"/>
      <c r="S1387" s="6" t="inlineStr">
        <is>
          <t>acel-oldalfal-hvn-500</t>
        </is>
      </c>
    </row>
    <row r="1388">
      <c r="A1388" s="6" t="inlineStr">
        <is>
          <t>HVN 600</t>
        </is>
      </c>
      <c r="B1388" s="7" t="inlineStr">
        <is>
          <t>Acél oldalfal HVN 600 mm</t>
        </is>
      </c>
      <c r="C1388" s="6" t="inlineStr">
        <is>
          <t>Acél profilok</t>
        </is>
      </c>
      <c r="D1388" s="6" t="inlineStr">
        <is>
          <t>Lézerhegesztett acél oldalfalak</t>
        </is>
      </c>
      <c r="E1388" s="6" t="inlineStr">
        <is>
          <t>Fuhrmann</t>
        </is>
      </c>
      <c r="F1388" s="6" t="inlineStr">
        <is>
          <t>HVN 600</t>
        </is>
      </c>
      <c r="G1388" s="6" t="inlineStr">
        <is>
          <t>Teljes kínálat</t>
        </is>
      </c>
      <c r="H1388" s="6" t="n">
        <v>1</v>
      </c>
      <c r="I1388" s="6" t="n">
        <v>6</v>
      </c>
      <c r="J1388" s="6" t="inlineStr">
        <is>
          <t>van</t>
        </is>
      </c>
      <c r="K1388" s="6">
        <f>IF(AND(H1388&gt;0,I1388&gt;0),"Rendben",IF(AND(H1388=0,I1388=0),"Nincs kép és adat",IF(H1388=0,"Nincs kép","Nincs adat")))</f>
        <v/>
      </c>
      <c r="L1388" s="6" t="inlineStr">
        <is>
          <t>Igen</t>
        </is>
      </c>
      <c r="M1388" s="7" t="inlineStr">
        <is>
          <t>Fuhrmann teljes kínálata (gyártói katalógus / weboldal)</t>
        </is>
      </c>
      <c r="N1388" s="7" t="inlineStr">
        <is>
          <t>Megtalálva: a beszállító teljes kínálatából felvett termék</t>
        </is>
      </c>
      <c r="O1388" s="11" t="inlineStr">
        <is>
          <t>https://www.fuhrmann.at/de/stbw600.php</t>
        </is>
      </c>
      <c r="P1388" s="11" t="inlineStr">
        <is>
          <t>https://website-9ib.pages.dev/termek/acel-oldalfal-hvn-600/</t>
        </is>
      </c>
      <c r="Q1388" s="12" t="inlineStr"/>
      <c r="R1388" s="13" t="inlineStr"/>
      <c r="S1388" s="6" t="inlineStr">
        <is>
          <t>acel-oldalfal-hvn-600</t>
        </is>
      </c>
    </row>
    <row r="1389">
      <c r="A1389" s="6" t="inlineStr">
        <is>
          <t>HVNTT 800</t>
        </is>
      </c>
      <c r="B1389" s="7" t="inlineStr">
        <is>
          <t>Acél oldalfal HVNTT 800 mm</t>
        </is>
      </c>
      <c r="C1389" s="6" t="inlineStr">
        <is>
          <t>Acél profilok</t>
        </is>
      </c>
      <c r="D1389" s="6" t="inlineStr">
        <is>
          <t>Lézerhegesztett acél oldalfalak</t>
        </is>
      </c>
      <c r="E1389" s="6" t="inlineStr">
        <is>
          <t>Fuhrmann</t>
        </is>
      </c>
      <c r="F1389" s="6" t="inlineStr">
        <is>
          <t>HVNTT 800</t>
        </is>
      </c>
      <c r="G1389" s="6" t="inlineStr">
        <is>
          <t>Teljes kínálat</t>
        </is>
      </c>
      <c r="H1389" s="6" t="n">
        <v>1</v>
      </c>
      <c r="I1389" s="6" t="n">
        <v>6</v>
      </c>
      <c r="J1389" s="6" t="inlineStr">
        <is>
          <t>van</t>
        </is>
      </c>
      <c r="K1389" s="6">
        <f>IF(AND(H1389&gt;0,I1389&gt;0),"Rendben",IF(AND(H1389=0,I1389=0),"Nincs kép és adat",IF(H1389=0,"Nincs kép","Nincs adat")))</f>
        <v/>
      </c>
      <c r="L1389" s="6" t="inlineStr">
        <is>
          <t>Igen</t>
        </is>
      </c>
      <c r="M1389" s="7" t="inlineStr">
        <is>
          <t>Fuhrmann teljes kínálata (gyártói katalógus / weboldal)</t>
        </is>
      </c>
      <c r="N1389" s="7" t="inlineStr">
        <is>
          <t>Megtalálva: a beszállító teljes kínálatából felvett termék</t>
        </is>
      </c>
      <c r="O1389" s="11" t="inlineStr">
        <is>
          <t>https://www.fuhrmann.at/de/stbw800.php</t>
        </is>
      </c>
      <c r="P1389" s="11" t="inlineStr">
        <is>
          <t>https://website-9ib.pages.dev/termek/acel-oldalfal-hvntt-800/</t>
        </is>
      </c>
      <c r="Q1389" s="12" t="inlineStr"/>
      <c r="R1389" s="13" t="inlineStr"/>
      <c r="S1389" s="6" t="inlineStr">
        <is>
          <t>acel-oldalfal-hvntt-800</t>
        </is>
      </c>
    </row>
    <row r="1390">
      <c r="A1390" s="6" t="inlineStr">
        <is>
          <t>HVNkT 400</t>
        </is>
      </c>
      <c r="B1390" s="7" t="inlineStr">
        <is>
          <t>Acél oldalfal HVNkT 400 mm</t>
        </is>
      </c>
      <c r="C1390" s="6" t="inlineStr">
        <is>
          <t>Acél profilok</t>
        </is>
      </c>
      <c r="D1390" s="6" t="inlineStr">
        <is>
          <t>Lézerhegesztett acél oldalfalak</t>
        </is>
      </c>
      <c r="E1390" s="6" t="inlineStr">
        <is>
          <t>Fuhrmann</t>
        </is>
      </c>
      <c r="F1390" s="6" t="inlineStr">
        <is>
          <t>HVNkT 400</t>
        </is>
      </c>
      <c r="G1390" s="6" t="inlineStr">
        <is>
          <t>Teljes kínálat</t>
        </is>
      </c>
      <c r="H1390" s="6" t="n">
        <v>1</v>
      </c>
      <c r="I1390" s="6" t="n">
        <v>6</v>
      </c>
      <c r="J1390" s="6" t="inlineStr">
        <is>
          <t>van</t>
        </is>
      </c>
      <c r="K1390" s="6">
        <f>IF(AND(H1390&gt;0,I1390&gt;0),"Rendben",IF(AND(H1390=0,I1390=0),"Nincs kép és adat",IF(H1390=0,"Nincs kép","Nincs adat")))</f>
        <v/>
      </c>
      <c r="L1390" s="6" t="inlineStr">
        <is>
          <t>Igen</t>
        </is>
      </c>
      <c r="M1390" s="7" t="inlineStr">
        <is>
          <t>Fuhrmann teljes kínálata (gyártói katalógus / weboldal)</t>
        </is>
      </c>
      <c r="N1390" s="7" t="inlineStr">
        <is>
          <t>Megtalálva: a beszállító teljes kínálatából felvett termék</t>
        </is>
      </c>
      <c r="O1390" s="11" t="inlineStr">
        <is>
          <t>https://www.fuhrmann.at/de/stbw400.php</t>
        </is>
      </c>
      <c r="P1390" s="11" t="inlineStr">
        <is>
          <t>https://website-9ib.pages.dev/termek/acel-oldalfal-hvnkt-400/</t>
        </is>
      </c>
      <c r="Q1390" s="12" t="inlineStr"/>
      <c r="R1390" s="13" t="inlineStr"/>
      <c r="S1390" s="6" t="inlineStr">
        <is>
          <t>acel-oldalfal-hvnkt-400</t>
        </is>
      </c>
    </row>
    <row r="1391">
      <c r="A1391" s="6" t="inlineStr">
        <is>
          <t>HVTT 800</t>
        </is>
      </c>
      <c r="B1391" s="7" t="inlineStr">
        <is>
          <t>Acél oldalfal HVTT 800 mm</t>
        </is>
      </c>
      <c r="C1391" s="6" t="inlineStr">
        <is>
          <t>Acél profilok</t>
        </is>
      </c>
      <c r="D1391" s="6" t="inlineStr">
        <is>
          <t>Lézerhegesztett acél oldalfalak</t>
        </is>
      </c>
      <c r="E1391" s="6" t="inlineStr">
        <is>
          <t>Fuhrmann</t>
        </is>
      </c>
      <c r="F1391" s="6" t="inlineStr">
        <is>
          <t>HVTT 800</t>
        </is>
      </c>
      <c r="G1391" s="6" t="inlineStr">
        <is>
          <t>Teljes kínálat</t>
        </is>
      </c>
      <c r="H1391" s="6" t="n">
        <v>1</v>
      </c>
      <c r="I1391" s="6" t="n">
        <v>6</v>
      </c>
      <c r="J1391" s="6" t="inlineStr">
        <is>
          <t>van</t>
        </is>
      </c>
      <c r="K1391" s="6">
        <f>IF(AND(H1391&gt;0,I1391&gt;0),"Rendben",IF(AND(H1391=0,I1391=0),"Nincs kép és adat",IF(H1391=0,"Nincs kép","Nincs adat")))</f>
        <v/>
      </c>
      <c r="L1391" s="6" t="inlineStr">
        <is>
          <t>Igen</t>
        </is>
      </c>
      <c r="M1391" s="7" t="inlineStr">
        <is>
          <t>Fuhrmann teljes kínálata (gyártói katalógus / weboldal)</t>
        </is>
      </c>
      <c r="N1391" s="7" t="inlineStr">
        <is>
          <t>Megtalálva: a beszállító teljes kínálatából felvett termék</t>
        </is>
      </c>
      <c r="O1391" s="11" t="inlineStr">
        <is>
          <t>https://www.fuhrmann.at/de/stbw800.php</t>
        </is>
      </c>
      <c r="P1391" s="11" t="inlineStr">
        <is>
          <t>https://website-9ib.pages.dev/termek/acel-oldalfal-hvtt-800/</t>
        </is>
      </c>
      <c r="Q1391" s="12" t="inlineStr"/>
      <c r="R1391" s="13" t="inlineStr"/>
      <c r="S1391" s="6" t="inlineStr">
        <is>
          <t>acel-oldalfal-hvtt-800</t>
        </is>
      </c>
    </row>
    <row r="1392">
      <c r="A1392" s="6" t="inlineStr">
        <is>
          <t>HVW 1000</t>
        </is>
      </c>
      <c r="B1392" s="7" t="inlineStr">
        <is>
          <t>Acél oldalfal HVW 1000 mm</t>
        </is>
      </c>
      <c r="C1392" s="6" t="inlineStr">
        <is>
          <t>Acél profilok</t>
        </is>
      </c>
      <c r="D1392" s="6" t="inlineStr">
        <is>
          <t>Lézerhegesztett acél oldalfalak</t>
        </is>
      </c>
      <c r="E1392" s="6" t="inlineStr">
        <is>
          <t>Fuhrmann</t>
        </is>
      </c>
      <c r="F1392" s="6" t="inlineStr">
        <is>
          <t>HVW 1000</t>
        </is>
      </c>
      <c r="G1392" s="6" t="inlineStr">
        <is>
          <t>Teljes kínálat</t>
        </is>
      </c>
      <c r="H1392" s="6" t="n">
        <v>1</v>
      </c>
      <c r="I1392" s="6" t="n">
        <v>6</v>
      </c>
      <c r="J1392" s="6" t="inlineStr">
        <is>
          <t>van</t>
        </is>
      </c>
      <c r="K1392" s="6">
        <f>IF(AND(H1392&gt;0,I1392&gt;0),"Rendben",IF(AND(H1392=0,I1392=0),"Nincs kép és adat",IF(H1392=0,"Nincs kép","Nincs adat")))</f>
        <v/>
      </c>
      <c r="L1392" s="6" t="inlineStr">
        <is>
          <t>Igen</t>
        </is>
      </c>
      <c r="M1392" s="7" t="inlineStr">
        <is>
          <t>Fuhrmann teljes kínálata (gyártói katalógus / weboldal)</t>
        </is>
      </c>
      <c r="N1392" s="7" t="inlineStr">
        <is>
          <t>Megtalálva: a beszállító teljes kínálatából felvett termék</t>
        </is>
      </c>
      <c r="O1392" s="11" t="inlineStr">
        <is>
          <t>https://www.fuhrmann.at/de/stbw1000.php</t>
        </is>
      </c>
      <c r="P1392" s="11" t="inlineStr">
        <is>
          <t>https://website-9ib.pages.dev/termek/acel-oldalfal-hvw-1000/</t>
        </is>
      </c>
      <c r="Q1392" s="12" t="inlineStr"/>
      <c r="R1392" s="13" t="inlineStr"/>
      <c r="S1392" s="6" t="inlineStr">
        <is>
          <t>acel-oldalfal-hvw-1000</t>
        </is>
      </c>
    </row>
    <row r="1393">
      <c r="A1393" s="6" t="inlineStr">
        <is>
          <t>HVkT 350</t>
        </is>
      </c>
      <c r="B1393" s="7" t="inlineStr">
        <is>
          <t>Acél oldalfal HVkT 350 mm</t>
        </is>
      </c>
      <c r="C1393" s="6" t="inlineStr">
        <is>
          <t>Acél profilok</t>
        </is>
      </c>
      <c r="D1393" s="6" t="inlineStr">
        <is>
          <t>Lézerhegesztett acél oldalfalak</t>
        </is>
      </c>
      <c r="E1393" s="6" t="inlineStr">
        <is>
          <t>Fuhrmann</t>
        </is>
      </c>
      <c r="F1393" s="6" t="inlineStr">
        <is>
          <t>HVkT 350</t>
        </is>
      </c>
      <c r="G1393" s="6" t="inlineStr">
        <is>
          <t>Teljes kínálat</t>
        </is>
      </c>
      <c r="H1393" s="6" t="n">
        <v>1</v>
      </c>
      <c r="I1393" s="6" t="n">
        <v>6</v>
      </c>
      <c r="J1393" s="6" t="inlineStr">
        <is>
          <t>van</t>
        </is>
      </c>
      <c r="K1393" s="6">
        <f>IF(AND(H1393&gt;0,I1393&gt;0),"Rendben",IF(AND(H1393=0,I1393=0),"Nincs kép és adat",IF(H1393=0,"Nincs kép","Nincs adat")))</f>
        <v/>
      </c>
      <c r="L1393" s="6" t="inlineStr">
        <is>
          <t>Igen</t>
        </is>
      </c>
      <c r="M1393" s="7" t="inlineStr">
        <is>
          <t>Fuhrmann teljes kínálata (gyártói katalógus / weboldal)</t>
        </is>
      </c>
      <c r="N1393" s="7" t="inlineStr">
        <is>
          <t>Megtalálva: a beszállító teljes kínálatából felvett termék</t>
        </is>
      </c>
      <c r="O1393" s="11" t="inlineStr">
        <is>
          <t>https://www.fuhrmann.at/de/stbw350.php</t>
        </is>
      </c>
      <c r="P1393" s="11" t="inlineStr">
        <is>
          <t>https://website-9ib.pages.dev/termek/acel-oldalfal-hvkt-350/</t>
        </is>
      </c>
      <c r="Q1393" s="12" t="inlineStr"/>
      <c r="R1393" s="13" t="inlineStr"/>
      <c r="S1393" s="6" t="inlineStr">
        <is>
          <t>acel-oldalfal-hvkt-350</t>
        </is>
      </c>
    </row>
    <row r="1394">
      <c r="A1394" s="6" t="inlineStr">
        <is>
          <t>HVkT 400</t>
        </is>
      </c>
      <c r="B1394" s="7" t="inlineStr">
        <is>
          <t>Acél oldalfal HVkT 400 mm</t>
        </is>
      </c>
      <c r="C1394" s="6" t="inlineStr">
        <is>
          <t>Acél profilok</t>
        </is>
      </c>
      <c r="D1394" s="6" t="inlineStr">
        <is>
          <t>Lézerhegesztett acél oldalfalak</t>
        </is>
      </c>
      <c r="E1394" s="6" t="inlineStr">
        <is>
          <t>Fuhrmann</t>
        </is>
      </c>
      <c r="F1394" s="6" t="inlineStr">
        <is>
          <t>HVkT 400</t>
        </is>
      </c>
      <c r="G1394" s="6" t="inlineStr">
        <is>
          <t>Teljes kínálat</t>
        </is>
      </c>
      <c r="H1394" s="6" t="n">
        <v>1</v>
      </c>
      <c r="I1394" s="6" t="n">
        <v>6</v>
      </c>
      <c r="J1394" s="6" t="inlineStr">
        <is>
          <t>van</t>
        </is>
      </c>
      <c r="K1394" s="6">
        <f>IF(AND(H1394&gt;0,I1394&gt;0),"Rendben",IF(AND(H1394=0,I1394=0),"Nincs kép és adat",IF(H1394=0,"Nincs kép","Nincs adat")))</f>
        <v/>
      </c>
      <c r="L1394" s="6" t="inlineStr">
        <is>
          <t>Igen</t>
        </is>
      </c>
      <c r="M1394" s="7" t="inlineStr">
        <is>
          <t>Fuhrmann teljes kínálata (gyártói katalógus / weboldal)</t>
        </is>
      </c>
      <c r="N1394" s="7" t="inlineStr">
        <is>
          <t>Megtalálva: a beszállító teljes kínálatából felvett termék</t>
        </is>
      </c>
      <c r="O1394" s="11" t="inlineStr">
        <is>
          <t>https://www.fuhrmann.at/de/stbw400.php</t>
        </is>
      </c>
      <c r="P1394" s="11" t="inlineStr">
        <is>
          <t>https://website-9ib.pages.dev/termek/acel-oldalfal-hvkt-400/</t>
        </is>
      </c>
      <c r="Q1394" s="12" t="inlineStr"/>
      <c r="R1394" s="13" t="inlineStr"/>
      <c r="S1394" s="6" t="inlineStr">
        <is>
          <t>acel-oldalfal-hvkt-400</t>
        </is>
      </c>
    </row>
    <row r="1395">
      <c r="A1395" s="6" t="inlineStr"/>
      <c r="B1395" s="7" t="inlineStr">
        <is>
          <t>Axiálventilátor</t>
        </is>
      </c>
      <c r="C1395" s="6" t="inlineStr">
        <is>
          <t>Szellőzés, tetőablakok, világítás</t>
        </is>
      </c>
      <c r="D1395" s="6" t="inlineStr">
        <is>
          <t>Axiál- és radiálventilátorok</t>
        </is>
      </c>
      <c r="E1395" s="6" t="inlineStr">
        <is>
          <t>G&amp;C termékek</t>
        </is>
      </c>
      <c r="F1395" s="6" t="inlineStr"/>
      <c r="G1395" s="6" t="inlineStr">
        <is>
          <t>Teljes kínálat</t>
        </is>
      </c>
      <c r="H1395" s="6" t="n">
        <v>1</v>
      </c>
      <c r="I1395" s="6" t="n">
        <v>2</v>
      </c>
      <c r="J1395" s="6" t="inlineStr">
        <is>
          <t>van</t>
        </is>
      </c>
      <c r="K1395" s="6">
        <f>IF(AND(H1395&gt;0,I1395&gt;0),"Rendben",IF(AND(H1395=0,I1395=0),"Nincs kép és adat",IF(H1395=0,"Nincs kép","Nincs adat")))</f>
        <v/>
      </c>
      <c r="L1395" s="6" t="inlineStr">
        <is>
          <t>Igen</t>
        </is>
      </c>
      <c r="M1395" s="7" t="inlineStr">
        <is>
          <t>G&amp;C termékek teljes kínálata (gyártói katalógus / weboldal)</t>
        </is>
      </c>
      <c r="N1395" s="7" t="inlineStr">
        <is>
          <t>Megtalálva: a beszállító teljes kínálatából felvett termék</t>
        </is>
      </c>
      <c r="O1395" s="11" t="inlineStr">
        <is>
          <t>https://gnc-systems.com/en/products/axial-ventilator/</t>
        </is>
      </c>
      <c r="P1395" s="11" t="inlineStr">
        <is>
          <t>https://website-9ib.pages.dev/termek/gc-axial-ventilator/</t>
        </is>
      </c>
      <c r="Q1395" s="12" t="inlineStr"/>
      <c r="R1395" s="13" t="inlineStr"/>
      <c r="S1395" s="6" t="inlineStr">
        <is>
          <t>gc-axial-ventilator</t>
        </is>
      </c>
    </row>
    <row r="1396">
      <c r="A1396" s="6" t="inlineStr"/>
      <c r="B1396" s="7" t="inlineStr">
        <is>
          <t>Axiálventilátor, kompakt</t>
        </is>
      </c>
      <c r="C1396" s="6" t="inlineStr">
        <is>
          <t>Szellőzés, tetőablakok, világítás</t>
        </is>
      </c>
      <c r="D1396" s="6" t="inlineStr">
        <is>
          <t>Axiál- és radiálventilátorok</t>
        </is>
      </c>
      <c r="E1396" s="6" t="inlineStr">
        <is>
          <t>G&amp;C termékek</t>
        </is>
      </c>
      <c r="F1396" s="6" t="inlineStr"/>
      <c r="G1396" s="6" t="inlineStr">
        <is>
          <t>Teljes kínálat</t>
        </is>
      </c>
      <c r="H1396" s="6" t="n">
        <v>1</v>
      </c>
      <c r="I1396" s="6" t="n">
        <v>1</v>
      </c>
      <c r="J1396" s="6" t="inlineStr">
        <is>
          <t>van</t>
        </is>
      </c>
      <c r="K1396" s="6">
        <f>IF(AND(H1396&gt;0,I1396&gt;0),"Rendben",IF(AND(H1396=0,I1396=0),"Nincs kép és adat",IF(H1396=0,"Nincs kép","Nincs adat")))</f>
        <v/>
      </c>
      <c r="L1396" s="6" t="inlineStr">
        <is>
          <t>Igen</t>
        </is>
      </c>
      <c r="M1396" s="7" t="inlineStr">
        <is>
          <t>G&amp;C termékek teljes kínálata (gyártói katalógus / weboldal)</t>
        </is>
      </c>
      <c r="N1396" s="7" t="inlineStr">
        <is>
          <t>Megtalálva: a beszállító teljes kínálatából felvett termék</t>
        </is>
      </c>
      <c r="O1396" s="11" t="inlineStr">
        <is>
          <t>https://gnc-systems.com/en/products/axialventilator/</t>
        </is>
      </c>
      <c r="P1396" s="11" t="inlineStr">
        <is>
          <t>https://website-9ib.pages.dev/termek/gc-axialventilator/</t>
        </is>
      </c>
      <c r="Q1396" s="12" t="inlineStr"/>
      <c r="R1396" s="13" t="inlineStr"/>
      <c r="S1396" s="6" t="inlineStr">
        <is>
          <t>gc-axialventilator</t>
        </is>
      </c>
    </row>
    <row r="1397">
      <c r="A1397" s="6" t="inlineStr">
        <is>
          <t>24-0008</t>
        </is>
      </c>
      <c r="B1397" s="7" t="inlineStr">
        <is>
          <t>Ceilingflow mennyezeti légelosztó</t>
        </is>
      </c>
      <c r="C1397" s="6" t="inlineStr">
        <is>
          <t>Szellőzés, tetőablakok, világítás</t>
        </is>
      </c>
      <c r="D1397" s="6" t="inlineStr">
        <is>
          <t>Mennyezeti légelosztók</t>
        </is>
      </c>
      <c r="E1397" s="6" t="inlineStr">
        <is>
          <t>G&amp;C termékek</t>
        </is>
      </c>
      <c r="F1397" s="6" t="inlineStr">
        <is>
          <t>24-0008</t>
        </is>
      </c>
      <c r="G1397" s="6" t="inlineStr">
        <is>
          <t>Teljes kínálat</t>
        </is>
      </c>
      <c r="H1397" s="6" t="n">
        <v>1</v>
      </c>
      <c r="I1397" s="6" t="n">
        <v>6</v>
      </c>
      <c r="J1397" s="6" t="inlineStr">
        <is>
          <t>van</t>
        </is>
      </c>
      <c r="K1397" s="6">
        <f>IF(AND(H1397&gt;0,I1397&gt;0),"Rendben",IF(AND(H1397=0,I1397=0),"Nincs kép és adat",IF(H1397=0,"Nincs kép","Nincs adat")))</f>
        <v/>
      </c>
      <c r="L1397" s="6" t="inlineStr">
        <is>
          <t>Igen</t>
        </is>
      </c>
      <c r="M1397" s="7" t="inlineStr">
        <is>
          <t>G&amp;C termékek teljes kínálata (gyártói katalógus / weboldal)</t>
        </is>
      </c>
      <c r="N1397" s="7" t="inlineStr">
        <is>
          <t>Megtalálva: a beszállító teljes kínálatából felvett termék</t>
        </is>
      </c>
      <c r="O1397" s="11" t="inlineStr">
        <is>
          <t>https://gnc-systems.com/en/products/ceilingflow/</t>
        </is>
      </c>
      <c r="P1397" s="11" t="inlineStr">
        <is>
          <t>https://website-9ib.pages.dev/termek/gc-ceilingflow/</t>
        </is>
      </c>
      <c r="Q1397" s="12" t="inlineStr"/>
      <c r="R1397" s="13" t="inlineStr"/>
      <c r="S1397" s="6" t="inlineStr">
        <is>
          <t>gc-ceilingflow</t>
        </is>
      </c>
    </row>
    <row r="1398">
      <c r="A1398" s="6" t="inlineStr">
        <is>
          <t>90-5000-DG</t>
        </is>
      </c>
      <c r="B1398" s="7" t="inlineStr">
        <is>
          <t>Elektromos tetőablak, kerek</t>
        </is>
      </c>
      <c r="C1398" s="6" t="inlineStr">
        <is>
          <t>Szellőzés, tetőablakok, világítás</t>
        </is>
      </c>
      <c r="D1398" s="6" t="inlineStr">
        <is>
          <t>Tetőablakok</t>
        </is>
      </c>
      <c r="E1398" s="6" t="inlineStr">
        <is>
          <t>G&amp;C termékek</t>
        </is>
      </c>
      <c r="F1398" s="6" t="inlineStr">
        <is>
          <t>90-5000-DG</t>
        </is>
      </c>
      <c r="G1398" s="6" t="inlineStr">
        <is>
          <t>Teljes kínálat</t>
        </is>
      </c>
      <c r="H1398" s="6" t="n">
        <v>1</v>
      </c>
      <c r="I1398" s="6" t="n">
        <v>0</v>
      </c>
      <c r="J1398" s="6" t="inlineStr">
        <is>
          <t>van</t>
        </is>
      </c>
      <c r="K1398" s="6">
        <f>IF(AND(H1398&gt;0,I1398&gt;0),"Rendben",IF(AND(H1398=0,I1398=0),"Nincs kép és adat",IF(H1398=0,"Nincs kép","Nincs adat")))</f>
        <v/>
      </c>
      <c r="L1398" s="6" t="inlineStr">
        <is>
          <t>Igen</t>
        </is>
      </c>
      <c r="M1398" s="7" t="inlineStr">
        <is>
          <t>G&amp;C termékek teljes kínálata (gyártói katalógus / weboldal)</t>
        </is>
      </c>
      <c r="N1398" s="7" t="inlineStr">
        <is>
          <t>Megtalálva: a beszállító teljes kínálatából felvett termék</t>
        </is>
      </c>
      <c r="O1398" s="11" t="inlineStr">
        <is>
          <t>https://gnc-systems.com/en/products/electric-round/</t>
        </is>
      </c>
      <c r="P1398" s="11" t="inlineStr">
        <is>
          <t>https://website-9ib.pages.dev/termek/gc-electric-round/</t>
        </is>
      </c>
      <c r="Q1398" s="12" t="inlineStr"/>
      <c r="R1398" s="13" t="inlineStr"/>
      <c r="S1398" s="6" t="inlineStr">
        <is>
          <t>gc-electric-round</t>
        </is>
      </c>
    </row>
    <row r="1399">
      <c r="A1399" s="6" t="inlineStr">
        <is>
          <t>30-3004</t>
        </is>
      </c>
      <c r="B1399" s="7" t="inlineStr">
        <is>
          <t>Fordulatszám-szabályzó ventilátorhoz</t>
        </is>
      </c>
      <c r="C1399" s="6" t="inlineStr">
        <is>
          <t>Szellőzés, tetőablakok, világítás</t>
        </is>
      </c>
      <c r="D1399" s="6" t="inlineStr">
        <is>
          <t>Kiegészítők és vezérlés</t>
        </is>
      </c>
      <c r="E1399" s="6" t="inlineStr">
        <is>
          <t>G&amp;C termékek</t>
        </is>
      </c>
      <c r="F1399" s="6" t="inlineStr">
        <is>
          <t>30-3004</t>
        </is>
      </c>
      <c r="G1399" s="6" t="inlineStr">
        <is>
          <t>Teljes kínálat</t>
        </is>
      </c>
      <c r="H1399" s="6" t="n">
        <v>1</v>
      </c>
      <c r="I1399" s="6" t="n">
        <v>1</v>
      </c>
      <c r="J1399" s="6" t="inlineStr">
        <is>
          <t>van</t>
        </is>
      </c>
      <c r="K1399" s="6">
        <f>IF(AND(H1399&gt;0,I1399&gt;0),"Rendben",IF(AND(H1399=0,I1399=0),"Nincs kép és adat",IF(H1399=0,"Nincs kép","Nincs adat")))</f>
        <v/>
      </c>
      <c r="L1399" s="6" t="inlineStr">
        <is>
          <t>Igen</t>
        </is>
      </c>
      <c r="M1399" s="7" t="inlineStr">
        <is>
          <t>G&amp;C termékek teljes kínálata (gyártói katalógus / weboldal)</t>
        </is>
      </c>
      <c r="N1399" s="7" t="inlineStr">
        <is>
          <t>Megtalálva: a beszállító teljes kínálatából felvett termék</t>
        </is>
      </c>
      <c r="O1399" s="11" t="inlineStr">
        <is>
          <t>https://gnc-systems.com/en/products/speedcontrol/</t>
        </is>
      </c>
      <c r="P1399" s="11" t="inlineStr">
        <is>
          <t>https://website-9ib.pages.dev/termek/gc-speedcontrol/</t>
        </is>
      </c>
      <c r="Q1399" s="12" t="inlineStr"/>
      <c r="R1399" s="13" t="inlineStr"/>
      <c r="S1399" s="6" t="inlineStr">
        <is>
          <t>gc-speedcontrol</t>
        </is>
      </c>
    </row>
    <row r="1400">
      <c r="A1400" s="6" t="inlineStr">
        <is>
          <t>89-5011</t>
        </is>
      </c>
      <c r="B1400" s="7" t="inlineStr">
        <is>
          <t>Hószűrő tetőventilátorhoz</t>
        </is>
      </c>
      <c r="C1400" s="6" t="inlineStr">
        <is>
          <t>Szellőzés, tetőablakok, világítás</t>
        </is>
      </c>
      <c r="D1400" s="6" t="inlineStr">
        <is>
          <t>Kiegészítők és vezérlés</t>
        </is>
      </c>
      <c r="E1400" s="6" t="inlineStr">
        <is>
          <t>G&amp;C termékek</t>
        </is>
      </c>
      <c r="F1400" s="6" t="inlineStr">
        <is>
          <t>89-5011</t>
        </is>
      </c>
      <c r="G1400" s="6" t="inlineStr">
        <is>
          <t>Teljes kínálat</t>
        </is>
      </c>
      <c r="H1400" s="6" t="n">
        <v>1</v>
      </c>
      <c r="I1400" s="6" t="n">
        <v>1</v>
      </c>
      <c r="J1400" s="6" t="inlineStr">
        <is>
          <t>van</t>
        </is>
      </c>
      <c r="K1400" s="6">
        <f>IF(AND(H1400&gt;0,I1400&gt;0),"Rendben",IF(AND(H1400=0,I1400=0),"Nincs kép és adat",IF(H1400=0,"Nincs kép","Nincs adat")))</f>
        <v/>
      </c>
      <c r="L1400" s="6" t="inlineStr">
        <is>
          <t>Igen</t>
        </is>
      </c>
      <c r="M1400" s="7" t="inlineStr">
        <is>
          <t>G&amp;C termékek teljes kínálata (gyártói katalógus / weboldal)</t>
        </is>
      </c>
      <c r="N1400" s="7" t="inlineStr">
        <is>
          <t>Megtalálva: a beszállító teljes kínálatából felvett termék</t>
        </is>
      </c>
      <c r="O1400" s="11" t="inlineStr">
        <is>
          <t>https://gnc-systems.com/en/products/snowfilter/</t>
        </is>
      </c>
      <c r="P1400" s="11" t="inlineStr">
        <is>
          <t>https://website-9ib.pages.dev/termek/gc-snowfilter/</t>
        </is>
      </c>
      <c r="Q1400" s="12" t="inlineStr"/>
      <c r="R1400" s="13" t="inlineStr"/>
      <c r="S1400" s="6" t="inlineStr">
        <is>
          <t>gc-snowfilter</t>
        </is>
      </c>
    </row>
    <row r="1401">
      <c r="A1401" s="6" t="inlineStr">
        <is>
          <t>89-4002</t>
        </is>
      </c>
      <c r="B1401" s="7" t="inlineStr">
        <is>
          <t>Kapcsoló, kerek</t>
        </is>
      </c>
      <c r="C1401" s="6" t="inlineStr">
        <is>
          <t>Szellőzés, tetőablakok, világítás</t>
        </is>
      </c>
      <c r="D1401" s="6" t="inlineStr">
        <is>
          <t>Kiegészítők és vezérlés</t>
        </is>
      </c>
      <c r="E1401" s="6" t="inlineStr">
        <is>
          <t>G&amp;C termékek</t>
        </is>
      </c>
      <c r="F1401" s="6" t="inlineStr">
        <is>
          <t>89-4002</t>
        </is>
      </c>
      <c r="G1401" s="6" t="inlineStr">
        <is>
          <t>Teljes kínálat</t>
        </is>
      </c>
      <c r="H1401" s="6" t="n">
        <v>1</v>
      </c>
      <c r="I1401" s="6" t="n">
        <v>0</v>
      </c>
      <c r="J1401" s="6" t="inlineStr">
        <is>
          <t>van</t>
        </is>
      </c>
      <c r="K1401" s="6">
        <f>IF(AND(H1401&gt;0,I1401&gt;0),"Rendben",IF(AND(H1401=0,I1401=0),"Nincs kép és adat",IF(H1401=0,"Nincs kép","Nincs adat")))</f>
        <v/>
      </c>
      <c r="L1401" s="6" t="inlineStr">
        <is>
          <t>Igen</t>
        </is>
      </c>
      <c r="M1401" s="7" t="inlineStr">
        <is>
          <t>G&amp;C termékek teljes kínálata (gyártói katalógus / weboldal)</t>
        </is>
      </c>
      <c r="N1401" s="7" t="inlineStr">
        <is>
          <t>Megtalálva: a beszállító teljes kínálatából felvett termék</t>
        </is>
      </c>
      <c r="O1401" s="11" t="inlineStr">
        <is>
          <t>https://gnc-systems.com/en/products/switch-round/</t>
        </is>
      </c>
      <c r="P1401" s="11" t="inlineStr">
        <is>
          <t>https://website-9ib.pages.dev/termek/gc-switch-round/</t>
        </is>
      </c>
      <c r="Q1401" s="12" t="inlineStr"/>
      <c r="R1401" s="13" t="inlineStr"/>
      <c r="S1401" s="6" t="inlineStr">
        <is>
          <t>gc-switch-round</t>
        </is>
      </c>
    </row>
    <row r="1402">
      <c r="A1402" s="6" t="inlineStr">
        <is>
          <t>89-4005</t>
        </is>
      </c>
      <c r="B1402" s="7" t="inlineStr">
        <is>
          <t>Kapcsoló, szögletes</t>
        </is>
      </c>
      <c r="C1402" s="6" t="inlineStr">
        <is>
          <t>Szellőzés, tetőablakok, világítás</t>
        </is>
      </c>
      <c r="D1402" s="6" t="inlineStr">
        <is>
          <t>Kiegészítők és vezérlés</t>
        </is>
      </c>
      <c r="E1402" s="6" t="inlineStr">
        <is>
          <t>G&amp;C termékek</t>
        </is>
      </c>
      <c r="F1402" s="6" t="inlineStr">
        <is>
          <t>89-4005</t>
        </is>
      </c>
      <c r="G1402" s="6" t="inlineStr">
        <is>
          <t>Teljes kínálat</t>
        </is>
      </c>
      <c r="H1402" s="6" t="n">
        <v>1</v>
      </c>
      <c r="I1402" s="6" t="n">
        <v>0</v>
      </c>
      <c r="J1402" s="6" t="inlineStr">
        <is>
          <t>van</t>
        </is>
      </c>
      <c r="K1402" s="6">
        <f>IF(AND(H1402&gt;0,I1402&gt;0),"Rendben",IF(AND(H1402=0,I1402=0),"Nincs kép és adat",IF(H1402=0,"Nincs kép","Nincs adat")))</f>
        <v/>
      </c>
      <c r="L1402" s="6" t="inlineStr">
        <is>
          <t>Igen</t>
        </is>
      </c>
      <c r="M1402" s="7" t="inlineStr">
        <is>
          <t>G&amp;C termékek teljes kínálata (gyártói katalógus / weboldal)</t>
        </is>
      </c>
      <c r="N1402" s="7" t="inlineStr">
        <is>
          <t>Megtalálva: a beszállító teljes kínálatából felvett termék</t>
        </is>
      </c>
      <c r="O1402" s="11" t="inlineStr">
        <is>
          <t>https://gnc-systems.com/en/products/switch-square/</t>
        </is>
      </c>
      <c r="P1402" s="11" t="inlineStr">
        <is>
          <t>https://website-9ib.pages.dev/termek/gc-switch-square/</t>
        </is>
      </c>
      <c r="Q1402" s="12" t="inlineStr"/>
      <c r="R1402" s="13" t="inlineStr"/>
      <c r="S1402" s="6" t="inlineStr">
        <is>
          <t>gc-switch-square</t>
        </is>
      </c>
    </row>
    <row r="1403">
      <c r="A1403" s="6" t="inlineStr">
        <is>
          <t>90-6000-DG</t>
        </is>
      </c>
      <c r="B1403" s="7" t="inlineStr">
        <is>
          <t>Kézi tetőablak, nagy</t>
        </is>
      </c>
      <c r="C1403" s="6" t="inlineStr">
        <is>
          <t>Szellőzés, tetőablakok, világítás</t>
        </is>
      </c>
      <c r="D1403" s="6" t="inlineStr">
        <is>
          <t>Tetőablakok</t>
        </is>
      </c>
      <c r="E1403" s="6" t="inlineStr">
        <is>
          <t>G&amp;C termékek</t>
        </is>
      </c>
      <c r="F1403" s="6" t="inlineStr">
        <is>
          <t>90-6000-DG</t>
        </is>
      </c>
      <c r="G1403" s="6" t="inlineStr">
        <is>
          <t>Teljes kínálat</t>
        </is>
      </c>
      <c r="H1403" s="6" t="n">
        <v>1</v>
      </c>
      <c r="I1403" s="6" t="n">
        <v>0</v>
      </c>
      <c r="J1403" s="6" t="inlineStr">
        <is>
          <t>van</t>
        </is>
      </c>
      <c r="K1403" s="6">
        <f>IF(AND(H1403&gt;0,I1403&gt;0),"Rendben",IF(AND(H1403=0,I1403=0),"Nincs kép és adat",IF(H1403=0,"Nincs kép","Nincs adat")))</f>
        <v/>
      </c>
      <c r="L1403" s="6" t="inlineStr">
        <is>
          <t>Igen</t>
        </is>
      </c>
      <c r="M1403" s="7" t="inlineStr">
        <is>
          <t>G&amp;C termékek teljes kínálata (gyártói katalógus / weboldal)</t>
        </is>
      </c>
      <c r="N1403" s="7" t="inlineStr">
        <is>
          <t>Megtalálva: a beszállító teljes kínálatából felvett termék</t>
        </is>
      </c>
      <c r="O1403" s="11" t="inlineStr">
        <is>
          <t>https://gnc-systems.com/en/products/roof-hatches-manual-big/</t>
        </is>
      </c>
      <c r="P1403" s="11" t="inlineStr">
        <is>
          <t>https://website-9ib.pages.dev/termek/gc-roof-hatches-manual-big/</t>
        </is>
      </c>
      <c r="Q1403" s="12" t="inlineStr"/>
      <c r="R1403" s="13" t="inlineStr"/>
      <c r="S1403" s="6" t="inlineStr">
        <is>
          <t>gc-roof-hatches-manual-big</t>
        </is>
      </c>
    </row>
    <row r="1404">
      <c r="A1404" s="6" t="inlineStr">
        <is>
          <t>35-4088</t>
        </is>
      </c>
      <c r="B1404" s="7" t="inlineStr">
        <is>
          <t>Könnyűfém forgószelep</t>
        </is>
      </c>
      <c r="C1404" s="6" t="inlineStr">
        <is>
          <t>Szellőzés, tetőablakok, világítás</t>
        </is>
      </c>
      <c r="D1404" s="6" t="inlineStr">
        <is>
          <t>Belső szellőzők és rácsok</t>
        </is>
      </c>
      <c r="E1404" s="6" t="inlineStr">
        <is>
          <t>G&amp;C termékek</t>
        </is>
      </c>
      <c r="F1404" s="6" t="inlineStr">
        <is>
          <t>35-4088</t>
        </is>
      </c>
      <c r="G1404" s="6" t="inlineStr">
        <is>
          <t>Teljes kínálat</t>
        </is>
      </c>
      <c r="H1404" s="6" t="n">
        <v>1</v>
      </c>
      <c r="I1404" s="6" t="n">
        <v>1</v>
      </c>
      <c r="J1404" s="6" t="inlineStr">
        <is>
          <t>van</t>
        </is>
      </c>
      <c r="K1404" s="6">
        <f>IF(AND(H1404&gt;0,I1404&gt;0),"Rendben",IF(AND(H1404=0,I1404=0),"Nincs kép és adat",IF(H1404=0,"Nincs kép","Nincs adat")))</f>
        <v/>
      </c>
      <c r="L1404" s="6" t="inlineStr">
        <is>
          <t>Igen</t>
        </is>
      </c>
      <c r="M1404" s="7" t="inlineStr">
        <is>
          <t>G&amp;C termékek teljes kínálata (gyártói katalógus / weboldal)</t>
        </is>
      </c>
      <c r="N1404" s="7" t="inlineStr">
        <is>
          <t>Megtalálva: a beszállító teljes kínálatából felvett termék</t>
        </is>
      </c>
      <c r="O1404" s="11" t="inlineStr">
        <is>
          <t>https://gnc-systems.com/en/products/light-metal-rotary-valve/</t>
        </is>
      </c>
      <c r="P1404" s="11" t="inlineStr">
        <is>
          <t>https://website-9ib.pages.dev/termek/gc-light-metal-rotary-valve/</t>
        </is>
      </c>
      <c r="Q1404" s="12" t="inlineStr"/>
      <c r="R1404" s="13" t="inlineStr"/>
      <c r="S1404" s="6" t="inlineStr">
        <is>
          <t>gc-light-metal-rotary-valve</t>
        </is>
      </c>
    </row>
    <row r="1405">
      <c r="A1405" s="6" t="inlineStr"/>
      <c r="B1405" s="7" t="inlineStr">
        <is>
          <t>LED lámpa, kerek</t>
        </is>
      </c>
      <c r="C1405" s="6" t="inlineStr">
        <is>
          <t>Szellőzés, tetőablakok, világítás</t>
        </is>
      </c>
      <c r="D1405" s="6" t="inlineStr">
        <is>
          <t>Belső világítás</t>
        </is>
      </c>
      <c r="E1405" s="6" t="inlineStr">
        <is>
          <t>G&amp;C termékek</t>
        </is>
      </c>
      <c r="F1405" s="6" t="inlineStr"/>
      <c r="G1405" s="6" t="inlineStr">
        <is>
          <t>Teljes kínálat</t>
        </is>
      </c>
      <c r="H1405" s="6" t="n">
        <v>1</v>
      </c>
      <c r="I1405" s="6" t="n">
        <v>1</v>
      </c>
      <c r="J1405" s="6" t="inlineStr">
        <is>
          <t>van</t>
        </is>
      </c>
      <c r="K1405" s="6">
        <f>IF(AND(H1405&gt;0,I1405&gt;0),"Rendben",IF(AND(H1405=0,I1405=0),"Nincs kép és adat",IF(H1405=0,"Nincs kép","Nincs adat")))</f>
        <v/>
      </c>
      <c r="L1405" s="6" t="inlineStr">
        <is>
          <t>Igen</t>
        </is>
      </c>
      <c r="M1405" s="7" t="inlineStr">
        <is>
          <t>G&amp;C termékek teljes kínálata (gyártói katalógus / weboldal)</t>
        </is>
      </c>
      <c r="N1405" s="7" t="inlineStr">
        <is>
          <t>Megtalálva: a beszállító teljes kínálatából felvett termék</t>
        </is>
      </c>
      <c r="O1405" s="11" t="inlineStr">
        <is>
          <t>https://gnc-systems.com/en/products/lighting-round/</t>
        </is>
      </c>
      <c r="P1405" s="11" t="inlineStr">
        <is>
          <t>https://website-9ib.pages.dev/termek/gc-lighting-round/</t>
        </is>
      </c>
      <c r="Q1405" s="12" t="inlineStr"/>
      <c r="R1405" s="13" t="inlineStr"/>
      <c r="S1405" s="6" t="inlineStr">
        <is>
          <t>gc-lighting-round</t>
        </is>
      </c>
    </row>
    <row r="1406">
      <c r="A1406" s="6" t="inlineStr"/>
      <c r="B1406" s="7" t="inlineStr">
        <is>
          <t>LED lámpa, szögletes</t>
        </is>
      </c>
      <c r="C1406" s="6" t="inlineStr">
        <is>
          <t>Szellőzés, tetőablakok, világítás</t>
        </is>
      </c>
      <c r="D1406" s="6" t="inlineStr">
        <is>
          <t>Belső világítás</t>
        </is>
      </c>
      <c r="E1406" s="6" t="inlineStr">
        <is>
          <t>G&amp;C termékek</t>
        </is>
      </c>
      <c r="F1406" s="6" t="inlineStr"/>
      <c r="G1406" s="6" t="inlineStr">
        <is>
          <t>Teljes kínálat</t>
        </is>
      </c>
      <c r="H1406" s="6" t="n">
        <v>1</v>
      </c>
      <c r="I1406" s="6" t="n">
        <v>1</v>
      </c>
      <c r="J1406" s="6" t="inlineStr">
        <is>
          <t>van</t>
        </is>
      </c>
      <c r="K1406" s="6">
        <f>IF(AND(H1406&gt;0,I1406&gt;0),"Rendben",IF(AND(H1406=0,I1406=0),"Nincs kép és adat",IF(H1406=0,"Nincs kép","Nincs adat")))</f>
        <v/>
      </c>
      <c r="L1406" s="6" t="inlineStr">
        <is>
          <t>Igen</t>
        </is>
      </c>
      <c r="M1406" s="7" t="inlineStr">
        <is>
          <t>G&amp;C termékek teljes kínálata (gyártói katalógus / weboldal)</t>
        </is>
      </c>
      <c r="N1406" s="7" t="inlineStr">
        <is>
          <t>Megtalálva: a beszállító teljes kínálatából felvett termék</t>
        </is>
      </c>
      <c r="O1406" s="11" t="inlineStr">
        <is>
          <t>https://gnc-systems.com/en/products/lighting-rectangle/</t>
        </is>
      </c>
      <c r="P1406" s="11" t="inlineStr">
        <is>
          <t>https://website-9ib.pages.dev/termek/gc-lighting-rectangle/</t>
        </is>
      </c>
      <c r="Q1406" s="12" t="inlineStr"/>
      <c r="R1406" s="13" t="inlineStr"/>
      <c r="S1406" s="6" t="inlineStr">
        <is>
          <t>gc-lighting-rectangle</t>
        </is>
      </c>
    </row>
    <row r="1407">
      <c r="A1407" s="6" t="inlineStr">
        <is>
          <t>02-4200</t>
        </is>
      </c>
      <c r="B1407" s="7" t="inlineStr">
        <is>
          <t>Le Mans LL alacsony tetőventilátor</t>
        </is>
      </c>
      <c r="C1407" s="6" t="inlineStr">
        <is>
          <t>Szellőzés, tetőablakok, világítás</t>
        </is>
      </c>
      <c r="D1407" s="6" t="inlineStr">
        <is>
          <t>Tetőventilátorok</t>
        </is>
      </c>
      <c r="E1407" s="6" t="inlineStr">
        <is>
          <t>G&amp;C termékek</t>
        </is>
      </c>
      <c r="F1407" s="6" t="inlineStr">
        <is>
          <t>02-4200</t>
        </is>
      </c>
      <c r="G1407" s="6" t="inlineStr">
        <is>
          <t>Teljes kínálat</t>
        </is>
      </c>
      <c r="H1407" s="6" t="n">
        <v>1</v>
      </c>
      <c r="I1407" s="6" t="n">
        <v>13</v>
      </c>
      <c r="J1407" s="6" t="inlineStr">
        <is>
          <t>van</t>
        </is>
      </c>
      <c r="K1407" s="6">
        <f>IF(AND(H1407&gt;0,I1407&gt;0),"Rendben",IF(AND(H1407=0,I1407=0),"Nincs kép és adat",IF(H1407=0,"Nincs kép","Nincs adat")))</f>
        <v/>
      </c>
      <c r="L1407" s="6" t="inlineStr">
        <is>
          <t>Igen</t>
        </is>
      </c>
      <c r="M1407" s="7" t="inlineStr">
        <is>
          <t>G&amp;C termékek teljes kínálata (gyártói katalógus / weboldal)</t>
        </is>
      </c>
      <c r="N1407" s="7" t="inlineStr">
        <is>
          <t>Megtalálva: a beszállító teljes kínálatából felvett termék</t>
        </is>
      </c>
      <c r="O1407" s="11" t="inlineStr">
        <is>
          <t>https://gnc-systems.com/en/products/le-mans-ll/</t>
        </is>
      </c>
      <c r="P1407" s="11" t="inlineStr">
        <is>
          <t>https://website-9ib.pages.dev/termek/gc-le-mans-ll/</t>
        </is>
      </c>
      <c r="Q1407" s="12" t="inlineStr"/>
      <c r="R1407" s="13" t="inlineStr"/>
      <c r="S1407" s="6" t="inlineStr">
        <is>
          <t>gc-le-mans-ll</t>
        </is>
      </c>
    </row>
    <row r="1408">
      <c r="A1408" s="6" t="inlineStr">
        <is>
          <t>24-0125</t>
        </is>
      </c>
      <c r="B1408" s="7" t="inlineStr">
        <is>
          <t>Légtisztító, kicsi</t>
        </is>
      </c>
      <c r="C1408" s="6" t="inlineStr">
        <is>
          <t>Szellőzés, tetőablakok, világítás</t>
        </is>
      </c>
      <c r="D1408" s="6" t="inlineStr">
        <is>
          <t>Légtisztítók</t>
        </is>
      </c>
      <c r="E1408" s="6" t="inlineStr">
        <is>
          <t>G&amp;C termékek</t>
        </is>
      </c>
      <c r="F1408" s="6" t="inlineStr">
        <is>
          <t>24-0125</t>
        </is>
      </c>
      <c r="G1408" s="6" t="inlineStr">
        <is>
          <t>Teljes kínálat</t>
        </is>
      </c>
      <c r="H1408" s="6" t="n">
        <v>1</v>
      </c>
      <c r="I1408" s="6" t="n">
        <v>0</v>
      </c>
      <c r="J1408" s="6" t="inlineStr">
        <is>
          <t>van</t>
        </is>
      </c>
      <c r="K1408" s="6">
        <f>IF(AND(H1408&gt;0,I1408&gt;0),"Rendben",IF(AND(H1408=0,I1408=0),"Nincs kép és adat",IF(H1408=0,"Nincs kép","Nincs adat")))</f>
        <v/>
      </c>
      <c r="L1408" s="6" t="inlineStr">
        <is>
          <t>Igen</t>
        </is>
      </c>
      <c r="M1408" s="7" t="inlineStr">
        <is>
          <t>G&amp;C termékek teljes kínálata (gyártói katalógus / weboldal)</t>
        </is>
      </c>
      <c r="N1408" s="7" t="inlineStr">
        <is>
          <t>Megtalálva: a beszállító teljes kínálatából felvett termék</t>
        </is>
      </c>
      <c r="O1408" s="11" t="inlineStr">
        <is>
          <t>https://gnc-systems.com/en/products/air-purifier-small/</t>
        </is>
      </c>
      <c r="P1408" s="11" t="inlineStr">
        <is>
          <t>https://website-9ib.pages.dev/termek/gc-air-purifier-small/</t>
        </is>
      </c>
      <c r="Q1408" s="12" t="inlineStr"/>
      <c r="R1408" s="13" t="inlineStr"/>
      <c r="S1408" s="6" t="inlineStr">
        <is>
          <t>gc-air-purifier-small</t>
        </is>
      </c>
    </row>
    <row r="1409">
      <c r="A1409" s="6" t="inlineStr">
        <is>
          <t>24-0600</t>
        </is>
      </c>
      <c r="B1409" s="7" t="inlineStr">
        <is>
          <t>Légtisztító, nagy</t>
        </is>
      </c>
      <c r="C1409" s="6" t="inlineStr">
        <is>
          <t>Szellőzés, tetőablakok, világítás</t>
        </is>
      </c>
      <c r="D1409" s="6" t="inlineStr">
        <is>
          <t>Légtisztítók</t>
        </is>
      </c>
      <c r="E1409" s="6" t="inlineStr">
        <is>
          <t>G&amp;C termékek</t>
        </is>
      </c>
      <c r="F1409" s="6" t="inlineStr">
        <is>
          <t>24-0600</t>
        </is>
      </c>
      <c r="G1409" s="6" t="inlineStr">
        <is>
          <t>Teljes kínálat</t>
        </is>
      </c>
      <c r="H1409" s="6" t="n">
        <v>1</v>
      </c>
      <c r="I1409" s="6" t="n">
        <v>0</v>
      </c>
      <c r="J1409" s="6" t="inlineStr">
        <is>
          <t>van</t>
        </is>
      </c>
      <c r="K1409" s="6">
        <f>IF(AND(H1409&gt;0,I1409&gt;0),"Rendben",IF(AND(H1409=0,I1409=0),"Nincs kép és adat",IF(H1409=0,"Nincs kép","Nincs adat")))</f>
        <v/>
      </c>
      <c r="L1409" s="6" t="inlineStr">
        <is>
          <t>Igen</t>
        </is>
      </c>
      <c r="M1409" s="7" t="inlineStr">
        <is>
          <t>G&amp;C termékek teljes kínálata (gyártói katalógus / weboldal)</t>
        </is>
      </c>
      <c r="N1409" s="7" t="inlineStr">
        <is>
          <t>Megtalálva: a beszállító teljes kínálatából felvett termék</t>
        </is>
      </c>
      <c r="O1409" s="11" t="inlineStr">
        <is>
          <t>https://gnc-systems.com/en/products/air-purifier-large/</t>
        </is>
      </c>
      <c r="P1409" s="11" t="inlineStr">
        <is>
          <t>https://website-9ib.pages.dev/termek/gc-air-purifier-large/</t>
        </is>
      </c>
      <c r="Q1409" s="12" t="inlineStr"/>
      <c r="R1409" s="13" t="inlineStr"/>
      <c r="S1409" s="6" t="inlineStr">
        <is>
          <t>gc-air-purifier-large</t>
        </is>
      </c>
    </row>
    <row r="1410">
      <c r="A1410" s="6" t="inlineStr">
        <is>
          <t>89-5600</t>
        </is>
      </c>
      <c r="B1410" s="7" t="inlineStr">
        <is>
          <t>Padlószellőző</t>
        </is>
      </c>
      <c r="C1410" s="6" t="inlineStr">
        <is>
          <t>Szellőzés, tetőablakok, világítás</t>
        </is>
      </c>
      <c r="D1410" s="6" t="inlineStr">
        <is>
          <t>Kiegészítők és vezérlés</t>
        </is>
      </c>
      <c r="E1410" s="6" t="inlineStr">
        <is>
          <t>G&amp;C termékek</t>
        </is>
      </c>
      <c r="F1410" s="6" t="inlineStr">
        <is>
          <t>89-5600</t>
        </is>
      </c>
      <c r="G1410" s="6" t="inlineStr">
        <is>
          <t>Teljes kínálat</t>
        </is>
      </c>
      <c r="H1410" s="6" t="n">
        <v>1</v>
      </c>
      <c r="I1410" s="6" t="n">
        <v>1</v>
      </c>
      <c r="J1410" s="6" t="inlineStr">
        <is>
          <t>van</t>
        </is>
      </c>
      <c r="K1410" s="6">
        <f>IF(AND(H1410&gt;0,I1410&gt;0),"Rendben",IF(AND(H1410=0,I1410=0),"Nincs kép és adat",IF(H1410=0,"Nincs kép","Nincs adat")))</f>
        <v/>
      </c>
      <c r="L1410" s="6" t="inlineStr">
        <is>
          <t>Igen</t>
        </is>
      </c>
      <c r="M1410" s="7" t="inlineStr">
        <is>
          <t>G&amp;C termékek teljes kínálata (gyártói katalógus / weboldal)</t>
        </is>
      </c>
      <c r="N1410" s="7" t="inlineStr">
        <is>
          <t>Megtalálva: a beszállító teljes kínálatából felvett termék</t>
        </is>
      </c>
      <c r="O1410" s="11" t="inlineStr">
        <is>
          <t>https://gnc-systems.com/en/products/floor-ventilator/</t>
        </is>
      </c>
      <c r="P1410" s="11" t="inlineStr">
        <is>
          <t>https://website-9ib.pages.dev/termek/gc-floor-ventilator/</t>
        </is>
      </c>
      <c r="Q1410" s="12" t="inlineStr"/>
      <c r="R1410" s="13" t="inlineStr"/>
      <c r="S1410" s="6" t="inlineStr">
        <is>
          <t>gc-floor-ventilator</t>
        </is>
      </c>
    </row>
    <row r="1411">
      <c r="A1411" s="6" t="inlineStr">
        <is>
          <t>89-5700</t>
        </is>
      </c>
      <c r="B1411" s="7" t="inlineStr">
        <is>
          <t>Padlószellőző, nagy</t>
        </is>
      </c>
      <c r="C1411" s="6" t="inlineStr">
        <is>
          <t>Szellőzés, tetőablakok, világítás</t>
        </is>
      </c>
      <c r="D1411" s="6" t="inlineStr">
        <is>
          <t>Kiegészítők és vezérlés</t>
        </is>
      </c>
      <c r="E1411" s="6" t="inlineStr">
        <is>
          <t>G&amp;C termékek</t>
        </is>
      </c>
      <c r="F1411" s="6" t="inlineStr">
        <is>
          <t>89-5700</t>
        </is>
      </c>
      <c r="G1411" s="6" t="inlineStr">
        <is>
          <t>Teljes kínálat</t>
        </is>
      </c>
      <c r="H1411" s="6" t="n">
        <v>1</v>
      </c>
      <c r="I1411" s="6" t="n">
        <v>1</v>
      </c>
      <c r="J1411" s="6" t="inlineStr">
        <is>
          <t>van</t>
        </is>
      </c>
      <c r="K1411" s="6">
        <f>IF(AND(H1411&gt;0,I1411&gt;0),"Rendben",IF(AND(H1411=0,I1411=0),"Nincs kép és adat",IF(H1411=0,"Nincs kép","Nincs adat")))</f>
        <v/>
      </c>
      <c r="L1411" s="6" t="inlineStr">
        <is>
          <t>Igen</t>
        </is>
      </c>
      <c r="M1411" s="7" t="inlineStr">
        <is>
          <t>G&amp;C termékek teljes kínálata (gyártói katalógus / weboldal)</t>
        </is>
      </c>
      <c r="N1411" s="7" t="inlineStr">
        <is>
          <t>Megtalálva: a beszállító teljes kínálatából felvett termék</t>
        </is>
      </c>
      <c r="O1411" s="11" t="inlineStr">
        <is>
          <t>https://gnc-systems.com/en/products/floor-ventilator-2/</t>
        </is>
      </c>
      <c r="P1411" s="11" t="inlineStr">
        <is>
          <t>https://website-9ib.pages.dev/termek/gc-floor-ventilator-2/</t>
        </is>
      </c>
      <c r="Q1411" s="12" t="inlineStr"/>
      <c r="R1411" s="13" t="inlineStr"/>
      <c r="S1411" s="6" t="inlineStr">
        <is>
          <t>gc-floor-ventilator-2</t>
        </is>
      </c>
    </row>
    <row r="1412">
      <c r="A1412" s="6" t="inlineStr"/>
      <c r="B1412" s="7" t="inlineStr">
        <is>
          <t>Radiálventilátor</t>
        </is>
      </c>
      <c r="C1412" s="6" t="inlineStr">
        <is>
          <t>Szellőzés, tetőablakok, világítás</t>
        </is>
      </c>
      <c r="D1412" s="6" t="inlineStr">
        <is>
          <t>Axiál- és radiálventilátorok</t>
        </is>
      </c>
      <c r="E1412" s="6" t="inlineStr">
        <is>
          <t>G&amp;C termékek</t>
        </is>
      </c>
      <c r="F1412" s="6" t="inlineStr"/>
      <c r="G1412" s="6" t="inlineStr">
        <is>
          <t>Teljes kínálat</t>
        </is>
      </c>
      <c r="H1412" s="6" t="n">
        <v>1</v>
      </c>
      <c r="I1412" s="6" t="n">
        <v>1</v>
      </c>
      <c r="J1412" s="6" t="inlineStr">
        <is>
          <t>van</t>
        </is>
      </c>
      <c r="K1412" s="6">
        <f>IF(AND(H1412&gt;0,I1412&gt;0),"Rendben",IF(AND(H1412=0,I1412=0),"Nincs kép és adat",IF(H1412=0,"Nincs kép","Nincs adat")))</f>
        <v/>
      </c>
      <c r="L1412" s="6" t="inlineStr">
        <is>
          <t>Igen</t>
        </is>
      </c>
      <c r="M1412" s="7" t="inlineStr">
        <is>
          <t>G&amp;C termékek teljes kínálata (gyártói katalógus / weboldal)</t>
        </is>
      </c>
      <c r="N1412" s="7" t="inlineStr">
        <is>
          <t>Megtalálva: a beszállító teljes kínálatából felvett termék</t>
        </is>
      </c>
      <c r="O1412" s="11" t="inlineStr">
        <is>
          <t>https://gnc-systems.com/en/products/radial-ventilator/</t>
        </is>
      </c>
      <c r="P1412" s="11" t="inlineStr">
        <is>
          <t>https://website-9ib.pages.dev/termek/gc-radial-ventilator/</t>
        </is>
      </c>
      <c r="Q1412" s="12" t="inlineStr"/>
      <c r="R1412" s="13" t="inlineStr"/>
      <c r="S1412" s="6" t="inlineStr">
        <is>
          <t>gc-radial-ventilator</t>
        </is>
      </c>
    </row>
    <row r="1413">
      <c r="A1413" s="6" t="inlineStr">
        <is>
          <t>02-0200</t>
        </is>
      </c>
      <c r="B1413" s="7" t="inlineStr">
        <is>
          <t>Tetőventilátor</t>
        </is>
      </c>
      <c r="C1413" s="6" t="inlineStr">
        <is>
          <t>Szellőzés, tetőablakok, világítás</t>
        </is>
      </c>
      <c r="D1413" s="6" t="inlineStr">
        <is>
          <t>Tetőventilátorok</t>
        </is>
      </c>
      <c r="E1413" s="6" t="inlineStr">
        <is>
          <t>G&amp;C termékek</t>
        </is>
      </c>
      <c r="F1413" s="6" t="inlineStr">
        <is>
          <t>02-0200</t>
        </is>
      </c>
      <c r="G1413" s="6" t="inlineStr">
        <is>
          <t>Teljes kínálat</t>
        </is>
      </c>
      <c r="H1413" s="6" t="n">
        <v>1</v>
      </c>
      <c r="I1413" s="6" t="n">
        <v>13</v>
      </c>
      <c r="J1413" s="6" t="inlineStr">
        <is>
          <t>van</t>
        </is>
      </c>
      <c r="K1413" s="6">
        <f>IF(AND(H1413&gt;0,I1413&gt;0),"Rendben",IF(AND(H1413=0,I1413=0),"Nincs kép és adat",IF(H1413=0,"Nincs kép","Nincs adat")))</f>
        <v/>
      </c>
      <c r="L1413" s="6" t="inlineStr">
        <is>
          <t>Igen</t>
        </is>
      </c>
      <c r="M1413" s="7" t="inlineStr">
        <is>
          <t>G&amp;C termékek teljes kínálata (gyártói katalógus / weboldal)</t>
        </is>
      </c>
      <c r="N1413" s="7" t="inlineStr">
        <is>
          <t>Megtalálva: a beszállító teljes kínálatából felvett termék</t>
        </is>
      </c>
      <c r="O1413" s="11" t="inlineStr">
        <is>
          <t>https://gnc-systems.com/en/products/rooftop_ventilators/</t>
        </is>
      </c>
      <c r="P1413" s="11" t="inlineStr">
        <is>
          <t>https://website-9ib.pages.dev/termek/gc-rooftop-ventilators/</t>
        </is>
      </c>
      <c r="Q1413" s="12" t="inlineStr"/>
      <c r="R1413" s="13" t="inlineStr"/>
      <c r="S1413" s="6" t="inlineStr">
        <is>
          <t>gc-rooftop-ventilators</t>
        </is>
      </c>
    </row>
    <row r="1414">
      <c r="A1414" s="6" t="inlineStr">
        <is>
          <t>02-5000</t>
        </is>
      </c>
      <c r="B1414" s="7" t="inlineStr">
        <is>
          <t>Winglet tetőventilátor</t>
        </is>
      </c>
      <c r="C1414" s="6" t="inlineStr">
        <is>
          <t>Szellőzés, tetőablakok, világítás</t>
        </is>
      </c>
      <c r="D1414" s="6" t="inlineStr">
        <is>
          <t>Tetőventilátorok</t>
        </is>
      </c>
      <c r="E1414" s="6" t="inlineStr">
        <is>
          <t>G&amp;C termékek</t>
        </is>
      </c>
      <c r="F1414" s="6" t="inlineStr">
        <is>
          <t>02-5000</t>
        </is>
      </c>
      <c r="G1414" s="6" t="inlineStr">
        <is>
          <t>Teljes kínálat</t>
        </is>
      </c>
      <c r="H1414" s="6" t="n">
        <v>1</v>
      </c>
      <c r="I1414" s="6" t="n">
        <v>8</v>
      </c>
      <c r="J1414" s="6" t="inlineStr">
        <is>
          <t>van</t>
        </is>
      </c>
      <c r="K1414" s="6">
        <f>IF(AND(H1414&gt;0,I1414&gt;0),"Rendben",IF(AND(H1414=0,I1414=0),"Nincs kép és adat",IF(H1414=0,"Nincs kép","Nincs adat")))</f>
        <v/>
      </c>
      <c r="L1414" s="6" t="inlineStr">
        <is>
          <t>Igen</t>
        </is>
      </c>
      <c r="M1414" s="7" t="inlineStr">
        <is>
          <t>G&amp;C termékek teljes kínálata (gyártói katalógus / weboldal)</t>
        </is>
      </c>
      <c r="N1414" s="7" t="inlineStr">
        <is>
          <t>Megtalálva: a beszállító teljes kínálatából felvett termék</t>
        </is>
      </c>
      <c r="O1414" s="11" t="inlineStr">
        <is>
          <t>https://gnc-systems.com/en/products/winglet/</t>
        </is>
      </c>
      <c r="P1414" s="11" t="inlineStr">
        <is>
          <t>https://website-9ib.pages.dev/termek/gc-winglet/</t>
        </is>
      </c>
      <c r="Q1414" s="12" t="inlineStr"/>
      <c r="R1414" s="13" t="inlineStr"/>
      <c r="S1414" s="6" t="inlineStr">
        <is>
          <t>gc-winglet</t>
        </is>
      </c>
    </row>
    <row r="1415">
      <c r="A1415" s="6" t="inlineStr">
        <is>
          <t>RME 12/0</t>
        </is>
      </c>
      <c r="B1415" s="7" t="inlineStr">
        <is>
          <t>Bejárati lyukacsos gumiszőnyeg 12 mm, 900×1500 mm</t>
        </is>
      </c>
      <c r="C1415" s="6" t="inlineStr">
        <is>
          <t>Gumiszőnyegek és gumilemezek</t>
        </is>
      </c>
      <c r="D1415" s="6" t="inlineStr">
        <is>
          <t>Lyukacsos (gyűrűs) gumiszőnyegek</t>
        </is>
      </c>
      <c r="E1415" s="6" t="inlineStr">
        <is>
          <t>Rubber Select</t>
        </is>
      </c>
      <c r="F1415" s="6" t="inlineStr">
        <is>
          <t>RME 12/0</t>
        </is>
      </c>
      <c r="G1415" s="6" t="inlineStr">
        <is>
          <t>Teljes kínálat</t>
        </is>
      </c>
      <c r="H1415" s="6" t="n">
        <v>1</v>
      </c>
      <c r="I1415" s="6" t="n">
        <v>11</v>
      </c>
      <c r="J1415" s="6" t="inlineStr">
        <is>
          <t>van</t>
        </is>
      </c>
      <c r="K1415" s="6">
        <f>IF(AND(H1415&gt;0,I1415&gt;0),"Rendben",IF(AND(H1415=0,I1415=0),"Nincs kép és adat",IF(H1415=0,"Nincs kép","Nincs adat")))</f>
        <v/>
      </c>
      <c r="L1415" s="6" t="inlineStr">
        <is>
          <t>Igen</t>
        </is>
      </c>
      <c r="M1415" s="7" t="inlineStr">
        <is>
          <t>Rubber Select teljes kínálata (gyártói katalógus / weboldal)</t>
        </is>
      </c>
      <c r="N1415" s="7" t="inlineStr">
        <is>
          <t>Megtalálva: a beszállító teljes kínálatából felvett termék</t>
        </is>
      </c>
      <c r="O1415" s="11" t="inlineStr">
        <is>
          <t>https://www.rubberselect.com/en/products/matting/entrance-ringmat</t>
        </is>
      </c>
      <c r="P1415" s="11" t="inlineStr">
        <is>
          <t>https://website-9ib.pages.dev/termek/bejarati-lyukacsos-gumiszonyeg-rme-12-0-900-1500/</t>
        </is>
      </c>
      <c r="Q1415" s="12" t="inlineStr"/>
      <c r="R1415" s="13" t="inlineStr"/>
      <c r="S1415" s="6" t="inlineStr">
        <is>
          <t>bejarati-lyukacsos-gumiszonyeg-rme-12-0-900-1500</t>
        </is>
      </c>
    </row>
    <row r="1416">
      <c r="A1416" s="6" t="inlineStr">
        <is>
          <t>EM 10/0</t>
        </is>
      </c>
      <c r="B1416" s="7" t="inlineStr">
        <is>
          <t>EPDM moosgumi (szivacsgumi) 10 mm, 1,2×10 mm</t>
        </is>
      </c>
      <c r="C1416" s="6" t="inlineStr">
        <is>
          <t>Gumiszőnyegek és gumilemezek</t>
        </is>
      </c>
      <c r="D1416" s="6" t="inlineStr">
        <is>
          <t>Moosgumi (szivacsgumi)</t>
        </is>
      </c>
      <c r="E1416" s="6" t="inlineStr">
        <is>
          <t>Rubber Select</t>
        </is>
      </c>
      <c r="F1416" s="6" t="inlineStr">
        <is>
          <t>EM 10/0</t>
        </is>
      </c>
      <c r="G1416" s="6" t="inlineStr">
        <is>
          <t>Teljes kínálat</t>
        </is>
      </c>
      <c r="H1416" s="6" t="n">
        <v>1</v>
      </c>
      <c r="I1416" s="6" t="n">
        <v>11</v>
      </c>
      <c r="J1416" s="6" t="inlineStr">
        <is>
          <t>van</t>
        </is>
      </c>
      <c r="K1416" s="6">
        <f>IF(AND(H1416&gt;0,I1416&gt;0),"Rendben",IF(AND(H1416=0,I1416=0),"Nincs kép és adat",IF(H1416=0,"Nincs kép","Nincs adat")))</f>
        <v/>
      </c>
      <c r="L1416" s="6" t="inlineStr">
        <is>
          <t>Igen</t>
        </is>
      </c>
      <c r="M1416" s="7" t="inlineStr">
        <is>
          <t>Rubber Select teljes kínálata (gyártói katalógus / weboldal)</t>
        </is>
      </c>
      <c r="N1416" s="7" t="inlineStr">
        <is>
          <t>Megtalálva: a beszállító teljes kínálatából felvett termék</t>
        </is>
      </c>
      <c r="O1416" s="11" t="inlineStr">
        <is>
          <t>https://www.rubberselect.com/en/products/sponge-rubber/epdm-sponge-rubber</t>
        </is>
      </c>
      <c r="P1416" s="11" t="inlineStr">
        <is>
          <t>https://website-9ib.pages.dev/termek/epdm-moosgumi-szivacsgumi-em-10-0-1-2-10/</t>
        </is>
      </c>
      <c r="Q1416" s="12" t="inlineStr"/>
      <c r="R1416" s="13" t="inlineStr"/>
      <c r="S1416" s="6" t="inlineStr">
        <is>
          <t>epdm-moosgumi-szivacsgumi-em-10-0-1-2-10</t>
        </is>
      </c>
    </row>
    <row r="1417">
      <c r="A1417" s="6" t="inlineStr">
        <is>
          <t>EM 12/0</t>
        </is>
      </c>
      <c r="B1417" s="7" t="inlineStr">
        <is>
          <t>EPDM moosgumi (szivacsgumi) 12 mm, 1,2×2 mm</t>
        </is>
      </c>
      <c r="C1417" s="6" t="inlineStr">
        <is>
          <t>Gumiszőnyegek és gumilemezek</t>
        </is>
      </c>
      <c r="D1417" s="6" t="inlineStr">
        <is>
          <t>Moosgumi (szivacsgumi)</t>
        </is>
      </c>
      <c r="E1417" s="6" t="inlineStr">
        <is>
          <t>Rubber Select</t>
        </is>
      </c>
      <c r="F1417" s="6" t="inlineStr">
        <is>
          <t>EM 12/0</t>
        </is>
      </c>
      <c r="G1417" s="6" t="inlineStr">
        <is>
          <t>Teljes kínálat</t>
        </is>
      </c>
      <c r="H1417" s="6" t="n">
        <v>1</v>
      </c>
      <c r="I1417" s="6" t="n">
        <v>11</v>
      </c>
      <c r="J1417" s="6" t="inlineStr">
        <is>
          <t>van</t>
        </is>
      </c>
      <c r="K1417" s="6">
        <f>IF(AND(H1417&gt;0,I1417&gt;0),"Rendben",IF(AND(H1417=0,I1417=0),"Nincs kép és adat",IF(H1417=0,"Nincs kép","Nincs adat")))</f>
        <v/>
      </c>
      <c r="L1417" s="6" t="inlineStr">
        <is>
          <t>Igen</t>
        </is>
      </c>
      <c r="M1417" s="7" t="inlineStr">
        <is>
          <t>Rubber Select teljes kínálata (gyártói katalógus / weboldal)</t>
        </is>
      </c>
      <c r="N1417" s="7" t="inlineStr">
        <is>
          <t>Megtalálva: a beszállító teljes kínálatából felvett termék</t>
        </is>
      </c>
      <c r="O1417" s="11" t="inlineStr">
        <is>
          <t>https://www.rubberselect.com/en/products/sponge-rubber/epdm-sponge-rubber</t>
        </is>
      </c>
      <c r="P1417" s="11" t="inlineStr">
        <is>
          <t>https://website-9ib.pages.dev/termek/epdm-moosgumi-szivacsgumi-em-12-0-1-2-2/</t>
        </is>
      </c>
      <c r="Q1417" s="12" t="inlineStr"/>
      <c r="R1417" s="13" t="inlineStr"/>
      <c r="S1417" s="6" t="inlineStr">
        <is>
          <t>epdm-moosgumi-szivacsgumi-em-12-0-1-2-2</t>
        </is>
      </c>
    </row>
    <row r="1418">
      <c r="A1418" s="6" t="inlineStr">
        <is>
          <t>EM 15/0</t>
        </is>
      </c>
      <c r="B1418" s="7" t="inlineStr">
        <is>
          <t>EPDM moosgumi (szivacsgumi) 15 mm, 1×2 mm</t>
        </is>
      </c>
      <c r="C1418" s="6" t="inlineStr">
        <is>
          <t>Gumiszőnyegek és gumilemezek</t>
        </is>
      </c>
      <c r="D1418" s="6" t="inlineStr">
        <is>
          <t>Moosgumi (szivacsgumi)</t>
        </is>
      </c>
      <c r="E1418" s="6" t="inlineStr">
        <is>
          <t>Rubber Select</t>
        </is>
      </c>
      <c r="F1418" s="6" t="inlineStr">
        <is>
          <t>EM 15/0</t>
        </is>
      </c>
      <c r="G1418" s="6" t="inlineStr">
        <is>
          <t>Teljes kínálat</t>
        </is>
      </c>
      <c r="H1418" s="6" t="n">
        <v>1</v>
      </c>
      <c r="I1418" s="6" t="n">
        <v>11</v>
      </c>
      <c r="J1418" s="6" t="inlineStr">
        <is>
          <t>van</t>
        </is>
      </c>
      <c r="K1418" s="6">
        <f>IF(AND(H1418&gt;0,I1418&gt;0),"Rendben",IF(AND(H1418=0,I1418=0),"Nincs kép és adat",IF(H1418=0,"Nincs kép","Nincs adat")))</f>
        <v/>
      </c>
      <c r="L1418" s="6" t="inlineStr">
        <is>
          <t>Igen</t>
        </is>
      </c>
      <c r="M1418" s="7" t="inlineStr">
        <is>
          <t>Rubber Select teljes kínálata (gyártói katalógus / weboldal)</t>
        </is>
      </c>
      <c r="N1418" s="7" t="inlineStr">
        <is>
          <t>Megtalálva: a beszállító teljes kínálatából felvett termék</t>
        </is>
      </c>
      <c r="O1418" s="11" t="inlineStr">
        <is>
          <t>https://www.rubberselect.com/en/products/sponge-rubber/epdm-sponge-rubber</t>
        </is>
      </c>
      <c r="P1418" s="11" t="inlineStr">
        <is>
          <t>https://website-9ib.pages.dev/termek/epdm-moosgumi-szivacsgumi-em-15-0-1-2/</t>
        </is>
      </c>
      <c r="Q1418" s="12" t="inlineStr"/>
      <c r="R1418" s="13" t="inlineStr"/>
      <c r="S1418" s="6" t="inlineStr">
        <is>
          <t>epdm-moosgumi-szivacsgumi-em-15-0-1-2</t>
        </is>
      </c>
    </row>
    <row r="1419">
      <c r="A1419" s="6" t="inlineStr">
        <is>
          <t>EM 2/0</t>
        </is>
      </c>
      <c r="B1419" s="7" t="inlineStr">
        <is>
          <t>EPDM moosgumi (szivacsgumi) 2 mm, 1,2×10 mm</t>
        </is>
      </c>
      <c r="C1419" s="6" t="inlineStr">
        <is>
          <t>Gumiszőnyegek és gumilemezek</t>
        </is>
      </c>
      <c r="D1419" s="6" t="inlineStr">
        <is>
          <t>Moosgumi (szivacsgumi)</t>
        </is>
      </c>
      <c r="E1419" s="6" t="inlineStr">
        <is>
          <t>Rubber Select</t>
        </is>
      </c>
      <c r="F1419" s="6" t="inlineStr">
        <is>
          <t>EM 2/0</t>
        </is>
      </c>
      <c r="G1419" s="6" t="inlineStr">
        <is>
          <t>Teljes kínálat</t>
        </is>
      </c>
      <c r="H1419" s="6" t="n">
        <v>1</v>
      </c>
      <c r="I1419" s="6" t="n">
        <v>11</v>
      </c>
      <c r="J1419" s="6" t="inlineStr">
        <is>
          <t>van</t>
        </is>
      </c>
      <c r="K1419" s="6">
        <f>IF(AND(H1419&gt;0,I1419&gt;0),"Rendben",IF(AND(H1419=0,I1419=0),"Nincs kép és adat",IF(H1419=0,"Nincs kép","Nincs adat")))</f>
        <v/>
      </c>
      <c r="L1419" s="6" t="inlineStr">
        <is>
          <t>Igen</t>
        </is>
      </c>
      <c r="M1419" s="7" t="inlineStr">
        <is>
          <t>Rubber Select teljes kínálata (gyártói katalógus / weboldal)</t>
        </is>
      </c>
      <c r="N1419" s="7" t="inlineStr">
        <is>
          <t>Megtalálva: a beszállító teljes kínálatából felvett termék</t>
        </is>
      </c>
      <c r="O1419" s="11" t="inlineStr">
        <is>
          <t>https://www.rubberselect.com/en/products/sponge-rubber/epdm-sponge-rubber</t>
        </is>
      </c>
      <c r="P1419" s="11" t="inlineStr">
        <is>
          <t>https://website-9ib.pages.dev/termek/epdm-moosgumi-szivacsgumi-em-2-0-1-2-10/</t>
        </is>
      </c>
      <c r="Q1419" s="12" t="inlineStr"/>
      <c r="R1419" s="13" t="inlineStr"/>
      <c r="S1419" s="6" t="inlineStr">
        <is>
          <t>epdm-moosgumi-szivacsgumi-em-2-0-1-2-10</t>
        </is>
      </c>
    </row>
    <row r="1420">
      <c r="A1420" s="6" t="inlineStr">
        <is>
          <t>EM 20/0</t>
        </is>
      </c>
      <c r="B1420" s="7" t="inlineStr">
        <is>
          <t>EPDM moosgumi (szivacsgumi) 20 mm, 1,2×2 mm</t>
        </is>
      </c>
      <c r="C1420" s="6" t="inlineStr">
        <is>
          <t>Gumiszőnyegek és gumilemezek</t>
        </is>
      </c>
      <c r="D1420" s="6" t="inlineStr">
        <is>
          <t>Moosgumi (szivacsgumi)</t>
        </is>
      </c>
      <c r="E1420" s="6" t="inlineStr">
        <is>
          <t>Rubber Select</t>
        </is>
      </c>
      <c r="F1420" s="6" t="inlineStr">
        <is>
          <t>EM 20/0</t>
        </is>
      </c>
      <c r="G1420" s="6" t="inlineStr">
        <is>
          <t>Teljes kínálat</t>
        </is>
      </c>
      <c r="H1420" s="6" t="n">
        <v>1</v>
      </c>
      <c r="I1420" s="6" t="n">
        <v>11</v>
      </c>
      <c r="J1420" s="6" t="inlineStr">
        <is>
          <t>van</t>
        </is>
      </c>
      <c r="K1420" s="6">
        <f>IF(AND(H1420&gt;0,I1420&gt;0),"Rendben",IF(AND(H1420=0,I1420=0),"Nincs kép és adat",IF(H1420=0,"Nincs kép","Nincs adat")))</f>
        <v/>
      </c>
      <c r="L1420" s="6" t="inlineStr">
        <is>
          <t>Igen</t>
        </is>
      </c>
      <c r="M1420" s="7" t="inlineStr">
        <is>
          <t>Rubber Select teljes kínálata (gyártói katalógus / weboldal)</t>
        </is>
      </c>
      <c r="N1420" s="7" t="inlineStr">
        <is>
          <t>Megtalálva: a beszállító teljes kínálatából felvett termék</t>
        </is>
      </c>
      <c r="O1420" s="11" t="inlineStr">
        <is>
          <t>https://www.rubberselect.com/en/products/sponge-rubber/epdm-sponge-rubber</t>
        </is>
      </c>
      <c r="P1420" s="11" t="inlineStr">
        <is>
          <t>https://website-9ib.pages.dev/termek/epdm-moosgumi-szivacsgumi-em-20-0-1-2-2/</t>
        </is>
      </c>
      <c r="Q1420" s="12" t="inlineStr"/>
      <c r="R1420" s="13" t="inlineStr"/>
      <c r="S1420" s="6" t="inlineStr">
        <is>
          <t>epdm-moosgumi-szivacsgumi-em-20-0-1-2-2</t>
        </is>
      </c>
    </row>
    <row r="1421">
      <c r="A1421" s="6" t="inlineStr">
        <is>
          <t>EM 3/0</t>
        </is>
      </c>
      <c r="B1421" s="7" t="inlineStr">
        <is>
          <t>EPDM moosgumi (szivacsgumi) 3 mm, 1,2×10 mm</t>
        </is>
      </c>
      <c r="C1421" s="6" t="inlineStr">
        <is>
          <t>Gumiszőnyegek és gumilemezek</t>
        </is>
      </c>
      <c r="D1421" s="6" t="inlineStr">
        <is>
          <t>Moosgumi (szivacsgumi)</t>
        </is>
      </c>
      <c r="E1421" s="6" t="inlineStr">
        <is>
          <t>Rubber Select</t>
        </is>
      </c>
      <c r="F1421" s="6" t="inlineStr">
        <is>
          <t>EM 3/0</t>
        </is>
      </c>
      <c r="G1421" s="6" t="inlineStr">
        <is>
          <t>Teljes kínálat</t>
        </is>
      </c>
      <c r="H1421" s="6" t="n">
        <v>1</v>
      </c>
      <c r="I1421" s="6" t="n">
        <v>11</v>
      </c>
      <c r="J1421" s="6" t="inlineStr">
        <is>
          <t>van</t>
        </is>
      </c>
      <c r="K1421" s="6">
        <f>IF(AND(H1421&gt;0,I1421&gt;0),"Rendben",IF(AND(H1421=0,I1421=0),"Nincs kép és adat",IF(H1421=0,"Nincs kép","Nincs adat")))</f>
        <v/>
      </c>
      <c r="L1421" s="6" t="inlineStr">
        <is>
          <t>Igen</t>
        </is>
      </c>
      <c r="M1421" s="7" t="inlineStr">
        <is>
          <t>Rubber Select teljes kínálata (gyártói katalógus / weboldal)</t>
        </is>
      </c>
      <c r="N1421" s="7" t="inlineStr">
        <is>
          <t>Megtalálva: a beszállító teljes kínálatából felvett termék</t>
        </is>
      </c>
      <c r="O1421" s="11" t="inlineStr">
        <is>
          <t>https://www.rubberselect.com/en/products/sponge-rubber/epdm-sponge-rubber</t>
        </is>
      </c>
      <c r="P1421" s="11" t="inlineStr">
        <is>
          <t>https://website-9ib.pages.dev/termek/epdm-moosgumi-szivacsgumi-em-3-0-1-2-10/</t>
        </is>
      </c>
      <c r="Q1421" s="12" t="inlineStr"/>
      <c r="R1421" s="13" t="inlineStr"/>
      <c r="S1421" s="6" t="inlineStr">
        <is>
          <t>epdm-moosgumi-szivacsgumi-em-3-0-1-2-10</t>
        </is>
      </c>
    </row>
    <row r="1422">
      <c r="A1422" s="6" t="inlineStr">
        <is>
          <t>EM 4/0</t>
        </is>
      </c>
      <c r="B1422" s="7" t="inlineStr">
        <is>
          <t>EPDM moosgumi (szivacsgumi) 4 mm, 1,2×10 mm</t>
        </is>
      </c>
      <c r="C1422" s="6" t="inlineStr">
        <is>
          <t>Gumiszőnyegek és gumilemezek</t>
        </is>
      </c>
      <c r="D1422" s="6" t="inlineStr">
        <is>
          <t>Moosgumi (szivacsgumi)</t>
        </is>
      </c>
      <c r="E1422" s="6" t="inlineStr">
        <is>
          <t>Rubber Select</t>
        </is>
      </c>
      <c r="F1422" s="6" t="inlineStr">
        <is>
          <t>EM 4/0</t>
        </is>
      </c>
      <c r="G1422" s="6" t="inlineStr">
        <is>
          <t>Teljes kínálat</t>
        </is>
      </c>
      <c r="H1422" s="6" t="n">
        <v>1</v>
      </c>
      <c r="I1422" s="6" t="n">
        <v>11</v>
      </c>
      <c r="J1422" s="6" t="inlineStr">
        <is>
          <t>van</t>
        </is>
      </c>
      <c r="K1422" s="6">
        <f>IF(AND(H1422&gt;0,I1422&gt;0),"Rendben",IF(AND(H1422=0,I1422=0),"Nincs kép és adat",IF(H1422=0,"Nincs kép","Nincs adat")))</f>
        <v/>
      </c>
      <c r="L1422" s="6" t="inlineStr">
        <is>
          <t>Igen</t>
        </is>
      </c>
      <c r="M1422" s="7" t="inlineStr">
        <is>
          <t>Rubber Select teljes kínálata (gyártói katalógus / weboldal)</t>
        </is>
      </c>
      <c r="N1422" s="7" t="inlineStr">
        <is>
          <t>Megtalálva: a beszállító teljes kínálatából felvett termék</t>
        </is>
      </c>
      <c r="O1422" s="11" t="inlineStr">
        <is>
          <t>https://www.rubberselect.com/en/products/sponge-rubber/epdm-sponge-rubber</t>
        </is>
      </c>
      <c r="P1422" s="11" t="inlineStr">
        <is>
          <t>https://website-9ib.pages.dev/termek/epdm-moosgumi-szivacsgumi-em-4-0-1-2-10/</t>
        </is>
      </c>
      <c r="Q1422" s="12" t="inlineStr"/>
      <c r="R1422" s="13" t="inlineStr"/>
      <c r="S1422" s="6" t="inlineStr">
        <is>
          <t>epdm-moosgumi-szivacsgumi-em-4-0-1-2-10</t>
        </is>
      </c>
    </row>
    <row r="1423">
      <c r="A1423" s="6" t="inlineStr">
        <is>
          <t>EM 5/0</t>
        </is>
      </c>
      <c r="B1423" s="7" t="inlineStr">
        <is>
          <t>EPDM moosgumi (szivacsgumi) 5 mm, 1,2×10 mm</t>
        </is>
      </c>
      <c r="C1423" s="6" t="inlineStr">
        <is>
          <t>Gumiszőnyegek és gumilemezek</t>
        </is>
      </c>
      <c r="D1423" s="6" t="inlineStr">
        <is>
          <t>Moosgumi (szivacsgumi)</t>
        </is>
      </c>
      <c r="E1423" s="6" t="inlineStr">
        <is>
          <t>Rubber Select</t>
        </is>
      </c>
      <c r="F1423" s="6" t="inlineStr">
        <is>
          <t>EM 5/0</t>
        </is>
      </c>
      <c r="G1423" s="6" t="inlineStr">
        <is>
          <t>Teljes kínálat</t>
        </is>
      </c>
      <c r="H1423" s="6" t="n">
        <v>1</v>
      </c>
      <c r="I1423" s="6" t="n">
        <v>11</v>
      </c>
      <c r="J1423" s="6" t="inlineStr">
        <is>
          <t>van</t>
        </is>
      </c>
      <c r="K1423" s="6">
        <f>IF(AND(H1423&gt;0,I1423&gt;0),"Rendben",IF(AND(H1423=0,I1423=0),"Nincs kép és adat",IF(H1423=0,"Nincs kép","Nincs adat")))</f>
        <v/>
      </c>
      <c r="L1423" s="6" t="inlineStr">
        <is>
          <t>Igen</t>
        </is>
      </c>
      <c r="M1423" s="7" t="inlineStr">
        <is>
          <t>Rubber Select teljes kínálata (gyártói katalógus / weboldal)</t>
        </is>
      </c>
      <c r="N1423" s="7" t="inlineStr">
        <is>
          <t>Megtalálva: a beszállító teljes kínálatából felvett termék</t>
        </is>
      </c>
      <c r="O1423" s="11" t="inlineStr">
        <is>
          <t>https://www.rubberselect.com/en/products/sponge-rubber/epdm-sponge-rubber</t>
        </is>
      </c>
      <c r="P1423" s="11" t="inlineStr">
        <is>
          <t>https://website-9ib.pages.dev/termek/epdm-moosgumi-szivacsgumi-em-5-0-1-2-10/</t>
        </is>
      </c>
      <c r="Q1423" s="12" t="inlineStr"/>
      <c r="R1423" s="13" t="inlineStr"/>
      <c r="S1423" s="6" t="inlineStr">
        <is>
          <t>epdm-moosgumi-szivacsgumi-em-5-0-1-2-10</t>
        </is>
      </c>
    </row>
    <row r="1424">
      <c r="A1424" s="6" t="inlineStr">
        <is>
          <t>EM 6/0</t>
        </is>
      </c>
      <c r="B1424" s="7" t="inlineStr">
        <is>
          <t>EPDM moosgumi (szivacsgumi) 6 mm, 1,2×10 mm</t>
        </is>
      </c>
      <c r="C1424" s="6" t="inlineStr">
        <is>
          <t>Gumiszőnyegek és gumilemezek</t>
        </is>
      </c>
      <c r="D1424" s="6" t="inlineStr">
        <is>
          <t>Moosgumi (szivacsgumi)</t>
        </is>
      </c>
      <c r="E1424" s="6" t="inlineStr">
        <is>
          <t>Rubber Select</t>
        </is>
      </c>
      <c r="F1424" s="6" t="inlineStr">
        <is>
          <t>EM 6/0</t>
        </is>
      </c>
      <c r="G1424" s="6" t="inlineStr">
        <is>
          <t>Teljes kínálat</t>
        </is>
      </c>
      <c r="H1424" s="6" t="n">
        <v>1</v>
      </c>
      <c r="I1424" s="6" t="n">
        <v>11</v>
      </c>
      <c r="J1424" s="6" t="inlineStr">
        <is>
          <t>van</t>
        </is>
      </c>
      <c r="K1424" s="6">
        <f>IF(AND(H1424&gt;0,I1424&gt;0),"Rendben",IF(AND(H1424=0,I1424=0),"Nincs kép és adat",IF(H1424=0,"Nincs kép","Nincs adat")))</f>
        <v/>
      </c>
      <c r="L1424" s="6" t="inlineStr">
        <is>
          <t>Igen</t>
        </is>
      </c>
      <c r="M1424" s="7" t="inlineStr">
        <is>
          <t>Rubber Select teljes kínálata (gyártói katalógus / weboldal)</t>
        </is>
      </c>
      <c r="N1424" s="7" t="inlineStr">
        <is>
          <t>Megtalálva: a beszállító teljes kínálatából felvett termék</t>
        </is>
      </c>
      <c r="O1424" s="11" t="inlineStr">
        <is>
          <t>https://www.rubberselect.com/en/products/sponge-rubber/epdm-sponge-rubber</t>
        </is>
      </c>
      <c r="P1424" s="11" t="inlineStr">
        <is>
          <t>https://website-9ib.pages.dev/termek/epdm-moosgumi-szivacsgumi-em-6-0-1-2-10/</t>
        </is>
      </c>
      <c r="Q1424" s="12" t="inlineStr"/>
      <c r="R1424" s="13" t="inlineStr"/>
      <c r="S1424" s="6" t="inlineStr">
        <is>
          <t>epdm-moosgumi-szivacsgumi-em-6-0-1-2-10</t>
        </is>
      </c>
    </row>
    <row r="1425">
      <c r="A1425" s="6" t="inlineStr">
        <is>
          <t>EM 8/0</t>
        </is>
      </c>
      <c r="B1425" s="7" t="inlineStr">
        <is>
          <t>EPDM moosgumi (szivacsgumi) 8 mm, 1,2×10 mm</t>
        </is>
      </c>
      <c r="C1425" s="6" t="inlineStr">
        <is>
          <t>Gumiszőnyegek és gumilemezek</t>
        </is>
      </c>
      <c r="D1425" s="6" t="inlineStr">
        <is>
          <t>Moosgumi (szivacsgumi)</t>
        </is>
      </c>
      <c r="E1425" s="6" t="inlineStr">
        <is>
          <t>Rubber Select</t>
        </is>
      </c>
      <c r="F1425" s="6" t="inlineStr">
        <is>
          <t>EM 8/0</t>
        </is>
      </c>
      <c r="G1425" s="6" t="inlineStr">
        <is>
          <t>Teljes kínálat</t>
        </is>
      </c>
      <c r="H1425" s="6" t="n">
        <v>1</v>
      </c>
      <c r="I1425" s="6" t="n">
        <v>11</v>
      </c>
      <c r="J1425" s="6" t="inlineStr">
        <is>
          <t>van</t>
        </is>
      </c>
      <c r="K1425" s="6">
        <f>IF(AND(H1425&gt;0,I1425&gt;0),"Rendben",IF(AND(H1425=0,I1425=0),"Nincs kép és adat",IF(H1425=0,"Nincs kép","Nincs adat")))</f>
        <v/>
      </c>
      <c r="L1425" s="6" t="inlineStr">
        <is>
          <t>Igen</t>
        </is>
      </c>
      <c r="M1425" s="7" t="inlineStr">
        <is>
          <t>Rubber Select teljes kínálata (gyártói katalógus / weboldal)</t>
        </is>
      </c>
      <c r="N1425" s="7" t="inlineStr">
        <is>
          <t>Megtalálva: a beszállító teljes kínálatából felvett termék</t>
        </is>
      </c>
      <c r="O1425" s="11" t="inlineStr">
        <is>
          <t>https://www.rubberselect.com/en/products/sponge-rubber/epdm-sponge-rubber</t>
        </is>
      </c>
      <c r="P1425" s="11" t="inlineStr">
        <is>
          <t>https://website-9ib.pages.dev/termek/epdm-moosgumi-szivacsgumi-em-8-0-1-2-10/</t>
        </is>
      </c>
      <c r="Q1425" s="12" t="inlineStr"/>
      <c r="R1425" s="13" t="inlineStr"/>
      <c r="S1425" s="6" t="inlineStr">
        <is>
          <t>epdm-moosgumi-szivacsgumi-em-8-0-1-2-10</t>
        </is>
      </c>
    </row>
    <row r="1426">
      <c r="A1426" s="6" t="inlineStr">
        <is>
          <t>PM850 10/0</t>
        </is>
      </c>
      <c r="B1426" s="7" t="inlineStr">
        <is>
          <t>Erősített gumigranulátum védőlap 10 mm, 1,25×10 mm</t>
        </is>
      </c>
      <c r="C1426" s="6" t="inlineStr">
        <is>
          <t>Gumiszőnyegek és gumilemezek</t>
        </is>
      </c>
      <c r="D1426" s="6" t="inlineStr">
        <is>
          <t>Gumigranulátum lapok</t>
        </is>
      </c>
      <c r="E1426" s="6" t="inlineStr">
        <is>
          <t>Rubber Select</t>
        </is>
      </c>
      <c r="F1426" s="6" t="inlineStr">
        <is>
          <t>PM850 10/0</t>
        </is>
      </c>
      <c r="G1426" s="6" t="inlineStr">
        <is>
          <t>Teljes kínálat</t>
        </is>
      </c>
      <c r="H1426" s="6" t="n">
        <v>1</v>
      </c>
      <c r="I1426" s="6" t="n">
        <v>10</v>
      </c>
      <c r="J1426" s="6" t="inlineStr">
        <is>
          <t>van</t>
        </is>
      </c>
      <c r="K1426" s="6">
        <f>IF(AND(H1426&gt;0,I1426&gt;0),"Rendben",IF(AND(H1426=0,I1426=0),"Nincs kép és adat",IF(H1426=0,"Nincs kép","Nincs adat")))</f>
        <v/>
      </c>
      <c r="L1426" s="6" t="inlineStr">
        <is>
          <t>Igen</t>
        </is>
      </c>
      <c r="M1426" s="7" t="inlineStr">
        <is>
          <t>Rubber Select teljes kínálata (gyártói katalógus / weboldal)</t>
        </is>
      </c>
      <c r="N1426" s="7" t="inlineStr">
        <is>
          <t>Megtalálva: a beszállító teljes kínálatából felvett termék</t>
        </is>
      </c>
      <c r="O1426" s="11" t="inlineStr">
        <is>
          <t>https://www.rubberselect.com/en/products/granulate/protection-mat-strong</t>
        </is>
      </c>
      <c r="P1426" s="11" t="inlineStr">
        <is>
          <t>https://website-9ib.pages.dev/termek/erositett-gumigranulatum-vedolap-pm850-10-0-1-25-10/</t>
        </is>
      </c>
      <c r="Q1426" s="12" t="inlineStr"/>
      <c r="R1426" s="13" t="inlineStr"/>
      <c r="S1426" s="6" t="inlineStr">
        <is>
          <t>erositett-gumigranulatum-vedolap-pm850-10-0-1-25-10</t>
        </is>
      </c>
    </row>
    <row r="1427">
      <c r="A1427" s="6" t="inlineStr">
        <is>
          <t>PM850 3/0</t>
        </is>
      </c>
      <c r="B1427" s="7" t="inlineStr">
        <is>
          <t>Erősített gumigranulátum védőlap 3 mm, 1,25×10 mm</t>
        </is>
      </c>
      <c r="C1427" s="6" t="inlineStr">
        <is>
          <t>Gumiszőnyegek és gumilemezek</t>
        </is>
      </c>
      <c r="D1427" s="6" t="inlineStr">
        <is>
          <t>Gumigranulátum lapok</t>
        </is>
      </c>
      <c r="E1427" s="6" t="inlineStr">
        <is>
          <t>Rubber Select</t>
        </is>
      </c>
      <c r="F1427" s="6" t="inlineStr">
        <is>
          <t>PM850 3/0</t>
        </is>
      </c>
      <c r="G1427" s="6" t="inlineStr">
        <is>
          <t>Teljes kínálat</t>
        </is>
      </c>
      <c r="H1427" s="6" t="n">
        <v>1</v>
      </c>
      <c r="I1427" s="6" t="n">
        <v>10</v>
      </c>
      <c r="J1427" s="6" t="inlineStr">
        <is>
          <t>van</t>
        </is>
      </c>
      <c r="K1427" s="6">
        <f>IF(AND(H1427&gt;0,I1427&gt;0),"Rendben",IF(AND(H1427=0,I1427=0),"Nincs kép és adat",IF(H1427=0,"Nincs kép","Nincs adat")))</f>
        <v/>
      </c>
      <c r="L1427" s="6" t="inlineStr">
        <is>
          <t>Igen</t>
        </is>
      </c>
      <c r="M1427" s="7" t="inlineStr">
        <is>
          <t>Rubber Select teljes kínálata (gyártói katalógus / weboldal)</t>
        </is>
      </c>
      <c r="N1427" s="7" t="inlineStr">
        <is>
          <t>Megtalálva: a beszállító teljes kínálatából felvett termék</t>
        </is>
      </c>
      <c r="O1427" s="11" t="inlineStr">
        <is>
          <t>https://www.rubberselect.com/en/products/granulate/protection-mat-strong</t>
        </is>
      </c>
      <c r="P1427" s="11" t="inlineStr">
        <is>
          <t>https://website-9ib.pages.dev/termek/erositett-gumigranulatum-vedolap-pm850-3-0-1-25-10/</t>
        </is>
      </c>
      <c r="Q1427" s="12" t="inlineStr"/>
      <c r="R1427" s="13" t="inlineStr"/>
      <c r="S1427" s="6" t="inlineStr">
        <is>
          <t>erositett-gumigranulatum-vedolap-pm850-3-0-1-25-10</t>
        </is>
      </c>
    </row>
    <row r="1428">
      <c r="A1428" s="6" t="inlineStr">
        <is>
          <t>PM850 4/0</t>
        </is>
      </c>
      <c r="B1428" s="7" t="inlineStr">
        <is>
          <t>Erősített gumigranulátum védőlap 4 mm, 1,25×10 mm</t>
        </is>
      </c>
      <c r="C1428" s="6" t="inlineStr">
        <is>
          <t>Gumiszőnyegek és gumilemezek</t>
        </is>
      </c>
      <c r="D1428" s="6" t="inlineStr">
        <is>
          <t>Gumigranulátum lapok</t>
        </is>
      </c>
      <c r="E1428" s="6" t="inlineStr">
        <is>
          <t>Rubber Select</t>
        </is>
      </c>
      <c r="F1428" s="6" t="inlineStr">
        <is>
          <t>PM850 4/0</t>
        </is>
      </c>
      <c r="G1428" s="6" t="inlineStr">
        <is>
          <t>Teljes kínálat</t>
        </is>
      </c>
      <c r="H1428" s="6" t="n">
        <v>1</v>
      </c>
      <c r="I1428" s="6" t="n">
        <v>10</v>
      </c>
      <c r="J1428" s="6" t="inlineStr">
        <is>
          <t>van</t>
        </is>
      </c>
      <c r="K1428" s="6">
        <f>IF(AND(H1428&gt;0,I1428&gt;0),"Rendben",IF(AND(H1428=0,I1428=0),"Nincs kép és adat",IF(H1428=0,"Nincs kép","Nincs adat")))</f>
        <v/>
      </c>
      <c r="L1428" s="6" t="inlineStr">
        <is>
          <t>Igen</t>
        </is>
      </c>
      <c r="M1428" s="7" t="inlineStr">
        <is>
          <t>Rubber Select teljes kínálata (gyártói katalógus / weboldal)</t>
        </is>
      </c>
      <c r="N1428" s="7" t="inlineStr">
        <is>
          <t>Megtalálva: a beszállító teljes kínálatából felvett termék</t>
        </is>
      </c>
      <c r="O1428" s="11" t="inlineStr">
        <is>
          <t>https://www.rubberselect.com/en/products/granulate/protection-mat-strong</t>
        </is>
      </c>
      <c r="P1428" s="11" t="inlineStr">
        <is>
          <t>https://website-9ib.pages.dev/termek/erositett-gumigranulatum-vedolap-pm850-4-0-1-25-10/</t>
        </is>
      </c>
      <c r="Q1428" s="12" t="inlineStr"/>
      <c r="R1428" s="13" t="inlineStr"/>
      <c r="S1428" s="6" t="inlineStr">
        <is>
          <t>erositett-gumigranulatum-vedolap-pm850-4-0-1-25-10</t>
        </is>
      </c>
    </row>
    <row r="1429">
      <c r="A1429" s="6" t="inlineStr">
        <is>
          <t>PM850 5/0</t>
        </is>
      </c>
      <c r="B1429" s="7" t="inlineStr">
        <is>
          <t>Erősített gumigranulátum védőlap 5 mm, 1,25×10 mm</t>
        </is>
      </c>
      <c r="C1429" s="6" t="inlineStr">
        <is>
          <t>Gumiszőnyegek és gumilemezek</t>
        </is>
      </c>
      <c r="D1429" s="6" t="inlineStr">
        <is>
          <t>Gumigranulátum lapok</t>
        </is>
      </c>
      <c r="E1429" s="6" t="inlineStr">
        <is>
          <t>Rubber Select</t>
        </is>
      </c>
      <c r="F1429" s="6" t="inlineStr">
        <is>
          <t>PM850 5/0</t>
        </is>
      </c>
      <c r="G1429" s="6" t="inlineStr">
        <is>
          <t>Teljes kínálat</t>
        </is>
      </c>
      <c r="H1429" s="6" t="n">
        <v>1</v>
      </c>
      <c r="I1429" s="6" t="n">
        <v>10</v>
      </c>
      <c r="J1429" s="6" t="inlineStr">
        <is>
          <t>van</t>
        </is>
      </c>
      <c r="K1429" s="6">
        <f>IF(AND(H1429&gt;0,I1429&gt;0),"Rendben",IF(AND(H1429=0,I1429=0),"Nincs kép és adat",IF(H1429=0,"Nincs kép","Nincs adat")))</f>
        <v/>
      </c>
      <c r="L1429" s="6" t="inlineStr">
        <is>
          <t>Igen</t>
        </is>
      </c>
      <c r="M1429" s="7" t="inlineStr">
        <is>
          <t>Rubber Select teljes kínálata (gyártói katalógus / weboldal)</t>
        </is>
      </c>
      <c r="N1429" s="7" t="inlineStr">
        <is>
          <t>Megtalálva: a beszállító teljes kínálatából felvett termék</t>
        </is>
      </c>
      <c r="O1429" s="11" t="inlineStr">
        <is>
          <t>https://www.rubberselect.com/en/products/granulate/protection-mat-strong</t>
        </is>
      </c>
      <c r="P1429" s="11" t="inlineStr">
        <is>
          <t>https://website-9ib.pages.dev/termek/erositett-gumigranulatum-vedolap-pm850-5-0-1-25-10/</t>
        </is>
      </c>
      <c r="Q1429" s="12" t="inlineStr"/>
      <c r="R1429" s="13" t="inlineStr"/>
      <c r="S1429" s="6" t="inlineStr">
        <is>
          <t>erositett-gumigranulatum-vedolap-pm850-5-0-1-25-10</t>
        </is>
      </c>
    </row>
    <row r="1430">
      <c r="A1430" s="6" t="inlineStr">
        <is>
          <t>PM850 6/0</t>
        </is>
      </c>
      <c r="B1430" s="7" t="inlineStr">
        <is>
          <t>Erősített gumigranulátum védőlap 6 mm, 1,25×10 mm</t>
        </is>
      </c>
      <c r="C1430" s="6" t="inlineStr">
        <is>
          <t>Gumiszőnyegek és gumilemezek</t>
        </is>
      </c>
      <c r="D1430" s="6" t="inlineStr">
        <is>
          <t>Gumigranulátum lapok</t>
        </is>
      </c>
      <c r="E1430" s="6" t="inlineStr">
        <is>
          <t>Rubber Select</t>
        </is>
      </c>
      <c r="F1430" s="6" t="inlineStr">
        <is>
          <t>PM850 6/0</t>
        </is>
      </c>
      <c r="G1430" s="6" t="inlineStr">
        <is>
          <t>Teljes kínálat</t>
        </is>
      </c>
      <c r="H1430" s="6" t="n">
        <v>1</v>
      </c>
      <c r="I1430" s="6" t="n">
        <v>10</v>
      </c>
      <c r="J1430" s="6" t="inlineStr">
        <is>
          <t>van</t>
        </is>
      </c>
      <c r="K1430" s="6">
        <f>IF(AND(H1430&gt;0,I1430&gt;0),"Rendben",IF(AND(H1430=0,I1430=0),"Nincs kép és adat",IF(H1430=0,"Nincs kép","Nincs adat")))</f>
        <v/>
      </c>
      <c r="L1430" s="6" t="inlineStr">
        <is>
          <t>Igen</t>
        </is>
      </c>
      <c r="M1430" s="7" t="inlineStr">
        <is>
          <t>Rubber Select teljes kínálata (gyártói katalógus / weboldal)</t>
        </is>
      </c>
      <c r="N1430" s="7" t="inlineStr">
        <is>
          <t>Megtalálva: a beszállító teljes kínálatából felvett termék</t>
        </is>
      </c>
      <c r="O1430" s="11" t="inlineStr">
        <is>
          <t>https://www.rubberselect.com/en/products/granulate/protection-mat-strong</t>
        </is>
      </c>
      <c r="P1430" s="11" t="inlineStr">
        <is>
          <t>https://website-9ib.pages.dev/termek/erositett-gumigranulatum-vedolap-pm850-6-0-1-25-10/</t>
        </is>
      </c>
      <c r="Q1430" s="12" t="inlineStr"/>
      <c r="R1430" s="13" t="inlineStr"/>
      <c r="S1430" s="6" t="inlineStr">
        <is>
          <t>erositett-gumigranulatum-vedolap-pm850-6-0-1-25-10</t>
        </is>
      </c>
    </row>
    <row r="1431">
      <c r="A1431" s="6" t="inlineStr">
        <is>
          <t>PM850 8/0</t>
        </is>
      </c>
      <c r="B1431" s="7" t="inlineStr">
        <is>
          <t>Erősített gumigranulátum védőlap 8 mm, 1,25×10 mm</t>
        </is>
      </c>
      <c r="C1431" s="6" t="inlineStr">
        <is>
          <t>Gumiszőnyegek és gumilemezek</t>
        </is>
      </c>
      <c r="D1431" s="6" t="inlineStr">
        <is>
          <t>Gumigranulátum lapok</t>
        </is>
      </c>
      <c r="E1431" s="6" t="inlineStr">
        <is>
          <t>Rubber Select</t>
        </is>
      </c>
      <c r="F1431" s="6" t="inlineStr">
        <is>
          <t>PM850 8/0</t>
        </is>
      </c>
      <c r="G1431" s="6" t="inlineStr">
        <is>
          <t>Teljes kínálat</t>
        </is>
      </c>
      <c r="H1431" s="6" t="n">
        <v>1</v>
      </c>
      <c r="I1431" s="6" t="n">
        <v>10</v>
      </c>
      <c r="J1431" s="6" t="inlineStr">
        <is>
          <t>van</t>
        </is>
      </c>
      <c r="K1431" s="6">
        <f>IF(AND(H1431&gt;0,I1431&gt;0),"Rendben",IF(AND(H1431=0,I1431=0),"Nincs kép és adat",IF(H1431=0,"Nincs kép","Nincs adat")))</f>
        <v/>
      </c>
      <c r="L1431" s="6" t="inlineStr">
        <is>
          <t>Igen</t>
        </is>
      </c>
      <c r="M1431" s="7" t="inlineStr">
        <is>
          <t>Rubber Select teljes kínálata (gyártói katalógus / weboldal)</t>
        </is>
      </c>
      <c r="N1431" s="7" t="inlineStr">
        <is>
          <t>Megtalálva: a beszállító teljes kínálatából felvett termék</t>
        </is>
      </c>
      <c r="O1431" s="11" t="inlineStr">
        <is>
          <t>https://www.rubberselect.com/en/products/granulate/protection-mat-strong</t>
        </is>
      </c>
      <c r="P1431" s="11" t="inlineStr">
        <is>
          <t>https://website-9ib.pages.dev/termek/erositett-gumigranulatum-vedolap-pm850-8-0-1-25-10/</t>
        </is>
      </c>
      <c r="Q1431" s="12" t="inlineStr"/>
      <c r="R1431" s="13" t="inlineStr"/>
      <c r="S1431" s="6" t="inlineStr">
        <is>
          <t>erositett-gumigranulatum-vedolap-pm850-8-0-1-25-10</t>
        </is>
      </c>
    </row>
    <row r="1432">
      <c r="A1432" s="6" t="inlineStr">
        <is>
          <t>PVCKLEM 200</t>
        </is>
      </c>
      <c r="B1432" s="7" t="inlineStr">
        <is>
          <t>Felfüggesztő készlet PVC függönyhöz, 200 mm széles</t>
        </is>
      </c>
      <c r="C1432" s="6" t="inlineStr">
        <is>
          <t>Gumiszőnyegek és gumilemezek</t>
        </is>
      </c>
      <c r="D1432" s="6" t="inlineStr">
        <is>
          <t>PVC függönycsíkok és tartozékok</t>
        </is>
      </c>
      <c r="E1432" s="6" t="inlineStr">
        <is>
          <t>Rubber Select</t>
        </is>
      </c>
      <c r="F1432" s="6" t="inlineStr">
        <is>
          <t>PVCKLEM 200</t>
        </is>
      </c>
      <c r="G1432" s="6" t="inlineStr">
        <is>
          <t>Teljes kínálat</t>
        </is>
      </c>
      <c r="H1432" s="6" t="n">
        <v>1</v>
      </c>
      <c r="I1432" s="6" t="n">
        <v>2</v>
      </c>
      <c r="J1432" s="6" t="inlineStr">
        <is>
          <t>van</t>
        </is>
      </c>
      <c r="K1432" s="6">
        <f>IF(AND(H1432&gt;0,I1432&gt;0),"Rendben",IF(AND(H1432=0,I1432=0),"Nincs kép és adat",IF(H1432=0,"Nincs kép","Nincs adat")))</f>
        <v/>
      </c>
      <c r="L1432" s="6" t="inlineStr">
        <is>
          <t>Igen</t>
        </is>
      </c>
      <c r="M1432" s="7" t="inlineStr">
        <is>
          <t>Rubber Select teljes kínálata (gyártói katalógus / weboldal)</t>
        </is>
      </c>
      <c r="N1432" s="7" t="inlineStr">
        <is>
          <t>Megtalálva: a beszállító teljes kínálatából felvett termék</t>
        </is>
      </c>
      <c r="O1432" s="11" t="inlineStr">
        <is>
          <t>https://www.rubberselect.com/en/products/pvc/hanging-set</t>
        </is>
      </c>
      <c r="P1432" s="11" t="inlineStr">
        <is>
          <t>https://website-9ib.pages.dev/termek/felfuggeszto-keszlet-pvc-fuggonyhoz-pvcklem-200-200/</t>
        </is>
      </c>
      <c r="Q1432" s="12" t="inlineStr"/>
      <c r="R1432" s="13" t="inlineStr"/>
      <c r="S1432" s="6" t="inlineStr">
        <is>
          <t>felfuggeszto-keszlet-pvc-fuggonyhoz-pvcklem-200-200</t>
        </is>
      </c>
    </row>
    <row r="1433">
      <c r="A1433" s="6" t="inlineStr">
        <is>
          <t>PVCKLEM 300</t>
        </is>
      </c>
      <c r="B1433" s="7" t="inlineStr">
        <is>
          <t>Felfüggesztő készlet PVC függönyhöz, 300 mm széles</t>
        </is>
      </c>
      <c r="C1433" s="6" t="inlineStr">
        <is>
          <t>Gumiszőnyegek és gumilemezek</t>
        </is>
      </c>
      <c r="D1433" s="6" t="inlineStr">
        <is>
          <t>PVC függönycsíkok és tartozékok</t>
        </is>
      </c>
      <c r="E1433" s="6" t="inlineStr">
        <is>
          <t>Rubber Select</t>
        </is>
      </c>
      <c r="F1433" s="6" t="inlineStr">
        <is>
          <t>PVCKLEM 300</t>
        </is>
      </c>
      <c r="G1433" s="6" t="inlineStr">
        <is>
          <t>Teljes kínálat</t>
        </is>
      </c>
      <c r="H1433" s="6" t="n">
        <v>1</v>
      </c>
      <c r="I1433" s="6" t="n">
        <v>2</v>
      </c>
      <c r="J1433" s="6" t="inlineStr">
        <is>
          <t>van</t>
        </is>
      </c>
      <c r="K1433" s="6">
        <f>IF(AND(H1433&gt;0,I1433&gt;0),"Rendben",IF(AND(H1433=0,I1433=0),"Nincs kép és adat",IF(H1433=0,"Nincs kép","Nincs adat")))</f>
        <v/>
      </c>
      <c r="L1433" s="6" t="inlineStr">
        <is>
          <t>Igen</t>
        </is>
      </c>
      <c r="M1433" s="7" t="inlineStr">
        <is>
          <t>Rubber Select teljes kínálata (gyártói katalógus / weboldal)</t>
        </is>
      </c>
      <c r="N1433" s="7" t="inlineStr">
        <is>
          <t>Megtalálva: a beszállító teljes kínálatából felvett termék</t>
        </is>
      </c>
      <c r="O1433" s="11" t="inlineStr">
        <is>
          <t>https://www.rubberselect.com/en/products/pvc/hanging-set</t>
        </is>
      </c>
      <c r="P1433" s="11" t="inlineStr">
        <is>
          <t>https://website-9ib.pages.dev/termek/felfuggeszto-keszlet-pvc-fuggonyhoz-pvcklem-300-300/</t>
        </is>
      </c>
      <c r="Q1433" s="12" t="inlineStr"/>
      <c r="R1433" s="13" t="inlineStr"/>
      <c r="S1433" s="6" t="inlineStr">
        <is>
          <t>felfuggeszto-keszlet-pvc-fuggonyhoz-pvcklem-300-300</t>
        </is>
      </c>
    </row>
    <row r="1434">
      <c r="A1434" s="6" t="inlineStr">
        <is>
          <t>PVCKLEM 400</t>
        </is>
      </c>
      <c r="B1434" s="7" t="inlineStr">
        <is>
          <t>Felfüggesztő készlet PVC függönyhöz, 400 mm széles</t>
        </is>
      </c>
      <c r="C1434" s="6" t="inlineStr">
        <is>
          <t>Gumiszőnyegek és gumilemezek</t>
        </is>
      </c>
      <c r="D1434" s="6" t="inlineStr">
        <is>
          <t>PVC függönycsíkok és tartozékok</t>
        </is>
      </c>
      <c r="E1434" s="6" t="inlineStr">
        <is>
          <t>Rubber Select</t>
        </is>
      </c>
      <c r="F1434" s="6" t="inlineStr">
        <is>
          <t>PVCKLEM 400</t>
        </is>
      </c>
      <c r="G1434" s="6" t="inlineStr">
        <is>
          <t>Teljes kínálat</t>
        </is>
      </c>
      <c r="H1434" s="6" t="n">
        <v>1</v>
      </c>
      <c r="I1434" s="6" t="n">
        <v>2</v>
      </c>
      <c r="J1434" s="6" t="inlineStr">
        <is>
          <t>van</t>
        </is>
      </c>
      <c r="K1434" s="6">
        <f>IF(AND(H1434&gt;0,I1434&gt;0),"Rendben",IF(AND(H1434=0,I1434=0),"Nincs kép és adat",IF(H1434=0,"Nincs kép","Nincs adat")))</f>
        <v/>
      </c>
      <c r="L1434" s="6" t="inlineStr">
        <is>
          <t>Igen</t>
        </is>
      </c>
      <c r="M1434" s="7" t="inlineStr">
        <is>
          <t>Rubber Select teljes kínálata (gyártói katalógus / weboldal)</t>
        </is>
      </c>
      <c r="N1434" s="7" t="inlineStr">
        <is>
          <t>Megtalálva: a beszállító teljes kínálatából felvett termék</t>
        </is>
      </c>
      <c r="O1434" s="11" t="inlineStr">
        <is>
          <t>https://www.rubberselect.com/en/products/pvc/hanging-set</t>
        </is>
      </c>
      <c r="P1434" s="11" t="inlineStr">
        <is>
          <t>https://website-9ib.pages.dev/termek/felfuggeszto-keszlet-pvc-fuggonyhoz-pvcklem-400-400/</t>
        </is>
      </c>
      <c r="Q1434" s="12" t="inlineStr"/>
      <c r="R1434" s="13" t="inlineStr"/>
      <c r="S1434" s="6" t="inlineStr">
        <is>
          <t>felfuggeszto-keszlet-pvc-fuggonyhoz-pvcklem-400-400</t>
        </is>
      </c>
    </row>
    <row r="1435">
      <c r="A1435" s="6" t="inlineStr">
        <is>
          <t>PVCRAIL</t>
        </is>
      </c>
      <c r="B1435" s="7" t="inlineStr">
        <is>
          <t>Felfüggesztő sín PVC függönyhöz</t>
        </is>
      </c>
      <c r="C1435" s="6" t="inlineStr">
        <is>
          <t>Gumiszőnyegek és gumilemezek</t>
        </is>
      </c>
      <c r="D1435" s="6" t="inlineStr">
        <is>
          <t>PVC függönycsíkok és tartozékok</t>
        </is>
      </c>
      <c r="E1435" s="6" t="inlineStr">
        <is>
          <t>Rubber Select</t>
        </is>
      </c>
      <c r="F1435" s="6" t="inlineStr">
        <is>
          <t>PVCRAIL</t>
        </is>
      </c>
      <c r="G1435" s="6" t="inlineStr">
        <is>
          <t>Teljes kínálat</t>
        </is>
      </c>
      <c r="H1435" s="6" t="n">
        <v>1</v>
      </c>
      <c r="I1435" s="6" t="n">
        <v>2</v>
      </c>
      <c r="J1435" s="6" t="inlineStr">
        <is>
          <t>van</t>
        </is>
      </c>
      <c r="K1435" s="6">
        <f>IF(AND(H1435&gt;0,I1435&gt;0),"Rendben",IF(AND(H1435=0,I1435=0),"Nincs kép és adat",IF(H1435=0,"Nincs kép","Nincs adat")))</f>
        <v/>
      </c>
      <c r="L1435" s="6" t="inlineStr">
        <is>
          <t>Igen</t>
        </is>
      </c>
      <c r="M1435" s="7" t="inlineStr">
        <is>
          <t>Rubber Select teljes kínálata (gyártói katalógus / weboldal)</t>
        </is>
      </c>
      <c r="N1435" s="7" t="inlineStr">
        <is>
          <t>Megtalálva: a beszállító teljes kínálatából felvett termék</t>
        </is>
      </c>
      <c r="O1435" s="11" t="inlineStr">
        <is>
          <t>https://www.rubberselect.com/en/products/pvc/suspension-rail</t>
        </is>
      </c>
      <c r="P1435" s="11" t="inlineStr">
        <is>
          <t>https://website-9ib.pages.dev/termek/felfuggeszto-sin-pvc-fuggonyhoz-pvcrail-1/</t>
        </is>
      </c>
      <c r="Q1435" s="12" t="inlineStr"/>
      <c r="R1435" s="13" t="inlineStr"/>
      <c r="S1435" s="6" t="inlineStr">
        <is>
          <t>felfuggeszto-sin-pvc-fuggonyhoz-pvcrail-1</t>
        </is>
      </c>
    </row>
    <row r="1436">
      <c r="A1436" s="6" t="inlineStr">
        <is>
          <t>FR 3/0</t>
        </is>
      </c>
      <c r="B1436" s="7" t="inlineStr">
        <is>
          <t>Finombordás gumiszőnyeg 3 mm, 1000×10000 mm</t>
        </is>
      </c>
      <c r="C1436" s="6" t="inlineStr">
        <is>
          <t>Gumiszőnyegek és gumilemezek</t>
        </is>
      </c>
      <c r="D1436" s="6" t="inlineStr">
        <is>
          <t>Bordás és mintás gumiszőnyegek</t>
        </is>
      </c>
      <c r="E1436" s="6" t="inlineStr">
        <is>
          <t>Rubber Select</t>
        </is>
      </c>
      <c r="F1436" s="6" t="inlineStr">
        <is>
          <t>FR 3/0</t>
        </is>
      </c>
      <c r="G1436" s="6" t="inlineStr">
        <is>
          <t>Teljes kínálat</t>
        </is>
      </c>
      <c r="H1436" s="6" t="n">
        <v>1</v>
      </c>
      <c r="I1436" s="6" t="n">
        <v>11</v>
      </c>
      <c r="J1436" s="6" t="inlineStr">
        <is>
          <t>van</t>
        </is>
      </c>
      <c r="K1436" s="6">
        <f>IF(AND(H1436&gt;0,I1436&gt;0),"Rendben",IF(AND(H1436=0,I1436=0),"Nincs kép és adat",IF(H1436=0,"Nincs kép","Nincs adat")))</f>
        <v/>
      </c>
      <c r="L1436" s="6" t="inlineStr">
        <is>
          <t>Igen</t>
        </is>
      </c>
      <c r="M1436" s="7" t="inlineStr">
        <is>
          <t>Rubber Select teljes kínálata (gyártói katalógus / weboldal)</t>
        </is>
      </c>
      <c r="N1436" s="7" t="inlineStr">
        <is>
          <t>Megtalálva: a beszállító teljes kínálatából felvett termék</t>
        </is>
      </c>
      <c r="O1436" s="11" t="inlineStr">
        <is>
          <t>https://www.rubberselect.com/en/products/matting/fine-rib-mat</t>
        </is>
      </c>
      <c r="P1436" s="11" t="inlineStr">
        <is>
          <t>https://website-9ib.pages.dev/termek/finombordas-gumiszonyeg-fr-3-0-1000-10000/</t>
        </is>
      </c>
      <c r="Q1436" s="12" t="inlineStr"/>
      <c r="R1436" s="13" t="inlineStr"/>
      <c r="S1436" s="6" t="inlineStr">
        <is>
          <t>finombordas-gumiszonyeg-fr-3-0-1000-10000</t>
        </is>
      </c>
    </row>
    <row r="1437">
      <c r="A1437" s="6" t="inlineStr">
        <is>
          <t>FR 3/0</t>
        </is>
      </c>
      <c r="B1437" s="7" t="inlineStr">
        <is>
          <t>Finombordás gumiszőnyeg 3 mm, 1200×10000 mm</t>
        </is>
      </c>
      <c r="C1437" s="6" t="inlineStr">
        <is>
          <t>Gumiszőnyegek és gumilemezek</t>
        </is>
      </c>
      <c r="D1437" s="6" t="inlineStr">
        <is>
          <t>Bordás és mintás gumiszőnyegek</t>
        </is>
      </c>
      <c r="E1437" s="6" t="inlineStr">
        <is>
          <t>Rubber Select</t>
        </is>
      </c>
      <c r="F1437" s="6" t="inlineStr">
        <is>
          <t>FR 3/0</t>
        </is>
      </c>
      <c r="G1437" s="6" t="inlineStr">
        <is>
          <t>Teljes kínálat</t>
        </is>
      </c>
      <c r="H1437" s="6" t="n">
        <v>1</v>
      </c>
      <c r="I1437" s="6" t="n">
        <v>11</v>
      </c>
      <c r="J1437" s="6" t="inlineStr">
        <is>
          <t>van</t>
        </is>
      </c>
      <c r="K1437" s="6">
        <f>IF(AND(H1437&gt;0,I1437&gt;0),"Rendben",IF(AND(H1437=0,I1437=0),"Nincs kép és adat",IF(H1437=0,"Nincs kép","Nincs adat")))</f>
        <v/>
      </c>
      <c r="L1437" s="6" t="inlineStr">
        <is>
          <t>Igen</t>
        </is>
      </c>
      <c r="M1437" s="7" t="inlineStr">
        <is>
          <t>Rubber Select teljes kínálata (gyártói katalógus / weboldal)</t>
        </is>
      </c>
      <c r="N1437" s="7" t="inlineStr">
        <is>
          <t>Megtalálva: a beszállító teljes kínálatából felvett termék</t>
        </is>
      </c>
      <c r="O1437" s="11" t="inlineStr">
        <is>
          <t>https://www.rubberselect.com/en/products/matting/fine-rib-mat</t>
        </is>
      </c>
      <c r="P1437" s="11" t="inlineStr">
        <is>
          <t>https://website-9ib.pages.dev/termek/finombordas-gumiszonyeg-fr-3-0-1200-10000/</t>
        </is>
      </c>
      <c r="Q1437" s="12" t="inlineStr"/>
      <c r="R1437" s="13" t="inlineStr"/>
      <c r="S1437" s="6" t="inlineStr">
        <is>
          <t>finombordas-gumiszonyeg-fr-3-0-1200-10000</t>
        </is>
      </c>
    </row>
    <row r="1438">
      <c r="A1438" s="6" t="inlineStr">
        <is>
          <t>FR 3/1</t>
        </is>
      </c>
      <c r="B1438" s="7" t="inlineStr">
        <is>
          <t>Finombordás gumiszőnyeg 3 mm, 1200×10000 mm</t>
        </is>
      </c>
      <c r="C1438" s="6" t="inlineStr">
        <is>
          <t>Gumiszőnyegek és gumilemezek</t>
        </is>
      </c>
      <c r="D1438" s="6" t="inlineStr">
        <is>
          <t>Bordás és mintás gumiszőnyegek</t>
        </is>
      </c>
      <c r="E1438" s="6" t="inlineStr">
        <is>
          <t>Rubber Select</t>
        </is>
      </c>
      <c r="F1438" s="6" t="inlineStr">
        <is>
          <t>FR 3/1</t>
        </is>
      </c>
      <c r="G1438" s="6" t="inlineStr">
        <is>
          <t>Teljes kínálat</t>
        </is>
      </c>
      <c r="H1438" s="6" t="n">
        <v>1</v>
      </c>
      <c r="I1438" s="6" t="n">
        <v>11</v>
      </c>
      <c r="J1438" s="6" t="inlineStr">
        <is>
          <t>van</t>
        </is>
      </c>
      <c r="K1438" s="6">
        <f>IF(AND(H1438&gt;0,I1438&gt;0),"Rendben",IF(AND(H1438=0,I1438=0),"Nincs kép és adat",IF(H1438=0,"Nincs kép","Nincs adat")))</f>
        <v/>
      </c>
      <c r="L1438" s="6" t="inlineStr">
        <is>
          <t>Igen</t>
        </is>
      </c>
      <c r="M1438" s="7" t="inlineStr">
        <is>
          <t>Rubber Select teljes kínálata (gyártói katalógus / weboldal)</t>
        </is>
      </c>
      <c r="N1438" s="7" t="inlineStr">
        <is>
          <t>Megtalálva: a beszállító teljes kínálatából felvett termék</t>
        </is>
      </c>
      <c r="O1438" s="11" t="inlineStr">
        <is>
          <t>https://www.rubberselect.com/en/products/matting/fine-rib-mat</t>
        </is>
      </c>
      <c r="P1438" s="11" t="inlineStr">
        <is>
          <t>https://website-9ib.pages.dev/termek/finombordas-gumiszonyeg-fr-3-1-1200-10000/</t>
        </is>
      </c>
      <c r="Q1438" s="12" t="inlineStr"/>
      <c r="R1438" s="13" t="inlineStr"/>
      <c r="S1438" s="6" t="inlineStr">
        <is>
          <t>finombordas-gumiszonyeg-fr-3-1-1200-10000</t>
        </is>
      </c>
    </row>
    <row r="1439">
      <c r="A1439" s="6" t="inlineStr">
        <is>
          <t>FR 3/0-1,8</t>
        </is>
      </c>
      <c r="B1439" s="7" t="inlineStr">
        <is>
          <t>Finombordás gumiszőnyeg 3 mm, 1800×10000 mm</t>
        </is>
      </c>
      <c r="C1439" s="6" t="inlineStr">
        <is>
          <t>Gumiszőnyegek és gumilemezek</t>
        </is>
      </c>
      <c r="D1439" s="6" t="inlineStr">
        <is>
          <t>Bordás és mintás gumiszőnyegek</t>
        </is>
      </c>
      <c r="E1439" s="6" t="inlineStr">
        <is>
          <t>Rubber Select</t>
        </is>
      </c>
      <c r="F1439" s="6" t="inlineStr">
        <is>
          <t>FR 3/0-1,8</t>
        </is>
      </c>
      <c r="G1439" s="6" t="inlineStr">
        <is>
          <t>Teljes kínálat</t>
        </is>
      </c>
      <c r="H1439" s="6" t="n">
        <v>1</v>
      </c>
      <c r="I1439" s="6" t="n">
        <v>11</v>
      </c>
      <c r="J1439" s="6" t="inlineStr">
        <is>
          <t>van</t>
        </is>
      </c>
      <c r="K1439" s="6">
        <f>IF(AND(H1439&gt;0,I1439&gt;0),"Rendben",IF(AND(H1439=0,I1439=0),"Nincs kép és adat",IF(H1439=0,"Nincs kép","Nincs adat")))</f>
        <v/>
      </c>
      <c r="L1439" s="6" t="inlineStr">
        <is>
          <t>Igen</t>
        </is>
      </c>
      <c r="M1439" s="7" t="inlineStr">
        <is>
          <t>Rubber Select teljes kínálata (gyártói katalógus / weboldal)</t>
        </is>
      </c>
      <c r="N1439" s="7" t="inlineStr">
        <is>
          <t>Megtalálva: a beszállító teljes kínálatából felvett termék</t>
        </is>
      </c>
      <c r="O1439" s="11" t="inlineStr">
        <is>
          <t>https://www.rubberselect.com/en/products/matting/fine-rib-mat</t>
        </is>
      </c>
      <c r="P1439" s="11" t="inlineStr">
        <is>
          <t>https://website-9ib.pages.dev/termek/finombordas-gumiszonyeg-fr-3-0-1-8-1800-10000/</t>
        </is>
      </c>
      <c r="Q1439" s="12" t="inlineStr"/>
      <c r="R1439" s="13" t="inlineStr"/>
      <c r="S1439" s="6" t="inlineStr">
        <is>
          <t>finombordas-gumiszonyeg-fr-3-0-1-8-1800-10000</t>
        </is>
      </c>
    </row>
    <row r="1440">
      <c r="A1440" s="6" t="inlineStr">
        <is>
          <t>FR 3/0-2</t>
        </is>
      </c>
      <c r="B1440" s="7" t="inlineStr">
        <is>
          <t>Finombordás gumiszőnyeg 3 mm, 2000×10000 mm</t>
        </is>
      </c>
      <c r="C1440" s="6" t="inlineStr">
        <is>
          <t>Gumiszőnyegek és gumilemezek</t>
        </is>
      </c>
      <c r="D1440" s="6" t="inlineStr">
        <is>
          <t>Bordás és mintás gumiszőnyegek</t>
        </is>
      </c>
      <c r="E1440" s="6" t="inlineStr">
        <is>
          <t>Rubber Select</t>
        </is>
      </c>
      <c r="F1440" s="6" t="inlineStr">
        <is>
          <t>FR 3/0-2</t>
        </is>
      </c>
      <c r="G1440" s="6" t="inlineStr">
        <is>
          <t>Teljes kínálat</t>
        </is>
      </c>
      <c r="H1440" s="6" t="n">
        <v>1</v>
      </c>
      <c r="I1440" s="6" t="n">
        <v>11</v>
      </c>
      <c r="J1440" s="6" t="inlineStr">
        <is>
          <t>van</t>
        </is>
      </c>
      <c r="K1440" s="6">
        <f>IF(AND(H1440&gt;0,I1440&gt;0),"Rendben",IF(AND(H1440=0,I1440=0),"Nincs kép és adat",IF(H1440=0,"Nincs kép","Nincs adat")))</f>
        <v/>
      </c>
      <c r="L1440" s="6" t="inlineStr">
        <is>
          <t>Igen</t>
        </is>
      </c>
      <c r="M1440" s="7" t="inlineStr">
        <is>
          <t>Rubber Select teljes kínálata (gyártói katalógus / weboldal)</t>
        </is>
      </c>
      <c r="N1440" s="7" t="inlineStr">
        <is>
          <t>Megtalálva: a beszállító teljes kínálatából felvett termék</t>
        </is>
      </c>
      <c r="O1440" s="11" t="inlineStr">
        <is>
          <t>https://www.rubberselect.com/en/products/matting/fine-rib-mat</t>
        </is>
      </c>
      <c r="P1440" s="11" t="inlineStr">
        <is>
          <t>https://website-9ib.pages.dev/termek/finombordas-gumiszonyeg-fr-3-0-2-2000-10000/</t>
        </is>
      </c>
      <c r="Q1440" s="12" t="inlineStr"/>
      <c r="R1440" s="13" t="inlineStr"/>
      <c r="S1440" s="6" t="inlineStr">
        <is>
          <t>finombordas-gumiszonyeg-fr-3-0-2-2000-10000</t>
        </is>
      </c>
    </row>
    <row r="1441">
      <c r="A1441" s="6" t="inlineStr">
        <is>
          <t>SFB 6/0</t>
        </is>
      </c>
      <c r="B1441" s="7" t="inlineStr">
        <is>
          <t>Gumigranulátum padlólap 6 mm, 1,25×10 mm</t>
        </is>
      </c>
      <c r="C1441" s="6" t="inlineStr">
        <is>
          <t>Gumiszőnyegek és gumilemezek</t>
        </is>
      </c>
      <c r="D1441" s="6" t="inlineStr">
        <is>
          <t>Gumigranulátum lapok</t>
        </is>
      </c>
      <c r="E1441" s="6" t="inlineStr">
        <is>
          <t>Rubber Select</t>
        </is>
      </c>
      <c r="F1441" s="6" t="inlineStr">
        <is>
          <t>SFB 6/0</t>
        </is>
      </c>
      <c r="G1441" s="6" t="inlineStr">
        <is>
          <t>Teljes kínálat</t>
        </is>
      </c>
      <c r="H1441" s="6" t="n">
        <v>1</v>
      </c>
      <c r="I1441" s="6" t="n">
        <v>10</v>
      </c>
      <c r="J1441" s="6" t="inlineStr">
        <is>
          <t>van</t>
        </is>
      </c>
      <c r="K1441" s="6">
        <f>IF(AND(H1441&gt;0,I1441&gt;0),"Rendben",IF(AND(H1441=0,I1441=0),"Nincs kép és adat",IF(H1441=0,"Nincs kép","Nincs adat")))</f>
        <v/>
      </c>
      <c r="L1441" s="6" t="inlineStr">
        <is>
          <t>Igen</t>
        </is>
      </c>
      <c r="M1441" s="7" t="inlineStr">
        <is>
          <t>Rubber Select teljes kínálata (gyártói katalógus / weboldal)</t>
        </is>
      </c>
      <c r="N1441" s="7" t="inlineStr">
        <is>
          <t>Megtalálva: a beszállító teljes kínálatából felvett termék</t>
        </is>
      </c>
      <c r="O1441" s="11" t="inlineStr">
        <is>
          <t>https://www.rubberselect.com/en/products/granulate/sportsflooring</t>
        </is>
      </c>
      <c r="P1441" s="11" t="inlineStr">
        <is>
          <t>https://website-9ib.pages.dev/termek/gumigranulatum-padlolap-sfb-6-0-1-25-10/</t>
        </is>
      </c>
      <c r="Q1441" s="12" t="inlineStr"/>
      <c r="R1441" s="13" t="inlineStr"/>
      <c r="S1441" s="6" t="inlineStr">
        <is>
          <t>gumigranulatum-padlolap-sfb-6-0-1-25-10</t>
        </is>
      </c>
    </row>
    <row r="1442">
      <c r="A1442" s="6" t="inlineStr">
        <is>
          <t>SF 6/0</t>
        </is>
      </c>
      <c r="B1442" s="7" t="inlineStr">
        <is>
          <t>Gumigranulátum padlólap 6 mm, 1,25×10 mm</t>
        </is>
      </c>
      <c r="C1442" s="6" t="inlineStr">
        <is>
          <t>Gumiszőnyegek és gumilemezek</t>
        </is>
      </c>
      <c r="D1442" s="6" t="inlineStr">
        <is>
          <t>Gumigranulátum lapok</t>
        </is>
      </c>
      <c r="E1442" s="6" t="inlineStr">
        <is>
          <t>Rubber Select</t>
        </is>
      </c>
      <c r="F1442" s="6" t="inlineStr">
        <is>
          <t>SF 6/0</t>
        </is>
      </c>
      <c r="G1442" s="6" t="inlineStr">
        <is>
          <t>Teljes kínálat</t>
        </is>
      </c>
      <c r="H1442" s="6" t="n">
        <v>1</v>
      </c>
      <c r="I1442" s="6" t="n">
        <v>10</v>
      </c>
      <c r="J1442" s="6" t="inlineStr">
        <is>
          <t>van</t>
        </is>
      </c>
      <c r="K1442" s="6">
        <f>IF(AND(H1442&gt;0,I1442&gt;0),"Rendben",IF(AND(H1442=0,I1442=0),"Nincs kép és adat",IF(H1442=0,"Nincs kép","Nincs adat")))</f>
        <v/>
      </c>
      <c r="L1442" s="6" t="inlineStr">
        <is>
          <t>Igen</t>
        </is>
      </c>
      <c r="M1442" s="7" t="inlineStr">
        <is>
          <t>Rubber Select teljes kínálata (gyártói katalógus / weboldal)</t>
        </is>
      </c>
      <c r="N1442" s="7" t="inlineStr">
        <is>
          <t>Megtalálva: a beszállító teljes kínálatából felvett termék</t>
        </is>
      </c>
      <c r="O1442" s="11" t="inlineStr">
        <is>
          <t>https://www.rubberselect.com/en/products/granulate/sportsflooring</t>
        </is>
      </c>
      <c r="P1442" s="11" t="inlineStr">
        <is>
          <t>https://website-9ib.pages.dev/termek/gumigranulatum-padlolap-sf-6-0-1-25-10/</t>
        </is>
      </c>
      <c r="Q1442" s="12" t="inlineStr"/>
      <c r="R1442" s="13" t="inlineStr"/>
      <c r="S1442" s="6" t="inlineStr">
        <is>
          <t>gumigranulatum-padlolap-sf-6-0-1-25-10</t>
        </is>
      </c>
    </row>
    <row r="1443">
      <c r="A1443" s="6" t="inlineStr">
        <is>
          <t>SF 6/0</t>
        </is>
      </c>
      <c r="B1443" s="7" t="inlineStr">
        <is>
          <t>Gumigranulátum padlólap 6 mm, 1,25×10 mm</t>
        </is>
      </c>
      <c r="C1443" s="6" t="inlineStr">
        <is>
          <t>Gumiszőnyegek és gumilemezek</t>
        </is>
      </c>
      <c r="D1443" s="6" t="inlineStr">
        <is>
          <t>Gumigranulátum lapok</t>
        </is>
      </c>
      <c r="E1443" s="6" t="inlineStr">
        <is>
          <t>Rubber Select</t>
        </is>
      </c>
      <c r="F1443" s="6" t="inlineStr">
        <is>
          <t>SF 6/0</t>
        </is>
      </c>
      <c r="G1443" s="6" t="inlineStr">
        <is>
          <t>Teljes kínálat</t>
        </is>
      </c>
      <c r="H1443" s="6" t="n">
        <v>1</v>
      </c>
      <c r="I1443" s="6" t="n">
        <v>10</v>
      </c>
      <c r="J1443" s="6" t="inlineStr">
        <is>
          <t>van</t>
        </is>
      </c>
      <c r="K1443" s="6">
        <f>IF(AND(H1443&gt;0,I1443&gt;0),"Rendben",IF(AND(H1443=0,I1443=0),"Nincs kép és adat",IF(H1443=0,"Nincs kép","Nincs adat")))</f>
        <v/>
      </c>
      <c r="L1443" s="6" t="inlineStr">
        <is>
          <t>Igen</t>
        </is>
      </c>
      <c r="M1443" s="7" t="inlineStr">
        <is>
          <t>Rubber Select teljes kínálata (gyártói katalógus / weboldal)</t>
        </is>
      </c>
      <c r="N1443" s="7" t="inlineStr">
        <is>
          <t>Megtalálva: a beszállító teljes kínálatából felvett termék</t>
        </is>
      </c>
      <c r="O1443" s="11" t="inlineStr">
        <is>
          <t>https://www.rubberselect.com/en/products/granulate/sportsflooring</t>
        </is>
      </c>
      <c r="P1443" s="11" t="inlineStr">
        <is>
          <t>https://website-9ib.pages.dev/termek/gumigranulatum-padlolap-sf-6-0-1-25-10-2/</t>
        </is>
      </c>
      <c r="Q1443" s="12" t="inlineStr"/>
      <c r="R1443" s="13" t="inlineStr"/>
      <c r="S1443" s="6" t="inlineStr">
        <is>
          <t>gumigranulatum-padlolap-sf-6-0-1-25-10-2</t>
        </is>
      </c>
    </row>
    <row r="1444">
      <c r="A1444" s="6" t="inlineStr">
        <is>
          <t>SFB 8/0</t>
        </is>
      </c>
      <c r="B1444" s="7" t="inlineStr">
        <is>
          <t>Gumigranulátum padlólap 8 mm, 1,25×10 mm</t>
        </is>
      </c>
      <c r="C1444" s="6" t="inlineStr">
        <is>
          <t>Gumiszőnyegek és gumilemezek</t>
        </is>
      </c>
      <c r="D1444" s="6" t="inlineStr">
        <is>
          <t>Gumigranulátum lapok</t>
        </is>
      </c>
      <c r="E1444" s="6" t="inlineStr">
        <is>
          <t>Rubber Select</t>
        </is>
      </c>
      <c r="F1444" s="6" t="inlineStr">
        <is>
          <t>SFB 8/0</t>
        </is>
      </c>
      <c r="G1444" s="6" t="inlineStr">
        <is>
          <t>Teljes kínálat</t>
        </is>
      </c>
      <c r="H1444" s="6" t="n">
        <v>1</v>
      </c>
      <c r="I1444" s="6" t="n">
        <v>10</v>
      </c>
      <c r="J1444" s="6" t="inlineStr">
        <is>
          <t>van</t>
        </is>
      </c>
      <c r="K1444" s="6">
        <f>IF(AND(H1444&gt;0,I1444&gt;0),"Rendben",IF(AND(H1444=0,I1444=0),"Nincs kép és adat",IF(H1444=0,"Nincs kép","Nincs adat")))</f>
        <v/>
      </c>
      <c r="L1444" s="6" t="inlineStr">
        <is>
          <t>Igen</t>
        </is>
      </c>
      <c r="M1444" s="7" t="inlineStr">
        <is>
          <t>Rubber Select teljes kínálata (gyártói katalógus / weboldal)</t>
        </is>
      </c>
      <c r="N1444" s="7" t="inlineStr">
        <is>
          <t>Megtalálva: a beszállító teljes kínálatából felvett termék</t>
        </is>
      </c>
      <c r="O1444" s="11" t="inlineStr">
        <is>
          <t>https://www.rubberselect.com/en/products/granulate/sportsflooring</t>
        </is>
      </c>
      <c r="P1444" s="11" t="inlineStr">
        <is>
          <t>https://website-9ib.pages.dev/termek/gumigranulatum-padlolap-sfb-8-0-1-25-10/</t>
        </is>
      </c>
      <c r="Q1444" s="12" t="inlineStr"/>
      <c r="R1444" s="13" t="inlineStr"/>
      <c r="S1444" s="6" t="inlineStr">
        <is>
          <t>gumigranulatum-padlolap-sfb-8-0-1-25-10</t>
        </is>
      </c>
    </row>
    <row r="1445">
      <c r="A1445" s="6" t="inlineStr">
        <is>
          <t>SF 8/0</t>
        </is>
      </c>
      <c r="B1445" s="7" t="inlineStr">
        <is>
          <t>Gumigranulátum padlólap 8 mm, 1,25×10 mm</t>
        </is>
      </c>
      <c r="C1445" s="6" t="inlineStr">
        <is>
          <t>Gumiszőnyegek és gumilemezek</t>
        </is>
      </c>
      <c r="D1445" s="6" t="inlineStr">
        <is>
          <t>Gumigranulátum lapok</t>
        </is>
      </c>
      <c r="E1445" s="6" t="inlineStr">
        <is>
          <t>Rubber Select</t>
        </is>
      </c>
      <c r="F1445" s="6" t="inlineStr">
        <is>
          <t>SF 8/0</t>
        </is>
      </c>
      <c r="G1445" s="6" t="inlineStr">
        <is>
          <t>Teljes kínálat</t>
        </is>
      </c>
      <c r="H1445" s="6" t="n">
        <v>1</v>
      </c>
      <c r="I1445" s="6" t="n">
        <v>10</v>
      </c>
      <c r="J1445" s="6" t="inlineStr">
        <is>
          <t>van</t>
        </is>
      </c>
      <c r="K1445" s="6">
        <f>IF(AND(H1445&gt;0,I1445&gt;0),"Rendben",IF(AND(H1445=0,I1445=0),"Nincs kép és adat",IF(H1445=0,"Nincs kép","Nincs adat")))</f>
        <v/>
      </c>
      <c r="L1445" s="6" t="inlineStr">
        <is>
          <t>Igen</t>
        </is>
      </c>
      <c r="M1445" s="7" t="inlineStr">
        <is>
          <t>Rubber Select teljes kínálata (gyártói katalógus / weboldal)</t>
        </is>
      </c>
      <c r="N1445" s="7" t="inlineStr">
        <is>
          <t>Megtalálva: a beszállító teljes kínálatából felvett termék</t>
        </is>
      </c>
      <c r="O1445" s="11" t="inlineStr">
        <is>
          <t>https://www.rubberselect.com/en/products/granulate/sportsflooring</t>
        </is>
      </c>
      <c r="P1445" s="11" t="inlineStr">
        <is>
          <t>https://website-9ib.pages.dev/termek/gumigranulatum-padlolap-sf-8-0-1-25-10/</t>
        </is>
      </c>
      <c r="Q1445" s="12" t="inlineStr"/>
      <c r="R1445" s="13" t="inlineStr"/>
      <c r="S1445" s="6" t="inlineStr">
        <is>
          <t>gumigranulatum-padlolap-sf-8-0-1-25-10</t>
        </is>
      </c>
    </row>
    <row r="1446">
      <c r="A1446" s="6" t="inlineStr">
        <is>
          <t>SF 8/0</t>
        </is>
      </c>
      <c r="B1446" s="7" t="inlineStr">
        <is>
          <t>Gumigranulátum padlólap 8 mm, 1,25×10 mm</t>
        </is>
      </c>
      <c r="C1446" s="6" t="inlineStr">
        <is>
          <t>Gumiszőnyegek és gumilemezek</t>
        </is>
      </c>
      <c r="D1446" s="6" t="inlineStr">
        <is>
          <t>Gumigranulátum lapok</t>
        </is>
      </c>
      <c r="E1446" s="6" t="inlineStr">
        <is>
          <t>Rubber Select</t>
        </is>
      </c>
      <c r="F1446" s="6" t="inlineStr">
        <is>
          <t>SF 8/0</t>
        </is>
      </c>
      <c r="G1446" s="6" t="inlineStr">
        <is>
          <t>Teljes kínálat</t>
        </is>
      </c>
      <c r="H1446" s="6" t="n">
        <v>1</v>
      </c>
      <c r="I1446" s="6" t="n">
        <v>10</v>
      </c>
      <c r="J1446" s="6" t="inlineStr">
        <is>
          <t>van</t>
        </is>
      </c>
      <c r="K1446" s="6">
        <f>IF(AND(H1446&gt;0,I1446&gt;0),"Rendben",IF(AND(H1446=0,I1446=0),"Nincs kép és adat",IF(H1446=0,"Nincs kép","Nincs adat")))</f>
        <v/>
      </c>
      <c r="L1446" s="6" t="inlineStr">
        <is>
          <t>Igen</t>
        </is>
      </c>
      <c r="M1446" s="7" t="inlineStr">
        <is>
          <t>Rubber Select teljes kínálata (gyártói katalógus / weboldal)</t>
        </is>
      </c>
      <c r="N1446" s="7" t="inlineStr">
        <is>
          <t>Megtalálva: a beszállító teljes kínálatából felvett termék</t>
        </is>
      </c>
      <c r="O1446" s="11" t="inlineStr">
        <is>
          <t>https://www.rubberselect.com/en/products/granulate/sportsflooring</t>
        </is>
      </c>
      <c r="P1446" s="11" t="inlineStr">
        <is>
          <t>https://website-9ib.pages.dev/termek/gumigranulatum-padlolap-sf-8-0-1-25-10-2/</t>
        </is>
      </c>
      <c r="Q1446" s="12" t="inlineStr"/>
      <c r="R1446" s="13" t="inlineStr"/>
      <c r="S1446" s="6" t="inlineStr">
        <is>
          <t>gumigranulatum-padlolap-sf-8-0-1-25-10-2</t>
        </is>
      </c>
    </row>
    <row r="1447">
      <c r="A1447" s="6" t="inlineStr">
        <is>
          <t>PM730 10/0</t>
        </is>
      </c>
      <c r="B1447" s="7" t="inlineStr">
        <is>
          <t>Gumigranulátum védőlap 10 mm, 1,25×10 mm</t>
        </is>
      </c>
      <c r="C1447" s="6" t="inlineStr">
        <is>
          <t>Gumiszőnyegek és gumilemezek</t>
        </is>
      </c>
      <c r="D1447" s="6" t="inlineStr">
        <is>
          <t>Gumigranulátum lapok</t>
        </is>
      </c>
      <c r="E1447" s="6" t="inlineStr">
        <is>
          <t>Rubber Select</t>
        </is>
      </c>
      <c r="F1447" s="6" t="inlineStr">
        <is>
          <t>PM730 10/0</t>
        </is>
      </c>
      <c r="G1447" s="6" t="inlineStr">
        <is>
          <t>Teljes kínálat</t>
        </is>
      </c>
      <c r="H1447" s="6" t="n">
        <v>1</v>
      </c>
      <c r="I1447" s="6" t="n">
        <v>10</v>
      </c>
      <c r="J1447" s="6" t="inlineStr">
        <is>
          <t>van</t>
        </is>
      </c>
      <c r="K1447" s="6">
        <f>IF(AND(H1447&gt;0,I1447&gt;0),"Rendben",IF(AND(H1447=0,I1447=0),"Nincs kép és adat",IF(H1447=0,"Nincs kép","Nincs adat")))</f>
        <v/>
      </c>
      <c r="L1447" s="6" t="inlineStr">
        <is>
          <t>Igen</t>
        </is>
      </c>
      <c r="M1447" s="7" t="inlineStr">
        <is>
          <t>Rubber Select teljes kínálata (gyártói katalógus / weboldal)</t>
        </is>
      </c>
      <c r="N1447" s="7" t="inlineStr">
        <is>
          <t>Megtalálva: a beszállító teljes kínálatából felvett termék</t>
        </is>
      </c>
      <c r="O1447" s="11" t="inlineStr">
        <is>
          <t>https://www.rubberselect.com/en/products/granulate/protection-mat-standard</t>
        </is>
      </c>
      <c r="P1447" s="11" t="inlineStr">
        <is>
          <t>https://website-9ib.pages.dev/termek/gumigranulatum-vedolap-pm730-10-0-1-25-10/</t>
        </is>
      </c>
      <c r="Q1447" s="12" t="inlineStr"/>
      <c r="R1447" s="13" t="inlineStr"/>
      <c r="S1447" s="6" t="inlineStr">
        <is>
          <t>gumigranulatum-vedolap-pm730-10-0-1-25-10</t>
        </is>
      </c>
    </row>
    <row r="1448">
      <c r="A1448" s="6" t="inlineStr">
        <is>
          <t>PM730 15/0</t>
        </is>
      </c>
      <c r="B1448" s="7" t="inlineStr">
        <is>
          <t>Gumigranulátum védőlap 15 mm, 1,25×10 mm</t>
        </is>
      </c>
      <c r="C1448" s="6" t="inlineStr">
        <is>
          <t>Gumiszőnyegek és gumilemezek</t>
        </is>
      </c>
      <c r="D1448" s="6" t="inlineStr">
        <is>
          <t>Gumigranulátum lapok</t>
        </is>
      </c>
      <c r="E1448" s="6" t="inlineStr">
        <is>
          <t>Rubber Select</t>
        </is>
      </c>
      <c r="F1448" s="6" t="inlineStr">
        <is>
          <t>PM730 15/0</t>
        </is>
      </c>
      <c r="G1448" s="6" t="inlineStr">
        <is>
          <t>Teljes kínálat</t>
        </is>
      </c>
      <c r="H1448" s="6" t="n">
        <v>1</v>
      </c>
      <c r="I1448" s="6" t="n">
        <v>10</v>
      </c>
      <c r="J1448" s="6" t="inlineStr">
        <is>
          <t>van</t>
        </is>
      </c>
      <c r="K1448" s="6">
        <f>IF(AND(H1448&gt;0,I1448&gt;0),"Rendben",IF(AND(H1448=0,I1448=0),"Nincs kép és adat",IF(H1448=0,"Nincs kép","Nincs adat")))</f>
        <v/>
      </c>
      <c r="L1448" s="6" t="inlineStr">
        <is>
          <t>Igen</t>
        </is>
      </c>
      <c r="M1448" s="7" t="inlineStr">
        <is>
          <t>Rubber Select teljes kínálata (gyártói katalógus / weboldal)</t>
        </is>
      </c>
      <c r="N1448" s="7" t="inlineStr">
        <is>
          <t>Megtalálva: a beszállító teljes kínálatából felvett termék</t>
        </is>
      </c>
      <c r="O1448" s="11" t="inlineStr">
        <is>
          <t>https://www.rubberselect.com/en/products/granulate/protection-mat-standard</t>
        </is>
      </c>
      <c r="P1448" s="11" t="inlineStr">
        <is>
          <t>https://website-9ib.pages.dev/termek/gumigranulatum-vedolap-pm730-15-0-1-25-10/</t>
        </is>
      </c>
      <c r="Q1448" s="12" t="inlineStr"/>
      <c r="R1448" s="13" t="inlineStr"/>
      <c r="S1448" s="6" t="inlineStr">
        <is>
          <t>gumigranulatum-vedolap-pm730-15-0-1-25-10</t>
        </is>
      </c>
    </row>
    <row r="1449">
      <c r="A1449" s="6" t="inlineStr">
        <is>
          <t>PM730 20/0</t>
        </is>
      </c>
      <c r="B1449" s="7" t="inlineStr">
        <is>
          <t>Gumigranulátum védőlap 20 mm, 1,25×10 mm</t>
        </is>
      </c>
      <c r="C1449" s="6" t="inlineStr">
        <is>
          <t>Gumiszőnyegek és gumilemezek</t>
        </is>
      </c>
      <c r="D1449" s="6" t="inlineStr">
        <is>
          <t>Gumigranulátum lapok</t>
        </is>
      </c>
      <c r="E1449" s="6" t="inlineStr">
        <is>
          <t>Rubber Select</t>
        </is>
      </c>
      <c r="F1449" s="6" t="inlineStr">
        <is>
          <t>PM730 20/0</t>
        </is>
      </c>
      <c r="G1449" s="6" t="inlineStr">
        <is>
          <t>Teljes kínálat</t>
        </is>
      </c>
      <c r="H1449" s="6" t="n">
        <v>1</v>
      </c>
      <c r="I1449" s="6" t="n">
        <v>10</v>
      </c>
      <c r="J1449" s="6" t="inlineStr">
        <is>
          <t>van</t>
        </is>
      </c>
      <c r="K1449" s="6">
        <f>IF(AND(H1449&gt;0,I1449&gt;0),"Rendben",IF(AND(H1449=0,I1449=0),"Nincs kép és adat",IF(H1449=0,"Nincs kép","Nincs adat")))</f>
        <v/>
      </c>
      <c r="L1449" s="6" t="inlineStr">
        <is>
          <t>Igen</t>
        </is>
      </c>
      <c r="M1449" s="7" t="inlineStr">
        <is>
          <t>Rubber Select teljes kínálata (gyártói katalógus / weboldal)</t>
        </is>
      </c>
      <c r="N1449" s="7" t="inlineStr">
        <is>
          <t>Megtalálva: a beszállító teljes kínálatából felvett termék</t>
        </is>
      </c>
      <c r="O1449" s="11" t="inlineStr">
        <is>
          <t>https://www.rubberselect.com/en/products/granulate/protection-mat-standard</t>
        </is>
      </c>
      <c r="P1449" s="11" t="inlineStr">
        <is>
          <t>https://website-9ib.pages.dev/termek/gumigranulatum-vedolap-pm730-20-0-1-25-10/</t>
        </is>
      </c>
      <c r="Q1449" s="12" t="inlineStr"/>
      <c r="R1449" s="13" t="inlineStr"/>
      <c r="S1449" s="6" t="inlineStr">
        <is>
          <t>gumigranulatum-vedolap-pm730-20-0-1-25-10</t>
        </is>
      </c>
    </row>
    <row r="1450">
      <c r="A1450" s="6" t="inlineStr">
        <is>
          <t>PM730 5/0</t>
        </is>
      </c>
      <c r="B1450" s="7" t="inlineStr">
        <is>
          <t>Gumigranulátum védőlap 5 mm, 1,25×10 mm</t>
        </is>
      </c>
      <c r="C1450" s="6" t="inlineStr">
        <is>
          <t>Gumiszőnyegek és gumilemezek</t>
        </is>
      </c>
      <c r="D1450" s="6" t="inlineStr">
        <is>
          <t>Gumigranulátum lapok</t>
        </is>
      </c>
      <c r="E1450" s="6" t="inlineStr">
        <is>
          <t>Rubber Select</t>
        </is>
      </c>
      <c r="F1450" s="6" t="inlineStr">
        <is>
          <t>PM730 5/0</t>
        </is>
      </c>
      <c r="G1450" s="6" t="inlineStr">
        <is>
          <t>Teljes kínálat</t>
        </is>
      </c>
      <c r="H1450" s="6" t="n">
        <v>1</v>
      </c>
      <c r="I1450" s="6" t="n">
        <v>10</v>
      </c>
      <c r="J1450" s="6" t="inlineStr">
        <is>
          <t>van</t>
        </is>
      </c>
      <c r="K1450" s="6">
        <f>IF(AND(H1450&gt;0,I1450&gt;0),"Rendben",IF(AND(H1450=0,I1450=0),"Nincs kép és adat",IF(H1450=0,"Nincs kép","Nincs adat")))</f>
        <v/>
      </c>
      <c r="L1450" s="6" t="inlineStr">
        <is>
          <t>Igen</t>
        </is>
      </c>
      <c r="M1450" s="7" t="inlineStr">
        <is>
          <t>Rubber Select teljes kínálata (gyártói katalógus / weboldal)</t>
        </is>
      </c>
      <c r="N1450" s="7" t="inlineStr">
        <is>
          <t>Megtalálva: a beszállító teljes kínálatából felvett termék</t>
        </is>
      </c>
      <c r="O1450" s="11" t="inlineStr">
        <is>
          <t>https://www.rubberselect.com/en/products/granulate/protection-mat-standard</t>
        </is>
      </c>
      <c r="P1450" s="11" t="inlineStr">
        <is>
          <t>https://website-9ib.pages.dev/termek/gumigranulatum-vedolap-pm730-5-0-1-25-10/</t>
        </is>
      </c>
      <c r="Q1450" s="12" t="inlineStr"/>
      <c r="R1450" s="13" t="inlineStr"/>
      <c r="S1450" s="6" t="inlineStr">
        <is>
          <t>gumigranulatum-vedolap-pm730-5-0-1-25-10</t>
        </is>
      </c>
    </row>
    <row r="1451">
      <c r="A1451" s="6" t="inlineStr">
        <is>
          <t>PM730 6/0</t>
        </is>
      </c>
      <c r="B1451" s="7" t="inlineStr">
        <is>
          <t>Gumigranulátum védőlap 6 mm, 1,25×10 mm</t>
        </is>
      </c>
      <c r="C1451" s="6" t="inlineStr">
        <is>
          <t>Gumiszőnyegek és gumilemezek</t>
        </is>
      </c>
      <c r="D1451" s="6" t="inlineStr">
        <is>
          <t>Gumigranulátum lapok</t>
        </is>
      </c>
      <c r="E1451" s="6" t="inlineStr">
        <is>
          <t>Rubber Select</t>
        </is>
      </c>
      <c r="F1451" s="6" t="inlineStr">
        <is>
          <t>PM730 6/0</t>
        </is>
      </c>
      <c r="G1451" s="6" t="inlineStr">
        <is>
          <t>Teljes kínálat</t>
        </is>
      </c>
      <c r="H1451" s="6" t="n">
        <v>1</v>
      </c>
      <c r="I1451" s="6" t="n">
        <v>10</v>
      </c>
      <c r="J1451" s="6" t="inlineStr">
        <is>
          <t>van</t>
        </is>
      </c>
      <c r="K1451" s="6">
        <f>IF(AND(H1451&gt;0,I1451&gt;0),"Rendben",IF(AND(H1451=0,I1451=0),"Nincs kép és adat",IF(H1451=0,"Nincs kép","Nincs adat")))</f>
        <v/>
      </c>
      <c r="L1451" s="6" t="inlineStr">
        <is>
          <t>Igen</t>
        </is>
      </c>
      <c r="M1451" s="7" t="inlineStr">
        <is>
          <t>Rubber Select teljes kínálata (gyártói katalógus / weboldal)</t>
        </is>
      </c>
      <c r="N1451" s="7" t="inlineStr">
        <is>
          <t>Megtalálva: a beszállító teljes kínálatából felvett termék</t>
        </is>
      </c>
      <c r="O1451" s="11" t="inlineStr">
        <is>
          <t>https://www.rubberselect.com/en/products/granulate/protection-mat-standard</t>
        </is>
      </c>
      <c r="P1451" s="11" t="inlineStr">
        <is>
          <t>https://website-9ib.pages.dev/termek/gumigranulatum-vedolap-pm730-6-0-1-25-10/</t>
        </is>
      </c>
      <c r="Q1451" s="12" t="inlineStr"/>
      <c r="R1451" s="13" t="inlineStr"/>
      <c r="S1451" s="6" t="inlineStr">
        <is>
          <t>gumigranulatum-vedolap-pm730-6-0-1-25-10</t>
        </is>
      </c>
    </row>
    <row r="1452">
      <c r="A1452" s="6" t="inlineStr">
        <is>
          <t>PM730 8/0</t>
        </is>
      </c>
      <c r="B1452" s="7" t="inlineStr">
        <is>
          <t>Gumigranulátum védőlap 8 mm, 1,25×10 mm</t>
        </is>
      </c>
      <c r="C1452" s="6" t="inlineStr">
        <is>
          <t>Gumiszőnyegek és gumilemezek</t>
        </is>
      </c>
      <c r="D1452" s="6" t="inlineStr">
        <is>
          <t>Gumigranulátum lapok</t>
        </is>
      </c>
      <c r="E1452" s="6" t="inlineStr">
        <is>
          <t>Rubber Select</t>
        </is>
      </c>
      <c r="F1452" s="6" t="inlineStr">
        <is>
          <t>PM730 8/0</t>
        </is>
      </c>
      <c r="G1452" s="6" t="inlineStr">
        <is>
          <t>Teljes kínálat</t>
        </is>
      </c>
      <c r="H1452" s="6" t="n">
        <v>1</v>
      </c>
      <c r="I1452" s="6" t="n">
        <v>10</v>
      </c>
      <c r="J1452" s="6" t="inlineStr">
        <is>
          <t>van</t>
        </is>
      </c>
      <c r="K1452" s="6">
        <f>IF(AND(H1452&gt;0,I1452&gt;0),"Rendben",IF(AND(H1452=0,I1452=0),"Nincs kép és adat",IF(H1452=0,"Nincs kép","Nincs adat")))</f>
        <v/>
      </c>
      <c r="L1452" s="6" t="inlineStr">
        <is>
          <t>Igen</t>
        </is>
      </c>
      <c r="M1452" s="7" t="inlineStr">
        <is>
          <t>Rubber Select teljes kínálata (gyártói katalógus / weboldal)</t>
        </is>
      </c>
      <c r="N1452" s="7" t="inlineStr">
        <is>
          <t>Megtalálva: a beszállító teljes kínálatából felvett termék</t>
        </is>
      </c>
      <c r="O1452" s="11" t="inlineStr">
        <is>
          <t>https://www.rubberselect.com/en/products/granulate/protection-mat-standard</t>
        </is>
      </c>
      <c r="P1452" s="11" t="inlineStr">
        <is>
          <t>https://website-9ib.pages.dev/termek/gumigranulatum-vedolap-pm730-8-0-1-25-10/</t>
        </is>
      </c>
      <c r="Q1452" s="12" t="inlineStr"/>
      <c r="R1452" s="13" t="inlineStr"/>
      <c r="S1452" s="6" t="inlineStr">
        <is>
          <t>gumigranulatum-vedolap-pm730-8-0-1-25-10</t>
        </is>
      </c>
    </row>
    <row r="1453">
      <c r="A1453" s="6" t="inlineStr">
        <is>
          <t>SBR 100/0-1x1</t>
        </is>
      </c>
      <c r="B1453" s="7" t="inlineStr">
        <is>
          <t>Gumilap NR/SBR 100 mm, 1×1 mm</t>
        </is>
      </c>
      <c r="C1453" s="6" t="inlineStr">
        <is>
          <t>Gumiszőnyegek és gumilemezek</t>
        </is>
      </c>
      <c r="D1453" s="6" t="inlineStr">
        <is>
          <t>Gumilemezek (NR/SBR)</t>
        </is>
      </c>
      <c r="E1453" s="6" t="inlineStr">
        <is>
          <t>Rubber Select</t>
        </is>
      </c>
      <c r="F1453" s="6" t="inlineStr">
        <is>
          <t>SBR 100/0-1x1</t>
        </is>
      </c>
      <c r="G1453" s="6" t="inlineStr">
        <is>
          <t>Teljes kínálat</t>
        </is>
      </c>
      <c r="H1453" s="6" t="n">
        <v>1</v>
      </c>
      <c r="I1453" s="6" t="n">
        <v>11</v>
      </c>
      <c r="J1453" s="6" t="inlineStr">
        <is>
          <t>van</t>
        </is>
      </c>
      <c r="K1453" s="6">
        <f>IF(AND(H1453&gt;0,I1453&gt;0),"Rendben",IF(AND(H1453=0,I1453=0),"Nincs kép és adat",IF(H1453=0,"Nincs kép","Nincs adat")))</f>
        <v/>
      </c>
      <c r="L1453" s="6" t="inlineStr">
        <is>
          <t>Igen</t>
        </is>
      </c>
      <c r="M1453" s="7" t="inlineStr">
        <is>
          <t>Rubber Select teljes kínálata (gyártói katalógus / weboldal)</t>
        </is>
      </c>
      <c r="N1453" s="7" t="inlineStr">
        <is>
          <t>Megtalálva: a beszállító teljes kínálatából felvett termék</t>
        </is>
      </c>
      <c r="O1453" s="11" t="inlineStr">
        <is>
          <t>https://www.rubberselect.com/en/products/nrsbr-rubber-sheets/allpac-plate</t>
        </is>
      </c>
      <c r="P1453" s="11" t="inlineStr">
        <is>
          <t>https://website-9ib.pages.dev/termek/gumilap-nr-sbr-sbr-100-0-1x1-1-1/</t>
        </is>
      </c>
      <c r="Q1453" s="12" t="inlineStr"/>
      <c r="R1453" s="13" t="inlineStr"/>
      <c r="S1453" s="6" t="inlineStr">
        <is>
          <t>gumilap-nr-sbr-sbr-100-0-1x1-1-1</t>
        </is>
      </c>
    </row>
    <row r="1454">
      <c r="A1454" s="6" t="inlineStr">
        <is>
          <t>SBR 15/0-1x1</t>
        </is>
      </c>
      <c r="B1454" s="7" t="inlineStr">
        <is>
          <t>Gumilap NR/SBR 15 mm, 1×1 mm</t>
        </is>
      </c>
      <c r="C1454" s="6" t="inlineStr">
        <is>
          <t>Gumiszőnyegek és gumilemezek</t>
        </is>
      </c>
      <c r="D1454" s="6" t="inlineStr">
        <is>
          <t>Gumilemezek (NR/SBR)</t>
        </is>
      </c>
      <c r="E1454" s="6" t="inlineStr">
        <is>
          <t>Rubber Select</t>
        </is>
      </c>
      <c r="F1454" s="6" t="inlineStr">
        <is>
          <t>SBR 15/0-1x1</t>
        </is>
      </c>
      <c r="G1454" s="6" t="inlineStr">
        <is>
          <t>Teljes kínálat</t>
        </is>
      </c>
      <c r="H1454" s="6" t="n">
        <v>1</v>
      </c>
      <c r="I1454" s="6" t="n">
        <v>11</v>
      </c>
      <c r="J1454" s="6" t="inlineStr">
        <is>
          <t>van</t>
        </is>
      </c>
      <c r="K1454" s="6">
        <f>IF(AND(H1454&gt;0,I1454&gt;0),"Rendben",IF(AND(H1454=0,I1454=0),"Nincs kép és adat",IF(H1454=0,"Nincs kép","Nincs adat")))</f>
        <v/>
      </c>
      <c r="L1454" s="6" t="inlineStr">
        <is>
          <t>Igen</t>
        </is>
      </c>
      <c r="M1454" s="7" t="inlineStr">
        <is>
          <t>Rubber Select teljes kínálata (gyártói katalógus / weboldal)</t>
        </is>
      </c>
      <c r="N1454" s="7" t="inlineStr">
        <is>
          <t>Megtalálva: a beszállító teljes kínálatából felvett termék</t>
        </is>
      </c>
      <c r="O1454" s="11" t="inlineStr">
        <is>
          <t>https://www.rubberselect.com/en/products/nrsbr-rubber-sheets/allpac-plate</t>
        </is>
      </c>
      <c r="P1454" s="11" t="inlineStr">
        <is>
          <t>https://website-9ib.pages.dev/termek/gumilap-nr-sbr-sbr-15-0-1x1-1-1/</t>
        </is>
      </c>
      <c r="Q1454" s="12" t="inlineStr"/>
      <c r="R1454" s="13" t="inlineStr"/>
      <c r="S1454" s="6" t="inlineStr">
        <is>
          <t>gumilap-nr-sbr-sbr-15-0-1x1-1-1</t>
        </is>
      </c>
    </row>
    <row r="1455">
      <c r="A1455" s="6" t="inlineStr">
        <is>
          <t>SBR 20/0-1x1</t>
        </is>
      </c>
      <c r="B1455" s="7" t="inlineStr">
        <is>
          <t>Gumilap NR/SBR 20 mm, 1×1 mm</t>
        </is>
      </c>
      <c r="C1455" s="6" t="inlineStr">
        <is>
          <t>Gumiszőnyegek és gumilemezek</t>
        </is>
      </c>
      <c r="D1455" s="6" t="inlineStr">
        <is>
          <t>Gumilemezek (NR/SBR)</t>
        </is>
      </c>
      <c r="E1455" s="6" t="inlineStr">
        <is>
          <t>Rubber Select</t>
        </is>
      </c>
      <c r="F1455" s="6" t="inlineStr">
        <is>
          <t>SBR 20/0-1x1</t>
        </is>
      </c>
      <c r="G1455" s="6" t="inlineStr">
        <is>
          <t>Teljes kínálat</t>
        </is>
      </c>
      <c r="H1455" s="6" t="n">
        <v>1</v>
      </c>
      <c r="I1455" s="6" t="n">
        <v>11</v>
      </c>
      <c r="J1455" s="6" t="inlineStr">
        <is>
          <t>van</t>
        </is>
      </c>
      <c r="K1455" s="6">
        <f>IF(AND(H1455&gt;0,I1455&gt;0),"Rendben",IF(AND(H1455=0,I1455=0),"Nincs kép és adat",IF(H1455=0,"Nincs kép","Nincs adat")))</f>
        <v/>
      </c>
      <c r="L1455" s="6" t="inlineStr">
        <is>
          <t>Igen</t>
        </is>
      </c>
      <c r="M1455" s="7" t="inlineStr">
        <is>
          <t>Rubber Select teljes kínálata (gyártói katalógus / weboldal)</t>
        </is>
      </c>
      <c r="N1455" s="7" t="inlineStr">
        <is>
          <t>Megtalálva: a beszállító teljes kínálatából felvett termék</t>
        </is>
      </c>
      <c r="O1455" s="11" t="inlineStr">
        <is>
          <t>https://www.rubberselect.com/en/products/nrsbr-rubber-sheets/allpac-plate</t>
        </is>
      </c>
      <c r="P1455" s="11" t="inlineStr">
        <is>
          <t>https://website-9ib.pages.dev/termek/gumilap-nr-sbr-sbr-20-0-1x1-1-1/</t>
        </is>
      </c>
      <c r="Q1455" s="12" t="inlineStr"/>
      <c r="R1455" s="13" t="inlineStr"/>
      <c r="S1455" s="6" t="inlineStr">
        <is>
          <t>gumilap-nr-sbr-sbr-20-0-1x1-1-1</t>
        </is>
      </c>
    </row>
    <row r="1456">
      <c r="A1456" s="6" t="inlineStr">
        <is>
          <t>SBR 30/0</t>
        </is>
      </c>
      <c r="B1456" s="7" t="inlineStr">
        <is>
          <t>Gumilap NR/SBR 30 mm, 1,4×2 mm</t>
        </is>
      </c>
      <c r="C1456" s="6" t="inlineStr">
        <is>
          <t>Gumiszőnyegek és gumilemezek</t>
        </is>
      </c>
      <c r="D1456" s="6" t="inlineStr">
        <is>
          <t>Gumilemezek (NR/SBR)</t>
        </is>
      </c>
      <c r="E1456" s="6" t="inlineStr">
        <is>
          <t>Rubber Select</t>
        </is>
      </c>
      <c r="F1456" s="6" t="inlineStr">
        <is>
          <t>SBR 30/0</t>
        </is>
      </c>
      <c r="G1456" s="6" t="inlineStr">
        <is>
          <t>Teljes kínálat</t>
        </is>
      </c>
      <c r="H1456" s="6" t="n">
        <v>1</v>
      </c>
      <c r="I1456" s="6" t="n">
        <v>11</v>
      </c>
      <c r="J1456" s="6" t="inlineStr">
        <is>
          <t>van</t>
        </is>
      </c>
      <c r="K1456" s="6">
        <f>IF(AND(H1456&gt;0,I1456&gt;0),"Rendben",IF(AND(H1456=0,I1456=0),"Nincs kép és adat",IF(H1456=0,"Nincs kép","Nincs adat")))</f>
        <v/>
      </c>
      <c r="L1456" s="6" t="inlineStr">
        <is>
          <t>Igen</t>
        </is>
      </c>
      <c r="M1456" s="7" t="inlineStr">
        <is>
          <t>Rubber Select teljes kínálata (gyártói katalógus / weboldal)</t>
        </is>
      </c>
      <c r="N1456" s="7" t="inlineStr">
        <is>
          <t>Megtalálva: a beszállító teljes kínálatából felvett termék</t>
        </is>
      </c>
      <c r="O1456" s="11" t="inlineStr">
        <is>
          <t>https://www.rubberselect.com/en/products/nrsbr-rubber-sheets/allpac-plate</t>
        </is>
      </c>
      <c r="P1456" s="11" t="inlineStr">
        <is>
          <t>https://website-9ib.pages.dev/termek/gumilap-nr-sbr-sbr-30-0-1-4-2/</t>
        </is>
      </c>
      <c r="Q1456" s="12" t="inlineStr"/>
      <c r="R1456" s="13" t="inlineStr"/>
      <c r="S1456" s="6" t="inlineStr">
        <is>
          <t>gumilap-nr-sbr-sbr-30-0-1-4-2</t>
        </is>
      </c>
    </row>
    <row r="1457">
      <c r="A1457" s="6" t="inlineStr">
        <is>
          <t>SBR 30/0-1x1</t>
        </is>
      </c>
      <c r="B1457" s="7" t="inlineStr">
        <is>
          <t>Gumilap NR/SBR 30 mm, 1×1 mm</t>
        </is>
      </c>
      <c r="C1457" s="6" t="inlineStr">
        <is>
          <t>Gumiszőnyegek és gumilemezek</t>
        </is>
      </c>
      <c r="D1457" s="6" t="inlineStr">
        <is>
          <t>Gumilemezek (NR/SBR)</t>
        </is>
      </c>
      <c r="E1457" s="6" t="inlineStr">
        <is>
          <t>Rubber Select</t>
        </is>
      </c>
      <c r="F1457" s="6" t="inlineStr">
        <is>
          <t>SBR 30/0-1x1</t>
        </is>
      </c>
      <c r="G1457" s="6" t="inlineStr">
        <is>
          <t>Teljes kínálat</t>
        </is>
      </c>
      <c r="H1457" s="6" t="n">
        <v>1</v>
      </c>
      <c r="I1457" s="6" t="n">
        <v>11</v>
      </c>
      <c r="J1457" s="6" t="inlineStr">
        <is>
          <t>van</t>
        </is>
      </c>
      <c r="K1457" s="6">
        <f>IF(AND(H1457&gt;0,I1457&gt;0),"Rendben",IF(AND(H1457=0,I1457=0),"Nincs kép és adat",IF(H1457=0,"Nincs kép","Nincs adat")))</f>
        <v/>
      </c>
      <c r="L1457" s="6" t="inlineStr">
        <is>
          <t>Igen</t>
        </is>
      </c>
      <c r="M1457" s="7" t="inlineStr">
        <is>
          <t>Rubber Select teljes kínálata (gyártói katalógus / weboldal)</t>
        </is>
      </c>
      <c r="N1457" s="7" t="inlineStr">
        <is>
          <t>Megtalálva: a beszállító teljes kínálatából felvett termék</t>
        </is>
      </c>
      <c r="O1457" s="11" t="inlineStr">
        <is>
          <t>https://www.rubberselect.com/en/products/nrsbr-rubber-sheets/allpac-plate</t>
        </is>
      </c>
      <c r="P1457" s="11" t="inlineStr">
        <is>
          <t>https://website-9ib.pages.dev/termek/gumilap-nr-sbr-sbr-30-0-1x1-1-1/</t>
        </is>
      </c>
      <c r="Q1457" s="12" t="inlineStr"/>
      <c r="R1457" s="13" t="inlineStr"/>
      <c r="S1457" s="6" t="inlineStr">
        <is>
          <t>gumilap-nr-sbr-sbr-30-0-1x1-1-1</t>
        </is>
      </c>
    </row>
    <row r="1458">
      <c r="A1458" s="6" t="inlineStr">
        <is>
          <t>SBR 40/0</t>
        </is>
      </c>
      <c r="B1458" s="7" t="inlineStr">
        <is>
          <t>Gumilap NR/SBR 40 mm, 1,4×2 mm</t>
        </is>
      </c>
      <c r="C1458" s="6" t="inlineStr">
        <is>
          <t>Gumiszőnyegek és gumilemezek</t>
        </is>
      </c>
      <c r="D1458" s="6" t="inlineStr">
        <is>
          <t>Gumilemezek (NR/SBR)</t>
        </is>
      </c>
      <c r="E1458" s="6" t="inlineStr">
        <is>
          <t>Rubber Select</t>
        </is>
      </c>
      <c r="F1458" s="6" t="inlineStr">
        <is>
          <t>SBR 40/0</t>
        </is>
      </c>
      <c r="G1458" s="6" t="inlineStr">
        <is>
          <t>Teljes kínálat</t>
        </is>
      </c>
      <c r="H1458" s="6" t="n">
        <v>1</v>
      </c>
      <c r="I1458" s="6" t="n">
        <v>11</v>
      </c>
      <c r="J1458" s="6" t="inlineStr">
        <is>
          <t>van</t>
        </is>
      </c>
      <c r="K1458" s="6">
        <f>IF(AND(H1458&gt;0,I1458&gt;0),"Rendben",IF(AND(H1458=0,I1458=0),"Nincs kép és adat",IF(H1458=0,"Nincs kép","Nincs adat")))</f>
        <v/>
      </c>
      <c r="L1458" s="6" t="inlineStr">
        <is>
          <t>Igen</t>
        </is>
      </c>
      <c r="M1458" s="7" t="inlineStr">
        <is>
          <t>Rubber Select teljes kínálata (gyártói katalógus / weboldal)</t>
        </is>
      </c>
      <c r="N1458" s="7" t="inlineStr">
        <is>
          <t>Megtalálva: a beszállító teljes kínálatából felvett termék</t>
        </is>
      </c>
      <c r="O1458" s="11" t="inlineStr">
        <is>
          <t>https://www.rubberselect.com/en/products/nrsbr-rubber-sheets/allpac-plate</t>
        </is>
      </c>
      <c r="P1458" s="11" t="inlineStr">
        <is>
          <t>https://website-9ib.pages.dev/termek/gumilap-nr-sbr-sbr-40-0-1-4-2/</t>
        </is>
      </c>
      <c r="Q1458" s="12" t="inlineStr"/>
      <c r="R1458" s="13" t="inlineStr"/>
      <c r="S1458" s="6" t="inlineStr">
        <is>
          <t>gumilap-nr-sbr-sbr-40-0-1-4-2</t>
        </is>
      </c>
    </row>
    <row r="1459">
      <c r="A1459" s="6" t="inlineStr">
        <is>
          <t>SBR 40/0-1x1</t>
        </is>
      </c>
      <c r="B1459" s="7" t="inlineStr">
        <is>
          <t>Gumilap NR/SBR 40 mm, 1×1 mm</t>
        </is>
      </c>
      <c r="C1459" s="6" t="inlineStr">
        <is>
          <t>Gumiszőnyegek és gumilemezek</t>
        </is>
      </c>
      <c r="D1459" s="6" t="inlineStr">
        <is>
          <t>Gumilemezek (NR/SBR)</t>
        </is>
      </c>
      <c r="E1459" s="6" t="inlineStr">
        <is>
          <t>Rubber Select</t>
        </is>
      </c>
      <c r="F1459" s="6" t="inlineStr">
        <is>
          <t>SBR 40/0-1x1</t>
        </is>
      </c>
      <c r="G1459" s="6" t="inlineStr">
        <is>
          <t>Teljes kínálat</t>
        </is>
      </c>
      <c r="H1459" s="6" t="n">
        <v>1</v>
      </c>
      <c r="I1459" s="6" t="n">
        <v>11</v>
      </c>
      <c r="J1459" s="6" t="inlineStr">
        <is>
          <t>van</t>
        </is>
      </c>
      <c r="K1459" s="6">
        <f>IF(AND(H1459&gt;0,I1459&gt;0),"Rendben",IF(AND(H1459=0,I1459=0),"Nincs kép és adat",IF(H1459=0,"Nincs kép","Nincs adat")))</f>
        <v/>
      </c>
      <c r="L1459" s="6" t="inlineStr">
        <is>
          <t>Igen</t>
        </is>
      </c>
      <c r="M1459" s="7" t="inlineStr">
        <is>
          <t>Rubber Select teljes kínálata (gyártói katalógus / weboldal)</t>
        </is>
      </c>
      <c r="N1459" s="7" t="inlineStr">
        <is>
          <t>Megtalálva: a beszállító teljes kínálatából felvett termék</t>
        </is>
      </c>
      <c r="O1459" s="11" t="inlineStr">
        <is>
          <t>https://www.rubberselect.com/en/products/nrsbr-rubber-sheets/allpac-plate</t>
        </is>
      </c>
      <c r="P1459" s="11" t="inlineStr">
        <is>
          <t>https://website-9ib.pages.dev/termek/gumilap-nr-sbr-sbr-40-0-1x1-1-1/</t>
        </is>
      </c>
      <c r="Q1459" s="12" t="inlineStr"/>
      <c r="R1459" s="13" t="inlineStr"/>
      <c r="S1459" s="6" t="inlineStr">
        <is>
          <t>gumilap-nr-sbr-sbr-40-0-1x1-1-1</t>
        </is>
      </c>
    </row>
    <row r="1460">
      <c r="A1460" s="6" t="inlineStr">
        <is>
          <t>SBR 50/0</t>
        </is>
      </c>
      <c r="B1460" s="7" t="inlineStr">
        <is>
          <t>Gumilap NR/SBR 50 mm, 1,4×2 mm</t>
        </is>
      </c>
      <c r="C1460" s="6" t="inlineStr">
        <is>
          <t>Gumiszőnyegek és gumilemezek</t>
        </is>
      </c>
      <c r="D1460" s="6" t="inlineStr">
        <is>
          <t>Gumilemezek (NR/SBR)</t>
        </is>
      </c>
      <c r="E1460" s="6" t="inlineStr">
        <is>
          <t>Rubber Select</t>
        </is>
      </c>
      <c r="F1460" s="6" t="inlineStr">
        <is>
          <t>SBR 50/0</t>
        </is>
      </c>
      <c r="G1460" s="6" t="inlineStr">
        <is>
          <t>Teljes kínálat</t>
        </is>
      </c>
      <c r="H1460" s="6" t="n">
        <v>1</v>
      </c>
      <c r="I1460" s="6" t="n">
        <v>11</v>
      </c>
      <c r="J1460" s="6" t="inlineStr">
        <is>
          <t>van</t>
        </is>
      </c>
      <c r="K1460" s="6">
        <f>IF(AND(H1460&gt;0,I1460&gt;0),"Rendben",IF(AND(H1460=0,I1460=0),"Nincs kép és adat",IF(H1460=0,"Nincs kép","Nincs adat")))</f>
        <v/>
      </c>
      <c r="L1460" s="6" t="inlineStr">
        <is>
          <t>Igen</t>
        </is>
      </c>
      <c r="M1460" s="7" t="inlineStr">
        <is>
          <t>Rubber Select teljes kínálata (gyártói katalógus / weboldal)</t>
        </is>
      </c>
      <c r="N1460" s="7" t="inlineStr">
        <is>
          <t>Megtalálva: a beszállító teljes kínálatából felvett termék</t>
        </is>
      </c>
      <c r="O1460" s="11" t="inlineStr">
        <is>
          <t>https://www.rubberselect.com/en/products/nrsbr-rubber-sheets/allpac-plate</t>
        </is>
      </c>
      <c r="P1460" s="11" t="inlineStr">
        <is>
          <t>https://website-9ib.pages.dev/termek/gumilap-nr-sbr-sbr-50-0-1-4-2/</t>
        </is>
      </c>
      <c r="Q1460" s="12" t="inlineStr"/>
      <c r="R1460" s="13" t="inlineStr"/>
      <c r="S1460" s="6" t="inlineStr">
        <is>
          <t>gumilap-nr-sbr-sbr-50-0-1-4-2</t>
        </is>
      </c>
    </row>
    <row r="1461">
      <c r="A1461" s="6" t="inlineStr">
        <is>
          <t>SBR 50/0-1x1</t>
        </is>
      </c>
      <c r="B1461" s="7" t="inlineStr">
        <is>
          <t>Gumilap NR/SBR 50 mm, 1×1 mm</t>
        </is>
      </c>
      <c r="C1461" s="6" t="inlineStr">
        <is>
          <t>Gumiszőnyegek és gumilemezek</t>
        </is>
      </c>
      <c r="D1461" s="6" t="inlineStr">
        <is>
          <t>Gumilemezek (NR/SBR)</t>
        </is>
      </c>
      <c r="E1461" s="6" t="inlineStr">
        <is>
          <t>Rubber Select</t>
        </is>
      </c>
      <c r="F1461" s="6" t="inlineStr">
        <is>
          <t>SBR 50/0-1x1</t>
        </is>
      </c>
      <c r="G1461" s="6" t="inlineStr">
        <is>
          <t>Teljes kínálat</t>
        </is>
      </c>
      <c r="H1461" s="6" t="n">
        <v>1</v>
      </c>
      <c r="I1461" s="6" t="n">
        <v>11</v>
      </c>
      <c r="J1461" s="6" t="inlineStr">
        <is>
          <t>van</t>
        </is>
      </c>
      <c r="K1461" s="6">
        <f>IF(AND(H1461&gt;0,I1461&gt;0),"Rendben",IF(AND(H1461=0,I1461=0),"Nincs kép és adat",IF(H1461=0,"Nincs kép","Nincs adat")))</f>
        <v/>
      </c>
      <c r="L1461" s="6" t="inlineStr">
        <is>
          <t>Igen</t>
        </is>
      </c>
      <c r="M1461" s="7" t="inlineStr">
        <is>
          <t>Rubber Select teljes kínálata (gyártói katalógus / weboldal)</t>
        </is>
      </c>
      <c r="N1461" s="7" t="inlineStr">
        <is>
          <t>Megtalálva: a beszállító teljes kínálatából felvett termék</t>
        </is>
      </c>
      <c r="O1461" s="11" t="inlineStr">
        <is>
          <t>https://www.rubberselect.com/en/products/nrsbr-rubber-sheets/allpac-plate</t>
        </is>
      </c>
      <c r="P1461" s="11" t="inlineStr">
        <is>
          <t>https://website-9ib.pages.dev/termek/gumilap-nr-sbr-sbr-50-0-1x1-1-1/</t>
        </is>
      </c>
      <c r="Q1461" s="12" t="inlineStr"/>
      <c r="R1461" s="13" t="inlineStr"/>
      <c r="S1461" s="6" t="inlineStr">
        <is>
          <t>gumilap-nr-sbr-sbr-50-0-1x1-1-1</t>
        </is>
      </c>
    </row>
    <row r="1462">
      <c r="A1462" s="6" t="inlineStr">
        <is>
          <t>SBR 80/0-1x1</t>
        </is>
      </c>
      <c r="B1462" s="7" t="inlineStr">
        <is>
          <t>Gumilap NR/SBR 80 mm, 1×1 mm</t>
        </is>
      </c>
      <c r="C1462" s="6" t="inlineStr">
        <is>
          <t>Gumiszőnyegek és gumilemezek</t>
        </is>
      </c>
      <c r="D1462" s="6" t="inlineStr">
        <is>
          <t>Gumilemezek (NR/SBR)</t>
        </is>
      </c>
      <c r="E1462" s="6" t="inlineStr">
        <is>
          <t>Rubber Select</t>
        </is>
      </c>
      <c r="F1462" s="6" t="inlineStr">
        <is>
          <t>SBR 80/0-1x1</t>
        </is>
      </c>
      <c r="G1462" s="6" t="inlineStr">
        <is>
          <t>Teljes kínálat</t>
        </is>
      </c>
      <c r="H1462" s="6" t="n">
        <v>1</v>
      </c>
      <c r="I1462" s="6" t="n">
        <v>11</v>
      </c>
      <c r="J1462" s="6" t="inlineStr">
        <is>
          <t>van</t>
        </is>
      </c>
      <c r="K1462" s="6">
        <f>IF(AND(H1462&gt;0,I1462&gt;0),"Rendben",IF(AND(H1462=0,I1462=0),"Nincs kép és adat",IF(H1462=0,"Nincs kép","Nincs adat")))</f>
        <v/>
      </c>
      <c r="L1462" s="6" t="inlineStr">
        <is>
          <t>Igen</t>
        </is>
      </c>
      <c r="M1462" s="7" t="inlineStr">
        <is>
          <t>Rubber Select teljes kínálata (gyártói katalógus / weboldal)</t>
        </is>
      </c>
      <c r="N1462" s="7" t="inlineStr">
        <is>
          <t>Megtalálva: a beszállító teljes kínálatából felvett termék</t>
        </is>
      </c>
      <c r="O1462" s="11" t="inlineStr">
        <is>
          <t>https://www.rubberselect.com/en/products/nrsbr-rubber-sheets/allpac-plate</t>
        </is>
      </c>
      <c r="P1462" s="11" t="inlineStr">
        <is>
          <t>https://website-9ib.pages.dev/termek/gumilap-nr-sbr-sbr-80-0-1x1-1-1/</t>
        </is>
      </c>
      <c r="Q1462" s="12" t="inlineStr"/>
      <c r="R1462" s="13" t="inlineStr"/>
      <c r="S1462" s="6" t="inlineStr">
        <is>
          <t>gumilap-nr-sbr-sbr-80-0-1x1-1-1</t>
        </is>
      </c>
    </row>
    <row r="1463">
      <c r="A1463" s="6" t="inlineStr">
        <is>
          <t>SBR 1/0</t>
        </is>
      </c>
      <c r="B1463" s="7" t="inlineStr">
        <is>
          <t>Gumilemez NR/SBR 1 mm, 1,2×10 mm</t>
        </is>
      </c>
      <c r="C1463" s="6" t="inlineStr">
        <is>
          <t>Gumiszőnyegek és gumilemezek</t>
        </is>
      </c>
      <c r="D1463" s="6" t="inlineStr">
        <is>
          <t>Gumilemezek (NR/SBR)</t>
        </is>
      </c>
      <c r="E1463" s="6" t="inlineStr">
        <is>
          <t>Rubber Select</t>
        </is>
      </c>
      <c r="F1463" s="6" t="inlineStr">
        <is>
          <t>SBR 1/0</t>
        </is>
      </c>
      <c r="G1463" s="6" t="inlineStr">
        <is>
          <t>Teljes kínálat</t>
        </is>
      </c>
      <c r="H1463" s="6" t="n">
        <v>1</v>
      </c>
      <c r="I1463" s="6" t="n">
        <v>11</v>
      </c>
      <c r="J1463" s="6" t="inlineStr">
        <is>
          <t>van</t>
        </is>
      </c>
      <c r="K1463" s="6">
        <f>IF(AND(H1463&gt;0,I1463&gt;0),"Rendben",IF(AND(H1463=0,I1463=0),"Nincs kép és adat",IF(H1463=0,"Nincs kép","Nincs adat")))</f>
        <v/>
      </c>
      <c r="L1463" s="6" t="inlineStr">
        <is>
          <t>Igen</t>
        </is>
      </c>
      <c r="M1463" s="7" t="inlineStr">
        <is>
          <t>Rubber Select teljes kínálata (gyártói katalógus / weboldal)</t>
        </is>
      </c>
      <c r="N1463" s="7" t="inlineStr">
        <is>
          <t>Megtalálva: a beszállító teljes kínálatából felvett termék</t>
        </is>
      </c>
      <c r="O1463" s="11" t="inlineStr">
        <is>
          <t>https://www.rubberselect.com/en/products/nrsbr-rubber-sheets/allpac</t>
        </is>
      </c>
      <c r="P1463" s="11" t="inlineStr">
        <is>
          <t>https://website-9ib.pages.dev/termek/gumilemez-nr-sbr-sbr-1-0-1-2-10/</t>
        </is>
      </c>
      <c r="Q1463" s="12" t="inlineStr"/>
      <c r="R1463" s="13" t="inlineStr"/>
      <c r="S1463" s="6" t="inlineStr">
        <is>
          <t>gumilemez-nr-sbr-sbr-1-0-1-2-10</t>
        </is>
      </c>
    </row>
    <row r="1464">
      <c r="A1464" s="6" t="inlineStr">
        <is>
          <t>SBR 1/0</t>
        </is>
      </c>
      <c r="B1464" s="7" t="inlineStr">
        <is>
          <t>Gumilemez NR/SBR 1 mm, 1,2×20 mm</t>
        </is>
      </c>
      <c r="C1464" s="6" t="inlineStr">
        <is>
          <t>Gumiszőnyegek és gumilemezek</t>
        </is>
      </c>
      <c r="D1464" s="6" t="inlineStr">
        <is>
          <t>Gumilemezek (NR/SBR)</t>
        </is>
      </c>
      <c r="E1464" s="6" t="inlineStr">
        <is>
          <t>Rubber Select</t>
        </is>
      </c>
      <c r="F1464" s="6" t="inlineStr">
        <is>
          <t>SBR 1/0</t>
        </is>
      </c>
      <c r="G1464" s="6" t="inlineStr">
        <is>
          <t>Teljes kínálat</t>
        </is>
      </c>
      <c r="H1464" s="6" t="n">
        <v>1</v>
      </c>
      <c r="I1464" s="6" t="n">
        <v>11</v>
      </c>
      <c r="J1464" s="6" t="inlineStr">
        <is>
          <t>van</t>
        </is>
      </c>
      <c r="K1464" s="6">
        <f>IF(AND(H1464&gt;0,I1464&gt;0),"Rendben",IF(AND(H1464=0,I1464=0),"Nincs kép és adat",IF(H1464=0,"Nincs kép","Nincs adat")))</f>
        <v/>
      </c>
      <c r="L1464" s="6" t="inlineStr">
        <is>
          <t>Igen</t>
        </is>
      </c>
      <c r="M1464" s="7" t="inlineStr">
        <is>
          <t>Rubber Select teljes kínálata (gyártói katalógus / weboldal)</t>
        </is>
      </c>
      <c r="N1464" s="7" t="inlineStr">
        <is>
          <t>Megtalálva: a beszállító teljes kínálatából felvett termék</t>
        </is>
      </c>
      <c r="O1464" s="11" t="inlineStr">
        <is>
          <t>https://www.rubberselect.com/en/products/nrsbr-rubber-sheets/allpac</t>
        </is>
      </c>
      <c r="P1464" s="11" t="inlineStr">
        <is>
          <t>https://website-9ib.pages.dev/termek/gumilemez-nr-sbr-sbr-1-0-1-2-20/</t>
        </is>
      </c>
      <c r="Q1464" s="12" t="inlineStr"/>
      <c r="R1464" s="13" t="inlineStr"/>
      <c r="S1464" s="6" t="inlineStr">
        <is>
          <t>gumilemez-nr-sbr-sbr-1-0-1-2-20</t>
        </is>
      </c>
    </row>
    <row r="1465">
      <c r="A1465" s="6" t="inlineStr">
        <is>
          <t>SBR 1/0</t>
        </is>
      </c>
      <c r="B1465" s="7" t="inlineStr">
        <is>
          <t>Gumilemez NR/SBR 1 mm, 1,4×10 mm</t>
        </is>
      </c>
      <c r="C1465" s="6" t="inlineStr">
        <is>
          <t>Gumiszőnyegek és gumilemezek</t>
        </is>
      </c>
      <c r="D1465" s="6" t="inlineStr">
        <is>
          <t>Gumilemezek (NR/SBR)</t>
        </is>
      </c>
      <c r="E1465" s="6" t="inlineStr">
        <is>
          <t>Rubber Select</t>
        </is>
      </c>
      <c r="F1465" s="6" t="inlineStr">
        <is>
          <t>SBR 1/0</t>
        </is>
      </c>
      <c r="G1465" s="6" t="inlineStr">
        <is>
          <t>Teljes kínálat</t>
        </is>
      </c>
      <c r="H1465" s="6" t="n">
        <v>1</v>
      </c>
      <c r="I1465" s="6" t="n">
        <v>11</v>
      </c>
      <c r="J1465" s="6" t="inlineStr">
        <is>
          <t>van</t>
        </is>
      </c>
      <c r="K1465" s="6">
        <f>IF(AND(H1465&gt;0,I1465&gt;0),"Rendben",IF(AND(H1465=0,I1465=0),"Nincs kép és adat",IF(H1465=0,"Nincs kép","Nincs adat")))</f>
        <v/>
      </c>
      <c r="L1465" s="6" t="inlineStr">
        <is>
          <t>Igen</t>
        </is>
      </c>
      <c r="M1465" s="7" t="inlineStr">
        <is>
          <t>Rubber Select teljes kínálata (gyártói katalógus / weboldal)</t>
        </is>
      </c>
      <c r="N1465" s="7" t="inlineStr">
        <is>
          <t>Megtalálva: a beszállító teljes kínálatából felvett termék</t>
        </is>
      </c>
      <c r="O1465" s="11" t="inlineStr">
        <is>
          <t>https://www.rubberselect.com/en/products/nrsbr-rubber-sheets/allpac</t>
        </is>
      </c>
      <c r="P1465" s="11" t="inlineStr">
        <is>
          <t>https://website-9ib.pages.dev/termek/gumilemez-nr-sbr-sbr-1-0-1-4-10/</t>
        </is>
      </c>
      <c r="Q1465" s="12" t="inlineStr"/>
      <c r="R1465" s="13" t="inlineStr"/>
      <c r="S1465" s="6" t="inlineStr">
        <is>
          <t>gumilemez-nr-sbr-sbr-1-0-1-4-10</t>
        </is>
      </c>
    </row>
    <row r="1466">
      <c r="A1466" s="6" t="inlineStr">
        <is>
          <t>SBR 1/0</t>
        </is>
      </c>
      <c r="B1466" s="7" t="inlineStr">
        <is>
          <t>Gumilemez NR/SBR 1 mm, 1,4×20 mm</t>
        </is>
      </c>
      <c r="C1466" s="6" t="inlineStr">
        <is>
          <t>Gumiszőnyegek és gumilemezek</t>
        </is>
      </c>
      <c r="D1466" s="6" t="inlineStr">
        <is>
          <t>Gumilemezek (NR/SBR)</t>
        </is>
      </c>
      <c r="E1466" s="6" t="inlineStr">
        <is>
          <t>Rubber Select</t>
        </is>
      </c>
      <c r="F1466" s="6" t="inlineStr">
        <is>
          <t>SBR 1/0</t>
        </is>
      </c>
      <c r="G1466" s="6" t="inlineStr">
        <is>
          <t>Teljes kínálat</t>
        </is>
      </c>
      <c r="H1466" s="6" t="n">
        <v>1</v>
      </c>
      <c r="I1466" s="6" t="n">
        <v>11</v>
      </c>
      <c r="J1466" s="6" t="inlineStr">
        <is>
          <t>van</t>
        </is>
      </c>
      <c r="K1466" s="6">
        <f>IF(AND(H1466&gt;0,I1466&gt;0),"Rendben",IF(AND(H1466=0,I1466=0),"Nincs kép és adat",IF(H1466=0,"Nincs kép","Nincs adat")))</f>
        <v/>
      </c>
      <c r="L1466" s="6" t="inlineStr">
        <is>
          <t>Igen</t>
        </is>
      </c>
      <c r="M1466" s="7" t="inlineStr">
        <is>
          <t>Rubber Select teljes kínálata (gyártói katalógus / weboldal)</t>
        </is>
      </c>
      <c r="N1466" s="7" t="inlineStr">
        <is>
          <t>Megtalálva: a beszállító teljes kínálatából felvett termék</t>
        </is>
      </c>
      <c r="O1466" s="11" t="inlineStr">
        <is>
          <t>https://www.rubberselect.com/en/products/nrsbr-rubber-sheets/allpac</t>
        </is>
      </c>
      <c r="P1466" s="11" t="inlineStr">
        <is>
          <t>https://website-9ib.pages.dev/termek/gumilemez-nr-sbr-sbr-1-0-1-4-20/</t>
        </is>
      </c>
      <c r="Q1466" s="12" t="inlineStr"/>
      <c r="R1466" s="13" t="inlineStr"/>
      <c r="S1466" s="6" t="inlineStr">
        <is>
          <t>gumilemez-nr-sbr-sbr-1-0-1-4-20</t>
        </is>
      </c>
    </row>
    <row r="1467">
      <c r="A1467" s="6" t="inlineStr">
        <is>
          <t>SBR 1/0</t>
        </is>
      </c>
      <c r="B1467" s="7" t="inlineStr">
        <is>
          <t>Gumilemez NR/SBR 1 mm, 1×20 mm</t>
        </is>
      </c>
      <c r="C1467" s="6" t="inlineStr">
        <is>
          <t>Gumiszőnyegek és gumilemezek</t>
        </is>
      </c>
      <c r="D1467" s="6" t="inlineStr">
        <is>
          <t>Gumilemezek (NR/SBR)</t>
        </is>
      </c>
      <c r="E1467" s="6" t="inlineStr">
        <is>
          <t>Rubber Select</t>
        </is>
      </c>
      <c r="F1467" s="6" t="inlineStr">
        <is>
          <t>SBR 1/0</t>
        </is>
      </c>
      <c r="G1467" s="6" t="inlineStr">
        <is>
          <t>Teljes kínálat</t>
        </is>
      </c>
      <c r="H1467" s="6" t="n">
        <v>1</v>
      </c>
      <c r="I1467" s="6" t="n">
        <v>11</v>
      </c>
      <c r="J1467" s="6" t="inlineStr">
        <is>
          <t>van</t>
        </is>
      </c>
      <c r="K1467" s="6">
        <f>IF(AND(H1467&gt;0,I1467&gt;0),"Rendben",IF(AND(H1467=0,I1467=0),"Nincs kép és adat",IF(H1467=0,"Nincs kép","Nincs adat")))</f>
        <v/>
      </c>
      <c r="L1467" s="6" t="inlineStr">
        <is>
          <t>Igen</t>
        </is>
      </c>
      <c r="M1467" s="7" t="inlineStr">
        <is>
          <t>Rubber Select teljes kínálata (gyártói katalógus / weboldal)</t>
        </is>
      </c>
      <c r="N1467" s="7" t="inlineStr">
        <is>
          <t>Megtalálva: a beszállító teljes kínálatából felvett termék</t>
        </is>
      </c>
      <c r="O1467" s="11" t="inlineStr">
        <is>
          <t>https://www.rubberselect.com/en/products/nrsbr-rubber-sheets/allpac</t>
        </is>
      </c>
      <c r="P1467" s="11" t="inlineStr">
        <is>
          <t>https://website-9ib.pages.dev/termek/gumilemez-nr-sbr-sbr-1-0-1-20/</t>
        </is>
      </c>
      <c r="Q1467" s="12" t="inlineStr"/>
      <c r="R1467" s="13" t="inlineStr"/>
      <c r="S1467" s="6" t="inlineStr">
        <is>
          <t>gumilemez-nr-sbr-sbr-1-0-1-20</t>
        </is>
      </c>
    </row>
    <row r="1468">
      <c r="A1468" s="6" t="inlineStr">
        <is>
          <t>SBR 1,5/0</t>
        </is>
      </c>
      <c r="B1468" s="7" t="inlineStr">
        <is>
          <t>Gumilemez NR/SBR 1,5 mm, 1,4×10 mm</t>
        </is>
      </c>
      <c r="C1468" s="6" t="inlineStr">
        <is>
          <t>Gumiszőnyegek és gumilemezek</t>
        </is>
      </c>
      <c r="D1468" s="6" t="inlineStr">
        <is>
          <t>Gumilemezek (NR/SBR)</t>
        </is>
      </c>
      <c r="E1468" s="6" t="inlineStr">
        <is>
          <t>Rubber Select</t>
        </is>
      </c>
      <c r="F1468" s="6" t="inlineStr">
        <is>
          <t>SBR 1,5/0</t>
        </is>
      </c>
      <c r="G1468" s="6" t="inlineStr">
        <is>
          <t>Teljes kínálat</t>
        </is>
      </c>
      <c r="H1468" s="6" t="n">
        <v>1</v>
      </c>
      <c r="I1468" s="6" t="n">
        <v>11</v>
      </c>
      <c r="J1468" s="6" t="inlineStr">
        <is>
          <t>van</t>
        </is>
      </c>
      <c r="K1468" s="6">
        <f>IF(AND(H1468&gt;0,I1468&gt;0),"Rendben",IF(AND(H1468=0,I1468=0),"Nincs kép és adat",IF(H1468=0,"Nincs kép","Nincs adat")))</f>
        <v/>
      </c>
      <c r="L1468" s="6" t="inlineStr">
        <is>
          <t>Igen</t>
        </is>
      </c>
      <c r="M1468" s="7" t="inlineStr">
        <is>
          <t>Rubber Select teljes kínálata (gyártói katalógus / weboldal)</t>
        </is>
      </c>
      <c r="N1468" s="7" t="inlineStr">
        <is>
          <t>Megtalálva: a beszállító teljes kínálatából felvett termék</t>
        </is>
      </c>
      <c r="O1468" s="11" t="inlineStr">
        <is>
          <t>https://www.rubberselect.com/en/products/nrsbr-rubber-sheets/allpac</t>
        </is>
      </c>
      <c r="P1468" s="11" t="inlineStr">
        <is>
          <t>https://website-9ib.pages.dev/termek/gumilemez-nr-sbr-sbr-1-5-0-1-4-10/</t>
        </is>
      </c>
      <c r="Q1468" s="12" t="inlineStr"/>
      <c r="R1468" s="13" t="inlineStr"/>
      <c r="S1468" s="6" t="inlineStr">
        <is>
          <t>gumilemez-nr-sbr-sbr-1-5-0-1-4-10</t>
        </is>
      </c>
    </row>
    <row r="1469">
      <c r="A1469" s="6" t="inlineStr">
        <is>
          <t>SBR 1,5/0</t>
        </is>
      </c>
      <c r="B1469" s="7" t="inlineStr">
        <is>
          <t>Gumilemez NR/SBR 1,5 mm, 1,4×15 mm</t>
        </is>
      </c>
      <c r="C1469" s="6" t="inlineStr">
        <is>
          <t>Gumiszőnyegek és gumilemezek</t>
        </is>
      </c>
      <c r="D1469" s="6" t="inlineStr">
        <is>
          <t>Gumilemezek (NR/SBR)</t>
        </is>
      </c>
      <c r="E1469" s="6" t="inlineStr">
        <is>
          <t>Rubber Select</t>
        </is>
      </c>
      <c r="F1469" s="6" t="inlineStr">
        <is>
          <t>SBR 1,5/0</t>
        </is>
      </c>
      <c r="G1469" s="6" t="inlineStr">
        <is>
          <t>Teljes kínálat</t>
        </is>
      </c>
      <c r="H1469" s="6" t="n">
        <v>1</v>
      </c>
      <c r="I1469" s="6" t="n">
        <v>11</v>
      </c>
      <c r="J1469" s="6" t="inlineStr">
        <is>
          <t>van</t>
        </is>
      </c>
      <c r="K1469" s="6">
        <f>IF(AND(H1469&gt;0,I1469&gt;0),"Rendben",IF(AND(H1469=0,I1469=0),"Nincs kép és adat",IF(H1469=0,"Nincs kép","Nincs adat")))</f>
        <v/>
      </c>
      <c r="L1469" s="6" t="inlineStr">
        <is>
          <t>Igen</t>
        </is>
      </c>
      <c r="M1469" s="7" t="inlineStr">
        <is>
          <t>Rubber Select teljes kínálata (gyártói katalógus / weboldal)</t>
        </is>
      </c>
      <c r="N1469" s="7" t="inlineStr">
        <is>
          <t>Megtalálva: a beszállító teljes kínálatából felvett termék</t>
        </is>
      </c>
      <c r="O1469" s="11" t="inlineStr">
        <is>
          <t>https://www.rubberselect.com/en/products/nrsbr-rubber-sheets/allpac</t>
        </is>
      </c>
      <c r="P1469" s="11" t="inlineStr">
        <is>
          <t>https://website-9ib.pages.dev/termek/gumilemez-nr-sbr-sbr-1-5-0-1-4-15/</t>
        </is>
      </c>
      <c r="Q1469" s="12" t="inlineStr"/>
      <c r="R1469" s="13" t="inlineStr"/>
      <c r="S1469" s="6" t="inlineStr">
        <is>
          <t>gumilemez-nr-sbr-sbr-1-5-0-1-4-15</t>
        </is>
      </c>
    </row>
    <row r="1470">
      <c r="A1470" s="6" t="inlineStr">
        <is>
          <t>SBR 10/0</t>
        </is>
      </c>
      <c r="B1470" s="7" t="inlineStr">
        <is>
          <t>Gumilemez NR/SBR 10 mm, 1,2×10 mm</t>
        </is>
      </c>
      <c r="C1470" s="6" t="inlineStr">
        <is>
          <t>Gumiszőnyegek és gumilemezek</t>
        </is>
      </c>
      <c r="D1470" s="6" t="inlineStr">
        <is>
          <t>Gumilemezek (NR/SBR)</t>
        </is>
      </c>
      <c r="E1470" s="6" t="inlineStr">
        <is>
          <t>Rubber Select</t>
        </is>
      </c>
      <c r="F1470" s="6" t="inlineStr">
        <is>
          <t>SBR 10/0</t>
        </is>
      </c>
      <c r="G1470" s="6" t="inlineStr">
        <is>
          <t>Teljes kínálat</t>
        </is>
      </c>
      <c r="H1470" s="6" t="n">
        <v>1</v>
      </c>
      <c r="I1470" s="6" t="n">
        <v>11</v>
      </c>
      <c r="J1470" s="6" t="inlineStr">
        <is>
          <t>van</t>
        </is>
      </c>
      <c r="K1470" s="6">
        <f>IF(AND(H1470&gt;0,I1470&gt;0),"Rendben",IF(AND(H1470=0,I1470=0),"Nincs kép és adat",IF(H1470=0,"Nincs kép","Nincs adat")))</f>
        <v/>
      </c>
      <c r="L1470" s="6" t="inlineStr">
        <is>
          <t>Igen</t>
        </is>
      </c>
      <c r="M1470" s="7" t="inlineStr">
        <is>
          <t>Rubber Select teljes kínálata (gyártói katalógus / weboldal)</t>
        </is>
      </c>
      <c r="N1470" s="7" t="inlineStr">
        <is>
          <t>Megtalálva: a beszállító teljes kínálatából felvett termék</t>
        </is>
      </c>
      <c r="O1470" s="11" t="inlineStr">
        <is>
          <t>https://www.rubberselect.com/en/products/nrsbr-rubber-sheets/allpac</t>
        </is>
      </c>
      <c r="P1470" s="11" t="inlineStr">
        <is>
          <t>https://website-9ib.pages.dev/termek/gumilemez-nr-sbr-sbr-10-0-1-2-10/</t>
        </is>
      </c>
      <c r="Q1470" s="12" t="inlineStr"/>
      <c r="R1470" s="13" t="inlineStr"/>
      <c r="S1470" s="6" t="inlineStr">
        <is>
          <t>gumilemez-nr-sbr-sbr-10-0-1-2-10</t>
        </is>
      </c>
    </row>
    <row r="1471">
      <c r="A1471" s="6" t="inlineStr">
        <is>
          <t>SBR 10/0</t>
        </is>
      </c>
      <c r="B1471" s="7" t="inlineStr">
        <is>
          <t>Gumilemez NR/SBR 10 mm, 1,2×5 mm</t>
        </is>
      </c>
      <c r="C1471" s="6" t="inlineStr">
        <is>
          <t>Gumiszőnyegek és gumilemezek</t>
        </is>
      </c>
      <c r="D1471" s="6" t="inlineStr">
        <is>
          <t>Gumilemezek (NR/SBR)</t>
        </is>
      </c>
      <c r="E1471" s="6" t="inlineStr">
        <is>
          <t>Rubber Select</t>
        </is>
      </c>
      <c r="F1471" s="6" t="inlineStr">
        <is>
          <t>SBR 10/0</t>
        </is>
      </c>
      <c r="G1471" s="6" t="inlineStr">
        <is>
          <t>Teljes kínálat</t>
        </is>
      </c>
      <c r="H1471" s="6" t="n">
        <v>1</v>
      </c>
      <c r="I1471" s="6" t="n">
        <v>11</v>
      </c>
      <c r="J1471" s="6" t="inlineStr">
        <is>
          <t>van</t>
        </is>
      </c>
      <c r="K1471" s="6">
        <f>IF(AND(H1471&gt;0,I1471&gt;0),"Rendben",IF(AND(H1471=0,I1471=0),"Nincs kép és adat",IF(H1471=0,"Nincs kép","Nincs adat")))</f>
        <v/>
      </c>
      <c r="L1471" s="6" t="inlineStr">
        <is>
          <t>Igen</t>
        </is>
      </c>
      <c r="M1471" s="7" t="inlineStr">
        <is>
          <t>Rubber Select teljes kínálata (gyártói katalógus / weboldal)</t>
        </is>
      </c>
      <c r="N1471" s="7" t="inlineStr">
        <is>
          <t>Megtalálva: a beszállító teljes kínálatából felvett termék</t>
        </is>
      </c>
      <c r="O1471" s="11" t="inlineStr">
        <is>
          <t>https://www.rubberselect.com/en/products/nrsbr-rubber-sheets/allpac</t>
        </is>
      </c>
      <c r="P1471" s="11" t="inlineStr">
        <is>
          <t>https://website-9ib.pages.dev/termek/gumilemez-nr-sbr-sbr-10-0-1-2-5/</t>
        </is>
      </c>
      <c r="Q1471" s="12" t="inlineStr"/>
      <c r="R1471" s="13" t="inlineStr"/>
      <c r="S1471" s="6" t="inlineStr">
        <is>
          <t>gumilemez-nr-sbr-sbr-10-0-1-2-5</t>
        </is>
      </c>
    </row>
    <row r="1472">
      <c r="A1472" s="6" t="inlineStr">
        <is>
          <t>SBR 10/0</t>
        </is>
      </c>
      <c r="B1472" s="7" t="inlineStr">
        <is>
          <t>Gumilemez NR/SBR 10 mm, 1,4×10 mm</t>
        </is>
      </c>
      <c r="C1472" s="6" t="inlineStr">
        <is>
          <t>Gumiszőnyegek és gumilemezek</t>
        </is>
      </c>
      <c r="D1472" s="6" t="inlineStr">
        <is>
          <t>Gumilemezek (NR/SBR)</t>
        </is>
      </c>
      <c r="E1472" s="6" t="inlineStr">
        <is>
          <t>Rubber Select</t>
        </is>
      </c>
      <c r="F1472" s="6" t="inlineStr">
        <is>
          <t>SBR 10/0</t>
        </is>
      </c>
      <c r="G1472" s="6" t="inlineStr">
        <is>
          <t>Teljes kínálat</t>
        </is>
      </c>
      <c r="H1472" s="6" t="n">
        <v>1</v>
      </c>
      <c r="I1472" s="6" t="n">
        <v>11</v>
      </c>
      <c r="J1472" s="6" t="inlineStr">
        <is>
          <t>van</t>
        </is>
      </c>
      <c r="K1472" s="6">
        <f>IF(AND(H1472&gt;0,I1472&gt;0),"Rendben",IF(AND(H1472=0,I1472=0),"Nincs kép és adat",IF(H1472=0,"Nincs kép","Nincs adat")))</f>
        <v/>
      </c>
      <c r="L1472" s="6" t="inlineStr">
        <is>
          <t>Igen</t>
        </is>
      </c>
      <c r="M1472" s="7" t="inlineStr">
        <is>
          <t>Rubber Select teljes kínálata (gyártói katalógus / weboldal)</t>
        </is>
      </c>
      <c r="N1472" s="7" t="inlineStr">
        <is>
          <t>Megtalálva: a beszállító teljes kínálatából felvett termék</t>
        </is>
      </c>
      <c r="O1472" s="11" t="inlineStr">
        <is>
          <t>https://www.rubberselect.com/en/products/nrsbr-rubber-sheets/allpac</t>
        </is>
      </c>
      <c r="P1472" s="11" t="inlineStr">
        <is>
          <t>https://website-9ib.pages.dev/termek/gumilemez-nr-sbr-sbr-10-0-1-4-10/</t>
        </is>
      </c>
      <c r="Q1472" s="12" t="inlineStr"/>
      <c r="R1472" s="13" t="inlineStr"/>
      <c r="S1472" s="6" t="inlineStr">
        <is>
          <t>gumilemez-nr-sbr-sbr-10-0-1-4-10</t>
        </is>
      </c>
    </row>
    <row r="1473">
      <c r="A1473" s="6" t="inlineStr">
        <is>
          <t>SBR 10/0</t>
        </is>
      </c>
      <c r="B1473" s="7" t="inlineStr">
        <is>
          <t>Gumilemez NR/SBR 10 mm, 1,4×5 mm</t>
        </is>
      </c>
      <c r="C1473" s="6" t="inlineStr">
        <is>
          <t>Gumiszőnyegek és gumilemezek</t>
        </is>
      </c>
      <c r="D1473" s="6" t="inlineStr">
        <is>
          <t>Gumilemezek (NR/SBR)</t>
        </is>
      </c>
      <c r="E1473" s="6" t="inlineStr">
        <is>
          <t>Rubber Select</t>
        </is>
      </c>
      <c r="F1473" s="6" t="inlineStr">
        <is>
          <t>SBR 10/0</t>
        </is>
      </c>
      <c r="G1473" s="6" t="inlineStr">
        <is>
          <t>Teljes kínálat</t>
        </is>
      </c>
      <c r="H1473" s="6" t="n">
        <v>1</v>
      </c>
      <c r="I1473" s="6" t="n">
        <v>11</v>
      </c>
      <c r="J1473" s="6" t="inlineStr">
        <is>
          <t>van</t>
        </is>
      </c>
      <c r="K1473" s="6">
        <f>IF(AND(H1473&gt;0,I1473&gt;0),"Rendben",IF(AND(H1473=0,I1473=0),"Nincs kép és adat",IF(H1473=0,"Nincs kép","Nincs adat")))</f>
        <v/>
      </c>
      <c r="L1473" s="6" t="inlineStr">
        <is>
          <t>Igen</t>
        </is>
      </c>
      <c r="M1473" s="7" t="inlineStr">
        <is>
          <t>Rubber Select teljes kínálata (gyártói katalógus / weboldal)</t>
        </is>
      </c>
      <c r="N1473" s="7" t="inlineStr">
        <is>
          <t>Megtalálva: a beszállító teljes kínálatából felvett termék</t>
        </is>
      </c>
      <c r="O1473" s="11" t="inlineStr">
        <is>
          <t>https://www.rubberselect.com/en/products/nrsbr-rubber-sheets/allpac</t>
        </is>
      </c>
      <c r="P1473" s="11" t="inlineStr">
        <is>
          <t>https://website-9ib.pages.dev/termek/gumilemez-nr-sbr-sbr-10-0-1-4-5/</t>
        </is>
      </c>
      <c r="Q1473" s="12" t="inlineStr"/>
      <c r="R1473" s="13" t="inlineStr"/>
      <c r="S1473" s="6" t="inlineStr">
        <is>
          <t>gumilemez-nr-sbr-sbr-10-0-1-4-5</t>
        </is>
      </c>
    </row>
    <row r="1474">
      <c r="A1474" s="6" t="inlineStr">
        <is>
          <t>SBR 12/0</t>
        </is>
      </c>
      <c r="B1474" s="7" t="inlineStr">
        <is>
          <t>Gumilemez NR/SBR 12 mm, 1,2×10 mm</t>
        </is>
      </c>
      <c r="C1474" s="6" t="inlineStr">
        <is>
          <t>Gumiszőnyegek és gumilemezek</t>
        </is>
      </c>
      <c r="D1474" s="6" t="inlineStr">
        <is>
          <t>Gumilemezek (NR/SBR)</t>
        </is>
      </c>
      <c r="E1474" s="6" t="inlineStr">
        <is>
          <t>Rubber Select</t>
        </is>
      </c>
      <c r="F1474" s="6" t="inlineStr">
        <is>
          <t>SBR 12/0</t>
        </is>
      </c>
      <c r="G1474" s="6" t="inlineStr">
        <is>
          <t>Teljes kínálat</t>
        </is>
      </c>
      <c r="H1474" s="6" t="n">
        <v>1</v>
      </c>
      <c r="I1474" s="6" t="n">
        <v>11</v>
      </c>
      <c r="J1474" s="6" t="inlineStr">
        <is>
          <t>van</t>
        </is>
      </c>
      <c r="K1474" s="6">
        <f>IF(AND(H1474&gt;0,I1474&gt;0),"Rendben",IF(AND(H1474=0,I1474=0),"Nincs kép és adat",IF(H1474=0,"Nincs kép","Nincs adat")))</f>
        <v/>
      </c>
      <c r="L1474" s="6" t="inlineStr">
        <is>
          <t>Igen</t>
        </is>
      </c>
      <c r="M1474" s="7" t="inlineStr">
        <is>
          <t>Rubber Select teljes kínálata (gyártói katalógus / weboldal)</t>
        </is>
      </c>
      <c r="N1474" s="7" t="inlineStr">
        <is>
          <t>Megtalálva: a beszállító teljes kínálatából felvett termék</t>
        </is>
      </c>
      <c r="O1474" s="11" t="inlineStr">
        <is>
          <t>https://www.rubberselect.com/en/products/nrsbr-rubber-sheets/allpac</t>
        </is>
      </c>
      <c r="P1474" s="11" t="inlineStr">
        <is>
          <t>https://website-9ib.pages.dev/termek/gumilemez-nr-sbr-sbr-12-0-1-2-10/</t>
        </is>
      </c>
      <c r="Q1474" s="12" t="inlineStr"/>
      <c r="R1474" s="13" t="inlineStr"/>
      <c r="S1474" s="6" t="inlineStr">
        <is>
          <t>gumilemez-nr-sbr-sbr-12-0-1-2-10</t>
        </is>
      </c>
    </row>
    <row r="1475">
      <c r="A1475" s="6" t="inlineStr">
        <is>
          <t>SBR 12/0</t>
        </is>
      </c>
      <c r="B1475" s="7" t="inlineStr">
        <is>
          <t>Gumilemez NR/SBR 12 mm, 1,4×10 mm</t>
        </is>
      </c>
      <c r="C1475" s="6" t="inlineStr">
        <is>
          <t>Gumiszőnyegek és gumilemezek</t>
        </is>
      </c>
      <c r="D1475" s="6" t="inlineStr">
        <is>
          <t>Gumilemezek (NR/SBR)</t>
        </is>
      </c>
      <c r="E1475" s="6" t="inlineStr">
        <is>
          <t>Rubber Select</t>
        </is>
      </c>
      <c r="F1475" s="6" t="inlineStr">
        <is>
          <t>SBR 12/0</t>
        </is>
      </c>
      <c r="G1475" s="6" t="inlineStr">
        <is>
          <t>Teljes kínálat</t>
        </is>
      </c>
      <c r="H1475" s="6" t="n">
        <v>1</v>
      </c>
      <c r="I1475" s="6" t="n">
        <v>11</v>
      </c>
      <c r="J1475" s="6" t="inlineStr">
        <is>
          <t>van</t>
        </is>
      </c>
      <c r="K1475" s="6">
        <f>IF(AND(H1475&gt;0,I1475&gt;0),"Rendben",IF(AND(H1475=0,I1475=0),"Nincs kép és adat",IF(H1475=0,"Nincs kép","Nincs adat")))</f>
        <v/>
      </c>
      <c r="L1475" s="6" t="inlineStr">
        <is>
          <t>Igen</t>
        </is>
      </c>
      <c r="M1475" s="7" t="inlineStr">
        <is>
          <t>Rubber Select teljes kínálata (gyártói katalógus / weboldal)</t>
        </is>
      </c>
      <c r="N1475" s="7" t="inlineStr">
        <is>
          <t>Megtalálva: a beszállító teljes kínálatából felvett termék</t>
        </is>
      </c>
      <c r="O1475" s="11" t="inlineStr">
        <is>
          <t>https://www.rubberselect.com/en/products/nrsbr-rubber-sheets/allpac</t>
        </is>
      </c>
      <c r="P1475" s="11" t="inlineStr">
        <is>
          <t>https://website-9ib.pages.dev/termek/gumilemez-nr-sbr-sbr-12-0-1-4-10/</t>
        </is>
      </c>
      <c r="Q1475" s="12" t="inlineStr"/>
      <c r="R1475" s="13" t="inlineStr"/>
      <c r="S1475" s="6" t="inlineStr">
        <is>
          <t>gumilemez-nr-sbr-sbr-12-0-1-4-10</t>
        </is>
      </c>
    </row>
    <row r="1476">
      <c r="A1476" s="6" t="inlineStr">
        <is>
          <t>SBR 12/0</t>
        </is>
      </c>
      <c r="B1476" s="7" t="inlineStr">
        <is>
          <t>Gumilemez NR/SBR 12 mm, 1,4×5 mm</t>
        </is>
      </c>
      <c r="C1476" s="6" t="inlineStr">
        <is>
          <t>Gumiszőnyegek és gumilemezek</t>
        </is>
      </c>
      <c r="D1476" s="6" t="inlineStr">
        <is>
          <t>Gumilemezek (NR/SBR)</t>
        </is>
      </c>
      <c r="E1476" s="6" t="inlineStr">
        <is>
          <t>Rubber Select</t>
        </is>
      </c>
      <c r="F1476" s="6" t="inlineStr">
        <is>
          <t>SBR 12/0</t>
        </is>
      </c>
      <c r="G1476" s="6" t="inlineStr">
        <is>
          <t>Teljes kínálat</t>
        </is>
      </c>
      <c r="H1476" s="6" t="n">
        <v>1</v>
      </c>
      <c r="I1476" s="6" t="n">
        <v>11</v>
      </c>
      <c r="J1476" s="6" t="inlineStr">
        <is>
          <t>van</t>
        </is>
      </c>
      <c r="K1476" s="6">
        <f>IF(AND(H1476&gt;0,I1476&gt;0),"Rendben",IF(AND(H1476=0,I1476=0),"Nincs kép és adat",IF(H1476=0,"Nincs kép","Nincs adat")))</f>
        <v/>
      </c>
      <c r="L1476" s="6" t="inlineStr">
        <is>
          <t>Igen</t>
        </is>
      </c>
      <c r="M1476" s="7" t="inlineStr">
        <is>
          <t>Rubber Select teljes kínálata (gyártói katalógus / weboldal)</t>
        </is>
      </c>
      <c r="N1476" s="7" t="inlineStr">
        <is>
          <t>Megtalálva: a beszállító teljes kínálatából felvett termék</t>
        </is>
      </c>
      <c r="O1476" s="11" t="inlineStr">
        <is>
          <t>https://www.rubberselect.com/en/products/nrsbr-rubber-sheets/allpac</t>
        </is>
      </c>
      <c r="P1476" s="11" t="inlineStr">
        <is>
          <t>https://website-9ib.pages.dev/termek/gumilemez-nr-sbr-sbr-12-0-1-4-5/</t>
        </is>
      </c>
      <c r="Q1476" s="12" t="inlineStr"/>
      <c r="R1476" s="13" t="inlineStr"/>
      <c r="S1476" s="6" t="inlineStr">
        <is>
          <t>gumilemez-nr-sbr-sbr-12-0-1-4-5</t>
        </is>
      </c>
    </row>
    <row r="1477">
      <c r="A1477" s="6" t="inlineStr">
        <is>
          <t>SBR 15/0</t>
        </is>
      </c>
      <c r="B1477" s="7" t="inlineStr">
        <is>
          <t>Gumilemez NR/SBR 15 mm, 1,4×10 mm</t>
        </is>
      </c>
      <c r="C1477" s="6" t="inlineStr">
        <is>
          <t>Gumiszőnyegek és gumilemezek</t>
        </is>
      </c>
      <c r="D1477" s="6" t="inlineStr">
        <is>
          <t>Gumilemezek (NR/SBR)</t>
        </is>
      </c>
      <c r="E1477" s="6" t="inlineStr">
        <is>
          <t>Rubber Select</t>
        </is>
      </c>
      <c r="F1477" s="6" t="inlineStr">
        <is>
          <t>SBR 15/0</t>
        </is>
      </c>
      <c r="G1477" s="6" t="inlineStr">
        <is>
          <t>Teljes kínálat</t>
        </is>
      </c>
      <c r="H1477" s="6" t="n">
        <v>1</v>
      </c>
      <c r="I1477" s="6" t="n">
        <v>11</v>
      </c>
      <c r="J1477" s="6" t="inlineStr">
        <is>
          <t>van</t>
        </is>
      </c>
      <c r="K1477" s="6">
        <f>IF(AND(H1477&gt;0,I1477&gt;0),"Rendben",IF(AND(H1477=0,I1477=0),"Nincs kép és adat",IF(H1477=0,"Nincs kép","Nincs adat")))</f>
        <v/>
      </c>
      <c r="L1477" s="6" t="inlineStr">
        <is>
          <t>Igen</t>
        </is>
      </c>
      <c r="M1477" s="7" t="inlineStr">
        <is>
          <t>Rubber Select teljes kínálata (gyártói katalógus / weboldal)</t>
        </is>
      </c>
      <c r="N1477" s="7" t="inlineStr">
        <is>
          <t>Megtalálva: a beszállító teljes kínálatából felvett termék</t>
        </is>
      </c>
      <c r="O1477" s="11" t="inlineStr">
        <is>
          <t>https://www.rubberselect.com/en/products/nrsbr-rubber-sheets/allpac</t>
        </is>
      </c>
      <c r="P1477" s="11" t="inlineStr">
        <is>
          <t>https://website-9ib.pages.dev/termek/gumilemez-nr-sbr-sbr-15-0-1-4-10/</t>
        </is>
      </c>
      <c r="Q1477" s="12" t="inlineStr"/>
      <c r="R1477" s="13" t="inlineStr"/>
      <c r="S1477" s="6" t="inlineStr">
        <is>
          <t>gumilemez-nr-sbr-sbr-15-0-1-4-10</t>
        </is>
      </c>
    </row>
    <row r="1478">
      <c r="A1478" s="6" t="inlineStr">
        <is>
          <t>SBR 15/0</t>
        </is>
      </c>
      <c r="B1478" s="7" t="inlineStr">
        <is>
          <t>Gumilemez NR/SBR 15 mm, 1,4×5 mm</t>
        </is>
      </c>
      <c r="C1478" s="6" t="inlineStr">
        <is>
          <t>Gumiszőnyegek és gumilemezek</t>
        </is>
      </c>
      <c r="D1478" s="6" t="inlineStr">
        <is>
          <t>Gumilemezek (NR/SBR)</t>
        </is>
      </c>
      <c r="E1478" s="6" t="inlineStr">
        <is>
          <t>Rubber Select</t>
        </is>
      </c>
      <c r="F1478" s="6" t="inlineStr">
        <is>
          <t>SBR 15/0</t>
        </is>
      </c>
      <c r="G1478" s="6" t="inlineStr">
        <is>
          <t>Teljes kínálat</t>
        </is>
      </c>
      <c r="H1478" s="6" t="n">
        <v>1</v>
      </c>
      <c r="I1478" s="6" t="n">
        <v>11</v>
      </c>
      <c r="J1478" s="6" t="inlineStr">
        <is>
          <t>van</t>
        </is>
      </c>
      <c r="K1478" s="6">
        <f>IF(AND(H1478&gt;0,I1478&gt;0),"Rendben",IF(AND(H1478=0,I1478=0),"Nincs kép és adat",IF(H1478=0,"Nincs kép","Nincs adat")))</f>
        <v/>
      </c>
      <c r="L1478" s="6" t="inlineStr">
        <is>
          <t>Igen</t>
        </is>
      </c>
      <c r="M1478" s="7" t="inlineStr">
        <is>
          <t>Rubber Select teljes kínálata (gyártói katalógus / weboldal)</t>
        </is>
      </c>
      <c r="N1478" s="7" t="inlineStr">
        <is>
          <t>Megtalálva: a beszállító teljes kínálatából felvett termék</t>
        </is>
      </c>
      <c r="O1478" s="11" t="inlineStr">
        <is>
          <t>https://www.rubberselect.com/en/products/nrsbr-rubber-sheets/allpac</t>
        </is>
      </c>
      <c r="P1478" s="11" t="inlineStr">
        <is>
          <t>https://website-9ib.pages.dev/termek/gumilemez-nr-sbr-sbr-15-0-1-4-5/</t>
        </is>
      </c>
      <c r="Q1478" s="12" t="inlineStr"/>
      <c r="R1478" s="13" t="inlineStr"/>
      <c r="S1478" s="6" t="inlineStr">
        <is>
          <t>gumilemez-nr-sbr-sbr-15-0-1-4-5</t>
        </is>
      </c>
    </row>
    <row r="1479">
      <c r="A1479" s="6" t="inlineStr">
        <is>
          <t>SBR 2/0</t>
        </is>
      </c>
      <c r="B1479" s="7" t="inlineStr">
        <is>
          <t>Gumilemez NR/SBR 2 mm, 1,2×10 mm</t>
        </is>
      </c>
      <c r="C1479" s="6" t="inlineStr">
        <is>
          <t>Gumiszőnyegek és gumilemezek</t>
        </is>
      </c>
      <c r="D1479" s="6" t="inlineStr">
        <is>
          <t>Gumilemezek (NR/SBR)</t>
        </is>
      </c>
      <c r="E1479" s="6" t="inlineStr">
        <is>
          <t>Rubber Select</t>
        </is>
      </c>
      <c r="F1479" s="6" t="inlineStr">
        <is>
          <t>SBR 2/0</t>
        </is>
      </c>
      <c r="G1479" s="6" t="inlineStr">
        <is>
          <t>Teljes kínálat</t>
        </is>
      </c>
      <c r="H1479" s="6" t="n">
        <v>1</v>
      </c>
      <c r="I1479" s="6" t="n">
        <v>11</v>
      </c>
      <c r="J1479" s="6" t="inlineStr">
        <is>
          <t>van</t>
        </is>
      </c>
      <c r="K1479" s="6">
        <f>IF(AND(H1479&gt;0,I1479&gt;0),"Rendben",IF(AND(H1479=0,I1479=0),"Nincs kép és adat",IF(H1479=0,"Nincs kép","Nincs adat")))</f>
        <v/>
      </c>
      <c r="L1479" s="6" t="inlineStr">
        <is>
          <t>Igen</t>
        </is>
      </c>
      <c r="M1479" s="7" t="inlineStr">
        <is>
          <t>Rubber Select teljes kínálata (gyártói katalógus / weboldal)</t>
        </is>
      </c>
      <c r="N1479" s="7" t="inlineStr">
        <is>
          <t>Megtalálva: a beszállító teljes kínálatából felvett termék</t>
        </is>
      </c>
      <c r="O1479" s="11" t="inlineStr">
        <is>
          <t>https://www.rubberselect.com/en/products/nrsbr-rubber-sheets/allpac</t>
        </is>
      </c>
      <c r="P1479" s="11" t="inlineStr">
        <is>
          <t>https://website-9ib.pages.dev/termek/gumilemez-nr-sbr-sbr-2-0-1-2-10/</t>
        </is>
      </c>
      <c r="Q1479" s="12" t="inlineStr"/>
      <c r="R1479" s="13" t="inlineStr"/>
      <c r="S1479" s="6" t="inlineStr">
        <is>
          <t>gumilemez-nr-sbr-sbr-2-0-1-2-10</t>
        </is>
      </c>
    </row>
    <row r="1480">
      <c r="A1480" s="6" t="inlineStr">
        <is>
          <t>SBR 2/0</t>
        </is>
      </c>
      <c r="B1480" s="7" t="inlineStr">
        <is>
          <t>Gumilemez NR/SBR 2 mm, 1,4×10 mm</t>
        </is>
      </c>
      <c r="C1480" s="6" t="inlineStr">
        <is>
          <t>Gumiszőnyegek és gumilemezek</t>
        </is>
      </c>
      <c r="D1480" s="6" t="inlineStr">
        <is>
          <t>Gumilemezek (NR/SBR)</t>
        </is>
      </c>
      <c r="E1480" s="6" t="inlineStr">
        <is>
          <t>Rubber Select</t>
        </is>
      </c>
      <c r="F1480" s="6" t="inlineStr">
        <is>
          <t>SBR 2/0</t>
        </is>
      </c>
      <c r="G1480" s="6" t="inlineStr">
        <is>
          <t>Teljes kínálat</t>
        </is>
      </c>
      <c r="H1480" s="6" t="n">
        <v>1</v>
      </c>
      <c r="I1480" s="6" t="n">
        <v>11</v>
      </c>
      <c r="J1480" s="6" t="inlineStr">
        <is>
          <t>van</t>
        </is>
      </c>
      <c r="K1480" s="6">
        <f>IF(AND(H1480&gt;0,I1480&gt;0),"Rendben",IF(AND(H1480=0,I1480=0),"Nincs kép és adat",IF(H1480=0,"Nincs kép","Nincs adat")))</f>
        <v/>
      </c>
      <c r="L1480" s="6" t="inlineStr">
        <is>
          <t>Igen</t>
        </is>
      </c>
      <c r="M1480" s="7" t="inlineStr">
        <is>
          <t>Rubber Select teljes kínálata (gyártói katalógus / weboldal)</t>
        </is>
      </c>
      <c r="N1480" s="7" t="inlineStr">
        <is>
          <t>Megtalálva: a beszállító teljes kínálatából felvett termék</t>
        </is>
      </c>
      <c r="O1480" s="11" t="inlineStr">
        <is>
          <t>https://www.rubberselect.com/en/products/nrsbr-rubber-sheets/allpac</t>
        </is>
      </c>
      <c r="P1480" s="11" t="inlineStr">
        <is>
          <t>https://website-9ib.pages.dev/termek/gumilemez-nr-sbr-sbr-2-0-1-4-10/</t>
        </is>
      </c>
      <c r="Q1480" s="12" t="inlineStr"/>
      <c r="R1480" s="13" t="inlineStr"/>
      <c r="S1480" s="6" t="inlineStr">
        <is>
          <t>gumilemez-nr-sbr-sbr-2-0-1-4-10</t>
        </is>
      </c>
    </row>
    <row r="1481">
      <c r="A1481" s="6" t="inlineStr">
        <is>
          <t>SBR 2/0</t>
        </is>
      </c>
      <c r="B1481" s="7" t="inlineStr">
        <is>
          <t>Gumilemez NR/SBR 2 mm, 1,4×20 mm</t>
        </is>
      </c>
      <c r="C1481" s="6" t="inlineStr">
        <is>
          <t>Gumiszőnyegek és gumilemezek</t>
        </is>
      </c>
      <c r="D1481" s="6" t="inlineStr">
        <is>
          <t>Gumilemezek (NR/SBR)</t>
        </is>
      </c>
      <c r="E1481" s="6" t="inlineStr">
        <is>
          <t>Rubber Select</t>
        </is>
      </c>
      <c r="F1481" s="6" t="inlineStr">
        <is>
          <t>SBR 2/0</t>
        </is>
      </c>
      <c r="G1481" s="6" t="inlineStr">
        <is>
          <t>Teljes kínálat</t>
        </is>
      </c>
      <c r="H1481" s="6" t="n">
        <v>1</v>
      </c>
      <c r="I1481" s="6" t="n">
        <v>11</v>
      </c>
      <c r="J1481" s="6" t="inlineStr">
        <is>
          <t>van</t>
        </is>
      </c>
      <c r="K1481" s="6">
        <f>IF(AND(H1481&gt;0,I1481&gt;0),"Rendben",IF(AND(H1481=0,I1481=0),"Nincs kép és adat",IF(H1481=0,"Nincs kép","Nincs adat")))</f>
        <v/>
      </c>
      <c r="L1481" s="6" t="inlineStr">
        <is>
          <t>Igen</t>
        </is>
      </c>
      <c r="M1481" s="7" t="inlineStr">
        <is>
          <t>Rubber Select teljes kínálata (gyártói katalógus / weboldal)</t>
        </is>
      </c>
      <c r="N1481" s="7" t="inlineStr">
        <is>
          <t>Megtalálva: a beszállító teljes kínálatából felvett termék</t>
        </is>
      </c>
      <c r="O1481" s="11" t="inlineStr">
        <is>
          <t>https://www.rubberselect.com/en/products/nrsbr-rubber-sheets/allpac</t>
        </is>
      </c>
      <c r="P1481" s="11" t="inlineStr">
        <is>
          <t>https://website-9ib.pages.dev/termek/gumilemez-nr-sbr-sbr-2-0-1-4-20/</t>
        </is>
      </c>
      <c r="Q1481" s="12" t="inlineStr"/>
      <c r="R1481" s="13" t="inlineStr"/>
      <c r="S1481" s="6" t="inlineStr">
        <is>
          <t>gumilemez-nr-sbr-sbr-2-0-1-4-20</t>
        </is>
      </c>
    </row>
    <row r="1482">
      <c r="A1482" s="6" t="inlineStr">
        <is>
          <t>SBR 20/0</t>
        </is>
      </c>
      <c r="B1482" s="7" t="inlineStr">
        <is>
          <t>Gumilemez NR/SBR 20 mm, 1,4×10 mm</t>
        </is>
      </c>
      <c r="C1482" s="6" t="inlineStr">
        <is>
          <t>Gumiszőnyegek és gumilemezek</t>
        </is>
      </c>
      <c r="D1482" s="6" t="inlineStr">
        <is>
          <t>Gumilemezek (NR/SBR)</t>
        </is>
      </c>
      <c r="E1482" s="6" t="inlineStr">
        <is>
          <t>Rubber Select</t>
        </is>
      </c>
      <c r="F1482" s="6" t="inlineStr">
        <is>
          <t>SBR 20/0</t>
        </is>
      </c>
      <c r="G1482" s="6" t="inlineStr">
        <is>
          <t>Teljes kínálat</t>
        </is>
      </c>
      <c r="H1482" s="6" t="n">
        <v>1</v>
      </c>
      <c r="I1482" s="6" t="n">
        <v>11</v>
      </c>
      <c r="J1482" s="6" t="inlineStr">
        <is>
          <t>van</t>
        </is>
      </c>
      <c r="K1482" s="6">
        <f>IF(AND(H1482&gt;0,I1482&gt;0),"Rendben",IF(AND(H1482=0,I1482=0),"Nincs kép és adat",IF(H1482=0,"Nincs kép","Nincs adat")))</f>
        <v/>
      </c>
      <c r="L1482" s="6" t="inlineStr">
        <is>
          <t>Igen</t>
        </is>
      </c>
      <c r="M1482" s="7" t="inlineStr">
        <is>
          <t>Rubber Select teljes kínálata (gyártói katalógus / weboldal)</t>
        </is>
      </c>
      <c r="N1482" s="7" t="inlineStr">
        <is>
          <t>Megtalálva: a beszállító teljes kínálatából felvett termék</t>
        </is>
      </c>
      <c r="O1482" s="11" t="inlineStr">
        <is>
          <t>https://www.rubberselect.com/en/products/nrsbr-rubber-sheets/allpac</t>
        </is>
      </c>
      <c r="P1482" s="11" t="inlineStr">
        <is>
          <t>https://website-9ib.pages.dev/termek/gumilemez-nr-sbr-sbr-20-0-1-4-10/</t>
        </is>
      </c>
      <c r="Q1482" s="12" t="inlineStr"/>
      <c r="R1482" s="13" t="inlineStr"/>
      <c r="S1482" s="6" t="inlineStr">
        <is>
          <t>gumilemez-nr-sbr-sbr-20-0-1-4-10</t>
        </is>
      </c>
    </row>
    <row r="1483">
      <c r="A1483" s="6" t="inlineStr">
        <is>
          <t>SBR 20/0</t>
        </is>
      </c>
      <c r="B1483" s="7" t="inlineStr">
        <is>
          <t>Gumilemez NR/SBR 20 mm, 1,4×5 mm</t>
        </is>
      </c>
      <c r="C1483" s="6" t="inlineStr">
        <is>
          <t>Gumiszőnyegek és gumilemezek</t>
        </is>
      </c>
      <c r="D1483" s="6" t="inlineStr">
        <is>
          <t>Gumilemezek (NR/SBR)</t>
        </is>
      </c>
      <c r="E1483" s="6" t="inlineStr">
        <is>
          <t>Rubber Select</t>
        </is>
      </c>
      <c r="F1483" s="6" t="inlineStr">
        <is>
          <t>SBR 20/0</t>
        </is>
      </c>
      <c r="G1483" s="6" t="inlineStr">
        <is>
          <t>Teljes kínálat</t>
        </is>
      </c>
      <c r="H1483" s="6" t="n">
        <v>1</v>
      </c>
      <c r="I1483" s="6" t="n">
        <v>11</v>
      </c>
      <c r="J1483" s="6" t="inlineStr">
        <is>
          <t>van</t>
        </is>
      </c>
      <c r="K1483" s="6">
        <f>IF(AND(H1483&gt;0,I1483&gt;0),"Rendben",IF(AND(H1483=0,I1483=0),"Nincs kép és adat",IF(H1483=0,"Nincs kép","Nincs adat")))</f>
        <v/>
      </c>
      <c r="L1483" s="6" t="inlineStr">
        <is>
          <t>Igen</t>
        </is>
      </c>
      <c r="M1483" s="7" t="inlineStr">
        <is>
          <t>Rubber Select teljes kínálata (gyártói katalógus / weboldal)</t>
        </is>
      </c>
      <c r="N1483" s="7" t="inlineStr">
        <is>
          <t>Megtalálva: a beszállító teljes kínálatából felvett termék</t>
        </is>
      </c>
      <c r="O1483" s="11" t="inlineStr">
        <is>
          <t>https://www.rubberselect.com/en/products/nrsbr-rubber-sheets/allpac</t>
        </is>
      </c>
      <c r="P1483" s="11" t="inlineStr">
        <is>
          <t>https://website-9ib.pages.dev/termek/gumilemez-nr-sbr-sbr-20-0-1-4-5/</t>
        </is>
      </c>
      <c r="Q1483" s="12" t="inlineStr"/>
      <c r="R1483" s="13" t="inlineStr"/>
      <c r="S1483" s="6" t="inlineStr">
        <is>
          <t>gumilemez-nr-sbr-sbr-20-0-1-4-5</t>
        </is>
      </c>
    </row>
    <row r="1484">
      <c r="A1484" s="6" t="inlineStr">
        <is>
          <t>SBR 25/0</t>
        </is>
      </c>
      <c r="B1484" s="7" t="inlineStr">
        <is>
          <t>Gumilemez NR/SBR 25 mm, 1,4×10 mm</t>
        </is>
      </c>
      <c r="C1484" s="6" t="inlineStr">
        <is>
          <t>Gumiszőnyegek és gumilemezek</t>
        </is>
      </c>
      <c r="D1484" s="6" t="inlineStr">
        <is>
          <t>Gumilemezek (NR/SBR)</t>
        </is>
      </c>
      <c r="E1484" s="6" t="inlineStr">
        <is>
          <t>Rubber Select</t>
        </is>
      </c>
      <c r="F1484" s="6" t="inlineStr">
        <is>
          <t>SBR 25/0</t>
        </is>
      </c>
      <c r="G1484" s="6" t="inlineStr">
        <is>
          <t>Teljes kínálat</t>
        </is>
      </c>
      <c r="H1484" s="6" t="n">
        <v>1</v>
      </c>
      <c r="I1484" s="6" t="n">
        <v>11</v>
      </c>
      <c r="J1484" s="6" t="inlineStr">
        <is>
          <t>van</t>
        </is>
      </c>
      <c r="K1484" s="6">
        <f>IF(AND(H1484&gt;0,I1484&gt;0),"Rendben",IF(AND(H1484=0,I1484=0),"Nincs kép és adat",IF(H1484=0,"Nincs kép","Nincs adat")))</f>
        <v/>
      </c>
      <c r="L1484" s="6" t="inlineStr">
        <is>
          <t>Igen</t>
        </is>
      </c>
      <c r="M1484" s="7" t="inlineStr">
        <is>
          <t>Rubber Select teljes kínálata (gyártói katalógus / weboldal)</t>
        </is>
      </c>
      <c r="N1484" s="7" t="inlineStr">
        <is>
          <t>Megtalálva: a beszállító teljes kínálatából felvett termék</t>
        </is>
      </c>
      <c r="O1484" s="11" t="inlineStr">
        <is>
          <t>https://www.rubberselect.com/en/products/nrsbr-rubber-sheets/allpac</t>
        </is>
      </c>
      <c r="P1484" s="11" t="inlineStr">
        <is>
          <t>https://website-9ib.pages.dev/termek/gumilemez-nr-sbr-sbr-25-0-1-4-10/</t>
        </is>
      </c>
      <c r="Q1484" s="12" t="inlineStr"/>
      <c r="R1484" s="13" t="inlineStr"/>
      <c r="S1484" s="6" t="inlineStr">
        <is>
          <t>gumilemez-nr-sbr-sbr-25-0-1-4-10</t>
        </is>
      </c>
    </row>
    <row r="1485">
      <c r="A1485" s="6" t="inlineStr">
        <is>
          <t>SBR 25/0</t>
        </is>
      </c>
      <c r="B1485" s="7" t="inlineStr">
        <is>
          <t>Gumilemez NR/SBR 25 mm, 1,4×5 mm</t>
        </is>
      </c>
      <c r="C1485" s="6" t="inlineStr">
        <is>
          <t>Gumiszőnyegek és gumilemezek</t>
        </is>
      </c>
      <c r="D1485" s="6" t="inlineStr">
        <is>
          <t>Gumilemezek (NR/SBR)</t>
        </is>
      </c>
      <c r="E1485" s="6" t="inlineStr">
        <is>
          <t>Rubber Select</t>
        </is>
      </c>
      <c r="F1485" s="6" t="inlineStr">
        <is>
          <t>SBR 25/0</t>
        </is>
      </c>
      <c r="G1485" s="6" t="inlineStr">
        <is>
          <t>Teljes kínálat</t>
        </is>
      </c>
      <c r="H1485" s="6" t="n">
        <v>1</v>
      </c>
      <c r="I1485" s="6" t="n">
        <v>11</v>
      </c>
      <c r="J1485" s="6" t="inlineStr">
        <is>
          <t>van</t>
        </is>
      </c>
      <c r="K1485" s="6">
        <f>IF(AND(H1485&gt;0,I1485&gt;0),"Rendben",IF(AND(H1485=0,I1485=0),"Nincs kép és adat",IF(H1485=0,"Nincs kép","Nincs adat")))</f>
        <v/>
      </c>
      <c r="L1485" s="6" t="inlineStr">
        <is>
          <t>Igen</t>
        </is>
      </c>
      <c r="M1485" s="7" t="inlineStr">
        <is>
          <t>Rubber Select teljes kínálata (gyártói katalógus / weboldal)</t>
        </is>
      </c>
      <c r="N1485" s="7" t="inlineStr">
        <is>
          <t>Megtalálva: a beszállító teljes kínálatából felvett termék</t>
        </is>
      </c>
      <c r="O1485" s="11" t="inlineStr">
        <is>
          <t>https://www.rubberselect.com/en/products/nrsbr-rubber-sheets/allpac</t>
        </is>
      </c>
      <c r="P1485" s="11" t="inlineStr">
        <is>
          <t>https://website-9ib.pages.dev/termek/gumilemez-nr-sbr-sbr-25-0-1-4-5/</t>
        </is>
      </c>
      <c r="Q1485" s="12" t="inlineStr"/>
      <c r="R1485" s="13" t="inlineStr"/>
      <c r="S1485" s="6" t="inlineStr">
        <is>
          <t>gumilemez-nr-sbr-sbr-25-0-1-4-5</t>
        </is>
      </c>
    </row>
    <row r="1486">
      <c r="A1486" s="6" t="inlineStr">
        <is>
          <t>SBR 3/0</t>
        </is>
      </c>
      <c r="B1486" s="7" t="inlineStr">
        <is>
          <t>Gumilemez NR/SBR 3 mm, 1,2×10 mm</t>
        </is>
      </c>
      <c r="C1486" s="6" t="inlineStr">
        <is>
          <t>Gumiszőnyegek és gumilemezek</t>
        </is>
      </c>
      <c r="D1486" s="6" t="inlineStr">
        <is>
          <t>Gumilemezek (NR/SBR)</t>
        </is>
      </c>
      <c r="E1486" s="6" t="inlineStr">
        <is>
          <t>Rubber Select</t>
        </is>
      </c>
      <c r="F1486" s="6" t="inlineStr">
        <is>
          <t>SBR 3/0</t>
        </is>
      </c>
      <c r="G1486" s="6" t="inlineStr">
        <is>
          <t>Teljes kínálat</t>
        </is>
      </c>
      <c r="H1486" s="6" t="n">
        <v>1</v>
      </c>
      <c r="I1486" s="6" t="n">
        <v>11</v>
      </c>
      <c r="J1486" s="6" t="inlineStr">
        <is>
          <t>van</t>
        </is>
      </c>
      <c r="K1486" s="6">
        <f>IF(AND(H1486&gt;0,I1486&gt;0),"Rendben",IF(AND(H1486=0,I1486=0),"Nincs kép és adat",IF(H1486=0,"Nincs kép","Nincs adat")))</f>
        <v/>
      </c>
      <c r="L1486" s="6" t="inlineStr">
        <is>
          <t>Igen</t>
        </is>
      </c>
      <c r="M1486" s="7" t="inlineStr">
        <is>
          <t>Rubber Select teljes kínálata (gyártói katalógus / weboldal)</t>
        </is>
      </c>
      <c r="N1486" s="7" t="inlineStr">
        <is>
          <t>Megtalálva: a beszállító teljes kínálatából felvett termék</t>
        </is>
      </c>
      <c r="O1486" s="11" t="inlineStr">
        <is>
          <t>https://www.rubberselect.com/en/products/nrsbr-rubber-sheets/allpac</t>
        </is>
      </c>
      <c r="P1486" s="11" t="inlineStr">
        <is>
          <t>https://website-9ib.pages.dev/termek/gumilemez-nr-sbr-sbr-3-0-1-2-10/</t>
        </is>
      </c>
      <c r="Q1486" s="12" t="inlineStr"/>
      <c r="R1486" s="13" t="inlineStr"/>
      <c r="S1486" s="6" t="inlineStr">
        <is>
          <t>gumilemez-nr-sbr-sbr-3-0-1-2-10</t>
        </is>
      </c>
    </row>
    <row r="1487">
      <c r="A1487" s="6" t="inlineStr">
        <is>
          <t>SBR 3/0</t>
        </is>
      </c>
      <c r="B1487" s="7" t="inlineStr">
        <is>
          <t>Gumilemez NR/SBR 3 mm, 1,4×10 mm</t>
        </is>
      </c>
      <c r="C1487" s="6" t="inlineStr">
        <is>
          <t>Gumiszőnyegek és gumilemezek</t>
        </is>
      </c>
      <c r="D1487" s="6" t="inlineStr">
        <is>
          <t>Gumilemezek (NR/SBR)</t>
        </is>
      </c>
      <c r="E1487" s="6" t="inlineStr">
        <is>
          <t>Rubber Select</t>
        </is>
      </c>
      <c r="F1487" s="6" t="inlineStr">
        <is>
          <t>SBR 3/0</t>
        </is>
      </c>
      <c r="G1487" s="6" t="inlineStr">
        <is>
          <t>Teljes kínálat</t>
        </is>
      </c>
      <c r="H1487" s="6" t="n">
        <v>1</v>
      </c>
      <c r="I1487" s="6" t="n">
        <v>11</v>
      </c>
      <c r="J1487" s="6" t="inlineStr">
        <is>
          <t>van</t>
        </is>
      </c>
      <c r="K1487" s="6">
        <f>IF(AND(H1487&gt;0,I1487&gt;0),"Rendben",IF(AND(H1487=0,I1487=0),"Nincs kép és adat",IF(H1487=0,"Nincs kép","Nincs adat")))</f>
        <v/>
      </c>
      <c r="L1487" s="6" t="inlineStr">
        <is>
          <t>Igen</t>
        </is>
      </c>
      <c r="M1487" s="7" t="inlineStr">
        <is>
          <t>Rubber Select teljes kínálata (gyártói katalógus / weboldal)</t>
        </is>
      </c>
      <c r="N1487" s="7" t="inlineStr">
        <is>
          <t>Megtalálva: a beszállító teljes kínálatából felvett termék</t>
        </is>
      </c>
      <c r="O1487" s="11" t="inlineStr">
        <is>
          <t>https://www.rubberselect.com/en/products/nrsbr-rubber-sheets/allpac</t>
        </is>
      </c>
      <c r="P1487" s="11" t="inlineStr">
        <is>
          <t>https://website-9ib.pages.dev/termek/gumilemez-nr-sbr-sbr-3-0-1-4-10/</t>
        </is>
      </c>
      <c r="Q1487" s="12" t="inlineStr"/>
      <c r="R1487" s="13" t="inlineStr"/>
      <c r="S1487" s="6" t="inlineStr">
        <is>
          <t>gumilemez-nr-sbr-sbr-3-0-1-4-10</t>
        </is>
      </c>
    </row>
    <row r="1488">
      <c r="A1488" s="6" t="inlineStr">
        <is>
          <t>SBR 3/0</t>
        </is>
      </c>
      <c r="B1488" s="7" t="inlineStr">
        <is>
          <t>Gumilemez NR/SBR 3 mm, 1,4×20 mm</t>
        </is>
      </c>
      <c r="C1488" s="6" t="inlineStr">
        <is>
          <t>Gumiszőnyegek és gumilemezek</t>
        </is>
      </c>
      <c r="D1488" s="6" t="inlineStr">
        <is>
          <t>Gumilemezek (NR/SBR)</t>
        </is>
      </c>
      <c r="E1488" s="6" t="inlineStr">
        <is>
          <t>Rubber Select</t>
        </is>
      </c>
      <c r="F1488" s="6" t="inlineStr">
        <is>
          <t>SBR 3/0</t>
        </is>
      </c>
      <c r="G1488" s="6" t="inlineStr">
        <is>
          <t>Teljes kínálat</t>
        </is>
      </c>
      <c r="H1488" s="6" t="n">
        <v>1</v>
      </c>
      <c r="I1488" s="6" t="n">
        <v>11</v>
      </c>
      <c r="J1488" s="6" t="inlineStr">
        <is>
          <t>van</t>
        </is>
      </c>
      <c r="K1488" s="6">
        <f>IF(AND(H1488&gt;0,I1488&gt;0),"Rendben",IF(AND(H1488=0,I1488=0),"Nincs kép és adat",IF(H1488=0,"Nincs kép","Nincs adat")))</f>
        <v/>
      </c>
      <c r="L1488" s="6" t="inlineStr">
        <is>
          <t>Igen</t>
        </is>
      </c>
      <c r="M1488" s="7" t="inlineStr">
        <is>
          <t>Rubber Select teljes kínálata (gyártói katalógus / weboldal)</t>
        </is>
      </c>
      <c r="N1488" s="7" t="inlineStr">
        <is>
          <t>Megtalálva: a beszállító teljes kínálatából felvett termék</t>
        </is>
      </c>
      <c r="O1488" s="11" t="inlineStr">
        <is>
          <t>https://www.rubberselect.com/en/products/nrsbr-rubber-sheets/allpac</t>
        </is>
      </c>
      <c r="P1488" s="11" t="inlineStr">
        <is>
          <t>https://website-9ib.pages.dev/termek/gumilemez-nr-sbr-sbr-3-0-1-4-20/</t>
        </is>
      </c>
      <c r="Q1488" s="12" t="inlineStr"/>
      <c r="R1488" s="13" t="inlineStr"/>
      <c r="S1488" s="6" t="inlineStr">
        <is>
          <t>gumilemez-nr-sbr-sbr-3-0-1-4-20</t>
        </is>
      </c>
    </row>
    <row r="1489">
      <c r="A1489" s="6" t="inlineStr">
        <is>
          <t>SBR 30/0</t>
        </is>
      </c>
      <c r="B1489" s="7" t="inlineStr">
        <is>
          <t>Gumilemez NR/SBR 30 mm, 1,4×10 mm</t>
        </is>
      </c>
      <c r="C1489" s="6" t="inlineStr">
        <is>
          <t>Gumiszőnyegek és gumilemezek</t>
        </is>
      </c>
      <c r="D1489" s="6" t="inlineStr">
        <is>
          <t>Gumilemezek (NR/SBR)</t>
        </is>
      </c>
      <c r="E1489" s="6" t="inlineStr">
        <is>
          <t>Rubber Select</t>
        </is>
      </c>
      <c r="F1489" s="6" t="inlineStr">
        <is>
          <t>SBR 30/0</t>
        </is>
      </c>
      <c r="G1489" s="6" t="inlineStr">
        <is>
          <t>Teljes kínálat</t>
        </is>
      </c>
      <c r="H1489" s="6" t="n">
        <v>1</v>
      </c>
      <c r="I1489" s="6" t="n">
        <v>11</v>
      </c>
      <c r="J1489" s="6" t="inlineStr">
        <is>
          <t>van</t>
        </is>
      </c>
      <c r="K1489" s="6">
        <f>IF(AND(H1489&gt;0,I1489&gt;0),"Rendben",IF(AND(H1489=0,I1489=0),"Nincs kép és adat",IF(H1489=0,"Nincs kép","Nincs adat")))</f>
        <v/>
      </c>
      <c r="L1489" s="6" t="inlineStr">
        <is>
          <t>Igen</t>
        </is>
      </c>
      <c r="M1489" s="7" t="inlineStr">
        <is>
          <t>Rubber Select teljes kínálata (gyártói katalógus / weboldal)</t>
        </is>
      </c>
      <c r="N1489" s="7" t="inlineStr">
        <is>
          <t>Megtalálva: a beszállító teljes kínálatából felvett termék</t>
        </is>
      </c>
      <c r="O1489" s="11" t="inlineStr">
        <is>
          <t>https://www.rubberselect.com/en/products/nrsbr-rubber-sheets/allpac</t>
        </is>
      </c>
      <c r="P1489" s="11" t="inlineStr">
        <is>
          <t>https://website-9ib.pages.dev/termek/gumilemez-nr-sbr-sbr-30-0-1-4-10/</t>
        </is>
      </c>
      <c r="Q1489" s="12" t="inlineStr"/>
      <c r="R1489" s="13" t="inlineStr"/>
      <c r="S1489" s="6" t="inlineStr">
        <is>
          <t>gumilemez-nr-sbr-sbr-30-0-1-4-10</t>
        </is>
      </c>
    </row>
    <row r="1490">
      <c r="A1490" s="6" t="inlineStr">
        <is>
          <t>SBR 30/0</t>
        </is>
      </c>
      <c r="B1490" s="7" t="inlineStr">
        <is>
          <t>Gumilemez NR/SBR 30 mm, 1,4×5 mm</t>
        </is>
      </c>
      <c r="C1490" s="6" t="inlineStr">
        <is>
          <t>Gumiszőnyegek és gumilemezek</t>
        </is>
      </c>
      <c r="D1490" s="6" t="inlineStr">
        <is>
          <t>Gumilemezek (NR/SBR)</t>
        </is>
      </c>
      <c r="E1490" s="6" t="inlineStr">
        <is>
          <t>Rubber Select</t>
        </is>
      </c>
      <c r="F1490" s="6" t="inlineStr">
        <is>
          <t>SBR 30/0</t>
        </is>
      </c>
      <c r="G1490" s="6" t="inlineStr">
        <is>
          <t>Teljes kínálat</t>
        </is>
      </c>
      <c r="H1490" s="6" t="n">
        <v>1</v>
      </c>
      <c r="I1490" s="6" t="n">
        <v>11</v>
      </c>
      <c r="J1490" s="6" t="inlineStr">
        <is>
          <t>van</t>
        </is>
      </c>
      <c r="K1490" s="6">
        <f>IF(AND(H1490&gt;0,I1490&gt;0),"Rendben",IF(AND(H1490=0,I1490=0),"Nincs kép és adat",IF(H1490=0,"Nincs kép","Nincs adat")))</f>
        <v/>
      </c>
      <c r="L1490" s="6" t="inlineStr">
        <is>
          <t>Igen</t>
        </is>
      </c>
      <c r="M1490" s="7" t="inlineStr">
        <is>
          <t>Rubber Select teljes kínálata (gyártói katalógus / weboldal)</t>
        </is>
      </c>
      <c r="N1490" s="7" t="inlineStr">
        <is>
          <t>Megtalálva: a beszállító teljes kínálatából felvett termék</t>
        </is>
      </c>
      <c r="O1490" s="11" t="inlineStr">
        <is>
          <t>https://www.rubberselect.com/en/products/nrsbr-rubber-sheets/allpac</t>
        </is>
      </c>
      <c r="P1490" s="11" t="inlineStr">
        <is>
          <t>https://website-9ib.pages.dev/termek/gumilemez-nr-sbr-sbr-30-0-1-4-5/</t>
        </is>
      </c>
      <c r="Q1490" s="12" t="inlineStr"/>
      <c r="R1490" s="13" t="inlineStr"/>
      <c r="S1490" s="6" t="inlineStr">
        <is>
          <t>gumilemez-nr-sbr-sbr-30-0-1-4-5</t>
        </is>
      </c>
    </row>
    <row r="1491">
      <c r="A1491" s="6" t="inlineStr">
        <is>
          <t>SBR 4/0</t>
        </is>
      </c>
      <c r="B1491" s="7" t="inlineStr">
        <is>
          <t>Gumilemez NR/SBR 4 mm, 1,2×10 mm</t>
        </is>
      </c>
      <c r="C1491" s="6" t="inlineStr">
        <is>
          <t>Gumiszőnyegek és gumilemezek</t>
        </is>
      </c>
      <c r="D1491" s="6" t="inlineStr">
        <is>
          <t>Gumilemezek (NR/SBR)</t>
        </is>
      </c>
      <c r="E1491" s="6" t="inlineStr">
        <is>
          <t>Rubber Select</t>
        </is>
      </c>
      <c r="F1491" s="6" t="inlineStr">
        <is>
          <t>SBR 4/0</t>
        </is>
      </c>
      <c r="G1491" s="6" t="inlineStr">
        <is>
          <t>Teljes kínálat</t>
        </is>
      </c>
      <c r="H1491" s="6" t="n">
        <v>1</v>
      </c>
      <c r="I1491" s="6" t="n">
        <v>11</v>
      </c>
      <c r="J1491" s="6" t="inlineStr">
        <is>
          <t>van</t>
        </is>
      </c>
      <c r="K1491" s="6">
        <f>IF(AND(H1491&gt;0,I1491&gt;0),"Rendben",IF(AND(H1491=0,I1491=0),"Nincs kép és adat",IF(H1491=0,"Nincs kép","Nincs adat")))</f>
        <v/>
      </c>
      <c r="L1491" s="6" t="inlineStr">
        <is>
          <t>Igen</t>
        </is>
      </c>
      <c r="M1491" s="7" t="inlineStr">
        <is>
          <t>Rubber Select teljes kínálata (gyártói katalógus / weboldal)</t>
        </is>
      </c>
      <c r="N1491" s="7" t="inlineStr">
        <is>
          <t>Megtalálva: a beszállító teljes kínálatából felvett termék</t>
        </is>
      </c>
      <c r="O1491" s="11" t="inlineStr">
        <is>
          <t>https://www.rubberselect.com/en/products/nrsbr-rubber-sheets/allpac</t>
        </is>
      </c>
      <c r="P1491" s="11" t="inlineStr">
        <is>
          <t>https://website-9ib.pages.dev/termek/gumilemez-nr-sbr-sbr-4-0-1-2-10/</t>
        </is>
      </c>
      <c r="Q1491" s="12" t="inlineStr"/>
      <c r="R1491" s="13" t="inlineStr"/>
      <c r="S1491" s="6" t="inlineStr">
        <is>
          <t>gumilemez-nr-sbr-sbr-4-0-1-2-10</t>
        </is>
      </c>
    </row>
    <row r="1492">
      <c r="A1492" s="6" t="inlineStr">
        <is>
          <t>SBR 4/0</t>
        </is>
      </c>
      <c r="B1492" s="7" t="inlineStr">
        <is>
          <t>Gumilemez NR/SBR 4 mm, 1,4×10 mm</t>
        </is>
      </c>
      <c r="C1492" s="6" t="inlineStr">
        <is>
          <t>Gumiszőnyegek és gumilemezek</t>
        </is>
      </c>
      <c r="D1492" s="6" t="inlineStr">
        <is>
          <t>Gumilemezek (NR/SBR)</t>
        </is>
      </c>
      <c r="E1492" s="6" t="inlineStr">
        <is>
          <t>Rubber Select</t>
        </is>
      </c>
      <c r="F1492" s="6" t="inlineStr">
        <is>
          <t>SBR 4/0</t>
        </is>
      </c>
      <c r="G1492" s="6" t="inlineStr">
        <is>
          <t>Teljes kínálat</t>
        </is>
      </c>
      <c r="H1492" s="6" t="n">
        <v>1</v>
      </c>
      <c r="I1492" s="6" t="n">
        <v>11</v>
      </c>
      <c r="J1492" s="6" t="inlineStr">
        <is>
          <t>van</t>
        </is>
      </c>
      <c r="K1492" s="6">
        <f>IF(AND(H1492&gt;0,I1492&gt;0),"Rendben",IF(AND(H1492=0,I1492=0),"Nincs kép és adat",IF(H1492=0,"Nincs kép","Nincs adat")))</f>
        <v/>
      </c>
      <c r="L1492" s="6" t="inlineStr">
        <is>
          <t>Igen</t>
        </is>
      </c>
      <c r="M1492" s="7" t="inlineStr">
        <is>
          <t>Rubber Select teljes kínálata (gyártói katalógus / weboldal)</t>
        </is>
      </c>
      <c r="N1492" s="7" t="inlineStr">
        <is>
          <t>Megtalálva: a beszállító teljes kínálatából felvett termék</t>
        </is>
      </c>
      <c r="O1492" s="11" t="inlineStr">
        <is>
          <t>https://www.rubberselect.com/en/products/nrsbr-rubber-sheets/allpac</t>
        </is>
      </c>
      <c r="P1492" s="11" t="inlineStr">
        <is>
          <t>https://website-9ib.pages.dev/termek/gumilemez-nr-sbr-sbr-4-0-1-4-10/</t>
        </is>
      </c>
      <c r="Q1492" s="12" t="inlineStr"/>
      <c r="R1492" s="13" t="inlineStr"/>
      <c r="S1492" s="6" t="inlineStr">
        <is>
          <t>gumilemez-nr-sbr-sbr-4-0-1-4-10</t>
        </is>
      </c>
    </row>
    <row r="1493">
      <c r="A1493" s="6" t="inlineStr">
        <is>
          <t>SBR 5/0</t>
        </is>
      </c>
      <c r="B1493" s="7" t="inlineStr">
        <is>
          <t>Gumilemez NR/SBR 5 mm, 1,2×10 mm</t>
        </is>
      </c>
      <c r="C1493" s="6" t="inlineStr">
        <is>
          <t>Gumiszőnyegek és gumilemezek</t>
        </is>
      </c>
      <c r="D1493" s="6" t="inlineStr">
        <is>
          <t>Gumilemezek (NR/SBR)</t>
        </is>
      </c>
      <c r="E1493" s="6" t="inlineStr">
        <is>
          <t>Rubber Select</t>
        </is>
      </c>
      <c r="F1493" s="6" t="inlineStr">
        <is>
          <t>SBR 5/0</t>
        </is>
      </c>
      <c r="G1493" s="6" t="inlineStr">
        <is>
          <t>Teljes kínálat</t>
        </is>
      </c>
      <c r="H1493" s="6" t="n">
        <v>1</v>
      </c>
      <c r="I1493" s="6" t="n">
        <v>11</v>
      </c>
      <c r="J1493" s="6" t="inlineStr">
        <is>
          <t>van</t>
        </is>
      </c>
      <c r="K1493" s="6">
        <f>IF(AND(H1493&gt;0,I1493&gt;0),"Rendben",IF(AND(H1493=0,I1493=0),"Nincs kép és adat",IF(H1493=0,"Nincs kép","Nincs adat")))</f>
        <v/>
      </c>
      <c r="L1493" s="6" t="inlineStr">
        <is>
          <t>Igen</t>
        </is>
      </c>
      <c r="M1493" s="7" t="inlineStr">
        <is>
          <t>Rubber Select teljes kínálata (gyártói katalógus / weboldal)</t>
        </is>
      </c>
      <c r="N1493" s="7" t="inlineStr">
        <is>
          <t>Megtalálva: a beszállító teljes kínálatából felvett termék</t>
        </is>
      </c>
      <c r="O1493" s="11" t="inlineStr">
        <is>
          <t>https://www.rubberselect.com/en/products/nrsbr-rubber-sheets/allpac</t>
        </is>
      </c>
      <c r="P1493" s="11" t="inlineStr">
        <is>
          <t>https://website-9ib.pages.dev/termek/gumilemez-nr-sbr-sbr-5-0-1-2-10/</t>
        </is>
      </c>
      <c r="Q1493" s="12" t="inlineStr"/>
      <c r="R1493" s="13" t="inlineStr"/>
      <c r="S1493" s="6" t="inlineStr">
        <is>
          <t>gumilemez-nr-sbr-sbr-5-0-1-2-10</t>
        </is>
      </c>
    </row>
    <row r="1494">
      <c r="A1494" s="6" t="inlineStr">
        <is>
          <t>SBR 5/0</t>
        </is>
      </c>
      <c r="B1494" s="7" t="inlineStr">
        <is>
          <t>Gumilemez NR/SBR 5 mm, 1,4×10 mm</t>
        </is>
      </c>
      <c r="C1494" s="6" t="inlineStr">
        <is>
          <t>Gumiszőnyegek és gumilemezek</t>
        </is>
      </c>
      <c r="D1494" s="6" t="inlineStr">
        <is>
          <t>Gumilemezek (NR/SBR)</t>
        </is>
      </c>
      <c r="E1494" s="6" t="inlineStr">
        <is>
          <t>Rubber Select</t>
        </is>
      </c>
      <c r="F1494" s="6" t="inlineStr">
        <is>
          <t>SBR 5/0</t>
        </is>
      </c>
      <c r="G1494" s="6" t="inlineStr">
        <is>
          <t>Teljes kínálat</t>
        </is>
      </c>
      <c r="H1494" s="6" t="n">
        <v>1</v>
      </c>
      <c r="I1494" s="6" t="n">
        <v>11</v>
      </c>
      <c r="J1494" s="6" t="inlineStr">
        <is>
          <t>van</t>
        </is>
      </c>
      <c r="K1494" s="6">
        <f>IF(AND(H1494&gt;0,I1494&gt;0),"Rendben",IF(AND(H1494=0,I1494=0),"Nincs kép és adat",IF(H1494=0,"Nincs kép","Nincs adat")))</f>
        <v/>
      </c>
      <c r="L1494" s="6" t="inlineStr">
        <is>
          <t>Igen</t>
        </is>
      </c>
      <c r="M1494" s="7" t="inlineStr">
        <is>
          <t>Rubber Select teljes kínálata (gyártói katalógus / weboldal)</t>
        </is>
      </c>
      <c r="N1494" s="7" t="inlineStr">
        <is>
          <t>Megtalálva: a beszállító teljes kínálatából felvett termék</t>
        </is>
      </c>
      <c r="O1494" s="11" t="inlineStr">
        <is>
          <t>https://www.rubberselect.com/en/products/nrsbr-rubber-sheets/allpac</t>
        </is>
      </c>
      <c r="P1494" s="11" t="inlineStr">
        <is>
          <t>https://website-9ib.pages.dev/termek/gumilemez-nr-sbr-sbr-5-0-1-4-10/</t>
        </is>
      </c>
      <c r="Q1494" s="12" t="inlineStr"/>
      <c r="R1494" s="13" t="inlineStr"/>
      <c r="S1494" s="6" t="inlineStr">
        <is>
          <t>gumilemez-nr-sbr-sbr-5-0-1-4-10</t>
        </is>
      </c>
    </row>
    <row r="1495">
      <c r="A1495" s="6" t="inlineStr">
        <is>
          <t>SBR 6/0</t>
        </is>
      </c>
      <c r="B1495" s="7" t="inlineStr">
        <is>
          <t>Gumilemez NR/SBR 6 mm, 1,2×10 mm</t>
        </is>
      </c>
      <c r="C1495" s="6" t="inlineStr">
        <is>
          <t>Gumiszőnyegek és gumilemezek</t>
        </is>
      </c>
      <c r="D1495" s="6" t="inlineStr">
        <is>
          <t>Gumilemezek (NR/SBR)</t>
        </is>
      </c>
      <c r="E1495" s="6" t="inlineStr">
        <is>
          <t>Rubber Select</t>
        </is>
      </c>
      <c r="F1495" s="6" t="inlineStr">
        <is>
          <t>SBR 6/0</t>
        </is>
      </c>
      <c r="G1495" s="6" t="inlineStr">
        <is>
          <t>Teljes kínálat</t>
        </is>
      </c>
      <c r="H1495" s="6" t="n">
        <v>1</v>
      </c>
      <c r="I1495" s="6" t="n">
        <v>11</v>
      </c>
      <c r="J1495" s="6" t="inlineStr">
        <is>
          <t>van</t>
        </is>
      </c>
      <c r="K1495" s="6">
        <f>IF(AND(H1495&gt;0,I1495&gt;0),"Rendben",IF(AND(H1495=0,I1495=0),"Nincs kép és adat",IF(H1495=0,"Nincs kép","Nincs adat")))</f>
        <v/>
      </c>
      <c r="L1495" s="6" t="inlineStr">
        <is>
          <t>Igen</t>
        </is>
      </c>
      <c r="M1495" s="7" t="inlineStr">
        <is>
          <t>Rubber Select teljes kínálata (gyártói katalógus / weboldal)</t>
        </is>
      </c>
      <c r="N1495" s="7" t="inlineStr">
        <is>
          <t>Megtalálva: a beszállító teljes kínálatából felvett termék</t>
        </is>
      </c>
      <c r="O1495" s="11" t="inlineStr">
        <is>
          <t>https://www.rubberselect.com/en/products/nrsbr-rubber-sheets/allpac</t>
        </is>
      </c>
      <c r="P1495" s="11" t="inlineStr">
        <is>
          <t>https://website-9ib.pages.dev/termek/gumilemez-nr-sbr-sbr-6-0-1-2-10/</t>
        </is>
      </c>
      <c r="Q1495" s="12" t="inlineStr"/>
      <c r="R1495" s="13" t="inlineStr"/>
      <c r="S1495" s="6" t="inlineStr">
        <is>
          <t>gumilemez-nr-sbr-sbr-6-0-1-2-10</t>
        </is>
      </c>
    </row>
    <row r="1496">
      <c r="A1496" s="6" t="inlineStr">
        <is>
          <t>SBR 6/0</t>
        </is>
      </c>
      <c r="B1496" s="7" t="inlineStr">
        <is>
          <t>Gumilemez NR/SBR 6 mm, 1,4×10 mm</t>
        </is>
      </c>
      <c r="C1496" s="6" t="inlineStr">
        <is>
          <t>Gumiszőnyegek és gumilemezek</t>
        </is>
      </c>
      <c r="D1496" s="6" t="inlineStr">
        <is>
          <t>Gumilemezek (NR/SBR)</t>
        </is>
      </c>
      <c r="E1496" s="6" t="inlineStr">
        <is>
          <t>Rubber Select</t>
        </is>
      </c>
      <c r="F1496" s="6" t="inlineStr">
        <is>
          <t>SBR 6/0</t>
        </is>
      </c>
      <c r="G1496" s="6" t="inlineStr">
        <is>
          <t>Teljes kínálat</t>
        </is>
      </c>
      <c r="H1496" s="6" t="n">
        <v>1</v>
      </c>
      <c r="I1496" s="6" t="n">
        <v>11</v>
      </c>
      <c r="J1496" s="6" t="inlineStr">
        <is>
          <t>van</t>
        </is>
      </c>
      <c r="K1496" s="6">
        <f>IF(AND(H1496&gt;0,I1496&gt;0),"Rendben",IF(AND(H1496=0,I1496=0),"Nincs kép és adat",IF(H1496=0,"Nincs kép","Nincs adat")))</f>
        <v/>
      </c>
      <c r="L1496" s="6" t="inlineStr">
        <is>
          <t>Igen</t>
        </is>
      </c>
      <c r="M1496" s="7" t="inlineStr">
        <is>
          <t>Rubber Select teljes kínálata (gyártói katalógus / weboldal)</t>
        </is>
      </c>
      <c r="N1496" s="7" t="inlineStr">
        <is>
          <t>Megtalálva: a beszállító teljes kínálatából felvett termék</t>
        </is>
      </c>
      <c r="O1496" s="11" t="inlineStr">
        <is>
          <t>https://www.rubberselect.com/en/products/nrsbr-rubber-sheets/allpac</t>
        </is>
      </c>
      <c r="P1496" s="11" t="inlineStr">
        <is>
          <t>https://website-9ib.pages.dev/termek/gumilemez-nr-sbr-sbr-6-0-1-4-10/</t>
        </is>
      </c>
      <c r="Q1496" s="12" t="inlineStr"/>
      <c r="R1496" s="13" t="inlineStr"/>
      <c r="S1496" s="6" t="inlineStr">
        <is>
          <t>gumilemez-nr-sbr-sbr-6-0-1-4-10</t>
        </is>
      </c>
    </row>
    <row r="1497">
      <c r="A1497" s="6" t="inlineStr">
        <is>
          <t>SBR 8/0</t>
        </is>
      </c>
      <c r="B1497" s="7" t="inlineStr">
        <is>
          <t>Gumilemez NR/SBR 8 mm, 1,2×10 mm</t>
        </is>
      </c>
      <c r="C1497" s="6" t="inlineStr">
        <is>
          <t>Gumiszőnyegek és gumilemezek</t>
        </is>
      </c>
      <c r="D1497" s="6" t="inlineStr">
        <is>
          <t>Gumilemezek (NR/SBR)</t>
        </is>
      </c>
      <c r="E1497" s="6" t="inlineStr">
        <is>
          <t>Rubber Select</t>
        </is>
      </c>
      <c r="F1497" s="6" t="inlineStr">
        <is>
          <t>SBR 8/0</t>
        </is>
      </c>
      <c r="G1497" s="6" t="inlineStr">
        <is>
          <t>Teljes kínálat</t>
        </is>
      </c>
      <c r="H1497" s="6" t="n">
        <v>1</v>
      </c>
      <c r="I1497" s="6" t="n">
        <v>11</v>
      </c>
      <c r="J1497" s="6" t="inlineStr">
        <is>
          <t>van</t>
        </is>
      </c>
      <c r="K1497" s="6">
        <f>IF(AND(H1497&gt;0,I1497&gt;0),"Rendben",IF(AND(H1497=0,I1497=0),"Nincs kép és adat",IF(H1497=0,"Nincs kép","Nincs adat")))</f>
        <v/>
      </c>
      <c r="L1497" s="6" t="inlineStr">
        <is>
          <t>Igen</t>
        </is>
      </c>
      <c r="M1497" s="7" t="inlineStr">
        <is>
          <t>Rubber Select teljes kínálata (gyártói katalógus / weboldal)</t>
        </is>
      </c>
      <c r="N1497" s="7" t="inlineStr">
        <is>
          <t>Megtalálva: a beszállító teljes kínálatából felvett termék</t>
        </is>
      </c>
      <c r="O1497" s="11" t="inlineStr">
        <is>
          <t>https://www.rubberselect.com/en/products/nrsbr-rubber-sheets/allpac</t>
        </is>
      </c>
      <c r="P1497" s="11" t="inlineStr">
        <is>
          <t>https://website-9ib.pages.dev/termek/gumilemez-nr-sbr-sbr-8-0-1-2-10/</t>
        </is>
      </c>
      <c r="Q1497" s="12" t="inlineStr"/>
      <c r="R1497" s="13" t="inlineStr"/>
      <c r="S1497" s="6" t="inlineStr">
        <is>
          <t>gumilemez-nr-sbr-sbr-8-0-1-2-10</t>
        </is>
      </c>
    </row>
    <row r="1498">
      <c r="A1498" s="6" t="inlineStr">
        <is>
          <t>SBR 8/0</t>
        </is>
      </c>
      <c r="B1498" s="7" t="inlineStr">
        <is>
          <t>Gumilemez NR/SBR 8 mm, 1,2×5 mm</t>
        </is>
      </c>
      <c r="C1498" s="6" t="inlineStr">
        <is>
          <t>Gumiszőnyegek és gumilemezek</t>
        </is>
      </c>
      <c r="D1498" s="6" t="inlineStr">
        <is>
          <t>Gumilemezek (NR/SBR)</t>
        </is>
      </c>
      <c r="E1498" s="6" t="inlineStr">
        <is>
          <t>Rubber Select</t>
        </is>
      </c>
      <c r="F1498" s="6" t="inlineStr">
        <is>
          <t>SBR 8/0</t>
        </is>
      </c>
      <c r="G1498" s="6" t="inlineStr">
        <is>
          <t>Teljes kínálat</t>
        </is>
      </c>
      <c r="H1498" s="6" t="n">
        <v>1</v>
      </c>
      <c r="I1498" s="6" t="n">
        <v>11</v>
      </c>
      <c r="J1498" s="6" t="inlineStr">
        <is>
          <t>van</t>
        </is>
      </c>
      <c r="K1498" s="6">
        <f>IF(AND(H1498&gt;0,I1498&gt;0),"Rendben",IF(AND(H1498=0,I1498=0),"Nincs kép és adat",IF(H1498=0,"Nincs kép","Nincs adat")))</f>
        <v/>
      </c>
      <c r="L1498" s="6" t="inlineStr">
        <is>
          <t>Igen</t>
        </is>
      </c>
      <c r="M1498" s="7" t="inlineStr">
        <is>
          <t>Rubber Select teljes kínálata (gyártói katalógus / weboldal)</t>
        </is>
      </c>
      <c r="N1498" s="7" t="inlineStr">
        <is>
          <t>Megtalálva: a beszállító teljes kínálatából felvett termék</t>
        </is>
      </c>
      <c r="O1498" s="11" t="inlineStr">
        <is>
          <t>https://www.rubberselect.com/en/products/nrsbr-rubber-sheets/allpac</t>
        </is>
      </c>
      <c r="P1498" s="11" t="inlineStr">
        <is>
          <t>https://website-9ib.pages.dev/termek/gumilemez-nr-sbr-sbr-8-0-1-2-5/</t>
        </is>
      </c>
      <c r="Q1498" s="12" t="inlineStr"/>
      <c r="R1498" s="13" t="inlineStr"/>
      <c r="S1498" s="6" t="inlineStr">
        <is>
          <t>gumilemez-nr-sbr-sbr-8-0-1-2-5</t>
        </is>
      </c>
    </row>
    <row r="1499">
      <c r="A1499" s="6" t="inlineStr">
        <is>
          <t>SBR 8/0</t>
        </is>
      </c>
      <c r="B1499" s="7" t="inlineStr">
        <is>
          <t>Gumilemez NR/SBR 8 mm, 1,4×10 mm</t>
        </is>
      </c>
      <c r="C1499" s="6" t="inlineStr">
        <is>
          <t>Gumiszőnyegek és gumilemezek</t>
        </is>
      </c>
      <c r="D1499" s="6" t="inlineStr">
        <is>
          <t>Gumilemezek (NR/SBR)</t>
        </is>
      </c>
      <c r="E1499" s="6" t="inlineStr">
        <is>
          <t>Rubber Select</t>
        </is>
      </c>
      <c r="F1499" s="6" t="inlineStr">
        <is>
          <t>SBR 8/0</t>
        </is>
      </c>
      <c r="G1499" s="6" t="inlineStr">
        <is>
          <t>Teljes kínálat</t>
        </is>
      </c>
      <c r="H1499" s="6" t="n">
        <v>1</v>
      </c>
      <c r="I1499" s="6" t="n">
        <v>11</v>
      </c>
      <c r="J1499" s="6" t="inlineStr">
        <is>
          <t>van</t>
        </is>
      </c>
      <c r="K1499" s="6">
        <f>IF(AND(H1499&gt;0,I1499&gt;0),"Rendben",IF(AND(H1499=0,I1499=0),"Nincs kép és adat",IF(H1499=0,"Nincs kép","Nincs adat")))</f>
        <v/>
      </c>
      <c r="L1499" s="6" t="inlineStr">
        <is>
          <t>Igen</t>
        </is>
      </c>
      <c r="M1499" s="7" t="inlineStr">
        <is>
          <t>Rubber Select teljes kínálata (gyártói katalógus / weboldal)</t>
        </is>
      </c>
      <c r="N1499" s="7" t="inlineStr">
        <is>
          <t>Megtalálva: a beszállító teljes kínálatából felvett termék</t>
        </is>
      </c>
      <c r="O1499" s="11" t="inlineStr">
        <is>
          <t>https://www.rubberselect.com/en/products/nrsbr-rubber-sheets/allpac</t>
        </is>
      </c>
      <c r="P1499" s="11" t="inlineStr">
        <is>
          <t>https://website-9ib.pages.dev/termek/gumilemez-nr-sbr-sbr-8-0-1-4-10/</t>
        </is>
      </c>
      <c r="Q1499" s="12" t="inlineStr"/>
      <c r="R1499" s="13" t="inlineStr"/>
      <c r="S1499" s="6" t="inlineStr">
        <is>
          <t>gumilemez-nr-sbr-sbr-8-0-1-4-10</t>
        </is>
      </c>
    </row>
    <row r="1500">
      <c r="A1500" s="6" t="inlineStr">
        <is>
          <t>SBR 8/0</t>
        </is>
      </c>
      <c r="B1500" s="7" t="inlineStr">
        <is>
          <t>Gumilemez NR/SBR 8 mm, 1,4×5 mm</t>
        </is>
      </c>
      <c r="C1500" s="6" t="inlineStr">
        <is>
          <t>Gumiszőnyegek és gumilemezek</t>
        </is>
      </c>
      <c r="D1500" s="6" t="inlineStr">
        <is>
          <t>Gumilemezek (NR/SBR)</t>
        </is>
      </c>
      <c r="E1500" s="6" t="inlineStr">
        <is>
          <t>Rubber Select</t>
        </is>
      </c>
      <c r="F1500" s="6" t="inlineStr">
        <is>
          <t>SBR 8/0</t>
        </is>
      </c>
      <c r="G1500" s="6" t="inlineStr">
        <is>
          <t>Teljes kínálat</t>
        </is>
      </c>
      <c r="H1500" s="6" t="n">
        <v>1</v>
      </c>
      <c r="I1500" s="6" t="n">
        <v>11</v>
      </c>
      <c r="J1500" s="6" t="inlineStr">
        <is>
          <t>van</t>
        </is>
      </c>
      <c r="K1500" s="6">
        <f>IF(AND(H1500&gt;0,I1500&gt;0),"Rendben",IF(AND(H1500=0,I1500=0),"Nincs kép és adat",IF(H1500=0,"Nincs kép","Nincs adat")))</f>
        <v/>
      </c>
      <c r="L1500" s="6" t="inlineStr">
        <is>
          <t>Igen</t>
        </is>
      </c>
      <c r="M1500" s="7" t="inlineStr">
        <is>
          <t>Rubber Select teljes kínálata (gyártói katalógus / weboldal)</t>
        </is>
      </c>
      <c r="N1500" s="7" t="inlineStr">
        <is>
          <t>Megtalálva: a beszállító teljes kínálatából felvett termék</t>
        </is>
      </c>
      <c r="O1500" s="11" t="inlineStr">
        <is>
          <t>https://www.rubberselect.com/en/products/nrsbr-rubber-sheets/allpac</t>
        </is>
      </c>
      <c r="P1500" s="11" t="inlineStr">
        <is>
          <t>https://website-9ib.pages.dev/termek/gumilemez-nr-sbr-sbr-8-0-1-4-5/</t>
        </is>
      </c>
      <c r="Q1500" s="12" t="inlineStr"/>
      <c r="R1500" s="13" t="inlineStr"/>
      <c r="S1500" s="6" t="inlineStr">
        <is>
          <t>gumilemez-nr-sbr-sbr-8-0-1-4-5</t>
        </is>
      </c>
    </row>
    <row r="1501">
      <c r="A1501" s="6" t="inlineStr">
        <is>
          <t>DM 3/0</t>
        </is>
      </c>
      <c r="B1501" s="7" t="inlineStr">
        <is>
          <t>Gyémántmintás gumiszőnyeg 3 mm, 1500×10000 mm</t>
        </is>
      </c>
      <c r="C1501" s="6" t="inlineStr">
        <is>
          <t>Gumiszőnyegek és gumilemezek</t>
        </is>
      </c>
      <c r="D1501" s="6" t="inlineStr">
        <is>
          <t>Bordás és mintás gumiszőnyegek</t>
        </is>
      </c>
      <c r="E1501" s="6" t="inlineStr">
        <is>
          <t>Rubber Select</t>
        </is>
      </c>
      <c r="F1501" s="6" t="inlineStr">
        <is>
          <t>DM 3/0</t>
        </is>
      </c>
      <c r="G1501" s="6" t="inlineStr">
        <is>
          <t>Teljes kínálat</t>
        </is>
      </c>
      <c r="H1501" s="6" t="n">
        <v>1</v>
      </c>
      <c r="I1501" s="6" t="n">
        <v>11</v>
      </c>
      <c r="J1501" s="6" t="inlineStr">
        <is>
          <t>van</t>
        </is>
      </c>
      <c r="K1501" s="6">
        <f>IF(AND(H1501&gt;0,I1501&gt;0),"Rendben",IF(AND(H1501=0,I1501=0),"Nincs kép és adat",IF(H1501=0,"Nincs kép","Nincs adat")))</f>
        <v/>
      </c>
      <c r="L1501" s="6" t="inlineStr">
        <is>
          <t>Igen</t>
        </is>
      </c>
      <c r="M1501" s="7" t="inlineStr">
        <is>
          <t>Rubber Select teljes kínálata (gyártói katalógus / weboldal)</t>
        </is>
      </c>
      <c r="N1501" s="7" t="inlineStr">
        <is>
          <t>Megtalálva: a beszállító teljes kínálatából felvett termék</t>
        </is>
      </c>
      <c r="O1501" s="11" t="inlineStr">
        <is>
          <t>https://www.rubberselect.com/en/products/matting/diamond-mat</t>
        </is>
      </c>
      <c r="P1501" s="11" t="inlineStr">
        <is>
          <t>https://website-9ib.pages.dev/termek/gyemantmintas-gumiszonyeg-dm-3-0-1500-10000/</t>
        </is>
      </c>
      <c r="Q1501" s="12" t="inlineStr"/>
      <c r="R1501" s="13" t="inlineStr"/>
      <c r="S1501" s="6" t="inlineStr">
        <is>
          <t>gyemantmintas-gumiszonyeg-dm-3-0-1500-10000</t>
        </is>
      </c>
    </row>
    <row r="1502">
      <c r="A1502" s="6" t="inlineStr">
        <is>
          <t>FM 3/0</t>
        </is>
      </c>
      <c r="B1502" s="7" t="inlineStr">
        <is>
          <t>Halszálkamintás gumiszőnyeg 3 mm, 1000×10000 mm</t>
        </is>
      </c>
      <c r="C1502" s="6" t="inlineStr">
        <is>
          <t>Gumiszőnyegek és gumilemezek</t>
        </is>
      </c>
      <c r="D1502" s="6" t="inlineStr">
        <is>
          <t>Bordás és mintás gumiszőnyegek</t>
        </is>
      </c>
      <c r="E1502" s="6" t="inlineStr">
        <is>
          <t>Rubber Select</t>
        </is>
      </c>
      <c r="F1502" s="6" t="inlineStr">
        <is>
          <t>FM 3/0</t>
        </is>
      </c>
      <c r="G1502" s="6" t="inlineStr">
        <is>
          <t>Teljes kínálat</t>
        </is>
      </c>
      <c r="H1502" s="6" t="n">
        <v>1</v>
      </c>
      <c r="I1502" s="6" t="n">
        <v>11</v>
      </c>
      <c r="J1502" s="6" t="inlineStr">
        <is>
          <t>van</t>
        </is>
      </c>
      <c r="K1502" s="6">
        <f>IF(AND(H1502&gt;0,I1502&gt;0),"Rendben",IF(AND(H1502=0,I1502=0),"Nincs kép és adat",IF(H1502=0,"Nincs kép","Nincs adat")))</f>
        <v/>
      </c>
      <c r="L1502" s="6" t="inlineStr">
        <is>
          <t>Igen</t>
        </is>
      </c>
      <c r="M1502" s="7" t="inlineStr">
        <is>
          <t>Rubber Select teljes kínálata (gyártói katalógus / weboldal)</t>
        </is>
      </c>
      <c r="N1502" s="7" t="inlineStr">
        <is>
          <t>Megtalálva: a beszállító teljes kínálatából felvett termék</t>
        </is>
      </c>
      <c r="O1502" s="11" t="inlineStr">
        <is>
          <t>https://www.rubberselect.com/en/products/matting/fishbone-mat</t>
        </is>
      </c>
      <c r="P1502" s="11" t="inlineStr">
        <is>
          <t>https://website-9ib.pages.dev/termek/halszalkamintas-gumiszonyeg-fm-3-0-1000-10000/</t>
        </is>
      </c>
      <c r="Q1502" s="12" t="inlineStr"/>
      <c r="R1502" s="13" t="inlineStr"/>
      <c r="S1502" s="6" t="inlineStr">
        <is>
          <t>halszalkamintas-gumiszonyeg-fm-3-0-1000-10000</t>
        </is>
      </c>
    </row>
    <row r="1503">
      <c r="A1503" s="6" t="inlineStr">
        <is>
          <t>FM 3/0</t>
        </is>
      </c>
      <c r="B1503" s="7" t="inlineStr">
        <is>
          <t>Halszálkamintás gumiszőnyeg 3 mm, 1200×10000 mm</t>
        </is>
      </c>
      <c r="C1503" s="6" t="inlineStr">
        <is>
          <t>Gumiszőnyegek és gumilemezek</t>
        </is>
      </c>
      <c r="D1503" s="6" t="inlineStr">
        <is>
          <t>Bordás és mintás gumiszőnyegek</t>
        </is>
      </c>
      <c r="E1503" s="6" t="inlineStr">
        <is>
          <t>Rubber Select</t>
        </is>
      </c>
      <c r="F1503" s="6" t="inlineStr">
        <is>
          <t>FM 3/0</t>
        </is>
      </c>
      <c r="G1503" s="6" t="inlineStr">
        <is>
          <t>Teljes kínálat</t>
        </is>
      </c>
      <c r="H1503" s="6" t="n">
        <v>1</v>
      </c>
      <c r="I1503" s="6" t="n">
        <v>11</v>
      </c>
      <c r="J1503" s="6" t="inlineStr">
        <is>
          <t>van</t>
        </is>
      </c>
      <c r="K1503" s="6">
        <f>IF(AND(H1503&gt;0,I1503&gt;0),"Rendben",IF(AND(H1503=0,I1503=0),"Nincs kép és adat",IF(H1503=0,"Nincs kép","Nincs adat")))</f>
        <v/>
      </c>
      <c r="L1503" s="6" t="inlineStr">
        <is>
          <t>Igen</t>
        </is>
      </c>
      <c r="M1503" s="7" t="inlineStr">
        <is>
          <t>Rubber Select teljes kínálata (gyártói katalógus / weboldal)</t>
        </is>
      </c>
      <c r="N1503" s="7" t="inlineStr">
        <is>
          <t>Megtalálva: a beszállító teljes kínálatából felvett termék</t>
        </is>
      </c>
      <c r="O1503" s="11" t="inlineStr">
        <is>
          <t>https://www.rubberselect.com/en/products/matting/fishbone-mat</t>
        </is>
      </c>
      <c r="P1503" s="11" t="inlineStr">
        <is>
          <t>https://website-9ib.pages.dev/termek/halszalkamintas-gumiszonyeg-fm-3-0-1200-10000/</t>
        </is>
      </c>
      <c r="Q1503" s="12" t="inlineStr"/>
      <c r="R1503" s="13" t="inlineStr"/>
      <c r="S1503" s="6" t="inlineStr">
        <is>
          <t>halszalkamintas-gumiszonyeg-fm-3-0-1200-10000</t>
        </is>
      </c>
    </row>
    <row r="1504">
      <c r="A1504" s="6" t="inlineStr">
        <is>
          <t>SBM 17/0</t>
        </is>
      </c>
      <c r="B1504" s="7" t="inlineStr">
        <is>
          <t>Istálló gumiszőnyeg 17 mm, 1220×1830 mm</t>
        </is>
      </c>
      <c r="C1504" s="6" t="inlineStr">
        <is>
          <t>Gumiszőnyegek és gumilemezek</t>
        </is>
      </c>
      <c r="D1504" s="6" t="inlineStr">
        <is>
          <t>Istálló szőnyeg</t>
        </is>
      </c>
      <c r="E1504" s="6" t="inlineStr">
        <is>
          <t>Rubber Select</t>
        </is>
      </c>
      <c r="F1504" s="6" t="inlineStr">
        <is>
          <t>SBM 17/0</t>
        </is>
      </c>
      <c r="G1504" s="6" t="inlineStr">
        <is>
          <t>Teljes kínálat</t>
        </is>
      </c>
      <c r="H1504" s="6" t="n">
        <v>1</v>
      </c>
      <c r="I1504" s="6" t="n">
        <v>11</v>
      </c>
      <c r="J1504" s="6" t="inlineStr">
        <is>
          <t>van</t>
        </is>
      </c>
      <c r="K1504" s="6">
        <f>IF(AND(H1504&gt;0,I1504&gt;0),"Rendben",IF(AND(H1504=0,I1504=0),"Nincs kép és adat",IF(H1504=0,"Nincs kép","Nincs adat")))</f>
        <v/>
      </c>
      <c r="L1504" s="6" t="inlineStr">
        <is>
          <t>Igen</t>
        </is>
      </c>
      <c r="M1504" s="7" t="inlineStr">
        <is>
          <t>Rubber Select teljes kínálata (gyártói katalógus / weboldal)</t>
        </is>
      </c>
      <c r="N1504" s="7" t="inlineStr">
        <is>
          <t>Megtalálva: a beszállító teljes kínálatából felvett termék</t>
        </is>
      </c>
      <c r="O1504" s="11" t="inlineStr">
        <is>
          <t>https://www.rubberselect.com/en/products/matting/stablemat</t>
        </is>
      </c>
      <c r="P1504" s="11" t="inlineStr">
        <is>
          <t>https://website-9ib.pages.dev/termek/istallo-gumiszonyeg-sbm-17-0-1220-1830/</t>
        </is>
      </c>
      <c r="Q1504" s="12" t="inlineStr"/>
      <c r="R1504" s="13" t="inlineStr"/>
      <c r="S1504" s="6" t="inlineStr">
        <is>
          <t>istallo-gumiszonyeg-sbm-17-0-1220-1830</t>
        </is>
      </c>
    </row>
    <row r="1505">
      <c r="A1505" s="6" t="inlineStr">
        <is>
          <t>SBMS 17/0</t>
        </is>
      </c>
      <c r="B1505" s="7" t="inlineStr">
        <is>
          <t>Istálló gumiszőnyeg 17 mm, 900×1200 mm</t>
        </is>
      </c>
      <c r="C1505" s="6" t="inlineStr">
        <is>
          <t>Gumiszőnyegek és gumilemezek</t>
        </is>
      </c>
      <c r="D1505" s="6" t="inlineStr">
        <is>
          <t>Istálló szőnyeg</t>
        </is>
      </c>
      <c r="E1505" s="6" t="inlineStr">
        <is>
          <t>Rubber Select</t>
        </is>
      </c>
      <c r="F1505" s="6" t="inlineStr">
        <is>
          <t>SBMS 17/0</t>
        </is>
      </c>
      <c r="G1505" s="6" t="inlineStr">
        <is>
          <t>Teljes kínálat</t>
        </is>
      </c>
      <c r="H1505" s="6" t="n">
        <v>1</v>
      </c>
      <c r="I1505" s="6" t="n">
        <v>11</v>
      </c>
      <c r="J1505" s="6" t="inlineStr">
        <is>
          <t>van</t>
        </is>
      </c>
      <c r="K1505" s="6">
        <f>IF(AND(H1505&gt;0,I1505&gt;0),"Rendben",IF(AND(H1505=0,I1505=0),"Nincs kép és adat",IF(H1505=0,"Nincs kép","Nincs adat")))</f>
        <v/>
      </c>
      <c r="L1505" s="6" t="inlineStr">
        <is>
          <t>Igen</t>
        </is>
      </c>
      <c r="M1505" s="7" t="inlineStr">
        <is>
          <t>Rubber Select teljes kínálata (gyártói katalógus / weboldal)</t>
        </is>
      </c>
      <c r="N1505" s="7" t="inlineStr">
        <is>
          <t>Megtalálva: a beszállító teljes kínálatából felvett termék</t>
        </is>
      </c>
      <c r="O1505" s="11" t="inlineStr">
        <is>
          <t>https://www.rubberselect.com/en/products/matting/stablemat</t>
        </is>
      </c>
      <c r="P1505" s="11" t="inlineStr">
        <is>
          <t>https://website-9ib.pages.dev/termek/istallo-gumiszonyeg-sbms-17-0-900-1200/</t>
        </is>
      </c>
      <c r="Q1505" s="12" t="inlineStr"/>
      <c r="R1505" s="13" t="inlineStr"/>
      <c r="S1505" s="6" t="inlineStr">
        <is>
          <t>istallo-gumiszonyeg-sbms-17-0-900-1200</t>
        </is>
      </c>
    </row>
    <row r="1506">
      <c r="A1506" s="6" t="inlineStr">
        <is>
          <t>HM 10/0</t>
        </is>
      </c>
      <c r="B1506" s="7" t="inlineStr">
        <is>
          <t>Kalapácsütés-mintás gumiszőnyeg 10 mm, 1800×10000 mm</t>
        </is>
      </c>
      <c r="C1506" s="6" t="inlineStr">
        <is>
          <t>Gumiszőnyegek és gumilemezek</t>
        </is>
      </c>
      <c r="D1506" s="6" t="inlineStr">
        <is>
          <t>Bordás és mintás gumiszőnyegek</t>
        </is>
      </c>
      <c r="E1506" s="6" t="inlineStr">
        <is>
          <t>Rubber Select</t>
        </is>
      </c>
      <c r="F1506" s="6" t="inlineStr">
        <is>
          <t>HM 10/0</t>
        </is>
      </c>
      <c r="G1506" s="6" t="inlineStr">
        <is>
          <t>Teljes kínálat</t>
        </is>
      </c>
      <c r="H1506" s="6" t="n">
        <v>1</v>
      </c>
      <c r="I1506" s="6" t="n">
        <v>11</v>
      </c>
      <c r="J1506" s="6" t="inlineStr">
        <is>
          <t>van</t>
        </is>
      </c>
      <c r="K1506" s="6">
        <f>IF(AND(H1506&gt;0,I1506&gt;0),"Rendben",IF(AND(H1506=0,I1506=0),"Nincs kép és adat",IF(H1506=0,"Nincs kép","Nincs adat")))</f>
        <v/>
      </c>
      <c r="L1506" s="6" t="inlineStr">
        <is>
          <t>Igen</t>
        </is>
      </c>
      <c r="M1506" s="7" t="inlineStr">
        <is>
          <t>Rubber Select teljes kínálata (gyártói katalógus / weboldal)</t>
        </is>
      </c>
      <c r="N1506" s="7" t="inlineStr">
        <is>
          <t>Megtalálva: a beszállító teljes kínálatából felvett termék</t>
        </is>
      </c>
      <c r="O1506" s="11" t="inlineStr">
        <is>
          <t>https://www.rubberselect.com/en/products/matting/hammerblow-mat</t>
        </is>
      </c>
      <c r="P1506" s="11" t="inlineStr">
        <is>
          <t>https://website-9ib.pages.dev/termek/kalapacsutes-mintas-gumiszonyeg-hm-10-0-1800-10000/</t>
        </is>
      </c>
      <c r="Q1506" s="12" t="inlineStr"/>
      <c r="R1506" s="13" t="inlineStr"/>
      <c r="S1506" s="6" t="inlineStr">
        <is>
          <t>kalapacsutes-mintas-gumiszonyeg-hm-10-0-1800-10000</t>
        </is>
      </c>
    </row>
    <row r="1507">
      <c r="A1507" s="6" t="inlineStr">
        <is>
          <t>HM 10/0</t>
        </is>
      </c>
      <c r="B1507" s="7" t="inlineStr">
        <is>
          <t>Kalapácsütés-mintás gumiszőnyeg 10 mm, 2000×10000 mm</t>
        </is>
      </c>
      <c r="C1507" s="6" t="inlineStr">
        <is>
          <t>Gumiszőnyegek és gumilemezek</t>
        </is>
      </c>
      <c r="D1507" s="6" t="inlineStr">
        <is>
          <t>Bordás és mintás gumiszőnyegek</t>
        </is>
      </c>
      <c r="E1507" s="6" t="inlineStr">
        <is>
          <t>Rubber Select</t>
        </is>
      </c>
      <c r="F1507" s="6" t="inlineStr">
        <is>
          <t>HM 10/0</t>
        </is>
      </c>
      <c r="G1507" s="6" t="inlineStr">
        <is>
          <t>Teljes kínálat</t>
        </is>
      </c>
      <c r="H1507" s="6" t="n">
        <v>1</v>
      </c>
      <c r="I1507" s="6" t="n">
        <v>11</v>
      </c>
      <c r="J1507" s="6" t="inlineStr">
        <is>
          <t>van</t>
        </is>
      </c>
      <c r="K1507" s="6">
        <f>IF(AND(H1507&gt;0,I1507&gt;0),"Rendben",IF(AND(H1507=0,I1507=0),"Nincs kép és adat",IF(H1507=0,"Nincs kép","Nincs adat")))</f>
        <v/>
      </c>
      <c r="L1507" s="6" t="inlineStr">
        <is>
          <t>Igen</t>
        </is>
      </c>
      <c r="M1507" s="7" t="inlineStr">
        <is>
          <t>Rubber Select teljes kínálata (gyártói katalógus / weboldal)</t>
        </is>
      </c>
      <c r="N1507" s="7" t="inlineStr">
        <is>
          <t>Megtalálva: a beszállító teljes kínálatából felvett termék</t>
        </is>
      </c>
      <c r="O1507" s="11" t="inlineStr">
        <is>
          <t>https://www.rubberselect.com/en/products/matting/hammerblow-mat</t>
        </is>
      </c>
      <c r="P1507" s="11" t="inlineStr">
        <is>
          <t>https://website-9ib.pages.dev/termek/kalapacsutes-mintas-gumiszonyeg-hm-10-0-2000-10000/</t>
        </is>
      </c>
      <c r="Q1507" s="12" t="inlineStr"/>
      <c r="R1507" s="13" t="inlineStr"/>
      <c r="S1507" s="6" t="inlineStr">
        <is>
          <t>kalapacsutes-mintas-gumiszonyeg-hm-10-0-2000-10000</t>
        </is>
      </c>
    </row>
    <row r="1508">
      <c r="A1508" s="6" t="inlineStr">
        <is>
          <t>HM 10/0-2,5</t>
        </is>
      </c>
      <c r="B1508" s="7" t="inlineStr">
        <is>
          <t>Kalapácsütés-mintás gumiszőnyeg 10 mm, 2500×10000 mm</t>
        </is>
      </c>
      <c r="C1508" s="6" t="inlineStr">
        <is>
          <t>Gumiszőnyegek és gumilemezek</t>
        </is>
      </c>
      <c r="D1508" s="6" t="inlineStr">
        <is>
          <t>Bordás és mintás gumiszőnyegek</t>
        </is>
      </c>
      <c r="E1508" s="6" t="inlineStr">
        <is>
          <t>Rubber Select</t>
        </is>
      </c>
      <c r="F1508" s="6" t="inlineStr">
        <is>
          <t>HM 10/0-2,5</t>
        </is>
      </c>
      <c r="G1508" s="6" t="inlineStr">
        <is>
          <t>Teljes kínálat</t>
        </is>
      </c>
      <c r="H1508" s="6" t="n">
        <v>1</v>
      </c>
      <c r="I1508" s="6" t="n">
        <v>11</v>
      </c>
      <c r="J1508" s="6" t="inlineStr">
        <is>
          <t>van</t>
        </is>
      </c>
      <c r="K1508" s="6">
        <f>IF(AND(H1508&gt;0,I1508&gt;0),"Rendben",IF(AND(H1508=0,I1508=0),"Nincs kép és adat",IF(H1508=0,"Nincs kép","Nincs adat")))</f>
        <v/>
      </c>
      <c r="L1508" s="6" t="inlineStr">
        <is>
          <t>Igen</t>
        </is>
      </c>
      <c r="M1508" s="7" t="inlineStr">
        <is>
          <t>Rubber Select teljes kínálata (gyártói katalógus / weboldal)</t>
        </is>
      </c>
      <c r="N1508" s="7" t="inlineStr">
        <is>
          <t>Megtalálva: a beszállító teljes kínálatából felvett termék</t>
        </is>
      </c>
      <c r="O1508" s="11" t="inlineStr">
        <is>
          <t>https://www.rubberselect.com/en/products/matting/hammerblow-mat</t>
        </is>
      </c>
      <c r="P1508" s="11" t="inlineStr">
        <is>
          <t>https://website-9ib.pages.dev/termek/kalapacsutes-mintas-gumiszonyeg-hm-10-0-2-5-2500-10000/</t>
        </is>
      </c>
      <c r="Q1508" s="12" t="inlineStr"/>
      <c r="R1508" s="13" t="inlineStr"/>
      <c r="S1508" s="6" t="inlineStr">
        <is>
          <t>kalapacsutes-mintas-gumiszonyeg-hm-10-0-2-5-2500-10000</t>
        </is>
      </c>
    </row>
    <row r="1509">
      <c r="A1509" s="6" t="inlineStr">
        <is>
          <t>HM 6/0</t>
        </is>
      </c>
      <c r="B1509" s="7" t="inlineStr">
        <is>
          <t>Kalapácsütés-mintás gumiszőnyeg 6 mm, 1650×10000 mm</t>
        </is>
      </c>
      <c r="C1509" s="6" t="inlineStr">
        <is>
          <t>Gumiszőnyegek és gumilemezek</t>
        </is>
      </c>
      <c r="D1509" s="6" t="inlineStr">
        <is>
          <t>Bordás és mintás gumiszőnyegek</t>
        </is>
      </c>
      <c r="E1509" s="6" t="inlineStr">
        <is>
          <t>Rubber Select</t>
        </is>
      </c>
      <c r="F1509" s="6" t="inlineStr">
        <is>
          <t>HM 6/0</t>
        </is>
      </c>
      <c r="G1509" s="6" t="inlineStr">
        <is>
          <t>Teljes kínálat</t>
        </is>
      </c>
      <c r="H1509" s="6" t="n">
        <v>1</v>
      </c>
      <c r="I1509" s="6" t="n">
        <v>11</v>
      </c>
      <c r="J1509" s="6" t="inlineStr">
        <is>
          <t>van</t>
        </is>
      </c>
      <c r="K1509" s="6">
        <f>IF(AND(H1509&gt;0,I1509&gt;0),"Rendben",IF(AND(H1509=0,I1509=0),"Nincs kép és adat",IF(H1509=0,"Nincs kép","Nincs adat")))</f>
        <v/>
      </c>
      <c r="L1509" s="6" t="inlineStr">
        <is>
          <t>Igen</t>
        </is>
      </c>
      <c r="M1509" s="7" t="inlineStr">
        <is>
          <t>Rubber Select teljes kínálata (gyártói katalógus / weboldal)</t>
        </is>
      </c>
      <c r="N1509" s="7" t="inlineStr">
        <is>
          <t>Megtalálva: a beszállító teljes kínálatából felvett termék</t>
        </is>
      </c>
      <c r="O1509" s="11" t="inlineStr">
        <is>
          <t>https://www.rubberselect.com/en/products/matting/hammerblow-mat</t>
        </is>
      </c>
      <c r="P1509" s="11" t="inlineStr">
        <is>
          <t>https://website-9ib.pages.dev/termek/kalapacsutes-mintas-gumiszonyeg-hm-6-0-1650-10000/</t>
        </is>
      </c>
      <c r="Q1509" s="12" t="inlineStr"/>
      <c r="R1509" s="13" t="inlineStr"/>
      <c r="S1509" s="6" t="inlineStr">
        <is>
          <t>kalapacsutes-mintas-gumiszonyeg-hm-6-0-1650-10000</t>
        </is>
      </c>
    </row>
    <row r="1510">
      <c r="A1510" s="6" t="inlineStr">
        <is>
          <t>HM 6/0</t>
        </is>
      </c>
      <c r="B1510" s="7" t="inlineStr">
        <is>
          <t>Kalapácsütés-mintás gumiszőnyeg 6 mm, 1800×10000 mm</t>
        </is>
      </c>
      <c r="C1510" s="6" t="inlineStr">
        <is>
          <t>Gumiszőnyegek és gumilemezek</t>
        </is>
      </c>
      <c r="D1510" s="6" t="inlineStr">
        <is>
          <t>Bordás és mintás gumiszőnyegek</t>
        </is>
      </c>
      <c r="E1510" s="6" t="inlineStr">
        <is>
          <t>Rubber Select</t>
        </is>
      </c>
      <c r="F1510" s="6" t="inlineStr">
        <is>
          <t>HM 6/0</t>
        </is>
      </c>
      <c r="G1510" s="6" t="inlineStr">
        <is>
          <t>Teljes kínálat</t>
        </is>
      </c>
      <c r="H1510" s="6" t="n">
        <v>1</v>
      </c>
      <c r="I1510" s="6" t="n">
        <v>11</v>
      </c>
      <c r="J1510" s="6" t="inlineStr">
        <is>
          <t>van</t>
        </is>
      </c>
      <c r="K1510" s="6">
        <f>IF(AND(H1510&gt;0,I1510&gt;0),"Rendben",IF(AND(H1510=0,I1510=0),"Nincs kép és adat",IF(H1510=0,"Nincs kép","Nincs adat")))</f>
        <v/>
      </c>
      <c r="L1510" s="6" t="inlineStr">
        <is>
          <t>Igen</t>
        </is>
      </c>
      <c r="M1510" s="7" t="inlineStr">
        <is>
          <t>Rubber Select teljes kínálata (gyártói katalógus / weboldal)</t>
        </is>
      </c>
      <c r="N1510" s="7" t="inlineStr">
        <is>
          <t>Megtalálva: a beszállító teljes kínálatából felvett termék</t>
        </is>
      </c>
      <c r="O1510" s="11" t="inlineStr">
        <is>
          <t>https://www.rubberselect.com/en/products/matting/hammerblow-mat</t>
        </is>
      </c>
      <c r="P1510" s="11" t="inlineStr">
        <is>
          <t>https://website-9ib.pages.dev/termek/kalapacsutes-mintas-gumiszonyeg-hm-6-0-1800-10000/</t>
        </is>
      </c>
      <c r="Q1510" s="12" t="inlineStr"/>
      <c r="R1510" s="13" t="inlineStr"/>
      <c r="S1510" s="6" t="inlineStr">
        <is>
          <t>kalapacsutes-mintas-gumiszonyeg-hm-6-0-1800-10000</t>
        </is>
      </c>
    </row>
    <row r="1511">
      <c r="A1511" s="6" t="inlineStr">
        <is>
          <t>HM 6/0</t>
        </is>
      </c>
      <c r="B1511" s="7" t="inlineStr">
        <is>
          <t>Kalapácsütés-mintás gumiszőnyeg 6 mm, 2000×10000 mm</t>
        </is>
      </c>
      <c r="C1511" s="6" t="inlineStr">
        <is>
          <t>Gumiszőnyegek és gumilemezek</t>
        </is>
      </c>
      <c r="D1511" s="6" t="inlineStr">
        <is>
          <t>Bordás és mintás gumiszőnyegek</t>
        </is>
      </c>
      <c r="E1511" s="6" t="inlineStr">
        <is>
          <t>Rubber Select</t>
        </is>
      </c>
      <c r="F1511" s="6" t="inlineStr">
        <is>
          <t>HM 6/0</t>
        </is>
      </c>
      <c r="G1511" s="6" t="inlineStr">
        <is>
          <t>Teljes kínálat</t>
        </is>
      </c>
      <c r="H1511" s="6" t="n">
        <v>1</v>
      </c>
      <c r="I1511" s="6" t="n">
        <v>11</v>
      </c>
      <c r="J1511" s="6" t="inlineStr">
        <is>
          <t>van</t>
        </is>
      </c>
      <c r="K1511" s="6">
        <f>IF(AND(H1511&gt;0,I1511&gt;0),"Rendben",IF(AND(H1511=0,I1511=0),"Nincs kép és adat",IF(H1511=0,"Nincs kép","Nincs adat")))</f>
        <v/>
      </c>
      <c r="L1511" s="6" t="inlineStr">
        <is>
          <t>Igen</t>
        </is>
      </c>
      <c r="M1511" s="7" t="inlineStr">
        <is>
          <t>Rubber Select teljes kínálata (gyártói katalógus / weboldal)</t>
        </is>
      </c>
      <c r="N1511" s="7" t="inlineStr">
        <is>
          <t>Megtalálva: a beszállító teljes kínálatából felvett termék</t>
        </is>
      </c>
      <c r="O1511" s="11" t="inlineStr">
        <is>
          <t>https://www.rubberselect.com/en/products/matting/hammerblow-mat</t>
        </is>
      </c>
      <c r="P1511" s="11" t="inlineStr">
        <is>
          <t>https://website-9ib.pages.dev/termek/kalapacsutes-mintas-gumiszonyeg-hm-6-0-2000-10000/</t>
        </is>
      </c>
      <c r="Q1511" s="12" t="inlineStr"/>
      <c r="R1511" s="13" t="inlineStr"/>
      <c r="S1511" s="6" t="inlineStr">
        <is>
          <t>kalapacsutes-mintas-gumiszonyeg-hm-6-0-2000-10000</t>
        </is>
      </c>
    </row>
    <row r="1512">
      <c r="A1512" s="6" t="inlineStr">
        <is>
          <t>HM 8/0</t>
        </is>
      </c>
      <c r="B1512" s="7" t="inlineStr">
        <is>
          <t>Kalapácsütés-mintás gumiszőnyeg 8 mm, 1650×10000 mm</t>
        </is>
      </c>
      <c r="C1512" s="6" t="inlineStr">
        <is>
          <t>Gumiszőnyegek és gumilemezek</t>
        </is>
      </c>
      <c r="D1512" s="6" t="inlineStr">
        <is>
          <t>Bordás és mintás gumiszőnyegek</t>
        </is>
      </c>
      <c r="E1512" s="6" t="inlineStr">
        <is>
          <t>Rubber Select</t>
        </is>
      </c>
      <c r="F1512" s="6" t="inlineStr">
        <is>
          <t>HM 8/0</t>
        </is>
      </c>
      <c r="G1512" s="6" t="inlineStr">
        <is>
          <t>Teljes kínálat</t>
        </is>
      </c>
      <c r="H1512" s="6" t="n">
        <v>1</v>
      </c>
      <c r="I1512" s="6" t="n">
        <v>11</v>
      </c>
      <c r="J1512" s="6" t="inlineStr">
        <is>
          <t>van</t>
        </is>
      </c>
      <c r="K1512" s="6">
        <f>IF(AND(H1512&gt;0,I1512&gt;0),"Rendben",IF(AND(H1512=0,I1512=0),"Nincs kép és adat",IF(H1512=0,"Nincs kép","Nincs adat")))</f>
        <v/>
      </c>
      <c r="L1512" s="6" t="inlineStr">
        <is>
          <t>Igen</t>
        </is>
      </c>
      <c r="M1512" s="7" t="inlineStr">
        <is>
          <t>Rubber Select teljes kínálata (gyártói katalógus / weboldal)</t>
        </is>
      </c>
      <c r="N1512" s="7" t="inlineStr">
        <is>
          <t>Megtalálva: a beszállító teljes kínálatából felvett termék</t>
        </is>
      </c>
      <c r="O1512" s="11" t="inlineStr">
        <is>
          <t>https://www.rubberselect.com/en/products/matting/hammerblow-mat</t>
        </is>
      </c>
      <c r="P1512" s="11" t="inlineStr">
        <is>
          <t>https://website-9ib.pages.dev/termek/kalapacsutes-mintas-gumiszonyeg-hm-8-0-1650-10000/</t>
        </is>
      </c>
      <c r="Q1512" s="12" t="inlineStr"/>
      <c r="R1512" s="13" t="inlineStr"/>
      <c r="S1512" s="6" t="inlineStr">
        <is>
          <t>kalapacsutes-mintas-gumiszonyeg-hm-8-0-1650-10000</t>
        </is>
      </c>
    </row>
    <row r="1513">
      <c r="A1513" s="6" t="inlineStr">
        <is>
          <t>HM 8/0</t>
        </is>
      </c>
      <c r="B1513" s="7" t="inlineStr">
        <is>
          <t>Kalapácsütés-mintás gumiszőnyeg 8 mm, 1800×10000 mm</t>
        </is>
      </c>
      <c r="C1513" s="6" t="inlineStr">
        <is>
          <t>Gumiszőnyegek és gumilemezek</t>
        </is>
      </c>
      <c r="D1513" s="6" t="inlineStr">
        <is>
          <t>Bordás és mintás gumiszőnyegek</t>
        </is>
      </c>
      <c r="E1513" s="6" t="inlineStr">
        <is>
          <t>Rubber Select</t>
        </is>
      </c>
      <c r="F1513" s="6" t="inlineStr">
        <is>
          <t>HM 8/0</t>
        </is>
      </c>
      <c r="G1513" s="6" t="inlineStr">
        <is>
          <t>Teljes kínálat</t>
        </is>
      </c>
      <c r="H1513" s="6" t="n">
        <v>1</v>
      </c>
      <c r="I1513" s="6" t="n">
        <v>11</v>
      </c>
      <c r="J1513" s="6" t="inlineStr">
        <is>
          <t>van</t>
        </is>
      </c>
      <c r="K1513" s="6">
        <f>IF(AND(H1513&gt;0,I1513&gt;0),"Rendben",IF(AND(H1513=0,I1513=0),"Nincs kép és adat",IF(H1513=0,"Nincs kép","Nincs adat")))</f>
        <v/>
      </c>
      <c r="L1513" s="6" t="inlineStr">
        <is>
          <t>Igen</t>
        </is>
      </c>
      <c r="M1513" s="7" t="inlineStr">
        <is>
          <t>Rubber Select teljes kínálata (gyártói katalógus / weboldal)</t>
        </is>
      </c>
      <c r="N1513" s="7" t="inlineStr">
        <is>
          <t>Megtalálva: a beszállító teljes kínálatából felvett termék</t>
        </is>
      </c>
      <c r="O1513" s="11" t="inlineStr">
        <is>
          <t>https://www.rubberselect.com/en/products/matting/hammerblow-mat</t>
        </is>
      </c>
      <c r="P1513" s="11" t="inlineStr">
        <is>
          <t>https://website-9ib.pages.dev/termek/kalapacsutes-mintas-gumiszonyeg-hm-8-0-1800-10000/</t>
        </is>
      </c>
      <c r="Q1513" s="12" t="inlineStr"/>
      <c r="R1513" s="13" t="inlineStr"/>
      <c r="S1513" s="6" t="inlineStr">
        <is>
          <t>kalapacsutes-mintas-gumiszonyeg-hm-8-0-1800-10000</t>
        </is>
      </c>
    </row>
    <row r="1514">
      <c r="A1514" s="6" t="inlineStr">
        <is>
          <t>HM 8/0</t>
        </is>
      </c>
      <c r="B1514" s="7" t="inlineStr">
        <is>
          <t>Kalapácsütés-mintás gumiszőnyeg 8 mm, 2000×10000 mm</t>
        </is>
      </c>
      <c r="C1514" s="6" t="inlineStr">
        <is>
          <t>Gumiszőnyegek és gumilemezek</t>
        </is>
      </c>
      <c r="D1514" s="6" t="inlineStr">
        <is>
          <t>Bordás és mintás gumiszőnyegek</t>
        </is>
      </c>
      <c r="E1514" s="6" t="inlineStr">
        <is>
          <t>Rubber Select</t>
        </is>
      </c>
      <c r="F1514" s="6" t="inlineStr">
        <is>
          <t>HM 8/0</t>
        </is>
      </c>
      <c r="G1514" s="6" t="inlineStr">
        <is>
          <t>Teljes kínálat</t>
        </is>
      </c>
      <c r="H1514" s="6" t="n">
        <v>1</v>
      </c>
      <c r="I1514" s="6" t="n">
        <v>11</v>
      </c>
      <c r="J1514" s="6" t="inlineStr">
        <is>
          <t>van</t>
        </is>
      </c>
      <c r="K1514" s="6">
        <f>IF(AND(H1514&gt;0,I1514&gt;0),"Rendben",IF(AND(H1514=0,I1514=0),"Nincs kép és adat",IF(H1514=0,"Nincs kép","Nincs adat")))</f>
        <v/>
      </c>
      <c r="L1514" s="6" t="inlineStr">
        <is>
          <t>Igen</t>
        </is>
      </c>
      <c r="M1514" s="7" t="inlineStr">
        <is>
          <t>Rubber Select teljes kínálata (gyártói katalógus / weboldal)</t>
        </is>
      </c>
      <c r="N1514" s="7" t="inlineStr">
        <is>
          <t>Megtalálva: a beszállító teljes kínálatából felvett termék</t>
        </is>
      </c>
      <c r="O1514" s="11" t="inlineStr">
        <is>
          <t>https://www.rubberselect.com/en/products/matting/hammerblow-mat</t>
        </is>
      </c>
      <c r="P1514" s="11" t="inlineStr">
        <is>
          <t>https://website-9ib.pages.dev/termek/kalapacsutes-mintas-gumiszonyeg-hm-8-0-2000-10000/</t>
        </is>
      </c>
      <c r="Q1514" s="12" t="inlineStr"/>
      <c r="R1514" s="13" t="inlineStr"/>
      <c r="S1514" s="6" t="inlineStr">
        <is>
          <t>kalapacsutes-mintas-gumiszonyeg-hm-8-0-2000-10000</t>
        </is>
      </c>
    </row>
    <row r="1515">
      <c r="A1515" s="6" t="inlineStr">
        <is>
          <t>CM 3/0</t>
        </is>
      </c>
      <c r="B1515" s="7" t="inlineStr">
        <is>
          <t>Kockamintás gumiszőnyeg 3 mm, 1000×10000 mm</t>
        </is>
      </c>
      <c r="C1515" s="6" t="inlineStr">
        <is>
          <t>Gumiszőnyegek és gumilemezek</t>
        </is>
      </c>
      <c r="D1515" s="6" t="inlineStr">
        <is>
          <t>Bordás és mintás gumiszőnyegek</t>
        </is>
      </c>
      <c r="E1515" s="6" t="inlineStr">
        <is>
          <t>Rubber Select</t>
        </is>
      </c>
      <c r="F1515" s="6" t="inlineStr">
        <is>
          <t>CM 3/0</t>
        </is>
      </c>
      <c r="G1515" s="6" t="inlineStr">
        <is>
          <t>Teljes kínálat</t>
        </is>
      </c>
      <c r="H1515" s="6" t="n">
        <v>1</v>
      </c>
      <c r="I1515" s="6" t="n">
        <v>11</v>
      </c>
      <c r="J1515" s="6" t="inlineStr">
        <is>
          <t>van</t>
        </is>
      </c>
      <c r="K1515" s="6">
        <f>IF(AND(H1515&gt;0,I1515&gt;0),"Rendben",IF(AND(H1515=0,I1515=0),"Nincs kép és adat",IF(H1515=0,"Nincs kép","Nincs adat")))</f>
        <v/>
      </c>
      <c r="L1515" s="6" t="inlineStr">
        <is>
          <t>Igen</t>
        </is>
      </c>
      <c r="M1515" s="7" t="inlineStr">
        <is>
          <t>Rubber Select teljes kínálata (gyártói katalógus / weboldal)</t>
        </is>
      </c>
      <c r="N1515" s="7" t="inlineStr">
        <is>
          <t>Megtalálva: a beszállító teljes kínálatából felvett termék</t>
        </is>
      </c>
      <c r="O1515" s="11" t="inlineStr">
        <is>
          <t>https://www.rubberselect.com/en/products/matting/checker-mat</t>
        </is>
      </c>
      <c r="P1515" s="11" t="inlineStr">
        <is>
          <t>https://website-9ib.pages.dev/termek/kockamintas-gumiszonyeg-cm-3-0-1000-10000/</t>
        </is>
      </c>
      <c r="Q1515" s="12" t="inlineStr"/>
      <c r="R1515" s="13" t="inlineStr"/>
      <c r="S1515" s="6" t="inlineStr">
        <is>
          <t>kockamintas-gumiszonyeg-cm-3-0-1000-10000</t>
        </is>
      </c>
    </row>
    <row r="1516">
      <c r="A1516" s="6" t="inlineStr">
        <is>
          <t>CM 3/0</t>
        </is>
      </c>
      <c r="B1516" s="7" t="inlineStr">
        <is>
          <t>Kockamintás gumiszőnyeg 3 mm, 1200×10000 mm</t>
        </is>
      </c>
      <c r="C1516" s="6" t="inlineStr">
        <is>
          <t>Gumiszőnyegek és gumilemezek</t>
        </is>
      </c>
      <c r="D1516" s="6" t="inlineStr">
        <is>
          <t>Bordás és mintás gumiszőnyegek</t>
        </is>
      </c>
      <c r="E1516" s="6" t="inlineStr">
        <is>
          <t>Rubber Select</t>
        </is>
      </c>
      <c r="F1516" s="6" t="inlineStr">
        <is>
          <t>CM 3/0</t>
        </is>
      </c>
      <c r="G1516" s="6" t="inlineStr">
        <is>
          <t>Teljes kínálat</t>
        </is>
      </c>
      <c r="H1516" s="6" t="n">
        <v>1</v>
      </c>
      <c r="I1516" s="6" t="n">
        <v>11</v>
      </c>
      <c r="J1516" s="6" t="inlineStr">
        <is>
          <t>van</t>
        </is>
      </c>
      <c r="K1516" s="6">
        <f>IF(AND(H1516&gt;0,I1516&gt;0),"Rendben",IF(AND(H1516=0,I1516=0),"Nincs kép és adat",IF(H1516=0,"Nincs kép","Nincs adat")))</f>
        <v/>
      </c>
      <c r="L1516" s="6" t="inlineStr">
        <is>
          <t>Igen</t>
        </is>
      </c>
      <c r="M1516" s="7" t="inlineStr">
        <is>
          <t>Rubber Select teljes kínálata (gyártói katalógus / weboldal)</t>
        </is>
      </c>
      <c r="N1516" s="7" t="inlineStr">
        <is>
          <t>Megtalálva: a beszállító teljes kínálatából felvett termék</t>
        </is>
      </c>
      <c r="O1516" s="11" t="inlineStr">
        <is>
          <t>https://www.rubberselect.com/en/products/matting/checker-mat</t>
        </is>
      </c>
      <c r="P1516" s="11" t="inlineStr">
        <is>
          <t>https://website-9ib.pages.dev/termek/kockamintas-gumiszonyeg-cm-3-0-1200-10000/</t>
        </is>
      </c>
      <c r="Q1516" s="12" t="inlineStr"/>
      <c r="R1516" s="13" t="inlineStr"/>
      <c r="S1516" s="6" t="inlineStr">
        <is>
          <t>kockamintas-gumiszonyeg-cm-3-0-1200-10000</t>
        </is>
      </c>
    </row>
    <row r="1517">
      <c r="A1517" s="6" t="inlineStr">
        <is>
          <t>CM 3/0</t>
        </is>
      </c>
      <c r="B1517" s="7" t="inlineStr">
        <is>
          <t>Kockamintás gumiszőnyeg 3 mm, 1400×10000 mm</t>
        </is>
      </c>
      <c r="C1517" s="6" t="inlineStr">
        <is>
          <t>Gumiszőnyegek és gumilemezek</t>
        </is>
      </c>
      <c r="D1517" s="6" t="inlineStr">
        <is>
          <t>Bordás és mintás gumiszőnyegek</t>
        </is>
      </c>
      <c r="E1517" s="6" t="inlineStr">
        <is>
          <t>Rubber Select</t>
        </is>
      </c>
      <c r="F1517" s="6" t="inlineStr">
        <is>
          <t>CM 3/0</t>
        </is>
      </c>
      <c r="G1517" s="6" t="inlineStr">
        <is>
          <t>Teljes kínálat</t>
        </is>
      </c>
      <c r="H1517" s="6" t="n">
        <v>1</v>
      </c>
      <c r="I1517" s="6" t="n">
        <v>11</v>
      </c>
      <c r="J1517" s="6" t="inlineStr">
        <is>
          <t>van</t>
        </is>
      </c>
      <c r="K1517" s="6">
        <f>IF(AND(H1517&gt;0,I1517&gt;0),"Rendben",IF(AND(H1517=0,I1517=0),"Nincs kép és adat",IF(H1517=0,"Nincs kép","Nincs adat")))</f>
        <v/>
      </c>
      <c r="L1517" s="6" t="inlineStr">
        <is>
          <t>Igen</t>
        </is>
      </c>
      <c r="M1517" s="7" t="inlineStr">
        <is>
          <t>Rubber Select teljes kínálata (gyártói katalógus / weboldal)</t>
        </is>
      </c>
      <c r="N1517" s="7" t="inlineStr">
        <is>
          <t>Megtalálva: a beszállító teljes kínálatából felvett termék</t>
        </is>
      </c>
      <c r="O1517" s="11" t="inlineStr">
        <is>
          <t>https://www.rubberselect.com/en/products/matting/checker-mat</t>
        </is>
      </c>
      <c r="P1517" s="11" t="inlineStr">
        <is>
          <t>https://website-9ib.pages.dev/termek/kockamintas-gumiszonyeg-cm-3-0-1400-10000/</t>
        </is>
      </c>
      <c r="Q1517" s="12" t="inlineStr"/>
      <c r="R1517" s="13" t="inlineStr"/>
      <c r="S1517" s="6" t="inlineStr">
        <is>
          <t>kockamintas-gumiszonyeg-cm-3-0-1400-10000</t>
        </is>
      </c>
    </row>
    <row r="1518">
      <c r="A1518" s="6" t="inlineStr">
        <is>
          <t>CM 3/0-2</t>
        </is>
      </c>
      <c r="B1518" s="7" t="inlineStr">
        <is>
          <t>Kockamintás gumiszőnyeg 3 mm, 2000×10000 mm</t>
        </is>
      </c>
      <c r="C1518" s="6" t="inlineStr">
        <is>
          <t>Gumiszőnyegek és gumilemezek</t>
        </is>
      </c>
      <c r="D1518" s="6" t="inlineStr">
        <is>
          <t>Bordás és mintás gumiszőnyegek</t>
        </is>
      </c>
      <c r="E1518" s="6" t="inlineStr">
        <is>
          <t>Rubber Select</t>
        </is>
      </c>
      <c r="F1518" s="6" t="inlineStr">
        <is>
          <t>CM 3/0-2</t>
        </is>
      </c>
      <c r="G1518" s="6" t="inlineStr">
        <is>
          <t>Teljes kínálat</t>
        </is>
      </c>
      <c r="H1518" s="6" t="n">
        <v>1</v>
      </c>
      <c r="I1518" s="6" t="n">
        <v>11</v>
      </c>
      <c r="J1518" s="6" t="inlineStr">
        <is>
          <t>van</t>
        </is>
      </c>
      <c r="K1518" s="6">
        <f>IF(AND(H1518&gt;0,I1518&gt;0),"Rendben",IF(AND(H1518=0,I1518=0),"Nincs kép és adat",IF(H1518=0,"Nincs kép","Nincs adat")))</f>
        <v/>
      </c>
      <c r="L1518" s="6" t="inlineStr">
        <is>
          <t>Igen</t>
        </is>
      </c>
      <c r="M1518" s="7" t="inlineStr">
        <is>
          <t>Rubber Select teljes kínálata (gyártói katalógus / weboldal)</t>
        </is>
      </c>
      <c r="N1518" s="7" t="inlineStr">
        <is>
          <t>Megtalálva: a beszállító teljes kínálatából felvett termék</t>
        </is>
      </c>
      <c r="O1518" s="11" t="inlineStr">
        <is>
          <t>https://www.rubberselect.com/en/products/matting/checker-mat</t>
        </is>
      </c>
      <c r="P1518" s="11" t="inlineStr">
        <is>
          <t>https://website-9ib.pages.dev/termek/kockamintas-gumiszonyeg-cm-3-0-2-2000-10000/</t>
        </is>
      </c>
      <c r="Q1518" s="12" t="inlineStr"/>
      <c r="R1518" s="13" t="inlineStr"/>
      <c r="S1518" s="6" t="inlineStr">
        <is>
          <t>kockamintas-gumiszonyeg-cm-3-0-2-2000-10000</t>
        </is>
      </c>
    </row>
    <row r="1519">
      <c r="A1519" s="6" t="inlineStr">
        <is>
          <t>CM 5/0</t>
        </is>
      </c>
      <c r="B1519" s="7" t="inlineStr">
        <is>
          <t>Kockamintás gumiszőnyeg 5 mm, 1400×10000 mm</t>
        </is>
      </c>
      <c r="C1519" s="6" t="inlineStr">
        <is>
          <t>Gumiszőnyegek és gumilemezek</t>
        </is>
      </c>
      <c r="D1519" s="6" t="inlineStr">
        <is>
          <t>Bordás és mintás gumiszőnyegek</t>
        </is>
      </c>
      <c r="E1519" s="6" t="inlineStr">
        <is>
          <t>Rubber Select</t>
        </is>
      </c>
      <c r="F1519" s="6" t="inlineStr">
        <is>
          <t>CM 5/0</t>
        </is>
      </c>
      <c r="G1519" s="6" t="inlineStr">
        <is>
          <t>Teljes kínálat</t>
        </is>
      </c>
      <c r="H1519" s="6" t="n">
        <v>1</v>
      </c>
      <c r="I1519" s="6" t="n">
        <v>11</v>
      </c>
      <c r="J1519" s="6" t="inlineStr">
        <is>
          <t>van</t>
        </is>
      </c>
      <c r="K1519" s="6">
        <f>IF(AND(H1519&gt;0,I1519&gt;0),"Rendben",IF(AND(H1519=0,I1519=0),"Nincs kép és adat",IF(H1519=0,"Nincs kép","Nincs adat")))</f>
        <v/>
      </c>
      <c r="L1519" s="6" t="inlineStr">
        <is>
          <t>Igen</t>
        </is>
      </c>
      <c r="M1519" s="7" t="inlineStr">
        <is>
          <t>Rubber Select teljes kínálata (gyártói katalógus / weboldal)</t>
        </is>
      </c>
      <c r="N1519" s="7" t="inlineStr">
        <is>
          <t>Megtalálva: a beszállító teljes kínálatából felvett termék</t>
        </is>
      </c>
      <c r="O1519" s="11" t="inlineStr">
        <is>
          <t>https://www.rubberselect.com/en/products/matting/checker-mat</t>
        </is>
      </c>
      <c r="P1519" s="11" t="inlineStr">
        <is>
          <t>https://website-9ib.pages.dev/termek/kockamintas-gumiszonyeg-cm-5-0-1400-10000/</t>
        </is>
      </c>
      <c r="Q1519" s="12" t="inlineStr"/>
      <c r="R1519" s="13" t="inlineStr"/>
      <c r="S1519" s="6" t="inlineStr">
        <is>
          <t>kockamintas-gumiszonyeg-cm-5-0-1400-10000</t>
        </is>
      </c>
    </row>
    <row r="1520">
      <c r="A1520" s="6" t="inlineStr">
        <is>
          <t>CM 5/0-2</t>
        </is>
      </c>
      <c r="B1520" s="7" t="inlineStr">
        <is>
          <t>Kockamintás gumiszőnyeg 5 mm, 2000×10000 mm</t>
        </is>
      </c>
      <c r="C1520" s="6" t="inlineStr">
        <is>
          <t>Gumiszőnyegek és gumilemezek</t>
        </is>
      </c>
      <c r="D1520" s="6" t="inlineStr">
        <is>
          <t>Bordás és mintás gumiszőnyegek</t>
        </is>
      </c>
      <c r="E1520" s="6" t="inlineStr">
        <is>
          <t>Rubber Select</t>
        </is>
      </c>
      <c r="F1520" s="6" t="inlineStr">
        <is>
          <t>CM 5/0-2</t>
        </is>
      </c>
      <c r="G1520" s="6" t="inlineStr">
        <is>
          <t>Teljes kínálat</t>
        </is>
      </c>
      <c r="H1520" s="6" t="n">
        <v>1</v>
      </c>
      <c r="I1520" s="6" t="n">
        <v>11</v>
      </c>
      <c r="J1520" s="6" t="inlineStr">
        <is>
          <t>van</t>
        </is>
      </c>
      <c r="K1520" s="6">
        <f>IF(AND(H1520&gt;0,I1520&gt;0),"Rendben",IF(AND(H1520=0,I1520=0),"Nincs kép és adat",IF(H1520=0,"Nincs kép","Nincs adat")))</f>
        <v/>
      </c>
      <c r="L1520" s="6" t="inlineStr">
        <is>
          <t>Igen</t>
        </is>
      </c>
      <c r="M1520" s="7" t="inlineStr">
        <is>
          <t>Rubber Select teljes kínálata (gyártói katalógus / weboldal)</t>
        </is>
      </c>
      <c r="N1520" s="7" t="inlineStr">
        <is>
          <t>Megtalálva: a beszállító teljes kínálatából felvett termék</t>
        </is>
      </c>
      <c r="O1520" s="11" t="inlineStr">
        <is>
          <t>https://www.rubberselect.com/en/products/matting/checker-mat</t>
        </is>
      </c>
      <c r="P1520" s="11" t="inlineStr">
        <is>
          <t>https://website-9ib.pages.dev/termek/kockamintas-gumiszonyeg-cm-5-0-2-2000-10000/</t>
        </is>
      </c>
      <c r="Q1520" s="12" t="inlineStr"/>
      <c r="R1520" s="13" t="inlineStr"/>
      <c r="S1520" s="6" t="inlineStr">
        <is>
          <t>kockamintas-gumiszonyeg-cm-5-0-2-2000-10000</t>
        </is>
      </c>
    </row>
    <row r="1521">
      <c r="A1521" s="6" t="inlineStr">
        <is>
          <t>COMR 3/0</t>
        </is>
      </c>
      <c r="B1521" s="7" t="inlineStr">
        <is>
          <t>Kombi bordás gumiszőnyeg 3 mm, 1200×10000 mm</t>
        </is>
      </c>
      <c r="C1521" s="6" t="inlineStr">
        <is>
          <t>Gumiszőnyegek és gumilemezek</t>
        </is>
      </c>
      <c r="D1521" s="6" t="inlineStr">
        <is>
          <t>Bordás és mintás gumiszőnyegek</t>
        </is>
      </c>
      <c r="E1521" s="6" t="inlineStr">
        <is>
          <t>Rubber Select</t>
        </is>
      </c>
      <c r="F1521" s="6" t="inlineStr">
        <is>
          <t>COMR 3/0</t>
        </is>
      </c>
      <c r="G1521" s="6" t="inlineStr">
        <is>
          <t>Teljes kínálat</t>
        </is>
      </c>
      <c r="H1521" s="6" t="n">
        <v>1</v>
      </c>
      <c r="I1521" s="6" t="n">
        <v>11</v>
      </c>
      <c r="J1521" s="6" t="inlineStr">
        <is>
          <t>van</t>
        </is>
      </c>
      <c r="K1521" s="6">
        <f>IF(AND(H1521&gt;0,I1521&gt;0),"Rendben",IF(AND(H1521=0,I1521=0),"Nincs kép és adat",IF(H1521=0,"Nincs kép","Nincs adat")))</f>
        <v/>
      </c>
      <c r="L1521" s="6" t="inlineStr">
        <is>
          <t>Igen</t>
        </is>
      </c>
      <c r="M1521" s="7" t="inlineStr">
        <is>
          <t>Rubber Select teljes kínálata (gyártói katalógus / weboldal)</t>
        </is>
      </c>
      <c r="N1521" s="7" t="inlineStr">
        <is>
          <t>Megtalálva: a beszállító teljes kínálatából felvett termék</t>
        </is>
      </c>
      <c r="O1521" s="11" t="inlineStr">
        <is>
          <t>https://www.rubberselect.com/en/products/matting/combi-rib-mat</t>
        </is>
      </c>
      <c r="P1521" s="11" t="inlineStr">
        <is>
          <t>https://website-9ib.pages.dev/termek/kombi-bordas-gumiszonyeg-comr-3-0-1200-10000/</t>
        </is>
      </c>
      <c r="Q1521" s="12" t="inlineStr"/>
      <c r="R1521" s="13" t="inlineStr"/>
      <c r="S1521" s="6" t="inlineStr">
        <is>
          <t>kombi-bordas-gumiszonyeg-comr-3-0-1200-10000</t>
        </is>
      </c>
    </row>
    <row r="1522">
      <c r="A1522" s="6" t="inlineStr">
        <is>
          <t>COMR 3/0</t>
        </is>
      </c>
      <c r="B1522" s="7" t="inlineStr">
        <is>
          <t>Kombi bordás gumiszőnyeg 3 mm, 1400×10000 mm</t>
        </is>
      </c>
      <c r="C1522" s="6" t="inlineStr">
        <is>
          <t>Gumiszőnyegek és gumilemezek</t>
        </is>
      </c>
      <c r="D1522" s="6" t="inlineStr">
        <is>
          <t>Bordás és mintás gumiszőnyegek</t>
        </is>
      </c>
      <c r="E1522" s="6" t="inlineStr">
        <is>
          <t>Rubber Select</t>
        </is>
      </c>
      <c r="F1522" s="6" t="inlineStr">
        <is>
          <t>COMR 3/0</t>
        </is>
      </c>
      <c r="G1522" s="6" t="inlineStr">
        <is>
          <t>Teljes kínálat</t>
        </is>
      </c>
      <c r="H1522" s="6" t="n">
        <v>1</v>
      </c>
      <c r="I1522" s="6" t="n">
        <v>11</v>
      </c>
      <c r="J1522" s="6" t="inlineStr">
        <is>
          <t>van</t>
        </is>
      </c>
      <c r="K1522" s="6">
        <f>IF(AND(H1522&gt;0,I1522&gt;0),"Rendben",IF(AND(H1522=0,I1522=0),"Nincs kép és adat",IF(H1522=0,"Nincs kép","Nincs adat")))</f>
        <v/>
      </c>
      <c r="L1522" s="6" t="inlineStr">
        <is>
          <t>Igen</t>
        </is>
      </c>
      <c r="M1522" s="7" t="inlineStr">
        <is>
          <t>Rubber Select teljes kínálata (gyártói katalógus / weboldal)</t>
        </is>
      </c>
      <c r="N1522" s="7" t="inlineStr">
        <is>
          <t>Megtalálva: a beszállító teljes kínálatából felvett termék</t>
        </is>
      </c>
      <c r="O1522" s="11" t="inlineStr">
        <is>
          <t>https://www.rubberselect.com/en/products/matting/combi-rib-mat</t>
        </is>
      </c>
      <c r="P1522" s="11" t="inlineStr">
        <is>
          <t>https://website-9ib.pages.dev/termek/kombi-bordas-gumiszonyeg-comr-3-0-1400-10000/</t>
        </is>
      </c>
      <c r="Q1522" s="12" t="inlineStr"/>
      <c r="R1522" s="13" t="inlineStr"/>
      <c r="S1522" s="6" t="inlineStr">
        <is>
          <t>kombi-bordas-gumiszonyeg-comr-3-0-1400-10000</t>
        </is>
      </c>
    </row>
    <row r="1523">
      <c r="A1523" s="6" t="inlineStr">
        <is>
          <t>COMR 3/0</t>
        </is>
      </c>
      <c r="B1523" s="7" t="inlineStr">
        <is>
          <t>Kombi bordás gumiszőnyeg 3 mm, 1500×10000 mm</t>
        </is>
      </c>
      <c r="C1523" s="6" t="inlineStr">
        <is>
          <t>Gumiszőnyegek és gumilemezek</t>
        </is>
      </c>
      <c r="D1523" s="6" t="inlineStr">
        <is>
          <t>Bordás és mintás gumiszőnyegek</t>
        </is>
      </c>
      <c r="E1523" s="6" t="inlineStr">
        <is>
          <t>Rubber Select</t>
        </is>
      </c>
      <c r="F1523" s="6" t="inlineStr">
        <is>
          <t>COMR 3/0</t>
        </is>
      </c>
      <c r="G1523" s="6" t="inlineStr">
        <is>
          <t>Teljes kínálat</t>
        </is>
      </c>
      <c r="H1523" s="6" t="n">
        <v>1</v>
      </c>
      <c r="I1523" s="6" t="n">
        <v>11</v>
      </c>
      <c r="J1523" s="6" t="inlineStr">
        <is>
          <t>van</t>
        </is>
      </c>
      <c r="K1523" s="6">
        <f>IF(AND(H1523&gt;0,I1523&gt;0),"Rendben",IF(AND(H1523=0,I1523=0),"Nincs kép és adat",IF(H1523=0,"Nincs kép","Nincs adat")))</f>
        <v/>
      </c>
      <c r="L1523" s="6" t="inlineStr">
        <is>
          <t>Igen</t>
        </is>
      </c>
      <c r="M1523" s="7" t="inlineStr">
        <is>
          <t>Rubber Select teljes kínálata (gyártói katalógus / weboldal)</t>
        </is>
      </c>
      <c r="N1523" s="7" t="inlineStr">
        <is>
          <t>Megtalálva: a beszállító teljes kínálatából felvett termék</t>
        </is>
      </c>
      <c r="O1523" s="11" t="inlineStr">
        <is>
          <t>https://www.rubberselect.com/en/products/matting/combi-rib-mat</t>
        </is>
      </c>
      <c r="P1523" s="11" t="inlineStr">
        <is>
          <t>https://website-9ib.pages.dev/termek/kombi-bordas-gumiszonyeg-comr-3-0-1500-10000/</t>
        </is>
      </c>
      <c r="Q1523" s="12" t="inlineStr"/>
      <c r="R1523" s="13" t="inlineStr"/>
      <c r="S1523" s="6" t="inlineStr">
        <is>
          <t>kombi-bordas-gumiszonyeg-comr-3-0-1500-10000</t>
        </is>
      </c>
    </row>
    <row r="1524">
      <c r="A1524" s="6" t="inlineStr">
        <is>
          <t>PUR63 10/0</t>
        </is>
      </c>
      <c r="B1524" s="7" t="inlineStr">
        <is>
          <t>Kopásálló poliuretán (PU) lemez 10 mm, 1400×10000 mm</t>
        </is>
      </c>
      <c r="C1524" s="6" t="inlineStr">
        <is>
          <t>Gumiszőnyegek és gumilemezek</t>
        </is>
      </c>
      <c r="D1524" s="6" t="inlineStr">
        <is>
          <t>Poliuretán (PU) lemezek</t>
        </is>
      </c>
      <c r="E1524" s="6" t="inlineStr">
        <is>
          <t>Rubber Select</t>
        </is>
      </c>
      <c r="F1524" s="6" t="inlineStr">
        <is>
          <t>PUR63 10/0</t>
        </is>
      </c>
      <c r="G1524" s="6" t="inlineStr">
        <is>
          <t>Teljes kínálat</t>
        </is>
      </c>
      <c r="H1524" s="6" t="n">
        <v>1</v>
      </c>
      <c r="I1524" s="6" t="n">
        <v>11</v>
      </c>
      <c r="J1524" s="6" t="inlineStr">
        <is>
          <t>van</t>
        </is>
      </c>
      <c r="K1524" s="6">
        <f>IF(AND(H1524&gt;0,I1524&gt;0),"Rendben",IF(AND(H1524=0,I1524=0),"Nincs kép és adat",IF(H1524=0,"Nincs kép","Nincs adat")))</f>
        <v/>
      </c>
      <c r="L1524" s="6" t="inlineStr">
        <is>
          <t>Igen</t>
        </is>
      </c>
      <c r="M1524" s="7" t="inlineStr">
        <is>
          <t>Rubber Select teljes kínálata (gyártói katalógus / weboldal)</t>
        </is>
      </c>
      <c r="N1524" s="7" t="inlineStr">
        <is>
          <t>Megtalálva: a beszállító teljes kínálatából felvett termék</t>
        </is>
      </c>
      <c r="O1524" s="11" t="inlineStr">
        <is>
          <t>https://www.rubberselect.com/en/products/pu/high-wear-resistant-pu</t>
        </is>
      </c>
      <c r="P1524" s="11" t="inlineStr">
        <is>
          <t>https://website-9ib.pages.dev/termek/kopasallo-poliuretan-pu-lemez-pur63-10-0-1400-10000/</t>
        </is>
      </c>
      <c r="Q1524" s="12" t="inlineStr"/>
      <c r="R1524" s="13" t="inlineStr"/>
      <c r="S1524" s="6" t="inlineStr">
        <is>
          <t>kopasallo-poliuretan-pu-lemez-pur63-10-0-1400-10000</t>
        </is>
      </c>
    </row>
    <row r="1525">
      <c r="A1525" s="6" t="inlineStr">
        <is>
          <t>PUR63 6/0</t>
        </is>
      </c>
      <c r="B1525" s="7" t="inlineStr">
        <is>
          <t>Kopásálló poliuretán (PU) lemez 6 mm, 1400×10000 mm</t>
        </is>
      </c>
      <c r="C1525" s="6" t="inlineStr">
        <is>
          <t>Gumiszőnyegek és gumilemezek</t>
        </is>
      </c>
      <c r="D1525" s="6" t="inlineStr">
        <is>
          <t>Poliuretán (PU) lemezek</t>
        </is>
      </c>
      <c r="E1525" s="6" t="inlineStr">
        <is>
          <t>Rubber Select</t>
        </is>
      </c>
      <c r="F1525" s="6" t="inlineStr">
        <is>
          <t>PUR63 6/0</t>
        </is>
      </c>
      <c r="G1525" s="6" t="inlineStr">
        <is>
          <t>Teljes kínálat</t>
        </is>
      </c>
      <c r="H1525" s="6" t="n">
        <v>1</v>
      </c>
      <c r="I1525" s="6" t="n">
        <v>11</v>
      </c>
      <c r="J1525" s="6" t="inlineStr">
        <is>
          <t>van</t>
        </is>
      </c>
      <c r="K1525" s="6">
        <f>IF(AND(H1525&gt;0,I1525&gt;0),"Rendben",IF(AND(H1525=0,I1525=0),"Nincs kép és adat",IF(H1525=0,"Nincs kép","Nincs adat")))</f>
        <v/>
      </c>
      <c r="L1525" s="6" t="inlineStr">
        <is>
          <t>Igen</t>
        </is>
      </c>
      <c r="M1525" s="7" t="inlineStr">
        <is>
          <t>Rubber Select teljes kínálata (gyártói katalógus / weboldal)</t>
        </is>
      </c>
      <c r="N1525" s="7" t="inlineStr">
        <is>
          <t>Megtalálva: a beszállító teljes kínálatából felvett termék</t>
        </is>
      </c>
      <c r="O1525" s="11" t="inlineStr">
        <is>
          <t>https://www.rubberselect.com/en/products/pu/high-wear-resistant-pu</t>
        </is>
      </c>
      <c r="P1525" s="11" t="inlineStr">
        <is>
          <t>https://website-9ib.pages.dev/termek/kopasallo-poliuretan-pu-lemez-pur63-6-0-1400-10000/</t>
        </is>
      </c>
      <c r="Q1525" s="12" t="inlineStr"/>
      <c r="R1525" s="13" t="inlineStr"/>
      <c r="S1525" s="6" t="inlineStr">
        <is>
          <t>kopasallo-poliuretan-pu-lemez-pur63-6-0-1400-10000</t>
        </is>
      </c>
    </row>
    <row r="1526">
      <c r="A1526" s="6" t="inlineStr">
        <is>
          <t>PUR63 8/0</t>
        </is>
      </c>
      <c r="B1526" s="7" t="inlineStr">
        <is>
          <t>Kopásálló poliuretán (PU) lemez 8 mm, 1400×10000 mm</t>
        </is>
      </c>
      <c r="C1526" s="6" t="inlineStr">
        <is>
          <t>Gumiszőnyegek és gumilemezek</t>
        </is>
      </c>
      <c r="D1526" s="6" t="inlineStr">
        <is>
          <t>Poliuretán (PU) lemezek</t>
        </is>
      </c>
      <c r="E1526" s="6" t="inlineStr">
        <is>
          <t>Rubber Select</t>
        </is>
      </c>
      <c r="F1526" s="6" t="inlineStr">
        <is>
          <t>PUR63 8/0</t>
        </is>
      </c>
      <c r="G1526" s="6" t="inlineStr">
        <is>
          <t>Teljes kínálat</t>
        </is>
      </c>
      <c r="H1526" s="6" t="n">
        <v>1</v>
      </c>
      <c r="I1526" s="6" t="n">
        <v>11</v>
      </c>
      <c r="J1526" s="6" t="inlineStr">
        <is>
          <t>van</t>
        </is>
      </c>
      <c r="K1526" s="6">
        <f>IF(AND(H1526&gt;0,I1526&gt;0),"Rendben",IF(AND(H1526=0,I1526=0),"Nincs kép és adat",IF(H1526=0,"Nincs kép","Nincs adat")))</f>
        <v/>
      </c>
      <c r="L1526" s="6" t="inlineStr">
        <is>
          <t>Igen</t>
        </is>
      </c>
      <c r="M1526" s="7" t="inlineStr">
        <is>
          <t>Rubber Select teljes kínálata (gyártói katalógus / weboldal)</t>
        </is>
      </c>
      <c r="N1526" s="7" t="inlineStr">
        <is>
          <t>Megtalálva: a beszállító teljes kínálatából felvett termék</t>
        </is>
      </c>
      <c r="O1526" s="11" t="inlineStr">
        <is>
          <t>https://www.rubberselect.com/en/products/pu/high-wear-resistant-pu</t>
        </is>
      </c>
      <c r="P1526" s="11" t="inlineStr">
        <is>
          <t>https://website-9ib.pages.dev/termek/kopasallo-poliuretan-pu-lemez-pur63-8-0-1400-10000/</t>
        </is>
      </c>
      <c r="Q1526" s="12" t="inlineStr"/>
      <c r="R1526" s="13" t="inlineStr"/>
      <c r="S1526" s="6" t="inlineStr">
        <is>
          <t>kopasallo-poliuretan-pu-lemez-pur63-8-0-1400-10000</t>
        </is>
      </c>
    </row>
    <row r="1527">
      <c r="A1527" s="6" t="inlineStr">
        <is>
          <t>RMR 10/0-1,83</t>
        </is>
      </c>
      <c r="B1527" s="7" t="inlineStr">
        <is>
          <t>Könnyű lyukacsos gumiszőnyeg tekercsben 10 mm, 1830×10000 mm</t>
        </is>
      </c>
      <c r="C1527" s="6" t="inlineStr">
        <is>
          <t>Gumiszőnyegek és gumilemezek</t>
        </is>
      </c>
      <c r="D1527" s="6" t="inlineStr">
        <is>
          <t>Lyukacsos (gyűrűs) gumiszőnyegek</t>
        </is>
      </c>
      <c r="E1527" s="6" t="inlineStr">
        <is>
          <t>Rubber Select</t>
        </is>
      </c>
      <c r="F1527" s="6" t="inlineStr">
        <is>
          <t>RMR 10/0-1,83</t>
        </is>
      </c>
      <c r="G1527" s="6" t="inlineStr">
        <is>
          <t>Teljes kínálat</t>
        </is>
      </c>
      <c r="H1527" s="6" t="n">
        <v>1</v>
      </c>
      <c r="I1527" s="6" t="n">
        <v>11</v>
      </c>
      <c r="J1527" s="6" t="inlineStr">
        <is>
          <t>van</t>
        </is>
      </c>
      <c r="K1527" s="6">
        <f>IF(AND(H1527&gt;0,I1527&gt;0),"Rendben",IF(AND(H1527=0,I1527=0),"Nincs kép és adat",IF(H1527=0,"Nincs kép","Nincs adat")))</f>
        <v/>
      </c>
      <c r="L1527" s="6" t="inlineStr">
        <is>
          <t>Igen</t>
        </is>
      </c>
      <c r="M1527" s="7" t="inlineStr">
        <is>
          <t>Rubber Select teljes kínálata (gyártói katalógus / weboldal)</t>
        </is>
      </c>
      <c r="N1527" s="7" t="inlineStr">
        <is>
          <t>Megtalálva: a beszállító teljes kínálatából felvett termék</t>
        </is>
      </c>
      <c r="O1527" s="11" t="inlineStr">
        <is>
          <t>https://www.rubberselect.com/en/products/matting/ringmat-roll-light</t>
        </is>
      </c>
      <c r="P1527" s="11" t="inlineStr">
        <is>
          <t>https://website-9ib.pages.dev/termek/konnyu-lyukacsos-gumiszonyeg-tekercsben-rmr-10-0-1-83-1830-10000/</t>
        </is>
      </c>
      <c r="Q1527" s="12" t="inlineStr"/>
      <c r="R1527" s="13" t="inlineStr"/>
      <c r="S1527" s="6" t="inlineStr">
        <is>
          <t>konnyu-lyukacsos-gumiszonyeg-tekercsben-rmr-10-0-1-83-1830-10000</t>
        </is>
      </c>
    </row>
    <row r="1528">
      <c r="A1528" s="6" t="inlineStr">
        <is>
          <t>RMR 10/0-0,9</t>
        </is>
      </c>
      <c r="B1528" s="7" t="inlineStr">
        <is>
          <t>Könnyű lyukacsos gumiszőnyeg tekercsben 10 mm, 900×10000 mm</t>
        </is>
      </c>
      <c r="C1528" s="6" t="inlineStr">
        <is>
          <t>Gumiszőnyegek és gumilemezek</t>
        </is>
      </c>
      <c r="D1528" s="6" t="inlineStr">
        <is>
          <t>Lyukacsos (gyűrűs) gumiszőnyegek</t>
        </is>
      </c>
      <c r="E1528" s="6" t="inlineStr">
        <is>
          <t>Rubber Select</t>
        </is>
      </c>
      <c r="F1528" s="6" t="inlineStr">
        <is>
          <t>RMR 10/0-0,9</t>
        </is>
      </c>
      <c r="G1528" s="6" t="inlineStr">
        <is>
          <t>Teljes kínálat</t>
        </is>
      </c>
      <c r="H1528" s="6" t="n">
        <v>1</v>
      </c>
      <c r="I1528" s="6" t="n">
        <v>11</v>
      </c>
      <c r="J1528" s="6" t="inlineStr">
        <is>
          <t>van</t>
        </is>
      </c>
      <c r="K1528" s="6">
        <f>IF(AND(H1528&gt;0,I1528&gt;0),"Rendben",IF(AND(H1528=0,I1528=0),"Nincs kép és adat",IF(H1528=0,"Nincs kép","Nincs adat")))</f>
        <v/>
      </c>
      <c r="L1528" s="6" t="inlineStr">
        <is>
          <t>Igen</t>
        </is>
      </c>
      <c r="M1528" s="7" t="inlineStr">
        <is>
          <t>Rubber Select teljes kínálata (gyártói katalógus / weboldal)</t>
        </is>
      </c>
      <c r="N1528" s="7" t="inlineStr">
        <is>
          <t>Megtalálva: a beszállító teljes kínálatából felvett termék</t>
        </is>
      </c>
      <c r="O1528" s="11" t="inlineStr">
        <is>
          <t>https://www.rubberselect.com/en/products/matting/ringmat-roll-light</t>
        </is>
      </c>
      <c r="P1528" s="11" t="inlineStr">
        <is>
          <t>https://website-9ib.pages.dev/termek/konnyu-lyukacsos-gumiszonyeg-tekercsben-rmr-10-0-0-9-900-10000/</t>
        </is>
      </c>
      <c r="Q1528" s="12" t="inlineStr"/>
      <c r="R1528" s="13" t="inlineStr"/>
      <c r="S1528" s="6" t="inlineStr">
        <is>
          <t>konnyu-lyukacsos-gumiszonyeg-tekercsben-rmr-10-0-0-9-900-10000</t>
        </is>
      </c>
    </row>
    <row r="1529">
      <c r="A1529" s="6" t="inlineStr">
        <is>
          <t>RM 22/0-1x1</t>
        </is>
      </c>
      <c r="B1529" s="7" t="inlineStr">
        <is>
          <t>Lyukacsos (gyűrűs) gumiszőnyeg 22 mm, 1000×1000 mm</t>
        </is>
      </c>
      <c r="C1529" s="6" t="inlineStr">
        <is>
          <t>Gumiszőnyegek és gumilemezek</t>
        </is>
      </c>
      <c r="D1529" s="6" t="inlineStr">
        <is>
          <t>Lyukacsos (gyűrűs) gumiszőnyegek</t>
        </is>
      </c>
      <c r="E1529" s="6" t="inlineStr">
        <is>
          <t>Rubber Select</t>
        </is>
      </c>
      <c r="F1529" s="6" t="inlineStr">
        <is>
          <t>RM 22/0-1x1</t>
        </is>
      </c>
      <c r="G1529" s="6" t="inlineStr">
        <is>
          <t>Teljes kínálat</t>
        </is>
      </c>
      <c r="H1529" s="6" t="n">
        <v>1</v>
      </c>
      <c r="I1529" s="6" t="n">
        <v>11</v>
      </c>
      <c r="J1529" s="6" t="inlineStr">
        <is>
          <t>van</t>
        </is>
      </c>
      <c r="K1529" s="6">
        <f>IF(AND(H1529&gt;0,I1529&gt;0),"Rendben",IF(AND(H1529=0,I1529=0),"Nincs kép és adat",IF(H1529=0,"Nincs kép","Nincs adat")))</f>
        <v/>
      </c>
      <c r="L1529" s="6" t="inlineStr">
        <is>
          <t>Igen</t>
        </is>
      </c>
      <c r="M1529" s="7" t="inlineStr">
        <is>
          <t>Rubber Select teljes kínálata (gyártói katalógus / weboldal)</t>
        </is>
      </c>
      <c r="N1529" s="7" t="inlineStr">
        <is>
          <t>Megtalálva: a beszállító teljes kínálatából felvett termék</t>
        </is>
      </c>
      <c r="O1529" s="11" t="inlineStr">
        <is>
          <t>https://www.rubberselect.com/en/products/matting/standard-ringmat</t>
        </is>
      </c>
      <c r="P1529" s="11" t="inlineStr">
        <is>
          <t>https://website-9ib.pages.dev/termek/lyukacsos-gyurus-gumiszonyeg-rm-22-0-1x1-1000-1000/</t>
        </is>
      </c>
      <c r="Q1529" s="12" t="inlineStr"/>
      <c r="R1529" s="13" t="inlineStr"/>
      <c r="S1529" s="6" t="inlineStr">
        <is>
          <t>lyukacsos-gyurus-gumiszonyeg-rm-22-0-1x1-1000-1000</t>
        </is>
      </c>
    </row>
    <row r="1530">
      <c r="A1530" s="6" t="inlineStr">
        <is>
          <t>RM 22/0-1,5x1</t>
        </is>
      </c>
      <c r="B1530" s="7" t="inlineStr">
        <is>
          <t>Lyukacsos (gyűrűs) gumiszőnyeg 22 mm, 1500×1000 mm</t>
        </is>
      </c>
      <c r="C1530" s="6" t="inlineStr">
        <is>
          <t>Gumiszőnyegek és gumilemezek</t>
        </is>
      </c>
      <c r="D1530" s="6" t="inlineStr">
        <is>
          <t>Lyukacsos (gyűrűs) gumiszőnyegek</t>
        </is>
      </c>
      <c r="E1530" s="6" t="inlineStr">
        <is>
          <t>Rubber Select</t>
        </is>
      </c>
      <c r="F1530" s="6" t="inlineStr">
        <is>
          <t>RM 22/0-1,5x1</t>
        </is>
      </c>
      <c r="G1530" s="6" t="inlineStr">
        <is>
          <t>Teljes kínálat</t>
        </is>
      </c>
      <c r="H1530" s="6" t="n">
        <v>1</v>
      </c>
      <c r="I1530" s="6" t="n">
        <v>11</v>
      </c>
      <c r="J1530" s="6" t="inlineStr">
        <is>
          <t>van</t>
        </is>
      </c>
      <c r="K1530" s="6">
        <f>IF(AND(H1530&gt;0,I1530&gt;0),"Rendben",IF(AND(H1530=0,I1530=0),"Nincs kép és adat",IF(H1530=0,"Nincs kép","Nincs adat")))</f>
        <v/>
      </c>
      <c r="L1530" s="6" t="inlineStr">
        <is>
          <t>Igen</t>
        </is>
      </c>
      <c r="M1530" s="7" t="inlineStr">
        <is>
          <t>Rubber Select teljes kínálata (gyártói katalógus / weboldal)</t>
        </is>
      </c>
      <c r="N1530" s="7" t="inlineStr">
        <is>
          <t>Megtalálva: a beszállító teljes kínálatából felvett termék</t>
        </is>
      </c>
      <c r="O1530" s="11" t="inlineStr">
        <is>
          <t>https://www.rubberselect.com/en/products/matting/standard-ringmat</t>
        </is>
      </c>
      <c r="P1530" s="11" t="inlineStr">
        <is>
          <t>https://website-9ib.pages.dev/termek/lyukacsos-gyurus-gumiszonyeg-rm-22-0-1-5x1-1500-1000/</t>
        </is>
      </c>
      <c r="Q1530" s="12" t="inlineStr"/>
      <c r="R1530" s="13" t="inlineStr"/>
      <c r="S1530" s="6" t="inlineStr">
        <is>
          <t>lyukacsos-gyurus-gumiszonyeg-rm-22-0-1-5x1-1500-1000</t>
        </is>
      </c>
    </row>
    <row r="1531">
      <c r="A1531" s="6" t="inlineStr">
        <is>
          <t>RM 22/0-0,4x0,6</t>
        </is>
      </c>
      <c r="B1531" s="7" t="inlineStr">
        <is>
          <t>Lyukacsos (gyűrűs) gumiszőnyeg 22 mm, 400×600 mm</t>
        </is>
      </c>
      <c r="C1531" s="6" t="inlineStr">
        <is>
          <t>Gumiszőnyegek és gumilemezek</t>
        </is>
      </c>
      <c r="D1531" s="6" t="inlineStr">
        <is>
          <t>Lyukacsos (gyűrűs) gumiszőnyegek</t>
        </is>
      </c>
      <c r="E1531" s="6" t="inlineStr">
        <is>
          <t>Rubber Select</t>
        </is>
      </c>
      <c r="F1531" s="6" t="inlineStr">
        <is>
          <t>RM 22/0-0,4x0,6</t>
        </is>
      </c>
      <c r="G1531" s="6" t="inlineStr">
        <is>
          <t>Teljes kínálat</t>
        </is>
      </c>
      <c r="H1531" s="6" t="n">
        <v>1</v>
      </c>
      <c r="I1531" s="6" t="n">
        <v>11</v>
      </c>
      <c r="J1531" s="6" t="inlineStr">
        <is>
          <t>van</t>
        </is>
      </c>
      <c r="K1531" s="6">
        <f>IF(AND(H1531&gt;0,I1531&gt;0),"Rendben",IF(AND(H1531=0,I1531=0),"Nincs kép és adat",IF(H1531=0,"Nincs kép","Nincs adat")))</f>
        <v/>
      </c>
      <c r="L1531" s="6" t="inlineStr">
        <is>
          <t>Igen</t>
        </is>
      </c>
      <c r="M1531" s="7" t="inlineStr">
        <is>
          <t>Rubber Select teljes kínálata (gyártói katalógus / weboldal)</t>
        </is>
      </c>
      <c r="N1531" s="7" t="inlineStr">
        <is>
          <t>Megtalálva: a beszállító teljes kínálatából felvett termék</t>
        </is>
      </c>
      <c r="O1531" s="11" t="inlineStr">
        <is>
          <t>https://www.rubberselect.com/en/products/matting/standard-ringmat</t>
        </is>
      </c>
      <c r="P1531" s="11" t="inlineStr">
        <is>
          <t>https://website-9ib.pages.dev/termek/lyukacsos-gyurus-gumiszonyeg-rm-22-0-0-4x0-6-400-600/</t>
        </is>
      </c>
      <c r="Q1531" s="12" t="inlineStr"/>
      <c r="R1531" s="13" t="inlineStr"/>
      <c r="S1531" s="6" t="inlineStr">
        <is>
          <t>lyukacsos-gyurus-gumiszonyeg-rm-22-0-0-4x0-6-400-600</t>
        </is>
      </c>
    </row>
    <row r="1532">
      <c r="A1532" s="6" t="inlineStr">
        <is>
          <t>RM 22/0-0,5x1</t>
        </is>
      </c>
      <c r="B1532" s="7" t="inlineStr">
        <is>
          <t>Lyukacsos (gyűrűs) gumiszőnyeg 22 mm, 500×1000 mm</t>
        </is>
      </c>
      <c r="C1532" s="6" t="inlineStr">
        <is>
          <t>Gumiszőnyegek és gumilemezek</t>
        </is>
      </c>
      <c r="D1532" s="6" t="inlineStr">
        <is>
          <t>Lyukacsos (gyűrűs) gumiszőnyegek</t>
        </is>
      </c>
      <c r="E1532" s="6" t="inlineStr">
        <is>
          <t>Rubber Select</t>
        </is>
      </c>
      <c r="F1532" s="6" t="inlineStr">
        <is>
          <t>RM 22/0-0,5x1</t>
        </is>
      </c>
      <c r="G1532" s="6" t="inlineStr">
        <is>
          <t>Teljes kínálat</t>
        </is>
      </c>
      <c r="H1532" s="6" t="n">
        <v>1</v>
      </c>
      <c r="I1532" s="6" t="n">
        <v>11</v>
      </c>
      <c r="J1532" s="6" t="inlineStr">
        <is>
          <t>van</t>
        </is>
      </c>
      <c r="K1532" s="6">
        <f>IF(AND(H1532&gt;0,I1532&gt;0),"Rendben",IF(AND(H1532=0,I1532=0),"Nincs kép és adat",IF(H1532=0,"Nincs kép","Nincs adat")))</f>
        <v/>
      </c>
      <c r="L1532" s="6" t="inlineStr">
        <is>
          <t>Igen</t>
        </is>
      </c>
      <c r="M1532" s="7" t="inlineStr">
        <is>
          <t>Rubber Select teljes kínálata (gyártói katalógus / weboldal)</t>
        </is>
      </c>
      <c r="N1532" s="7" t="inlineStr">
        <is>
          <t>Megtalálva: a beszállító teljes kínálatából felvett termék</t>
        </is>
      </c>
      <c r="O1532" s="11" t="inlineStr">
        <is>
          <t>https://www.rubberselect.com/en/products/matting/standard-ringmat</t>
        </is>
      </c>
      <c r="P1532" s="11" t="inlineStr">
        <is>
          <t>https://website-9ib.pages.dev/termek/lyukacsos-gyurus-gumiszonyeg-rm-22-0-0-5x1-500-1000/</t>
        </is>
      </c>
      <c r="Q1532" s="12" t="inlineStr"/>
      <c r="R1532" s="13" t="inlineStr"/>
      <c r="S1532" s="6" t="inlineStr">
        <is>
          <t>lyukacsos-gyurus-gumiszonyeg-rm-22-0-0-5x1-500-1000</t>
        </is>
      </c>
    </row>
    <row r="1533">
      <c r="A1533" s="6" t="inlineStr">
        <is>
          <t>RM 22/0-0,75x1</t>
        </is>
      </c>
      <c r="B1533" s="7" t="inlineStr">
        <is>
          <t>Lyukacsos (gyűrűs) gumiszőnyeg 22 mm, 750×1000 mm</t>
        </is>
      </c>
      <c r="C1533" s="6" t="inlineStr">
        <is>
          <t>Gumiszőnyegek és gumilemezek</t>
        </is>
      </c>
      <c r="D1533" s="6" t="inlineStr">
        <is>
          <t>Lyukacsos (gyűrűs) gumiszőnyegek</t>
        </is>
      </c>
      <c r="E1533" s="6" t="inlineStr">
        <is>
          <t>Rubber Select</t>
        </is>
      </c>
      <c r="F1533" s="6" t="inlineStr">
        <is>
          <t>RM 22/0-0,75x1</t>
        </is>
      </c>
      <c r="G1533" s="6" t="inlineStr">
        <is>
          <t>Teljes kínálat</t>
        </is>
      </c>
      <c r="H1533" s="6" t="n">
        <v>1</v>
      </c>
      <c r="I1533" s="6" t="n">
        <v>11</v>
      </c>
      <c r="J1533" s="6" t="inlineStr">
        <is>
          <t>van</t>
        </is>
      </c>
      <c r="K1533" s="6">
        <f>IF(AND(H1533&gt;0,I1533&gt;0),"Rendben",IF(AND(H1533=0,I1533=0),"Nincs kép és adat",IF(H1533=0,"Nincs kép","Nincs adat")))</f>
        <v/>
      </c>
      <c r="L1533" s="6" t="inlineStr">
        <is>
          <t>Igen</t>
        </is>
      </c>
      <c r="M1533" s="7" t="inlineStr">
        <is>
          <t>Rubber Select teljes kínálata (gyártói katalógus / weboldal)</t>
        </is>
      </c>
      <c r="N1533" s="7" t="inlineStr">
        <is>
          <t>Megtalálva: a beszállító teljes kínálatából felvett termék</t>
        </is>
      </c>
      <c r="O1533" s="11" t="inlineStr">
        <is>
          <t>https://www.rubberselect.com/en/products/matting/standard-ringmat</t>
        </is>
      </c>
      <c r="P1533" s="11" t="inlineStr">
        <is>
          <t>https://website-9ib.pages.dev/termek/lyukacsos-gyurus-gumiszonyeg-rm-22-0-0-75x1-750-1000/</t>
        </is>
      </c>
      <c r="Q1533" s="12" t="inlineStr"/>
      <c r="R1533" s="13" t="inlineStr"/>
      <c r="S1533" s="6" t="inlineStr">
        <is>
          <t>lyukacsos-gyurus-gumiszonyeg-rm-22-0-0-75x1-750-1000</t>
        </is>
      </c>
    </row>
    <row r="1534">
      <c r="A1534" s="6" t="inlineStr">
        <is>
          <t>RM 22/0-0,8x1,2</t>
        </is>
      </c>
      <c r="B1534" s="7" t="inlineStr">
        <is>
          <t>Lyukacsos (gyűrűs) gumiszőnyeg 22 mm, 800×1200 mm</t>
        </is>
      </c>
      <c r="C1534" s="6" t="inlineStr">
        <is>
          <t>Gumiszőnyegek és gumilemezek</t>
        </is>
      </c>
      <c r="D1534" s="6" t="inlineStr">
        <is>
          <t>Lyukacsos (gyűrűs) gumiszőnyegek</t>
        </is>
      </c>
      <c r="E1534" s="6" t="inlineStr">
        <is>
          <t>Rubber Select</t>
        </is>
      </c>
      <c r="F1534" s="6" t="inlineStr">
        <is>
          <t>RM 22/0-0,8x1,2</t>
        </is>
      </c>
      <c r="G1534" s="6" t="inlineStr">
        <is>
          <t>Teljes kínálat</t>
        </is>
      </c>
      <c r="H1534" s="6" t="n">
        <v>1</v>
      </c>
      <c r="I1534" s="6" t="n">
        <v>11</v>
      </c>
      <c r="J1534" s="6" t="inlineStr">
        <is>
          <t>van</t>
        </is>
      </c>
      <c r="K1534" s="6">
        <f>IF(AND(H1534&gt;0,I1534&gt;0),"Rendben",IF(AND(H1534=0,I1534=0),"Nincs kép és adat",IF(H1534=0,"Nincs kép","Nincs adat")))</f>
        <v/>
      </c>
      <c r="L1534" s="6" t="inlineStr">
        <is>
          <t>Igen</t>
        </is>
      </c>
      <c r="M1534" s="7" t="inlineStr">
        <is>
          <t>Rubber Select teljes kínálata (gyártói katalógus / weboldal)</t>
        </is>
      </c>
      <c r="N1534" s="7" t="inlineStr">
        <is>
          <t>Megtalálva: a beszállító teljes kínálatából felvett termék</t>
        </is>
      </c>
      <c r="O1534" s="11" t="inlineStr">
        <is>
          <t>https://www.rubberselect.com/en/products/matting/standard-ringmat</t>
        </is>
      </c>
      <c r="P1534" s="11" t="inlineStr">
        <is>
          <t>https://website-9ib.pages.dev/termek/lyukacsos-gyurus-gumiszonyeg-rm-22-0-0-8x1-2-800-1200/</t>
        </is>
      </c>
      <c r="Q1534" s="12" t="inlineStr"/>
      <c r="R1534" s="13" t="inlineStr"/>
      <c r="S1534" s="6" t="inlineStr">
        <is>
          <t>lyukacsos-gyurus-gumiszonyeg-rm-22-0-0-8x1-2-800-1200</t>
        </is>
      </c>
    </row>
    <row r="1535">
      <c r="A1535" s="6" t="inlineStr">
        <is>
          <t>RMR 22/0-1</t>
        </is>
      </c>
      <c r="B1535" s="7" t="inlineStr">
        <is>
          <t>Lyukacsos gumiszőnyeg tekercsben 22 mm, 1000×10500 mm</t>
        </is>
      </c>
      <c r="C1535" s="6" t="inlineStr">
        <is>
          <t>Gumiszőnyegek és gumilemezek</t>
        </is>
      </c>
      <c r="D1535" s="6" t="inlineStr">
        <is>
          <t>Lyukacsos (gyűrűs) gumiszőnyegek</t>
        </is>
      </c>
      <c r="E1535" s="6" t="inlineStr">
        <is>
          <t>Rubber Select</t>
        </is>
      </c>
      <c r="F1535" s="6" t="inlineStr">
        <is>
          <t>RMR 22/0-1</t>
        </is>
      </c>
      <c r="G1535" s="6" t="inlineStr">
        <is>
          <t>Teljes kínálat</t>
        </is>
      </c>
      <c r="H1535" s="6" t="n">
        <v>1</v>
      </c>
      <c r="I1535" s="6" t="n">
        <v>11</v>
      </c>
      <c r="J1535" s="6" t="inlineStr">
        <is>
          <t>van</t>
        </is>
      </c>
      <c r="K1535" s="6">
        <f>IF(AND(H1535&gt;0,I1535&gt;0),"Rendben",IF(AND(H1535=0,I1535=0),"Nincs kép és adat",IF(H1535=0,"Nincs kép","Nincs adat")))</f>
        <v/>
      </c>
      <c r="L1535" s="6" t="inlineStr">
        <is>
          <t>Igen</t>
        </is>
      </c>
      <c r="M1535" s="7" t="inlineStr">
        <is>
          <t>Rubber Select teljes kínálata (gyártói katalógus / weboldal)</t>
        </is>
      </c>
      <c r="N1535" s="7" t="inlineStr">
        <is>
          <t>Megtalálva: a beszállító teljes kínálatából felvett termék</t>
        </is>
      </c>
      <c r="O1535" s="11" t="inlineStr">
        <is>
          <t>https://www.rubberselect.com/en/products/matting/standard-ringmat-roll</t>
        </is>
      </c>
      <c r="P1535" s="11" t="inlineStr">
        <is>
          <t>https://website-9ib.pages.dev/termek/lyukacsos-gumiszonyeg-tekercsben-rmr-22-0-1-1000-10500/</t>
        </is>
      </c>
      <c r="Q1535" s="12" t="inlineStr"/>
      <c r="R1535" s="13" t="inlineStr"/>
      <c r="S1535" s="6" t="inlineStr">
        <is>
          <t>lyukacsos-gumiszonyeg-tekercsben-rmr-22-0-1-1000-10500</t>
        </is>
      </c>
    </row>
    <row r="1536">
      <c r="A1536" s="6" t="inlineStr">
        <is>
          <t>RMR 22/0-1,2</t>
        </is>
      </c>
      <c r="B1536" s="7" t="inlineStr">
        <is>
          <t>Lyukacsos gumiszőnyeg tekercsben 22 mm, 1200×10000 mm</t>
        </is>
      </c>
      <c r="C1536" s="6" t="inlineStr">
        <is>
          <t>Gumiszőnyegek és gumilemezek</t>
        </is>
      </c>
      <c r="D1536" s="6" t="inlineStr">
        <is>
          <t>Lyukacsos (gyűrűs) gumiszőnyegek</t>
        </is>
      </c>
      <c r="E1536" s="6" t="inlineStr">
        <is>
          <t>Rubber Select</t>
        </is>
      </c>
      <c r="F1536" s="6" t="inlineStr">
        <is>
          <t>RMR 22/0-1,2</t>
        </is>
      </c>
      <c r="G1536" s="6" t="inlineStr">
        <is>
          <t>Teljes kínálat</t>
        </is>
      </c>
      <c r="H1536" s="6" t="n">
        <v>1</v>
      </c>
      <c r="I1536" s="6" t="n">
        <v>11</v>
      </c>
      <c r="J1536" s="6" t="inlineStr">
        <is>
          <t>van</t>
        </is>
      </c>
      <c r="K1536" s="6">
        <f>IF(AND(H1536&gt;0,I1536&gt;0),"Rendben",IF(AND(H1536=0,I1536=0),"Nincs kép és adat",IF(H1536=0,"Nincs kép","Nincs adat")))</f>
        <v/>
      </c>
      <c r="L1536" s="6" t="inlineStr">
        <is>
          <t>Igen</t>
        </is>
      </c>
      <c r="M1536" s="7" t="inlineStr">
        <is>
          <t>Rubber Select teljes kínálata (gyártói katalógus / weboldal)</t>
        </is>
      </c>
      <c r="N1536" s="7" t="inlineStr">
        <is>
          <t>Megtalálva: a beszállító teljes kínálatából felvett termék</t>
        </is>
      </c>
      <c r="O1536" s="11" t="inlineStr">
        <is>
          <t>https://www.rubberselect.com/en/products/matting/standard-ringmat-roll</t>
        </is>
      </c>
      <c r="P1536" s="11" t="inlineStr">
        <is>
          <t>https://website-9ib.pages.dev/termek/lyukacsos-gumiszonyeg-tekercsben-rmr-22-0-1-2-1200-10000/</t>
        </is>
      </c>
      <c r="Q1536" s="12" t="inlineStr"/>
      <c r="R1536" s="13" t="inlineStr"/>
      <c r="S1536" s="6" t="inlineStr">
        <is>
          <t>lyukacsos-gumiszonyeg-tekercsben-rmr-22-0-1-2-1200-10000</t>
        </is>
      </c>
    </row>
    <row r="1537">
      <c r="A1537" s="6" t="inlineStr">
        <is>
          <t>RMR 22/0-1,5</t>
        </is>
      </c>
      <c r="B1537" s="7" t="inlineStr">
        <is>
          <t>Lyukacsos gumiszőnyeg tekercsben 22 mm, 1500×10000 mm</t>
        </is>
      </c>
      <c r="C1537" s="6" t="inlineStr">
        <is>
          <t>Gumiszőnyegek és gumilemezek</t>
        </is>
      </c>
      <c r="D1537" s="6" t="inlineStr">
        <is>
          <t>Lyukacsos (gyűrűs) gumiszőnyegek</t>
        </is>
      </c>
      <c r="E1537" s="6" t="inlineStr">
        <is>
          <t>Rubber Select</t>
        </is>
      </c>
      <c r="F1537" s="6" t="inlineStr">
        <is>
          <t>RMR 22/0-1,5</t>
        </is>
      </c>
      <c r="G1537" s="6" t="inlineStr">
        <is>
          <t>Teljes kínálat</t>
        </is>
      </c>
      <c r="H1537" s="6" t="n">
        <v>1</v>
      </c>
      <c r="I1537" s="6" t="n">
        <v>11</v>
      </c>
      <c r="J1537" s="6" t="inlineStr">
        <is>
          <t>van</t>
        </is>
      </c>
      <c r="K1537" s="6">
        <f>IF(AND(H1537&gt;0,I1537&gt;0),"Rendben",IF(AND(H1537=0,I1537=0),"Nincs kép és adat",IF(H1537=0,"Nincs kép","Nincs adat")))</f>
        <v/>
      </c>
      <c r="L1537" s="6" t="inlineStr">
        <is>
          <t>Igen</t>
        </is>
      </c>
      <c r="M1537" s="7" t="inlineStr">
        <is>
          <t>Rubber Select teljes kínálata (gyártói katalógus / weboldal)</t>
        </is>
      </c>
      <c r="N1537" s="7" t="inlineStr">
        <is>
          <t>Megtalálva: a beszállító teljes kínálatából felvett termék</t>
        </is>
      </c>
      <c r="O1537" s="11" t="inlineStr">
        <is>
          <t>https://www.rubberselect.com/en/products/matting/standard-ringmat-roll</t>
        </is>
      </c>
      <c r="P1537" s="11" t="inlineStr">
        <is>
          <t>https://website-9ib.pages.dev/termek/lyukacsos-gumiszonyeg-tekercsben-rmr-22-0-1-5-1500-10000/</t>
        </is>
      </c>
      <c r="Q1537" s="12" t="inlineStr"/>
      <c r="R1537" s="13" t="inlineStr"/>
      <c r="S1537" s="6" t="inlineStr">
        <is>
          <t>lyukacsos-gumiszonyeg-tekercsben-rmr-22-0-1-5-1500-10000</t>
        </is>
      </c>
    </row>
    <row r="1538">
      <c r="A1538" s="6" t="inlineStr">
        <is>
          <t>RMR 22/0-0,4</t>
        </is>
      </c>
      <c r="B1538" s="7" t="inlineStr">
        <is>
          <t>Lyukacsos gumiszőnyeg tekercsben 22 mm, 400×10000 mm</t>
        </is>
      </c>
      <c r="C1538" s="6" t="inlineStr">
        <is>
          <t>Gumiszőnyegek és gumilemezek</t>
        </is>
      </c>
      <c r="D1538" s="6" t="inlineStr">
        <is>
          <t>Lyukacsos (gyűrűs) gumiszőnyegek</t>
        </is>
      </c>
      <c r="E1538" s="6" t="inlineStr">
        <is>
          <t>Rubber Select</t>
        </is>
      </c>
      <c r="F1538" s="6" t="inlineStr">
        <is>
          <t>RMR 22/0-0,4</t>
        </is>
      </c>
      <c r="G1538" s="6" t="inlineStr">
        <is>
          <t>Teljes kínálat</t>
        </is>
      </c>
      <c r="H1538" s="6" t="n">
        <v>1</v>
      </c>
      <c r="I1538" s="6" t="n">
        <v>11</v>
      </c>
      <c r="J1538" s="6" t="inlineStr">
        <is>
          <t>van</t>
        </is>
      </c>
      <c r="K1538" s="6">
        <f>IF(AND(H1538&gt;0,I1538&gt;0),"Rendben",IF(AND(H1538=0,I1538=0),"Nincs kép és adat",IF(H1538=0,"Nincs kép","Nincs adat")))</f>
        <v/>
      </c>
      <c r="L1538" s="6" t="inlineStr">
        <is>
          <t>Igen</t>
        </is>
      </c>
      <c r="M1538" s="7" t="inlineStr">
        <is>
          <t>Rubber Select teljes kínálata (gyártói katalógus / weboldal)</t>
        </is>
      </c>
      <c r="N1538" s="7" t="inlineStr">
        <is>
          <t>Megtalálva: a beszállító teljes kínálatából felvett termék</t>
        </is>
      </c>
      <c r="O1538" s="11" t="inlineStr">
        <is>
          <t>https://www.rubberselect.com/en/products/matting/standard-ringmat-roll</t>
        </is>
      </c>
      <c r="P1538" s="11" t="inlineStr">
        <is>
          <t>https://website-9ib.pages.dev/termek/lyukacsos-gumiszonyeg-tekercsben-rmr-22-0-0-4-400-10000/</t>
        </is>
      </c>
      <c r="Q1538" s="12" t="inlineStr"/>
      <c r="R1538" s="13" t="inlineStr"/>
      <c r="S1538" s="6" t="inlineStr">
        <is>
          <t>lyukacsos-gumiszonyeg-tekercsben-rmr-22-0-0-4-400-10000</t>
        </is>
      </c>
    </row>
    <row r="1539">
      <c r="A1539" s="6" t="inlineStr">
        <is>
          <t>RMR 22/0-0,5</t>
        </is>
      </c>
      <c r="B1539" s="7" t="inlineStr">
        <is>
          <t>Lyukacsos gumiszőnyeg tekercsben 22 mm, 500×10500 mm</t>
        </is>
      </c>
      <c r="C1539" s="6" t="inlineStr">
        <is>
          <t>Gumiszőnyegek és gumilemezek</t>
        </is>
      </c>
      <c r="D1539" s="6" t="inlineStr">
        <is>
          <t>Lyukacsos (gyűrűs) gumiszőnyegek</t>
        </is>
      </c>
      <c r="E1539" s="6" t="inlineStr">
        <is>
          <t>Rubber Select</t>
        </is>
      </c>
      <c r="F1539" s="6" t="inlineStr">
        <is>
          <t>RMR 22/0-0,5</t>
        </is>
      </c>
      <c r="G1539" s="6" t="inlineStr">
        <is>
          <t>Teljes kínálat</t>
        </is>
      </c>
      <c r="H1539" s="6" t="n">
        <v>1</v>
      </c>
      <c r="I1539" s="6" t="n">
        <v>11</v>
      </c>
      <c r="J1539" s="6" t="inlineStr">
        <is>
          <t>van</t>
        </is>
      </c>
      <c r="K1539" s="6">
        <f>IF(AND(H1539&gt;0,I1539&gt;0),"Rendben",IF(AND(H1539=0,I1539=0),"Nincs kép és adat",IF(H1539=0,"Nincs kép","Nincs adat")))</f>
        <v/>
      </c>
      <c r="L1539" s="6" t="inlineStr">
        <is>
          <t>Igen</t>
        </is>
      </c>
      <c r="M1539" s="7" t="inlineStr">
        <is>
          <t>Rubber Select teljes kínálata (gyártói katalógus / weboldal)</t>
        </is>
      </c>
      <c r="N1539" s="7" t="inlineStr">
        <is>
          <t>Megtalálva: a beszállító teljes kínálatából felvett termék</t>
        </is>
      </c>
      <c r="O1539" s="11" t="inlineStr">
        <is>
          <t>https://www.rubberselect.com/en/products/matting/standard-ringmat-roll</t>
        </is>
      </c>
      <c r="P1539" s="11" t="inlineStr">
        <is>
          <t>https://website-9ib.pages.dev/termek/lyukacsos-gumiszonyeg-tekercsben-rmr-22-0-0-5-500-10500/</t>
        </is>
      </c>
      <c r="Q1539" s="12" t="inlineStr"/>
      <c r="R1539" s="13" t="inlineStr"/>
      <c r="S1539" s="6" t="inlineStr">
        <is>
          <t>lyukacsos-gumiszonyeg-tekercsben-rmr-22-0-0-5-500-10500</t>
        </is>
      </c>
    </row>
    <row r="1540">
      <c r="A1540" s="6" t="inlineStr">
        <is>
          <t>RMR 22/0-0,6</t>
        </is>
      </c>
      <c r="B1540" s="7" t="inlineStr">
        <is>
          <t>Lyukacsos gumiszőnyeg tekercsben 22 mm, 600×10000 mm</t>
        </is>
      </c>
      <c r="C1540" s="6" t="inlineStr">
        <is>
          <t>Gumiszőnyegek és gumilemezek</t>
        </is>
      </c>
      <c r="D1540" s="6" t="inlineStr">
        <is>
          <t>Lyukacsos (gyűrűs) gumiszőnyegek</t>
        </is>
      </c>
      <c r="E1540" s="6" t="inlineStr">
        <is>
          <t>Rubber Select</t>
        </is>
      </c>
      <c r="F1540" s="6" t="inlineStr">
        <is>
          <t>RMR 22/0-0,6</t>
        </is>
      </c>
      <c r="G1540" s="6" t="inlineStr">
        <is>
          <t>Teljes kínálat</t>
        </is>
      </c>
      <c r="H1540" s="6" t="n">
        <v>1</v>
      </c>
      <c r="I1540" s="6" t="n">
        <v>11</v>
      </c>
      <c r="J1540" s="6" t="inlineStr">
        <is>
          <t>van</t>
        </is>
      </c>
      <c r="K1540" s="6">
        <f>IF(AND(H1540&gt;0,I1540&gt;0),"Rendben",IF(AND(H1540=0,I1540=0),"Nincs kép és adat",IF(H1540=0,"Nincs kép","Nincs adat")))</f>
        <v/>
      </c>
      <c r="L1540" s="6" t="inlineStr">
        <is>
          <t>Igen</t>
        </is>
      </c>
      <c r="M1540" s="7" t="inlineStr">
        <is>
          <t>Rubber Select teljes kínálata (gyártói katalógus / weboldal)</t>
        </is>
      </c>
      <c r="N1540" s="7" t="inlineStr">
        <is>
          <t>Megtalálva: a beszállító teljes kínálatából felvett termék</t>
        </is>
      </c>
      <c r="O1540" s="11" t="inlineStr">
        <is>
          <t>https://www.rubberselect.com/en/products/matting/standard-ringmat-roll</t>
        </is>
      </c>
      <c r="P1540" s="11" t="inlineStr">
        <is>
          <t>https://website-9ib.pages.dev/termek/lyukacsos-gumiszonyeg-tekercsben-rmr-22-0-0-6-600-10000/</t>
        </is>
      </c>
      <c r="Q1540" s="12" t="inlineStr"/>
      <c r="R1540" s="13" t="inlineStr"/>
      <c r="S1540" s="6" t="inlineStr">
        <is>
          <t>lyukacsos-gumiszonyeg-tekercsben-rmr-22-0-0-6-600-10000</t>
        </is>
      </c>
    </row>
    <row r="1541">
      <c r="A1541" s="6" t="inlineStr">
        <is>
          <t>RMR 22/0-0,8</t>
        </is>
      </c>
      <c r="B1541" s="7" t="inlineStr">
        <is>
          <t>Lyukacsos gumiszőnyeg tekercsben 22 mm, 800×10000 mm</t>
        </is>
      </c>
      <c r="C1541" s="6" t="inlineStr">
        <is>
          <t>Gumiszőnyegek és gumilemezek</t>
        </is>
      </c>
      <c r="D1541" s="6" t="inlineStr">
        <is>
          <t>Lyukacsos (gyűrűs) gumiszőnyegek</t>
        </is>
      </c>
      <c r="E1541" s="6" t="inlineStr">
        <is>
          <t>Rubber Select</t>
        </is>
      </c>
      <c r="F1541" s="6" t="inlineStr">
        <is>
          <t>RMR 22/0-0,8</t>
        </is>
      </c>
      <c r="G1541" s="6" t="inlineStr">
        <is>
          <t>Teljes kínálat</t>
        </is>
      </c>
      <c r="H1541" s="6" t="n">
        <v>1</v>
      </c>
      <c r="I1541" s="6" t="n">
        <v>11</v>
      </c>
      <c r="J1541" s="6" t="inlineStr">
        <is>
          <t>van</t>
        </is>
      </c>
      <c r="K1541" s="6">
        <f>IF(AND(H1541&gt;0,I1541&gt;0),"Rendben",IF(AND(H1541=0,I1541=0),"Nincs kép és adat",IF(H1541=0,"Nincs kép","Nincs adat")))</f>
        <v/>
      </c>
      <c r="L1541" s="6" t="inlineStr">
        <is>
          <t>Igen</t>
        </is>
      </c>
      <c r="M1541" s="7" t="inlineStr">
        <is>
          <t>Rubber Select teljes kínálata (gyártói katalógus / weboldal)</t>
        </is>
      </c>
      <c r="N1541" s="7" t="inlineStr">
        <is>
          <t>Megtalálva: a beszállító teljes kínálatából felvett termék</t>
        </is>
      </c>
      <c r="O1541" s="11" t="inlineStr">
        <is>
          <t>https://www.rubberselect.com/en/products/matting/standard-ringmat-roll</t>
        </is>
      </c>
      <c r="P1541" s="11" t="inlineStr">
        <is>
          <t>https://website-9ib.pages.dev/termek/lyukacsos-gumiszonyeg-tekercsben-rmr-22-0-0-8-800-10000/</t>
        </is>
      </c>
      <c r="Q1541" s="12" t="inlineStr"/>
      <c r="R1541" s="13" t="inlineStr"/>
      <c r="S1541" s="6" t="inlineStr">
        <is>
          <t>lyukacsos-gumiszonyeg-tekercsben-rmr-22-0-0-8-800-10000</t>
        </is>
      </c>
    </row>
    <row r="1542">
      <c r="A1542" s="6" t="inlineStr">
        <is>
          <t>SMM 3/0</t>
        </is>
      </c>
      <c r="B1542" s="7" t="inlineStr">
        <is>
          <t>Mini noppos gumiszőnyeg 3 mm, 1200×10000 mm</t>
        </is>
      </c>
      <c r="C1542" s="6" t="inlineStr">
        <is>
          <t>Gumiszőnyegek és gumilemezek</t>
        </is>
      </c>
      <c r="D1542" s="6" t="inlineStr">
        <is>
          <t>Noppos gumi</t>
        </is>
      </c>
      <c r="E1542" s="6" t="inlineStr">
        <is>
          <t>Rubber Select</t>
        </is>
      </c>
      <c r="F1542" s="6" t="inlineStr">
        <is>
          <t>SMM 3/0</t>
        </is>
      </c>
      <c r="G1542" s="6" t="inlineStr">
        <is>
          <t>Teljes kínálat</t>
        </is>
      </c>
      <c r="H1542" s="6" t="n">
        <v>1</v>
      </c>
      <c r="I1542" s="6" t="n">
        <v>11</v>
      </c>
      <c r="J1542" s="6" t="inlineStr">
        <is>
          <t>van</t>
        </is>
      </c>
      <c r="K1542" s="6">
        <f>IF(AND(H1542&gt;0,I1542&gt;0),"Rendben",IF(AND(H1542=0,I1542=0),"Nincs kép és adat",IF(H1542=0,"Nincs kép","Nincs adat")))</f>
        <v/>
      </c>
      <c r="L1542" s="6" t="inlineStr">
        <is>
          <t>Igen</t>
        </is>
      </c>
      <c r="M1542" s="7" t="inlineStr">
        <is>
          <t>Rubber Select teljes kínálata (gyártói katalógus / weboldal)</t>
        </is>
      </c>
      <c r="N1542" s="7" t="inlineStr">
        <is>
          <t>Megtalálva: a beszállító teljes kínálatából felvett termék</t>
        </is>
      </c>
      <c r="O1542" s="11" t="inlineStr">
        <is>
          <t>https://www.rubberselect.com/en/products/matting/mini-stud</t>
        </is>
      </c>
      <c r="P1542" s="11" t="inlineStr">
        <is>
          <t>https://website-9ib.pages.dev/termek/mini-noppos-gumiszonyeg-smm-3-0-1200-10000/</t>
        </is>
      </c>
      <c r="Q1542" s="12" t="inlineStr"/>
      <c r="R1542" s="13" t="inlineStr"/>
      <c r="S1542" s="6" t="inlineStr">
        <is>
          <t>mini-noppos-gumiszonyeg-smm-3-0-1200-10000</t>
        </is>
      </c>
    </row>
    <row r="1543">
      <c r="A1543" s="6" t="inlineStr">
        <is>
          <t>WP 15/0-0,6x0,9</t>
        </is>
      </c>
      <c r="B1543" s="7" t="inlineStr">
        <is>
          <t>Munkahelyi gumiszőnyeg 15 mm, 600×900 mm</t>
        </is>
      </c>
      <c r="C1543" s="6" t="inlineStr">
        <is>
          <t>Gumiszőnyegek és gumilemezek</t>
        </is>
      </c>
      <c r="D1543" s="6" t="inlineStr">
        <is>
          <t>Munkahelyi gumiszőnyegek</t>
        </is>
      </c>
      <c r="E1543" s="6" t="inlineStr">
        <is>
          <t>Rubber Select</t>
        </is>
      </c>
      <c r="F1543" s="6" t="inlineStr">
        <is>
          <t>WP 15/0-0,6x0,9</t>
        </is>
      </c>
      <c r="G1543" s="6" t="inlineStr">
        <is>
          <t>Teljes kínálat</t>
        </is>
      </c>
      <c r="H1543" s="6" t="n">
        <v>1</v>
      </c>
      <c r="I1543" s="6" t="n">
        <v>11</v>
      </c>
      <c r="J1543" s="6" t="inlineStr">
        <is>
          <t>van</t>
        </is>
      </c>
      <c r="K1543" s="6">
        <f>IF(AND(H1543&gt;0,I1543&gt;0),"Rendben",IF(AND(H1543=0,I1543=0),"Nincs kép és adat",IF(H1543=0,"Nincs kép","Nincs adat")))</f>
        <v/>
      </c>
      <c r="L1543" s="6" t="inlineStr">
        <is>
          <t>Igen</t>
        </is>
      </c>
      <c r="M1543" s="7" t="inlineStr">
        <is>
          <t>Rubber Select teljes kínálata (gyártói katalógus / weboldal)</t>
        </is>
      </c>
      <c r="N1543" s="7" t="inlineStr">
        <is>
          <t>Megtalálva: a beszállító teljes kínálatából felvett termék</t>
        </is>
      </c>
      <c r="O1543" s="11" t="inlineStr">
        <is>
          <t>https://www.rubberselect.com/en/products/matting/workplace-mat</t>
        </is>
      </c>
      <c r="P1543" s="11" t="inlineStr">
        <is>
          <t>https://website-9ib.pages.dev/termek/munkahelyi-gumiszonyeg-wp-15-0-0-6x0-9-600-900/</t>
        </is>
      </c>
      <c r="Q1543" s="12" t="inlineStr"/>
      <c r="R1543" s="13" t="inlineStr"/>
      <c r="S1543" s="6" t="inlineStr">
        <is>
          <t>munkahelyi-gumiszonyeg-wp-15-0-0-6x0-9-600-900</t>
        </is>
      </c>
    </row>
    <row r="1544">
      <c r="A1544" s="6" t="inlineStr">
        <is>
          <t>WP 15/0-0,9x01,2</t>
        </is>
      </c>
      <c r="B1544" s="7" t="inlineStr">
        <is>
          <t>Munkahelyi gumiszőnyeg 15 mm, 900×1200 mm</t>
        </is>
      </c>
      <c r="C1544" s="6" t="inlineStr">
        <is>
          <t>Gumiszőnyegek és gumilemezek</t>
        </is>
      </c>
      <c r="D1544" s="6" t="inlineStr">
        <is>
          <t>Munkahelyi gumiszőnyegek</t>
        </is>
      </c>
      <c r="E1544" s="6" t="inlineStr">
        <is>
          <t>Rubber Select</t>
        </is>
      </c>
      <c r="F1544" s="6" t="inlineStr">
        <is>
          <t>WP 15/0-0,9x01,2</t>
        </is>
      </c>
      <c r="G1544" s="6" t="inlineStr">
        <is>
          <t>Teljes kínálat</t>
        </is>
      </c>
      <c r="H1544" s="6" t="n">
        <v>1</v>
      </c>
      <c r="I1544" s="6" t="n">
        <v>11</v>
      </c>
      <c r="J1544" s="6" t="inlineStr">
        <is>
          <t>van</t>
        </is>
      </c>
      <c r="K1544" s="6">
        <f>IF(AND(H1544&gt;0,I1544&gt;0),"Rendben",IF(AND(H1544=0,I1544=0),"Nincs kép és adat",IF(H1544=0,"Nincs kép","Nincs adat")))</f>
        <v/>
      </c>
      <c r="L1544" s="6" t="inlineStr">
        <is>
          <t>Igen</t>
        </is>
      </c>
      <c r="M1544" s="7" t="inlineStr">
        <is>
          <t>Rubber Select teljes kínálata (gyártói katalógus / weboldal)</t>
        </is>
      </c>
      <c r="N1544" s="7" t="inlineStr">
        <is>
          <t>Megtalálva: a beszállító teljes kínálatából felvett termék</t>
        </is>
      </c>
      <c r="O1544" s="11" t="inlineStr">
        <is>
          <t>https://www.rubberselect.com/en/products/matting/workplace-mat</t>
        </is>
      </c>
      <c r="P1544" s="11" t="inlineStr">
        <is>
          <t>https://website-9ib.pages.dev/termek/munkahelyi-gumiszonyeg-wp-15-0-0-9x01-2-900-1200/</t>
        </is>
      </c>
      <c r="Q1544" s="12" t="inlineStr"/>
      <c r="R1544" s="13" t="inlineStr"/>
      <c r="S1544" s="6" t="inlineStr">
        <is>
          <t>munkahelyi-gumiszonyeg-wp-15-0-0-9x01-2-900-1200</t>
        </is>
      </c>
    </row>
    <row r="1545">
      <c r="A1545" s="6" t="inlineStr">
        <is>
          <t>WPY 15/0-0,6x0,9</t>
        </is>
      </c>
      <c r="B1545" s="7" t="inlineStr">
        <is>
          <t>Munkahelyi gumiszőnyeg sárga szegéllyel 15 mm, 600×900 mm</t>
        </is>
      </c>
      <c r="C1545" s="6" t="inlineStr">
        <is>
          <t>Gumiszőnyegek és gumilemezek</t>
        </is>
      </c>
      <c r="D1545" s="6" t="inlineStr">
        <is>
          <t>Munkahelyi gumiszőnyegek</t>
        </is>
      </c>
      <c r="E1545" s="6" t="inlineStr">
        <is>
          <t>Rubber Select</t>
        </is>
      </c>
      <c r="F1545" s="6" t="inlineStr">
        <is>
          <t>WPY 15/0-0,6x0,9</t>
        </is>
      </c>
      <c r="G1545" s="6" t="inlineStr">
        <is>
          <t>Teljes kínálat</t>
        </is>
      </c>
      <c r="H1545" s="6" t="n">
        <v>1</v>
      </c>
      <c r="I1545" s="6" t="n">
        <v>11</v>
      </c>
      <c r="J1545" s="6" t="inlineStr">
        <is>
          <t>van</t>
        </is>
      </c>
      <c r="K1545" s="6">
        <f>IF(AND(H1545&gt;0,I1545&gt;0),"Rendben",IF(AND(H1545=0,I1545=0),"Nincs kép és adat",IF(H1545=0,"Nincs kép","Nincs adat")))</f>
        <v/>
      </c>
      <c r="L1545" s="6" t="inlineStr">
        <is>
          <t>Igen</t>
        </is>
      </c>
      <c r="M1545" s="7" t="inlineStr">
        <is>
          <t>Rubber Select teljes kínálata (gyártói katalógus / weboldal)</t>
        </is>
      </c>
      <c r="N1545" s="7" t="inlineStr">
        <is>
          <t>Megtalálva: a beszállító teljes kínálatából felvett termék</t>
        </is>
      </c>
      <c r="O1545" s="11" t="inlineStr">
        <is>
          <t>https://www.rubberselect.com/en/products/matting/workplace-mat-yellow-border</t>
        </is>
      </c>
      <c r="P1545" s="11" t="inlineStr">
        <is>
          <t>https://website-9ib.pages.dev/termek/munkahelyi-gumiszonyeg-sarga-szegellyel-wpy-15-0-0-6x0-9-600-900/</t>
        </is>
      </c>
      <c r="Q1545" s="12" t="inlineStr"/>
      <c r="R1545" s="13" t="inlineStr"/>
      <c r="S1545" s="6" t="inlineStr">
        <is>
          <t>munkahelyi-gumiszonyeg-sarga-szegellyel-wpy-15-0-0-6x0-9-600-900</t>
        </is>
      </c>
    </row>
    <row r="1546">
      <c r="A1546" s="6" t="inlineStr">
        <is>
          <t>WPY 15/0-0,9x1,2</t>
        </is>
      </c>
      <c r="B1546" s="7" t="inlineStr">
        <is>
          <t>Munkahelyi gumiszőnyeg sárga szegéllyel 15 mm, 900×1200 mm</t>
        </is>
      </c>
      <c r="C1546" s="6" t="inlineStr">
        <is>
          <t>Gumiszőnyegek és gumilemezek</t>
        </is>
      </c>
      <c r="D1546" s="6" t="inlineStr">
        <is>
          <t>Munkahelyi gumiszőnyegek</t>
        </is>
      </c>
      <c r="E1546" s="6" t="inlineStr">
        <is>
          <t>Rubber Select</t>
        </is>
      </c>
      <c r="F1546" s="6" t="inlineStr">
        <is>
          <t>WPY 15/0-0,9x1,2</t>
        </is>
      </c>
      <c r="G1546" s="6" t="inlineStr">
        <is>
          <t>Teljes kínálat</t>
        </is>
      </c>
      <c r="H1546" s="6" t="n">
        <v>1</v>
      </c>
      <c r="I1546" s="6" t="n">
        <v>11</v>
      </c>
      <c r="J1546" s="6" t="inlineStr">
        <is>
          <t>van</t>
        </is>
      </c>
      <c r="K1546" s="6">
        <f>IF(AND(H1546&gt;0,I1546&gt;0),"Rendben",IF(AND(H1546=0,I1546=0),"Nincs kép és adat",IF(H1546=0,"Nincs kép","Nincs adat")))</f>
        <v/>
      </c>
      <c r="L1546" s="6" t="inlineStr">
        <is>
          <t>Igen</t>
        </is>
      </c>
      <c r="M1546" s="7" t="inlineStr">
        <is>
          <t>Rubber Select teljes kínálata (gyártói katalógus / weboldal)</t>
        </is>
      </c>
      <c r="N1546" s="7" t="inlineStr">
        <is>
          <t>Megtalálva: a beszállító teljes kínálatából felvett termék</t>
        </is>
      </c>
      <c r="O1546" s="11" t="inlineStr">
        <is>
          <t>https://www.rubberselect.com/en/products/matting/workplace-mat-yellow-border</t>
        </is>
      </c>
      <c r="P1546" s="11" t="inlineStr">
        <is>
          <t>https://website-9ib.pages.dev/termek/munkahelyi-gumiszonyeg-sarga-szegellyel-wpy-15-0-0-9x1-2-900-1200/</t>
        </is>
      </c>
      <c r="Q1546" s="12" t="inlineStr"/>
      <c r="R1546" s="13" t="inlineStr"/>
      <c r="S1546" s="6" t="inlineStr">
        <is>
          <t>munkahelyi-gumiszonyeg-sarga-szegellyel-wpy-15-0-0-9x1-2-900-1200</t>
        </is>
      </c>
    </row>
    <row r="1547">
      <c r="A1547" s="6" t="inlineStr">
        <is>
          <t>WPYR 15/0</t>
        </is>
      </c>
      <c r="B1547" s="7" t="inlineStr">
        <is>
          <t>Munkahelyi gumiszőnyeg sárga szegéllyel, tekercsben 15 mm, 910×10000 mm</t>
        </is>
      </c>
      <c r="C1547" s="6" t="inlineStr">
        <is>
          <t>Gumiszőnyegek és gumilemezek</t>
        </is>
      </c>
      <c r="D1547" s="6" t="inlineStr">
        <is>
          <t>Munkahelyi gumiszőnyegek</t>
        </is>
      </c>
      <c r="E1547" s="6" t="inlineStr">
        <is>
          <t>Rubber Select</t>
        </is>
      </c>
      <c r="F1547" s="6" t="inlineStr">
        <is>
          <t>WPYR 15/0</t>
        </is>
      </c>
      <c r="G1547" s="6" t="inlineStr">
        <is>
          <t>Teljes kínálat</t>
        </is>
      </c>
      <c r="H1547" s="6" t="n">
        <v>1</v>
      </c>
      <c r="I1547" s="6" t="n">
        <v>11</v>
      </c>
      <c r="J1547" s="6" t="inlineStr">
        <is>
          <t>van</t>
        </is>
      </c>
      <c r="K1547" s="6">
        <f>IF(AND(H1547&gt;0,I1547&gt;0),"Rendben",IF(AND(H1547=0,I1547=0),"Nincs kép és adat",IF(H1547=0,"Nincs kép","Nincs adat")))</f>
        <v/>
      </c>
      <c r="L1547" s="6" t="inlineStr">
        <is>
          <t>Igen</t>
        </is>
      </c>
      <c r="M1547" s="7" t="inlineStr">
        <is>
          <t>Rubber Select teljes kínálata (gyártói katalógus / weboldal)</t>
        </is>
      </c>
      <c r="N1547" s="7" t="inlineStr">
        <is>
          <t>Megtalálva: a beszállító teljes kínálatából felvett termék</t>
        </is>
      </c>
      <c r="O1547" s="11" t="inlineStr">
        <is>
          <t>https://www.rubberselect.com/en/products/matting/workplace-mat-yellow-border-roll</t>
        </is>
      </c>
      <c r="P1547" s="11" t="inlineStr">
        <is>
          <t>https://website-9ib.pages.dev/termek/munkahelyi-gumiszonyeg-sarga-szegellyel-tekercsben-wpyr-15-0-910-10000/</t>
        </is>
      </c>
      <c r="Q1547" s="12" t="inlineStr"/>
      <c r="R1547" s="13" t="inlineStr"/>
      <c r="S1547" s="6" t="inlineStr">
        <is>
          <t>munkahelyi-gumiszonyeg-sarga-szegellyel-tekercsben-wpyr-15-0-910-10000</t>
        </is>
      </c>
    </row>
    <row r="1548">
      <c r="A1548" s="6" t="inlineStr">
        <is>
          <t>WPR 15/0</t>
        </is>
      </c>
      <c r="B1548" s="7" t="inlineStr">
        <is>
          <t>Munkahelyi gumiszőnyeg tekercsben 15 mm, 910×10000 mm</t>
        </is>
      </c>
      <c r="C1548" s="6" t="inlineStr">
        <is>
          <t>Gumiszőnyegek és gumilemezek</t>
        </is>
      </c>
      <c r="D1548" s="6" t="inlineStr">
        <is>
          <t>Munkahelyi gumiszőnyegek</t>
        </is>
      </c>
      <c r="E1548" s="6" t="inlineStr">
        <is>
          <t>Rubber Select</t>
        </is>
      </c>
      <c r="F1548" s="6" t="inlineStr">
        <is>
          <t>WPR 15/0</t>
        </is>
      </c>
      <c r="G1548" s="6" t="inlineStr">
        <is>
          <t>Teljes kínálat</t>
        </is>
      </c>
      <c r="H1548" s="6" t="n">
        <v>1</v>
      </c>
      <c r="I1548" s="6" t="n">
        <v>11</v>
      </c>
      <c r="J1548" s="6" t="inlineStr">
        <is>
          <t>van</t>
        </is>
      </c>
      <c r="K1548" s="6">
        <f>IF(AND(H1548&gt;0,I1548&gt;0),"Rendben",IF(AND(H1548=0,I1548=0),"Nincs kép és adat",IF(H1548=0,"Nincs kép","Nincs adat")))</f>
        <v/>
      </c>
      <c r="L1548" s="6" t="inlineStr">
        <is>
          <t>Igen</t>
        </is>
      </c>
      <c r="M1548" s="7" t="inlineStr">
        <is>
          <t>Rubber Select teljes kínálata (gyártói katalógus / weboldal)</t>
        </is>
      </c>
      <c r="N1548" s="7" t="inlineStr">
        <is>
          <t>Megtalálva: a beszállító teljes kínálatából felvett termék</t>
        </is>
      </c>
      <c r="O1548" s="11" t="inlineStr">
        <is>
          <t>https://www.rubberselect.com/en/products/matting/workplace-mat-roll</t>
        </is>
      </c>
      <c r="P1548" s="11" t="inlineStr">
        <is>
          <t>https://website-9ib.pages.dev/termek/munkahelyi-gumiszonyeg-tekercsben-wpr-15-0-910-10000/</t>
        </is>
      </c>
      <c r="Q1548" s="12" t="inlineStr"/>
      <c r="R1548" s="13" t="inlineStr"/>
      <c r="S1548" s="6" t="inlineStr">
        <is>
          <t>munkahelyi-gumiszonyeg-tekercsben-wpr-15-0-910-10000</t>
        </is>
      </c>
    </row>
    <row r="1549">
      <c r="A1549" s="6" t="inlineStr">
        <is>
          <t>RMH 23/0-1,5x1</t>
        </is>
      </c>
      <c r="B1549" s="7" t="inlineStr">
        <is>
          <t>Nagy teherbírású lyukacsos gumiszőnyeg 23 mm, 1500×1000 mm</t>
        </is>
      </c>
      <c r="C1549" s="6" t="inlineStr">
        <is>
          <t>Gumiszőnyegek és gumilemezek</t>
        </is>
      </c>
      <c r="D1549" s="6" t="inlineStr">
        <is>
          <t>Lyukacsos (gyűrűs) gumiszőnyegek</t>
        </is>
      </c>
      <c r="E1549" s="6" t="inlineStr">
        <is>
          <t>Rubber Select</t>
        </is>
      </c>
      <c r="F1549" s="6" t="inlineStr">
        <is>
          <t>RMH 23/0-1,5x1</t>
        </is>
      </c>
      <c r="G1549" s="6" t="inlineStr">
        <is>
          <t>Teljes kínálat</t>
        </is>
      </c>
      <c r="H1549" s="6" t="n">
        <v>1</v>
      </c>
      <c r="I1549" s="6" t="n">
        <v>11</v>
      </c>
      <c r="J1549" s="6" t="inlineStr">
        <is>
          <t>van</t>
        </is>
      </c>
      <c r="K1549" s="6">
        <f>IF(AND(H1549&gt;0,I1549&gt;0),"Rendben",IF(AND(H1549=0,I1549=0),"Nincs kép és adat",IF(H1549=0,"Nincs kép","Nincs adat")))</f>
        <v/>
      </c>
      <c r="L1549" s="6" t="inlineStr">
        <is>
          <t>Igen</t>
        </is>
      </c>
      <c r="M1549" s="7" t="inlineStr">
        <is>
          <t>Rubber Select teljes kínálata (gyártói katalógus / weboldal)</t>
        </is>
      </c>
      <c r="N1549" s="7" t="inlineStr">
        <is>
          <t>Megtalálva: a beszállító teljes kínálatából felvett termék</t>
        </is>
      </c>
      <c r="O1549" s="11" t="inlineStr">
        <is>
          <t>https://www.rubberselect.com/en/products/matting/heavy-duty-ring-mat</t>
        </is>
      </c>
      <c r="P1549" s="11" t="inlineStr">
        <is>
          <t>https://website-9ib.pages.dev/termek/nagy-teherbirasu-lyukacsos-gumiszonyeg-rmh-23-0-1-5x1-1500-1000/</t>
        </is>
      </c>
      <c r="Q1549" s="12" t="inlineStr"/>
      <c r="R1549" s="13" t="inlineStr"/>
      <c r="S1549" s="6" t="inlineStr">
        <is>
          <t>nagy-teherbirasu-lyukacsos-gumiszonyeg-rmh-23-0-1-5x1-1500-1000</t>
        </is>
      </c>
    </row>
    <row r="1550">
      <c r="A1550" s="6" t="inlineStr">
        <is>
          <t>RMH 23/0-0,75x1</t>
        </is>
      </c>
      <c r="B1550" s="7" t="inlineStr">
        <is>
          <t>Nagy teherbírású lyukacsos gumiszőnyeg 23 mm, 750×1000 mm</t>
        </is>
      </c>
      <c r="C1550" s="6" t="inlineStr">
        <is>
          <t>Gumiszőnyegek és gumilemezek</t>
        </is>
      </c>
      <c r="D1550" s="6" t="inlineStr">
        <is>
          <t>Lyukacsos (gyűrűs) gumiszőnyegek</t>
        </is>
      </c>
      <c r="E1550" s="6" t="inlineStr">
        <is>
          <t>Rubber Select</t>
        </is>
      </c>
      <c r="F1550" s="6" t="inlineStr">
        <is>
          <t>RMH 23/0-0,75x1</t>
        </is>
      </c>
      <c r="G1550" s="6" t="inlineStr">
        <is>
          <t>Teljes kínálat</t>
        </is>
      </c>
      <c r="H1550" s="6" t="n">
        <v>1</v>
      </c>
      <c r="I1550" s="6" t="n">
        <v>11</v>
      </c>
      <c r="J1550" s="6" t="inlineStr">
        <is>
          <t>van</t>
        </is>
      </c>
      <c r="K1550" s="6">
        <f>IF(AND(H1550&gt;0,I1550&gt;0),"Rendben",IF(AND(H1550=0,I1550=0),"Nincs kép és adat",IF(H1550=0,"Nincs kép","Nincs adat")))</f>
        <v/>
      </c>
      <c r="L1550" s="6" t="inlineStr">
        <is>
          <t>Igen</t>
        </is>
      </c>
      <c r="M1550" s="7" t="inlineStr">
        <is>
          <t>Rubber Select teljes kínálata (gyártói katalógus / weboldal)</t>
        </is>
      </c>
      <c r="N1550" s="7" t="inlineStr">
        <is>
          <t>Megtalálva: a beszállító teljes kínálatából felvett termék</t>
        </is>
      </c>
      <c r="O1550" s="11" t="inlineStr">
        <is>
          <t>https://www.rubberselect.com/en/products/matting/heavy-duty-ring-mat</t>
        </is>
      </c>
      <c r="P1550" s="11" t="inlineStr">
        <is>
          <t>https://website-9ib.pages.dev/termek/nagy-teherbirasu-lyukacsos-gumiszonyeg-rmh-23-0-0-75x1-750-1000/</t>
        </is>
      </c>
      <c r="Q1550" s="12" t="inlineStr"/>
      <c r="R1550" s="13" t="inlineStr"/>
      <c r="S1550" s="6" t="inlineStr">
        <is>
          <t>nagy-teherbirasu-lyukacsos-gumiszonyeg-rmh-23-0-0-75x1-750-1000</t>
        </is>
      </c>
    </row>
    <row r="1551">
      <c r="A1551" s="6" t="inlineStr">
        <is>
          <t>WR 6/0</t>
        </is>
      </c>
      <c r="B1551" s="7" t="inlineStr">
        <is>
          <t>Nagybordás gumiszőnyeg 6 mm, 1000×10000 mm</t>
        </is>
      </c>
      <c r="C1551" s="6" t="inlineStr">
        <is>
          <t>Gumiszőnyegek és gumilemezek</t>
        </is>
      </c>
      <c r="D1551" s="6" t="inlineStr">
        <is>
          <t>Bordás és mintás gumiszőnyegek</t>
        </is>
      </c>
      <c r="E1551" s="6" t="inlineStr">
        <is>
          <t>Rubber Select</t>
        </is>
      </c>
      <c r="F1551" s="6" t="inlineStr">
        <is>
          <t>WR 6/0</t>
        </is>
      </c>
      <c r="G1551" s="6" t="inlineStr">
        <is>
          <t>Teljes kínálat</t>
        </is>
      </c>
      <c r="H1551" s="6" t="n">
        <v>1</v>
      </c>
      <c r="I1551" s="6" t="n">
        <v>11</v>
      </c>
      <c r="J1551" s="6" t="inlineStr">
        <is>
          <t>van</t>
        </is>
      </c>
      <c r="K1551" s="6">
        <f>IF(AND(H1551&gt;0,I1551&gt;0),"Rendben",IF(AND(H1551=0,I1551=0),"Nincs kép és adat",IF(H1551=0,"Nincs kép","Nincs adat")))</f>
        <v/>
      </c>
      <c r="L1551" s="6" t="inlineStr">
        <is>
          <t>Igen</t>
        </is>
      </c>
      <c r="M1551" s="7" t="inlineStr">
        <is>
          <t>Rubber Select teljes kínálata (gyártói katalógus / weboldal)</t>
        </is>
      </c>
      <c r="N1551" s="7" t="inlineStr">
        <is>
          <t>Megtalálva: a beszállító teljes kínálatából felvett termék</t>
        </is>
      </c>
      <c r="O1551" s="11" t="inlineStr">
        <is>
          <t>https://www.rubberselect.com/en/products/matting/wide-rib-mat</t>
        </is>
      </c>
      <c r="P1551" s="11" t="inlineStr">
        <is>
          <t>https://website-9ib.pages.dev/termek/nagybordas-gumiszonyeg-wr-6-0-1000-10000/</t>
        </is>
      </c>
      <c r="Q1551" s="12" t="inlineStr"/>
      <c r="R1551" s="13" t="inlineStr"/>
      <c r="S1551" s="6" t="inlineStr">
        <is>
          <t>nagybordas-gumiszonyeg-wr-6-0-1000-10000</t>
        </is>
      </c>
    </row>
    <row r="1552">
      <c r="A1552" s="6" t="inlineStr">
        <is>
          <t>WR 6/0</t>
        </is>
      </c>
      <c r="B1552" s="7" t="inlineStr">
        <is>
          <t>Nagybordás gumiszőnyeg 6 mm, 1000×10000 mm</t>
        </is>
      </c>
      <c r="C1552" s="6" t="inlineStr">
        <is>
          <t>Gumiszőnyegek és gumilemezek</t>
        </is>
      </c>
      <c r="D1552" s="6" t="inlineStr">
        <is>
          <t>Bordás és mintás gumiszőnyegek</t>
        </is>
      </c>
      <c r="E1552" s="6" t="inlineStr">
        <is>
          <t>Rubber Select</t>
        </is>
      </c>
      <c r="F1552" s="6" t="inlineStr">
        <is>
          <t>WR 6/0</t>
        </is>
      </c>
      <c r="G1552" s="6" t="inlineStr">
        <is>
          <t>Teljes kínálat</t>
        </is>
      </c>
      <c r="H1552" s="6" t="n">
        <v>1</v>
      </c>
      <c r="I1552" s="6" t="n">
        <v>11</v>
      </c>
      <c r="J1552" s="6" t="inlineStr">
        <is>
          <t>van</t>
        </is>
      </c>
      <c r="K1552" s="6">
        <f>IF(AND(H1552&gt;0,I1552&gt;0),"Rendben",IF(AND(H1552=0,I1552=0),"Nincs kép és adat",IF(H1552=0,"Nincs kép","Nincs adat")))</f>
        <v/>
      </c>
      <c r="L1552" s="6" t="inlineStr">
        <is>
          <t>Igen</t>
        </is>
      </c>
      <c r="M1552" s="7" t="inlineStr">
        <is>
          <t>Rubber Select teljes kínálata (gyártói katalógus / weboldal)</t>
        </is>
      </c>
      <c r="N1552" s="7" t="inlineStr">
        <is>
          <t>Megtalálva: a beszállító teljes kínálatából felvett termék</t>
        </is>
      </c>
      <c r="O1552" s="11" t="inlineStr">
        <is>
          <t>https://www.rubberselect.com/en/products/matting/wide-rib-mat</t>
        </is>
      </c>
      <c r="P1552" s="11" t="inlineStr">
        <is>
          <t>https://website-9ib.pages.dev/termek/nagybordas-gumiszonyeg-wr-6-0-1000-10000-2/</t>
        </is>
      </c>
      <c r="Q1552" s="12" t="inlineStr"/>
      <c r="R1552" s="13" t="inlineStr"/>
      <c r="S1552" s="6" t="inlineStr">
        <is>
          <t>nagybordas-gumiszonyeg-wr-6-0-1000-10000-2</t>
        </is>
      </c>
    </row>
    <row r="1553">
      <c r="A1553" s="6" t="inlineStr">
        <is>
          <t>WR 6/0</t>
        </is>
      </c>
      <c r="B1553" s="7" t="inlineStr">
        <is>
          <t>Nagybordás gumiszőnyeg 6 mm, 1200×10000 mm</t>
        </is>
      </c>
      <c r="C1553" s="6" t="inlineStr">
        <is>
          <t>Gumiszőnyegek és gumilemezek</t>
        </is>
      </c>
      <c r="D1553" s="6" t="inlineStr">
        <is>
          <t>Bordás és mintás gumiszőnyegek</t>
        </is>
      </c>
      <c r="E1553" s="6" t="inlineStr">
        <is>
          <t>Rubber Select</t>
        </is>
      </c>
      <c r="F1553" s="6" t="inlineStr">
        <is>
          <t>WR 6/0</t>
        </is>
      </c>
      <c r="G1553" s="6" t="inlineStr">
        <is>
          <t>Teljes kínálat</t>
        </is>
      </c>
      <c r="H1553" s="6" t="n">
        <v>1</v>
      </c>
      <c r="I1553" s="6" t="n">
        <v>11</v>
      </c>
      <c r="J1553" s="6" t="inlineStr">
        <is>
          <t>van</t>
        </is>
      </c>
      <c r="K1553" s="6">
        <f>IF(AND(H1553&gt;0,I1553&gt;0),"Rendben",IF(AND(H1553=0,I1553=0),"Nincs kép és adat",IF(H1553=0,"Nincs kép","Nincs adat")))</f>
        <v/>
      </c>
      <c r="L1553" s="6" t="inlineStr">
        <is>
          <t>Igen</t>
        </is>
      </c>
      <c r="M1553" s="7" t="inlineStr">
        <is>
          <t>Rubber Select teljes kínálata (gyártói katalógus / weboldal)</t>
        </is>
      </c>
      <c r="N1553" s="7" t="inlineStr">
        <is>
          <t>Megtalálva: a beszállító teljes kínálatából felvett termék</t>
        </is>
      </c>
      <c r="O1553" s="11" t="inlineStr">
        <is>
          <t>https://www.rubberselect.com/en/products/matting/wide-rib-mat</t>
        </is>
      </c>
      <c r="P1553" s="11" t="inlineStr">
        <is>
          <t>https://website-9ib.pages.dev/termek/nagybordas-gumiszonyeg-wr-6-0-1200-10000/</t>
        </is>
      </c>
      <c r="Q1553" s="12" t="inlineStr"/>
      <c r="R1553" s="13" t="inlineStr"/>
      <c r="S1553" s="6" t="inlineStr">
        <is>
          <t>nagybordas-gumiszonyeg-wr-6-0-1200-10000</t>
        </is>
      </c>
    </row>
    <row r="1554">
      <c r="A1554" s="6" t="inlineStr">
        <is>
          <t>SM 3/0</t>
        </is>
      </c>
      <c r="B1554" s="7" t="inlineStr">
        <is>
          <t>Noppos gumiszőnyeg 3 mm, 1000×10000 mm</t>
        </is>
      </c>
      <c r="C1554" s="6" t="inlineStr">
        <is>
          <t>Gumiszőnyegek és gumilemezek</t>
        </is>
      </c>
      <c r="D1554" s="6" t="inlineStr">
        <is>
          <t>Noppos gumi</t>
        </is>
      </c>
      <c r="E1554" s="6" t="inlineStr">
        <is>
          <t>Rubber Select</t>
        </is>
      </c>
      <c r="F1554" s="6" t="inlineStr">
        <is>
          <t>SM 3/0</t>
        </is>
      </c>
      <c r="G1554" s="6" t="inlineStr">
        <is>
          <t>Teljes kínálat</t>
        </is>
      </c>
      <c r="H1554" s="6" t="n">
        <v>1</v>
      </c>
      <c r="I1554" s="6" t="n">
        <v>11</v>
      </c>
      <c r="J1554" s="6" t="inlineStr">
        <is>
          <t>van</t>
        </is>
      </c>
      <c r="K1554" s="6">
        <f>IF(AND(H1554&gt;0,I1554&gt;0),"Rendben",IF(AND(H1554=0,I1554=0),"Nincs kép és adat",IF(H1554=0,"Nincs kép","Nincs adat")))</f>
        <v/>
      </c>
      <c r="L1554" s="6" t="inlineStr">
        <is>
          <t>Igen</t>
        </is>
      </c>
      <c r="M1554" s="7" t="inlineStr">
        <is>
          <t>Rubber Select teljes kínálata (gyártói katalógus / weboldal)</t>
        </is>
      </c>
      <c r="N1554" s="7" t="inlineStr">
        <is>
          <t>Megtalálva: a beszállító teljes kínálatából felvett termék</t>
        </is>
      </c>
      <c r="O1554" s="11" t="inlineStr">
        <is>
          <t>https://www.rubberselect.com/en/products/matting/stud-mat</t>
        </is>
      </c>
      <c r="P1554" s="11" t="inlineStr">
        <is>
          <t>https://website-9ib.pages.dev/termek/noppos-gumiszonyeg-sm-3-0-1000-10000/</t>
        </is>
      </c>
      <c r="Q1554" s="12" t="inlineStr"/>
      <c r="R1554" s="13" t="inlineStr"/>
      <c r="S1554" s="6" t="inlineStr">
        <is>
          <t>noppos-gumiszonyeg-sm-3-0-1000-10000</t>
        </is>
      </c>
    </row>
    <row r="1555">
      <c r="A1555" s="6" t="inlineStr">
        <is>
          <t>SM 3/0</t>
        </is>
      </c>
      <c r="B1555" s="7" t="inlineStr">
        <is>
          <t>Noppos gumiszőnyeg 3 mm, 1200×10000 mm</t>
        </is>
      </c>
      <c r="C1555" s="6" t="inlineStr">
        <is>
          <t>Gumiszőnyegek és gumilemezek</t>
        </is>
      </c>
      <c r="D1555" s="6" t="inlineStr">
        <is>
          <t>Noppos gumi</t>
        </is>
      </c>
      <c r="E1555" s="6" t="inlineStr">
        <is>
          <t>Rubber Select</t>
        </is>
      </c>
      <c r="F1555" s="6" t="inlineStr">
        <is>
          <t>SM 3/0</t>
        </is>
      </c>
      <c r="G1555" s="6" t="inlineStr">
        <is>
          <t>Teljes kínálat</t>
        </is>
      </c>
      <c r="H1555" s="6" t="n">
        <v>1</v>
      </c>
      <c r="I1555" s="6" t="n">
        <v>11</v>
      </c>
      <c r="J1555" s="6" t="inlineStr">
        <is>
          <t>van</t>
        </is>
      </c>
      <c r="K1555" s="6">
        <f>IF(AND(H1555&gt;0,I1555&gt;0),"Rendben",IF(AND(H1555=0,I1555=0),"Nincs kép és adat",IF(H1555=0,"Nincs kép","Nincs adat")))</f>
        <v/>
      </c>
      <c r="L1555" s="6" t="inlineStr">
        <is>
          <t>Igen</t>
        </is>
      </c>
      <c r="M1555" s="7" t="inlineStr">
        <is>
          <t>Rubber Select teljes kínálata (gyártói katalógus / weboldal)</t>
        </is>
      </c>
      <c r="N1555" s="7" t="inlineStr">
        <is>
          <t>Megtalálva: a beszállító teljes kínálatából felvett termék</t>
        </is>
      </c>
      <c r="O1555" s="11" t="inlineStr">
        <is>
          <t>https://www.rubberselect.com/en/products/matting/stud-mat</t>
        </is>
      </c>
      <c r="P1555" s="11" t="inlineStr">
        <is>
          <t>https://website-9ib.pages.dev/termek/noppos-gumiszonyeg-sm-3-0-1200-10000/</t>
        </is>
      </c>
      <c r="Q1555" s="12" t="inlineStr"/>
      <c r="R1555" s="13" t="inlineStr"/>
      <c r="S1555" s="6" t="inlineStr">
        <is>
          <t>noppos-gumiszonyeg-sm-3-0-1200-10000</t>
        </is>
      </c>
    </row>
    <row r="1556">
      <c r="A1556" s="6" t="inlineStr">
        <is>
          <t>SM 3/0</t>
        </is>
      </c>
      <c r="B1556" s="7" t="inlineStr">
        <is>
          <t>Noppos gumiszőnyeg 3 mm, 1400×10000 mm</t>
        </is>
      </c>
      <c r="C1556" s="6" t="inlineStr">
        <is>
          <t>Gumiszőnyegek és gumilemezek</t>
        </is>
      </c>
      <c r="D1556" s="6" t="inlineStr">
        <is>
          <t>Noppos gumi</t>
        </is>
      </c>
      <c r="E1556" s="6" t="inlineStr">
        <is>
          <t>Rubber Select</t>
        </is>
      </c>
      <c r="F1556" s="6" t="inlineStr">
        <is>
          <t>SM 3/0</t>
        </is>
      </c>
      <c r="G1556" s="6" t="inlineStr">
        <is>
          <t>Teljes kínálat</t>
        </is>
      </c>
      <c r="H1556" s="6" t="n">
        <v>1</v>
      </c>
      <c r="I1556" s="6" t="n">
        <v>11</v>
      </c>
      <c r="J1556" s="6" t="inlineStr">
        <is>
          <t>van</t>
        </is>
      </c>
      <c r="K1556" s="6">
        <f>IF(AND(H1556&gt;0,I1556&gt;0),"Rendben",IF(AND(H1556=0,I1556=0),"Nincs kép és adat",IF(H1556=0,"Nincs kép","Nincs adat")))</f>
        <v/>
      </c>
      <c r="L1556" s="6" t="inlineStr">
        <is>
          <t>Igen</t>
        </is>
      </c>
      <c r="M1556" s="7" t="inlineStr">
        <is>
          <t>Rubber Select teljes kínálata (gyártói katalógus / weboldal)</t>
        </is>
      </c>
      <c r="N1556" s="7" t="inlineStr">
        <is>
          <t>Megtalálva: a beszállító teljes kínálatából felvett termék</t>
        </is>
      </c>
      <c r="O1556" s="11" t="inlineStr">
        <is>
          <t>https://www.rubberselect.com/en/products/matting/stud-mat</t>
        </is>
      </c>
      <c r="P1556" s="11" t="inlineStr">
        <is>
          <t>https://website-9ib.pages.dev/termek/noppos-gumiszonyeg-sm-3-0-1400-10000/</t>
        </is>
      </c>
      <c r="Q1556" s="12" t="inlineStr"/>
      <c r="R1556" s="13" t="inlineStr"/>
      <c r="S1556" s="6" t="inlineStr">
        <is>
          <t>noppos-gumiszonyeg-sm-3-0-1400-10000</t>
        </is>
      </c>
    </row>
    <row r="1557">
      <c r="A1557" s="6" t="inlineStr">
        <is>
          <t>SM 3/0</t>
        </is>
      </c>
      <c r="B1557" s="7" t="inlineStr">
        <is>
          <t>Noppos gumiszőnyeg 3 mm, 1500×10000 mm</t>
        </is>
      </c>
      <c r="C1557" s="6" t="inlineStr">
        <is>
          <t>Gumiszőnyegek és gumilemezek</t>
        </is>
      </c>
      <c r="D1557" s="6" t="inlineStr">
        <is>
          <t>Noppos gumi</t>
        </is>
      </c>
      <c r="E1557" s="6" t="inlineStr">
        <is>
          <t>Rubber Select</t>
        </is>
      </c>
      <c r="F1557" s="6" t="inlineStr">
        <is>
          <t>SM 3/0</t>
        </is>
      </c>
      <c r="G1557" s="6" t="inlineStr">
        <is>
          <t>Teljes kínálat</t>
        </is>
      </c>
      <c r="H1557" s="6" t="n">
        <v>1</v>
      </c>
      <c r="I1557" s="6" t="n">
        <v>11</v>
      </c>
      <c r="J1557" s="6" t="inlineStr">
        <is>
          <t>van</t>
        </is>
      </c>
      <c r="K1557" s="6">
        <f>IF(AND(H1557&gt;0,I1557&gt;0),"Rendben",IF(AND(H1557=0,I1557=0),"Nincs kép és adat",IF(H1557=0,"Nincs kép","Nincs adat")))</f>
        <v/>
      </c>
      <c r="L1557" s="6" t="inlineStr">
        <is>
          <t>Igen</t>
        </is>
      </c>
      <c r="M1557" s="7" t="inlineStr">
        <is>
          <t>Rubber Select teljes kínálata (gyártói katalógus / weboldal)</t>
        </is>
      </c>
      <c r="N1557" s="7" t="inlineStr">
        <is>
          <t>Megtalálva: a beszállító teljes kínálatából felvett termék</t>
        </is>
      </c>
      <c r="O1557" s="11" t="inlineStr">
        <is>
          <t>https://www.rubberselect.com/en/products/matting/stud-mat</t>
        </is>
      </c>
      <c r="P1557" s="11" t="inlineStr">
        <is>
          <t>https://website-9ib.pages.dev/termek/noppos-gumiszonyeg-sm-3-0-1500-10000/</t>
        </is>
      </c>
      <c r="Q1557" s="12" t="inlineStr"/>
      <c r="R1557" s="13" t="inlineStr"/>
      <c r="S1557" s="6" t="inlineStr">
        <is>
          <t>noppos-gumiszonyeg-sm-3-0-1500-10000</t>
        </is>
      </c>
    </row>
    <row r="1558">
      <c r="A1558" s="6" t="inlineStr">
        <is>
          <t>SM 3/0-2</t>
        </is>
      </c>
      <c r="B1558" s="7" t="inlineStr">
        <is>
          <t>Noppos gumiszőnyeg 3 mm, 2000×10000 mm</t>
        </is>
      </c>
      <c r="C1558" s="6" t="inlineStr">
        <is>
          <t>Gumiszőnyegek és gumilemezek</t>
        </is>
      </c>
      <c r="D1558" s="6" t="inlineStr">
        <is>
          <t>Noppos gumi</t>
        </is>
      </c>
      <c r="E1558" s="6" t="inlineStr">
        <is>
          <t>Rubber Select</t>
        </is>
      </c>
      <c r="F1558" s="6" t="inlineStr">
        <is>
          <t>SM 3/0-2</t>
        </is>
      </c>
      <c r="G1558" s="6" t="inlineStr">
        <is>
          <t>Teljes kínálat</t>
        </is>
      </c>
      <c r="H1558" s="6" t="n">
        <v>1</v>
      </c>
      <c r="I1558" s="6" t="n">
        <v>11</v>
      </c>
      <c r="J1558" s="6" t="inlineStr">
        <is>
          <t>van</t>
        </is>
      </c>
      <c r="K1558" s="6">
        <f>IF(AND(H1558&gt;0,I1558&gt;0),"Rendben",IF(AND(H1558=0,I1558=0),"Nincs kép és adat",IF(H1558=0,"Nincs kép","Nincs adat")))</f>
        <v/>
      </c>
      <c r="L1558" s="6" t="inlineStr">
        <is>
          <t>Igen</t>
        </is>
      </c>
      <c r="M1558" s="7" t="inlineStr">
        <is>
          <t>Rubber Select teljes kínálata (gyártói katalógus / weboldal)</t>
        </is>
      </c>
      <c r="N1558" s="7" t="inlineStr">
        <is>
          <t>Megtalálva: a beszállító teljes kínálatából felvett termék</t>
        </is>
      </c>
      <c r="O1558" s="11" t="inlineStr">
        <is>
          <t>https://www.rubberselect.com/en/products/matting/stud-mat</t>
        </is>
      </c>
      <c r="P1558" s="11" t="inlineStr">
        <is>
          <t>https://website-9ib.pages.dev/termek/noppos-gumiszonyeg-sm-3-0-2-2000-10000/</t>
        </is>
      </c>
      <c r="Q1558" s="12" t="inlineStr"/>
      <c r="R1558" s="13" t="inlineStr"/>
      <c r="S1558" s="6" t="inlineStr">
        <is>
          <t>noppos-gumiszonyeg-sm-3-0-2-2000-10000</t>
        </is>
      </c>
    </row>
    <row r="1559">
      <c r="A1559" s="6" t="inlineStr">
        <is>
          <t>SM 3/0-0,4</t>
        </is>
      </c>
      <c r="B1559" s="7" t="inlineStr">
        <is>
          <t>Noppos gumiszőnyeg 3 mm, 400×10000 mm</t>
        </is>
      </c>
      <c r="C1559" s="6" t="inlineStr">
        <is>
          <t>Gumiszőnyegek és gumilemezek</t>
        </is>
      </c>
      <c r="D1559" s="6" t="inlineStr">
        <is>
          <t>Noppos gumi</t>
        </is>
      </c>
      <c r="E1559" s="6" t="inlineStr">
        <is>
          <t>Rubber Select</t>
        </is>
      </c>
      <c r="F1559" s="6" t="inlineStr">
        <is>
          <t>SM 3/0-0,4</t>
        </is>
      </c>
      <c r="G1559" s="6" t="inlineStr">
        <is>
          <t>Teljes kínálat</t>
        </is>
      </c>
      <c r="H1559" s="6" t="n">
        <v>1</v>
      </c>
      <c r="I1559" s="6" t="n">
        <v>11</v>
      </c>
      <c r="J1559" s="6" t="inlineStr">
        <is>
          <t>van</t>
        </is>
      </c>
      <c r="K1559" s="6">
        <f>IF(AND(H1559&gt;0,I1559&gt;0),"Rendben",IF(AND(H1559=0,I1559=0),"Nincs kép és adat",IF(H1559=0,"Nincs kép","Nincs adat")))</f>
        <v/>
      </c>
      <c r="L1559" s="6" t="inlineStr">
        <is>
          <t>Igen</t>
        </is>
      </c>
      <c r="M1559" s="7" t="inlineStr">
        <is>
          <t>Rubber Select teljes kínálata (gyártói katalógus / weboldal)</t>
        </is>
      </c>
      <c r="N1559" s="7" t="inlineStr">
        <is>
          <t>Megtalálva: a beszállító teljes kínálatából felvett termék</t>
        </is>
      </c>
      <c r="O1559" s="11" t="inlineStr">
        <is>
          <t>https://www.rubberselect.com/en/products/matting/stud-mat</t>
        </is>
      </c>
      <c r="P1559" s="11" t="inlineStr">
        <is>
          <t>https://website-9ib.pages.dev/termek/noppos-gumiszonyeg-sm-3-0-0-4-400-10000/</t>
        </is>
      </c>
      <c r="Q1559" s="12" t="inlineStr"/>
      <c r="R1559" s="13" t="inlineStr"/>
      <c r="S1559" s="6" t="inlineStr">
        <is>
          <t>noppos-gumiszonyeg-sm-3-0-0-4-400-10000</t>
        </is>
      </c>
    </row>
    <row r="1560">
      <c r="A1560" s="6" t="inlineStr">
        <is>
          <t>SM 3/0-0,5</t>
        </is>
      </c>
      <c r="B1560" s="7" t="inlineStr">
        <is>
          <t>Noppos gumiszőnyeg 3 mm, 500×10000 mm</t>
        </is>
      </c>
      <c r="C1560" s="6" t="inlineStr">
        <is>
          <t>Gumiszőnyegek és gumilemezek</t>
        </is>
      </c>
      <c r="D1560" s="6" t="inlineStr">
        <is>
          <t>Noppos gumi</t>
        </is>
      </c>
      <c r="E1560" s="6" t="inlineStr">
        <is>
          <t>Rubber Select</t>
        </is>
      </c>
      <c r="F1560" s="6" t="inlineStr">
        <is>
          <t>SM 3/0-0,5</t>
        </is>
      </c>
      <c r="G1560" s="6" t="inlineStr">
        <is>
          <t>Teljes kínálat</t>
        </is>
      </c>
      <c r="H1560" s="6" t="n">
        <v>1</v>
      </c>
      <c r="I1560" s="6" t="n">
        <v>11</v>
      </c>
      <c r="J1560" s="6" t="inlineStr">
        <is>
          <t>van</t>
        </is>
      </c>
      <c r="K1560" s="6">
        <f>IF(AND(H1560&gt;0,I1560&gt;0),"Rendben",IF(AND(H1560=0,I1560=0),"Nincs kép és adat",IF(H1560=0,"Nincs kép","Nincs adat")))</f>
        <v/>
      </c>
      <c r="L1560" s="6" t="inlineStr">
        <is>
          <t>Igen</t>
        </is>
      </c>
      <c r="M1560" s="7" t="inlineStr">
        <is>
          <t>Rubber Select teljes kínálata (gyártói katalógus / weboldal)</t>
        </is>
      </c>
      <c r="N1560" s="7" t="inlineStr">
        <is>
          <t>Megtalálva: a beszállító teljes kínálatából felvett termék</t>
        </is>
      </c>
      <c r="O1560" s="11" t="inlineStr">
        <is>
          <t>https://www.rubberselect.com/en/products/matting/stud-mat</t>
        </is>
      </c>
      <c r="P1560" s="11" t="inlineStr">
        <is>
          <t>https://website-9ib.pages.dev/termek/noppos-gumiszonyeg-sm-3-0-0-5-500-10000/</t>
        </is>
      </c>
      <c r="Q1560" s="12" t="inlineStr"/>
      <c r="R1560" s="13" t="inlineStr"/>
      <c r="S1560" s="6" t="inlineStr">
        <is>
          <t>noppos-gumiszonyeg-sm-3-0-0-5-500-10000</t>
        </is>
      </c>
    </row>
    <row r="1561">
      <c r="A1561" s="6" t="inlineStr">
        <is>
          <t>SM 3/0-0,6</t>
        </is>
      </c>
      <c r="B1561" s="7" t="inlineStr">
        <is>
          <t>Noppos gumiszőnyeg 3 mm, 600×10000 mm</t>
        </is>
      </c>
      <c r="C1561" s="6" t="inlineStr">
        <is>
          <t>Gumiszőnyegek és gumilemezek</t>
        </is>
      </c>
      <c r="D1561" s="6" t="inlineStr">
        <is>
          <t>Noppos gumi</t>
        </is>
      </c>
      <c r="E1561" s="6" t="inlineStr">
        <is>
          <t>Rubber Select</t>
        </is>
      </c>
      <c r="F1561" s="6" t="inlineStr">
        <is>
          <t>SM 3/0-0,6</t>
        </is>
      </c>
      <c r="G1561" s="6" t="inlineStr">
        <is>
          <t>Teljes kínálat</t>
        </is>
      </c>
      <c r="H1561" s="6" t="n">
        <v>1</v>
      </c>
      <c r="I1561" s="6" t="n">
        <v>11</v>
      </c>
      <c r="J1561" s="6" t="inlineStr">
        <is>
          <t>van</t>
        </is>
      </c>
      <c r="K1561" s="6">
        <f>IF(AND(H1561&gt;0,I1561&gt;0),"Rendben",IF(AND(H1561=0,I1561=0),"Nincs kép és adat",IF(H1561=0,"Nincs kép","Nincs adat")))</f>
        <v/>
      </c>
      <c r="L1561" s="6" t="inlineStr">
        <is>
          <t>Igen</t>
        </is>
      </c>
      <c r="M1561" s="7" t="inlineStr">
        <is>
          <t>Rubber Select teljes kínálata (gyártói katalógus / weboldal)</t>
        </is>
      </c>
      <c r="N1561" s="7" t="inlineStr">
        <is>
          <t>Megtalálva: a beszállító teljes kínálatából felvett termék</t>
        </is>
      </c>
      <c r="O1561" s="11" t="inlineStr">
        <is>
          <t>https://www.rubberselect.com/en/products/matting/stud-mat</t>
        </is>
      </c>
      <c r="P1561" s="11" t="inlineStr">
        <is>
          <t>https://website-9ib.pages.dev/termek/noppos-gumiszonyeg-sm-3-0-0-6-600-10000/</t>
        </is>
      </c>
      <c r="Q1561" s="12" t="inlineStr"/>
      <c r="R1561" s="13" t="inlineStr"/>
      <c r="S1561" s="6" t="inlineStr">
        <is>
          <t>noppos-gumiszonyeg-sm-3-0-0-6-600-10000</t>
        </is>
      </c>
    </row>
    <row r="1562">
      <c r="A1562" s="6" t="inlineStr">
        <is>
          <t>SM 3/0-0,7</t>
        </is>
      </c>
      <c r="B1562" s="7" t="inlineStr">
        <is>
          <t>Noppos gumiszőnyeg 3 mm, 700×10000 mm</t>
        </is>
      </c>
      <c r="C1562" s="6" t="inlineStr">
        <is>
          <t>Gumiszőnyegek és gumilemezek</t>
        </is>
      </c>
      <c r="D1562" s="6" t="inlineStr">
        <is>
          <t>Noppos gumi</t>
        </is>
      </c>
      <c r="E1562" s="6" t="inlineStr">
        <is>
          <t>Rubber Select</t>
        </is>
      </c>
      <c r="F1562" s="6" t="inlineStr">
        <is>
          <t>SM 3/0-0,7</t>
        </is>
      </c>
      <c r="G1562" s="6" t="inlineStr">
        <is>
          <t>Teljes kínálat</t>
        </is>
      </c>
      <c r="H1562" s="6" t="n">
        <v>1</v>
      </c>
      <c r="I1562" s="6" t="n">
        <v>11</v>
      </c>
      <c r="J1562" s="6" t="inlineStr">
        <is>
          <t>van</t>
        </is>
      </c>
      <c r="K1562" s="6">
        <f>IF(AND(H1562&gt;0,I1562&gt;0),"Rendben",IF(AND(H1562=0,I1562=0),"Nincs kép és adat",IF(H1562=0,"Nincs kép","Nincs adat")))</f>
        <v/>
      </c>
      <c r="L1562" s="6" t="inlineStr">
        <is>
          <t>Igen</t>
        </is>
      </c>
      <c r="M1562" s="7" t="inlineStr">
        <is>
          <t>Rubber Select teljes kínálata (gyártói katalógus / weboldal)</t>
        </is>
      </c>
      <c r="N1562" s="7" t="inlineStr">
        <is>
          <t>Megtalálva: a beszállító teljes kínálatából felvett termék</t>
        </is>
      </c>
      <c r="O1562" s="11" t="inlineStr">
        <is>
          <t>https://www.rubberselect.com/en/products/matting/stud-mat</t>
        </is>
      </c>
      <c r="P1562" s="11" t="inlineStr">
        <is>
          <t>https://website-9ib.pages.dev/termek/noppos-gumiszonyeg-sm-3-0-0-7-700-10000/</t>
        </is>
      </c>
      <c r="Q1562" s="12" t="inlineStr"/>
      <c r="R1562" s="13" t="inlineStr"/>
      <c r="S1562" s="6" t="inlineStr">
        <is>
          <t>noppos-gumiszonyeg-sm-3-0-0-7-700-10000</t>
        </is>
      </c>
    </row>
    <row r="1563">
      <c r="A1563" s="6" t="inlineStr">
        <is>
          <t>SM 3/0-0,8</t>
        </is>
      </c>
      <c r="B1563" s="7" t="inlineStr">
        <is>
          <t>Noppos gumiszőnyeg 3 mm, 800×10000 mm</t>
        </is>
      </c>
      <c r="C1563" s="6" t="inlineStr">
        <is>
          <t>Gumiszőnyegek és gumilemezek</t>
        </is>
      </c>
      <c r="D1563" s="6" t="inlineStr">
        <is>
          <t>Noppos gumi</t>
        </is>
      </c>
      <c r="E1563" s="6" t="inlineStr">
        <is>
          <t>Rubber Select</t>
        </is>
      </c>
      <c r="F1563" s="6" t="inlineStr">
        <is>
          <t>SM 3/0-0,8</t>
        </is>
      </c>
      <c r="G1563" s="6" t="inlineStr">
        <is>
          <t>Teljes kínálat</t>
        </is>
      </c>
      <c r="H1563" s="6" t="n">
        <v>1</v>
      </c>
      <c r="I1563" s="6" t="n">
        <v>11</v>
      </c>
      <c r="J1563" s="6" t="inlineStr">
        <is>
          <t>van</t>
        </is>
      </c>
      <c r="K1563" s="6">
        <f>IF(AND(H1563&gt;0,I1563&gt;0),"Rendben",IF(AND(H1563=0,I1563=0),"Nincs kép és adat",IF(H1563=0,"Nincs kép","Nincs adat")))</f>
        <v/>
      </c>
      <c r="L1563" s="6" t="inlineStr">
        <is>
          <t>Igen</t>
        </is>
      </c>
      <c r="M1563" s="7" t="inlineStr">
        <is>
          <t>Rubber Select teljes kínálata (gyártói katalógus / weboldal)</t>
        </is>
      </c>
      <c r="N1563" s="7" t="inlineStr">
        <is>
          <t>Megtalálva: a beszállító teljes kínálatából felvett termék</t>
        </is>
      </c>
      <c r="O1563" s="11" t="inlineStr">
        <is>
          <t>https://www.rubberselect.com/en/products/matting/stud-mat</t>
        </is>
      </c>
      <c r="P1563" s="11" t="inlineStr">
        <is>
          <t>https://website-9ib.pages.dev/termek/noppos-gumiszonyeg-sm-3-0-0-8-800-10000/</t>
        </is>
      </c>
      <c r="Q1563" s="12" t="inlineStr"/>
      <c r="R1563" s="13" t="inlineStr"/>
      <c r="S1563" s="6" t="inlineStr">
        <is>
          <t>noppos-gumiszonyeg-sm-3-0-0-8-800-10000</t>
        </is>
      </c>
    </row>
    <row r="1564">
      <c r="A1564" s="6" t="inlineStr">
        <is>
          <t>SM 4/0</t>
        </is>
      </c>
      <c r="B1564" s="7" t="inlineStr">
        <is>
          <t>Noppos gumiszőnyeg 4 mm, 1200×10000 mm</t>
        </is>
      </c>
      <c r="C1564" s="6" t="inlineStr">
        <is>
          <t>Gumiszőnyegek és gumilemezek</t>
        </is>
      </c>
      <c r="D1564" s="6" t="inlineStr">
        <is>
          <t>Noppos gumi</t>
        </is>
      </c>
      <c r="E1564" s="6" t="inlineStr">
        <is>
          <t>Rubber Select</t>
        </is>
      </c>
      <c r="F1564" s="6" t="inlineStr">
        <is>
          <t>SM 4/0</t>
        </is>
      </c>
      <c r="G1564" s="6" t="inlineStr">
        <is>
          <t>Teljes kínálat</t>
        </is>
      </c>
      <c r="H1564" s="6" t="n">
        <v>1</v>
      </c>
      <c r="I1564" s="6" t="n">
        <v>11</v>
      </c>
      <c r="J1564" s="6" t="inlineStr">
        <is>
          <t>van</t>
        </is>
      </c>
      <c r="K1564" s="6">
        <f>IF(AND(H1564&gt;0,I1564&gt;0),"Rendben",IF(AND(H1564=0,I1564=0),"Nincs kép és adat",IF(H1564=0,"Nincs kép","Nincs adat")))</f>
        <v/>
      </c>
      <c r="L1564" s="6" t="inlineStr">
        <is>
          <t>Igen</t>
        </is>
      </c>
      <c r="M1564" s="7" t="inlineStr">
        <is>
          <t>Rubber Select teljes kínálata (gyártói katalógus / weboldal)</t>
        </is>
      </c>
      <c r="N1564" s="7" t="inlineStr">
        <is>
          <t>Megtalálva: a beszállító teljes kínálatából felvett termék</t>
        </is>
      </c>
      <c r="O1564" s="11" t="inlineStr">
        <is>
          <t>https://www.rubberselect.com/en/products/matting/stud-mat</t>
        </is>
      </c>
      <c r="P1564" s="11" t="inlineStr">
        <is>
          <t>https://website-9ib.pages.dev/termek/noppos-gumiszonyeg-sm-4-0-1200-10000/</t>
        </is>
      </c>
      <c r="Q1564" s="12" t="inlineStr"/>
      <c r="R1564" s="13" t="inlineStr"/>
      <c r="S1564" s="6" t="inlineStr">
        <is>
          <t>noppos-gumiszonyeg-sm-4-0-1200-10000</t>
        </is>
      </c>
    </row>
    <row r="1565">
      <c r="A1565" s="6" t="inlineStr">
        <is>
          <t>4012 4/0</t>
        </is>
      </c>
      <c r="B1565" s="7" t="inlineStr">
        <is>
          <t>Noppos gumiszőnyeg 4012 4 mm, 1500×10000 mm</t>
        </is>
      </c>
      <c r="C1565" s="6" t="inlineStr">
        <is>
          <t>Gumiszőnyegek és gumilemezek</t>
        </is>
      </c>
      <c r="D1565" s="6" t="inlineStr">
        <is>
          <t>Noppos gumi</t>
        </is>
      </c>
      <c r="E1565" s="6" t="inlineStr">
        <is>
          <t>Rubber Select</t>
        </is>
      </c>
      <c r="F1565" s="6" t="inlineStr">
        <is>
          <t>4012 4/0</t>
        </is>
      </c>
      <c r="G1565" s="6" t="inlineStr">
        <is>
          <t>Teljes kínálat</t>
        </is>
      </c>
      <c r="H1565" s="6" t="n">
        <v>1</v>
      </c>
      <c r="I1565" s="6" t="n">
        <v>11</v>
      </c>
      <c r="J1565" s="6" t="inlineStr">
        <is>
          <t>van</t>
        </is>
      </c>
      <c r="K1565" s="6">
        <f>IF(AND(H1565&gt;0,I1565&gt;0),"Rendben",IF(AND(H1565=0,I1565=0),"Nincs kép és adat",IF(H1565=0,"Nincs kép","Nincs adat")))</f>
        <v/>
      </c>
      <c r="L1565" s="6" t="inlineStr">
        <is>
          <t>Igen</t>
        </is>
      </c>
      <c r="M1565" s="7" t="inlineStr">
        <is>
          <t>Rubber Select teljes kínálata (gyártói katalógus / weboldal)</t>
        </is>
      </c>
      <c r="N1565" s="7" t="inlineStr">
        <is>
          <t>Megtalálva: a beszállító teljes kínálatából felvett termék</t>
        </is>
      </c>
      <c r="O1565" s="11" t="inlineStr">
        <is>
          <t>https://www.rubberselect.com/en/products/matting/stud-mat-4012</t>
        </is>
      </c>
      <c r="P1565" s="11" t="inlineStr">
        <is>
          <t>https://website-9ib.pages.dev/termek/noppos-gumiszonyeg-4012-4012-4-0-1500-10000/</t>
        </is>
      </c>
      <c r="Q1565" s="12" t="inlineStr"/>
      <c r="R1565" s="13" t="inlineStr"/>
      <c r="S1565" s="6" t="inlineStr">
        <is>
          <t>noppos-gumiszonyeg-4012-4012-4-0-1500-10000</t>
        </is>
      </c>
    </row>
    <row r="1566">
      <c r="A1566" s="6" t="inlineStr">
        <is>
          <t>4012G 4/0</t>
        </is>
      </c>
      <c r="B1566" s="7" t="inlineStr">
        <is>
          <t>Noppos gumiszőnyeg 4012 4 mm, 1500×10000 mm</t>
        </is>
      </c>
      <c r="C1566" s="6" t="inlineStr">
        <is>
          <t>Gumiszőnyegek és gumilemezek</t>
        </is>
      </c>
      <c r="D1566" s="6" t="inlineStr">
        <is>
          <t>Noppos gumi</t>
        </is>
      </c>
      <c r="E1566" s="6" t="inlineStr">
        <is>
          <t>Rubber Select</t>
        </is>
      </c>
      <c r="F1566" s="6" t="inlineStr">
        <is>
          <t>4012G 4/0</t>
        </is>
      </c>
      <c r="G1566" s="6" t="inlineStr">
        <is>
          <t>Teljes kínálat</t>
        </is>
      </c>
      <c r="H1566" s="6" t="n">
        <v>1</v>
      </c>
      <c r="I1566" s="6" t="n">
        <v>11</v>
      </c>
      <c r="J1566" s="6" t="inlineStr">
        <is>
          <t>van</t>
        </is>
      </c>
      <c r="K1566" s="6">
        <f>IF(AND(H1566&gt;0,I1566&gt;0),"Rendben",IF(AND(H1566=0,I1566=0),"Nincs kép és adat",IF(H1566=0,"Nincs kép","Nincs adat")))</f>
        <v/>
      </c>
      <c r="L1566" s="6" t="inlineStr">
        <is>
          <t>Igen</t>
        </is>
      </c>
      <c r="M1566" s="7" t="inlineStr">
        <is>
          <t>Rubber Select teljes kínálata (gyártói katalógus / weboldal)</t>
        </is>
      </c>
      <c r="N1566" s="7" t="inlineStr">
        <is>
          <t>Megtalálva: a beszállító teljes kínálatából felvett termék</t>
        </is>
      </c>
      <c r="O1566" s="11" t="inlineStr">
        <is>
          <t>https://www.rubberselect.com/en/products/matting/stud-mat-4012</t>
        </is>
      </c>
      <c r="P1566" s="11" t="inlineStr">
        <is>
          <t>https://website-9ib.pages.dev/termek/noppos-gumiszonyeg-4012-4012g-4-0-1500-10000/</t>
        </is>
      </c>
      <c r="Q1566" s="12" t="inlineStr"/>
      <c r="R1566" s="13" t="inlineStr"/>
      <c r="S1566" s="6" t="inlineStr">
        <is>
          <t>noppos-gumiszonyeg-4012-4012g-4-0-1500-10000</t>
        </is>
      </c>
    </row>
    <row r="1567">
      <c r="A1567" s="6" t="inlineStr">
        <is>
          <t>IN45 4,5/0</t>
        </is>
      </c>
      <c r="B1567" s="7" t="inlineStr">
        <is>
          <t>Noppos gumiszőnyeg IN45 4,5 mm, 1000×10000 mm</t>
        </is>
      </c>
      <c r="C1567" s="6" t="inlineStr">
        <is>
          <t>Gumiszőnyegek és gumilemezek</t>
        </is>
      </c>
      <c r="D1567" s="6" t="inlineStr">
        <is>
          <t>Noppos gumi</t>
        </is>
      </c>
      <c r="E1567" s="6" t="inlineStr">
        <is>
          <t>Rubber Select</t>
        </is>
      </c>
      <c r="F1567" s="6" t="inlineStr">
        <is>
          <t>IN45 4,5/0</t>
        </is>
      </c>
      <c r="G1567" s="6" t="inlineStr">
        <is>
          <t>Teljes kínálat</t>
        </is>
      </c>
      <c r="H1567" s="6" t="n">
        <v>1</v>
      </c>
      <c r="I1567" s="6" t="n">
        <v>11</v>
      </c>
      <c r="J1567" s="6" t="inlineStr">
        <is>
          <t>van</t>
        </is>
      </c>
      <c r="K1567" s="6">
        <f>IF(AND(H1567&gt;0,I1567&gt;0),"Rendben",IF(AND(H1567=0,I1567=0),"Nincs kép és adat",IF(H1567=0,"Nincs kép","Nincs adat")))</f>
        <v/>
      </c>
      <c r="L1567" s="6" t="inlineStr">
        <is>
          <t>Igen</t>
        </is>
      </c>
      <c r="M1567" s="7" t="inlineStr">
        <is>
          <t>Rubber Select teljes kínálata (gyártói katalógus / weboldal)</t>
        </is>
      </c>
      <c r="N1567" s="7" t="inlineStr">
        <is>
          <t>Megtalálva: a beszállító teljes kínálatából felvett termék</t>
        </is>
      </c>
      <c r="O1567" s="11" t="inlineStr">
        <is>
          <t>https://www.rubberselect.com/en/products/matting/stud-mat-in45</t>
        </is>
      </c>
      <c r="P1567" s="11" t="inlineStr">
        <is>
          <t>https://website-9ib.pages.dev/termek/noppos-gumiszonyeg-in45-in45-4-5-0-1000-10000/</t>
        </is>
      </c>
      <c r="Q1567" s="12" t="inlineStr"/>
      <c r="R1567" s="13" t="inlineStr"/>
      <c r="S1567" s="6" t="inlineStr">
        <is>
          <t>noppos-gumiszonyeg-in45-in45-4-5-0-1000-10000</t>
        </is>
      </c>
    </row>
    <row r="1568">
      <c r="A1568" s="6" t="inlineStr">
        <is>
          <t>NOBRA 4/0</t>
        </is>
      </c>
      <c r="B1568" s="7" t="inlineStr">
        <is>
          <t>Noppos gumiszőnyeg NOBRA 4 mm, 1450×10000 mm</t>
        </is>
      </c>
      <c r="C1568" s="6" t="inlineStr">
        <is>
          <t>Gumiszőnyegek és gumilemezek</t>
        </is>
      </c>
      <c r="D1568" s="6" t="inlineStr">
        <is>
          <t>Noppos gumi</t>
        </is>
      </c>
      <c r="E1568" s="6" t="inlineStr">
        <is>
          <t>Rubber Select</t>
        </is>
      </c>
      <c r="F1568" s="6" t="inlineStr">
        <is>
          <t>NOBRA 4/0</t>
        </is>
      </c>
      <c r="G1568" s="6" t="inlineStr">
        <is>
          <t>Teljes kínálat</t>
        </is>
      </c>
      <c r="H1568" s="6" t="n">
        <v>1</v>
      </c>
      <c r="I1568" s="6" t="n">
        <v>11</v>
      </c>
      <c r="J1568" s="6" t="inlineStr">
        <is>
          <t>van</t>
        </is>
      </c>
      <c r="K1568" s="6">
        <f>IF(AND(H1568&gt;0,I1568&gt;0),"Rendben",IF(AND(H1568=0,I1568=0),"Nincs kép és adat",IF(H1568=0,"Nincs kép","Nincs adat")))</f>
        <v/>
      </c>
      <c r="L1568" s="6" t="inlineStr">
        <is>
          <t>Igen</t>
        </is>
      </c>
      <c r="M1568" s="7" t="inlineStr">
        <is>
          <t>Rubber Select teljes kínálata (gyártói katalógus / weboldal)</t>
        </is>
      </c>
      <c r="N1568" s="7" t="inlineStr">
        <is>
          <t>Megtalálva: a beszállító teljes kínálatából felvett termék</t>
        </is>
      </c>
      <c r="O1568" s="11" t="inlineStr">
        <is>
          <t>https://www.rubberselect.com/en/products/matting/stud-mat-nobra</t>
        </is>
      </c>
      <c r="P1568" s="11" t="inlineStr">
        <is>
          <t>https://website-9ib.pages.dev/termek/noppos-gumiszonyeg-nobra-nobra-4-0-1450-10000/</t>
        </is>
      </c>
      <c r="Q1568" s="12" t="inlineStr"/>
      <c r="R1568" s="13" t="inlineStr"/>
      <c r="S1568" s="6" t="inlineStr">
        <is>
          <t>noppos-gumiszonyeg-nobra-nobra-4-0-1450-10000</t>
        </is>
      </c>
    </row>
    <row r="1569">
      <c r="A1569" s="6" t="inlineStr">
        <is>
          <t>KM 8/1</t>
        </is>
      </c>
      <c r="B1569" s="7" t="inlineStr">
        <is>
          <t>Négyzetes noppos gumiszőnyeg 8 mm, 1000×10000 mm</t>
        </is>
      </c>
      <c r="C1569" s="6" t="inlineStr">
        <is>
          <t>Gumiszőnyegek és gumilemezek</t>
        </is>
      </c>
      <c r="D1569" s="6" t="inlineStr">
        <is>
          <t>Noppos gumi</t>
        </is>
      </c>
      <c r="E1569" s="6" t="inlineStr">
        <is>
          <t>Rubber Select</t>
        </is>
      </c>
      <c r="F1569" s="6" t="inlineStr">
        <is>
          <t>KM 8/1</t>
        </is>
      </c>
      <c r="G1569" s="6" t="inlineStr">
        <is>
          <t>Teljes kínálat</t>
        </is>
      </c>
      <c r="H1569" s="6" t="n">
        <v>1</v>
      </c>
      <c r="I1569" s="6" t="n">
        <v>11</v>
      </c>
      <c r="J1569" s="6" t="inlineStr">
        <is>
          <t>van</t>
        </is>
      </c>
      <c r="K1569" s="6">
        <f>IF(AND(H1569&gt;0,I1569&gt;0),"Rendben",IF(AND(H1569=0,I1569=0),"Nincs kép és adat",IF(H1569=0,"Nincs kép","Nincs adat")))</f>
        <v/>
      </c>
      <c r="L1569" s="6" t="inlineStr">
        <is>
          <t>Igen</t>
        </is>
      </c>
      <c r="M1569" s="7" t="inlineStr">
        <is>
          <t>Rubber Select teljes kínálata (gyártói katalógus / weboldal)</t>
        </is>
      </c>
      <c r="N1569" s="7" t="inlineStr">
        <is>
          <t>Megtalálva: a beszállító teljes kínálatából felvett termék</t>
        </is>
      </c>
      <c r="O1569" s="11" t="inlineStr">
        <is>
          <t>https://www.rubberselect.com/en/products/matting/square-stud-mat</t>
        </is>
      </c>
      <c r="P1569" s="11" t="inlineStr">
        <is>
          <t>https://website-9ib.pages.dev/termek/negyzetes-noppos-gumiszonyeg-km-8-1-1000-10000/</t>
        </is>
      </c>
      <c r="Q1569" s="12" t="inlineStr"/>
      <c r="R1569" s="13" t="inlineStr"/>
      <c r="S1569" s="6" t="inlineStr">
        <is>
          <t>negyzetes-noppos-gumiszonyeg-km-8-1-1000-10000</t>
        </is>
      </c>
    </row>
    <row r="1570">
      <c r="A1570" s="6" t="inlineStr">
        <is>
          <t>KM 8/1</t>
        </is>
      </c>
      <c r="B1570" s="7" t="inlineStr">
        <is>
          <t>Négyzetes noppos gumiszőnyeg 8 mm, 1200×10000 mm</t>
        </is>
      </c>
      <c r="C1570" s="6" t="inlineStr">
        <is>
          <t>Gumiszőnyegek és gumilemezek</t>
        </is>
      </c>
      <c r="D1570" s="6" t="inlineStr">
        <is>
          <t>Noppos gumi</t>
        </is>
      </c>
      <c r="E1570" s="6" t="inlineStr">
        <is>
          <t>Rubber Select</t>
        </is>
      </c>
      <c r="F1570" s="6" t="inlineStr">
        <is>
          <t>KM 8/1</t>
        </is>
      </c>
      <c r="G1570" s="6" t="inlineStr">
        <is>
          <t>Teljes kínálat</t>
        </is>
      </c>
      <c r="H1570" s="6" t="n">
        <v>1</v>
      </c>
      <c r="I1570" s="6" t="n">
        <v>11</v>
      </c>
      <c r="J1570" s="6" t="inlineStr">
        <is>
          <t>van</t>
        </is>
      </c>
      <c r="K1570" s="6">
        <f>IF(AND(H1570&gt;0,I1570&gt;0),"Rendben",IF(AND(H1570=0,I1570=0),"Nincs kép és adat",IF(H1570=0,"Nincs kép","Nincs adat")))</f>
        <v/>
      </c>
      <c r="L1570" s="6" t="inlineStr">
        <is>
          <t>Igen</t>
        </is>
      </c>
      <c r="M1570" s="7" t="inlineStr">
        <is>
          <t>Rubber Select teljes kínálata (gyártói katalógus / weboldal)</t>
        </is>
      </c>
      <c r="N1570" s="7" t="inlineStr">
        <is>
          <t>Megtalálva: a beszállító teljes kínálatából felvett termék</t>
        </is>
      </c>
      <c r="O1570" s="11" t="inlineStr">
        <is>
          <t>https://www.rubberselect.com/en/products/matting/square-stud-mat</t>
        </is>
      </c>
      <c r="P1570" s="11" t="inlineStr">
        <is>
          <t>https://website-9ib.pages.dev/termek/negyzetes-noppos-gumiszonyeg-km-8-1-1200-10000/</t>
        </is>
      </c>
      <c r="Q1570" s="12" t="inlineStr"/>
      <c r="R1570" s="13" t="inlineStr"/>
      <c r="S1570" s="6" t="inlineStr">
        <is>
          <t>negyzetes-noppos-gumiszonyeg-km-8-1-1200-10000</t>
        </is>
      </c>
    </row>
    <row r="1571">
      <c r="A1571" s="6" t="inlineStr">
        <is>
          <t>PVC 2x200</t>
        </is>
      </c>
      <c r="B1571" s="7" t="inlineStr">
        <is>
          <t>PVC függönycsík 2 mm, 200×50 mm</t>
        </is>
      </c>
      <c r="C1571" s="6" t="inlineStr">
        <is>
          <t>Gumiszőnyegek és gumilemezek</t>
        </is>
      </c>
      <c r="D1571" s="6" t="inlineStr">
        <is>
          <t>PVC függönycsíkok és tartozékok</t>
        </is>
      </c>
      <c r="E1571" s="6" t="inlineStr">
        <is>
          <t>Rubber Select</t>
        </is>
      </c>
      <c r="F1571" s="6" t="inlineStr">
        <is>
          <t>PVC 2x200</t>
        </is>
      </c>
      <c r="G1571" s="6" t="inlineStr">
        <is>
          <t>Teljes kínálat</t>
        </is>
      </c>
      <c r="H1571" s="6" t="n">
        <v>1</v>
      </c>
      <c r="I1571" s="6" t="n">
        <v>11</v>
      </c>
      <c r="J1571" s="6" t="inlineStr">
        <is>
          <t>van</t>
        </is>
      </c>
      <c r="K1571" s="6">
        <f>IF(AND(H1571&gt;0,I1571&gt;0),"Rendben",IF(AND(H1571=0,I1571=0),"Nincs kép és adat",IF(H1571=0,"Nincs kép","Nincs adat")))</f>
        <v/>
      </c>
      <c r="L1571" s="6" t="inlineStr">
        <is>
          <t>Igen</t>
        </is>
      </c>
      <c r="M1571" s="7" t="inlineStr">
        <is>
          <t>Rubber Select teljes kínálata (gyártói katalógus / weboldal)</t>
        </is>
      </c>
      <c r="N1571" s="7" t="inlineStr">
        <is>
          <t>Megtalálva: a beszállító teljes kínálatából felvett termék</t>
        </is>
      </c>
      <c r="O1571" s="11" t="inlineStr">
        <is>
          <t>https://www.rubberselect.com/en/products/pvc/pvc-strips</t>
        </is>
      </c>
      <c r="P1571" s="11" t="inlineStr">
        <is>
          <t>https://website-9ib.pages.dev/termek/pvc-fuggonycsik-pvc-2x200-200-50/</t>
        </is>
      </c>
      <c r="Q1571" s="12" t="inlineStr"/>
      <c r="R1571" s="13" t="inlineStr"/>
      <c r="S1571" s="6" t="inlineStr">
        <is>
          <t>pvc-fuggonycsik-pvc-2x200-200-50</t>
        </is>
      </c>
    </row>
    <row r="1572">
      <c r="A1572" s="6" t="inlineStr">
        <is>
          <t>PVC 2x300</t>
        </is>
      </c>
      <c r="B1572" s="7" t="inlineStr">
        <is>
          <t>PVC függönycsík 2 mm, 300×50 mm</t>
        </is>
      </c>
      <c r="C1572" s="6" t="inlineStr">
        <is>
          <t>Gumiszőnyegek és gumilemezek</t>
        </is>
      </c>
      <c r="D1572" s="6" t="inlineStr">
        <is>
          <t>PVC függönycsíkok és tartozékok</t>
        </is>
      </c>
      <c r="E1572" s="6" t="inlineStr">
        <is>
          <t>Rubber Select</t>
        </is>
      </c>
      <c r="F1572" s="6" t="inlineStr">
        <is>
          <t>PVC 2x300</t>
        </is>
      </c>
      <c r="G1572" s="6" t="inlineStr">
        <is>
          <t>Teljes kínálat</t>
        </is>
      </c>
      <c r="H1572" s="6" t="n">
        <v>1</v>
      </c>
      <c r="I1572" s="6" t="n">
        <v>11</v>
      </c>
      <c r="J1572" s="6" t="inlineStr">
        <is>
          <t>van</t>
        </is>
      </c>
      <c r="K1572" s="6">
        <f>IF(AND(H1572&gt;0,I1572&gt;0),"Rendben",IF(AND(H1572=0,I1572=0),"Nincs kép és adat",IF(H1572=0,"Nincs kép","Nincs adat")))</f>
        <v/>
      </c>
      <c r="L1572" s="6" t="inlineStr">
        <is>
          <t>Igen</t>
        </is>
      </c>
      <c r="M1572" s="7" t="inlineStr">
        <is>
          <t>Rubber Select teljes kínálata (gyártói katalógus / weboldal)</t>
        </is>
      </c>
      <c r="N1572" s="7" t="inlineStr">
        <is>
          <t>Megtalálva: a beszállító teljes kínálatából felvett termék</t>
        </is>
      </c>
      <c r="O1572" s="11" t="inlineStr">
        <is>
          <t>https://www.rubberselect.com/en/products/pvc/pvc-strips</t>
        </is>
      </c>
      <c r="P1572" s="11" t="inlineStr">
        <is>
          <t>https://website-9ib.pages.dev/termek/pvc-fuggonycsik-pvc-2x300-300-50/</t>
        </is>
      </c>
      <c r="Q1572" s="12" t="inlineStr"/>
      <c r="R1572" s="13" t="inlineStr"/>
      <c r="S1572" s="6" t="inlineStr">
        <is>
          <t>pvc-fuggonycsik-pvc-2x300-300-50</t>
        </is>
      </c>
    </row>
    <row r="1573">
      <c r="A1573" s="6" t="inlineStr">
        <is>
          <t>PVC 3x200</t>
        </is>
      </c>
      <c r="B1573" s="7" t="inlineStr">
        <is>
          <t>PVC függönycsík 3 mm, 200×50 mm</t>
        </is>
      </c>
      <c r="C1573" s="6" t="inlineStr">
        <is>
          <t>Gumiszőnyegek és gumilemezek</t>
        </is>
      </c>
      <c r="D1573" s="6" t="inlineStr">
        <is>
          <t>PVC függönycsíkok és tartozékok</t>
        </is>
      </c>
      <c r="E1573" s="6" t="inlineStr">
        <is>
          <t>Rubber Select</t>
        </is>
      </c>
      <c r="F1573" s="6" t="inlineStr">
        <is>
          <t>PVC 3x200</t>
        </is>
      </c>
      <c r="G1573" s="6" t="inlineStr">
        <is>
          <t>Teljes kínálat</t>
        </is>
      </c>
      <c r="H1573" s="6" t="n">
        <v>1</v>
      </c>
      <c r="I1573" s="6" t="n">
        <v>11</v>
      </c>
      <c r="J1573" s="6" t="inlineStr">
        <is>
          <t>van</t>
        </is>
      </c>
      <c r="K1573" s="6">
        <f>IF(AND(H1573&gt;0,I1573&gt;0),"Rendben",IF(AND(H1573=0,I1573=0),"Nincs kép és adat",IF(H1573=0,"Nincs kép","Nincs adat")))</f>
        <v/>
      </c>
      <c r="L1573" s="6" t="inlineStr">
        <is>
          <t>Igen</t>
        </is>
      </c>
      <c r="M1573" s="7" t="inlineStr">
        <is>
          <t>Rubber Select teljes kínálata (gyártói katalógus / weboldal)</t>
        </is>
      </c>
      <c r="N1573" s="7" t="inlineStr">
        <is>
          <t>Megtalálva: a beszállító teljes kínálatából felvett termék</t>
        </is>
      </c>
      <c r="O1573" s="11" t="inlineStr">
        <is>
          <t>https://www.rubberselect.com/en/products/pvc/pvc-strips</t>
        </is>
      </c>
      <c r="P1573" s="11" t="inlineStr">
        <is>
          <t>https://website-9ib.pages.dev/termek/pvc-fuggonycsik-pvc-3x200-200-50/</t>
        </is>
      </c>
      <c r="Q1573" s="12" t="inlineStr"/>
      <c r="R1573" s="13" t="inlineStr"/>
      <c r="S1573" s="6" t="inlineStr">
        <is>
          <t>pvc-fuggonycsik-pvc-3x200-200-50</t>
        </is>
      </c>
    </row>
    <row r="1574">
      <c r="A1574" s="6" t="inlineStr">
        <is>
          <t>PVC 3x300</t>
        </is>
      </c>
      <c r="B1574" s="7" t="inlineStr">
        <is>
          <t>PVC függönycsík 3 mm, 300×50 mm</t>
        </is>
      </c>
      <c r="C1574" s="6" t="inlineStr">
        <is>
          <t>Gumiszőnyegek és gumilemezek</t>
        </is>
      </c>
      <c r="D1574" s="6" t="inlineStr">
        <is>
          <t>PVC függönycsíkok és tartozékok</t>
        </is>
      </c>
      <c r="E1574" s="6" t="inlineStr">
        <is>
          <t>Rubber Select</t>
        </is>
      </c>
      <c r="F1574" s="6" t="inlineStr">
        <is>
          <t>PVC 3x300</t>
        </is>
      </c>
      <c r="G1574" s="6" t="inlineStr">
        <is>
          <t>Teljes kínálat</t>
        </is>
      </c>
      <c r="H1574" s="6" t="n">
        <v>1</v>
      </c>
      <c r="I1574" s="6" t="n">
        <v>11</v>
      </c>
      <c r="J1574" s="6" t="inlineStr">
        <is>
          <t>van</t>
        </is>
      </c>
      <c r="K1574" s="6">
        <f>IF(AND(H1574&gt;0,I1574&gt;0),"Rendben",IF(AND(H1574=0,I1574=0),"Nincs kép és adat",IF(H1574=0,"Nincs kép","Nincs adat")))</f>
        <v/>
      </c>
      <c r="L1574" s="6" t="inlineStr">
        <is>
          <t>Igen</t>
        </is>
      </c>
      <c r="M1574" s="7" t="inlineStr">
        <is>
          <t>Rubber Select teljes kínálata (gyártói katalógus / weboldal)</t>
        </is>
      </c>
      <c r="N1574" s="7" t="inlineStr">
        <is>
          <t>Megtalálva: a beszállító teljes kínálatából felvett termék</t>
        </is>
      </c>
      <c r="O1574" s="11" t="inlineStr">
        <is>
          <t>https://www.rubberselect.com/en/products/pvc/pvc-strips</t>
        </is>
      </c>
      <c r="P1574" s="11" t="inlineStr">
        <is>
          <t>https://website-9ib.pages.dev/termek/pvc-fuggonycsik-pvc-3x300-300-50/</t>
        </is>
      </c>
      <c r="Q1574" s="12" t="inlineStr"/>
      <c r="R1574" s="13" t="inlineStr"/>
      <c r="S1574" s="6" t="inlineStr">
        <is>
          <t>pvc-fuggonycsik-pvc-3x300-300-50</t>
        </is>
      </c>
    </row>
    <row r="1575">
      <c r="A1575" s="6" t="inlineStr">
        <is>
          <t>PVC 3x400</t>
        </is>
      </c>
      <c r="B1575" s="7" t="inlineStr">
        <is>
          <t>PVC függönycsík 3 mm, 400×50 mm</t>
        </is>
      </c>
      <c r="C1575" s="6" t="inlineStr">
        <is>
          <t>Gumiszőnyegek és gumilemezek</t>
        </is>
      </c>
      <c r="D1575" s="6" t="inlineStr">
        <is>
          <t>PVC függönycsíkok és tartozékok</t>
        </is>
      </c>
      <c r="E1575" s="6" t="inlineStr">
        <is>
          <t>Rubber Select</t>
        </is>
      </c>
      <c r="F1575" s="6" t="inlineStr">
        <is>
          <t>PVC 3x400</t>
        </is>
      </c>
      <c r="G1575" s="6" t="inlineStr">
        <is>
          <t>Teljes kínálat</t>
        </is>
      </c>
      <c r="H1575" s="6" t="n">
        <v>1</v>
      </c>
      <c r="I1575" s="6" t="n">
        <v>11</v>
      </c>
      <c r="J1575" s="6" t="inlineStr">
        <is>
          <t>van</t>
        </is>
      </c>
      <c r="K1575" s="6">
        <f>IF(AND(H1575&gt;0,I1575&gt;0),"Rendben",IF(AND(H1575=0,I1575=0),"Nincs kép és adat",IF(H1575=0,"Nincs kép","Nincs adat")))</f>
        <v/>
      </c>
      <c r="L1575" s="6" t="inlineStr">
        <is>
          <t>Igen</t>
        </is>
      </c>
      <c r="M1575" s="7" t="inlineStr">
        <is>
          <t>Rubber Select teljes kínálata (gyártói katalógus / weboldal)</t>
        </is>
      </c>
      <c r="N1575" s="7" t="inlineStr">
        <is>
          <t>Megtalálva: a beszállító teljes kínálatából felvett termék</t>
        </is>
      </c>
      <c r="O1575" s="11" t="inlineStr">
        <is>
          <t>https://www.rubberselect.com/en/products/pvc/pvc-strips</t>
        </is>
      </c>
      <c r="P1575" s="11" t="inlineStr">
        <is>
          <t>https://website-9ib.pages.dev/termek/pvc-fuggonycsik-pvc-3x400-400-50/</t>
        </is>
      </c>
      <c r="Q1575" s="12" t="inlineStr"/>
      <c r="R1575" s="13" t="inlineStr"/>
      <c r="S1575" s="6" t="inlineStr">
        <is>
          <t>pvc-fuggonycsik-pvc-3x400-400-50</t>
        </is>
      </c>
    </row>
    <row r="1576">
      <c r="A1576" s="6" t="inlineStr">
        <is>
          <t>PVC 4x300</t>
        </is>
      </c>
      <c r="B1576" s="7" t="inlineStr">
        <is>
          <t>PVC függönycsík 4 mm, 300×50 mm</t>
        </is>
      </c>
      <c r="C1576" s="6" t="inlineStr">
        <is>
          <t>Gumiszőnyegek és gumilemezek</t>
        </is>
      </c>
      <c r="D1576" s="6" t="inlineStr">
        <is>
          <t>PVC függönycsíkok és tartozékok</t>
        </is>
      </c>
      <c r="E1576" s="6" t="inlineStr">
        <is>
          <t>Rubber Select</t>
        </is>
      </c>
      <c r="F1576" s="6" t="inlineStr">
        <is>
          <t>PVC 4x300</t>
        </is>
      </c>
      <c r="G1576" s="6" t="inlineStr">
        <is>
          <t>Teljes kínálat</t>
        </is>
      </c>
      <c r="H1576" s="6" t="n">
        <v>1</v>
      </c>
      <c r="I1576" s="6" t="n">
        <v>11</v>
      </c>
      <c r="J1576" s="6" t="inlineStr">
        <is>
          <t>van</t>
        </is>
      </c>
      <c r="K1576" s="6">
        <f>IF(AND(H1576&gt;0,I1576&gt;0),"Rendben",IF(AND(H1576=0,I1576=0),"Nincs kép és adat",IF(H1576=0,"Nincs kép","Nincs adat")))</f>
        <v/>
      </c>
      <c r="L1576" s="6" t="inlineStr">
        <is>
          <t>Igen</t>
        </is>
      </c>
      <c r="M1576" s="7" t="inlineStr">
        <is>
          <t>Rubber Select teljes kínálata (gyártói katalógus / weboldal)</t>
        </is>
      </c>
      <c r="N1576" s="7" t="inlineStr">
        <is>
          <t>Megtalálva: a beszállító teljes kínálatából felvett termék</t>
        </is>
      </c>
      <c r="O1576" s="11" t="inlineStr">
        <is>
          <t>https://www.rubberselect.com/en/products/pvc/pvc-strips</t>
        </is>
      </c>
      <c r="P1576" s="11" t="inlineStr">
        <is>
          <t>https://website-9ib.pages.dev/termek/pvc-fuggonycsik-pvc-4x300-300-50/</t>
        </is>
      </c>
      <c r="Q1576" s="12" t="inlineStr"/>
      <c r="R1576" s="13" t="inlineStr"/>
      <c r="S1576" s="6" t="inlineStr">
        <is>
          <t>pvc-fuggonycsik-pvc-4x300-300-50</t>
        </is>
      </c>
    </row>
    <row r="1577">
      <c r="A1577" s="6" t="inlineStr">
        <is>
          <t>PVC 4x400</t>
        </is>
      </c>
      <c r="B1577" s="7" t="inlineStr">
        <is>
          <t>PVC függönycsík 4 mm, 400×50 mm</t>
        </is>
      </c>
      <c r="C1577" s="6" t="inlineStr">
        <is>
          <t>Gumiszőnyegek és gumilemezek</t>
        </is>
      </c>
      <c r="D1577" s="6" t="inlineStr">
        <is>
          <t>PVC függönycsíkok és tartozékok</t>
        </is>
      </c>
      <c r="E1577" s="6" t="inlineStr">
        <is>
          <t>Rubber Select</t>
        </is>
      </c>
      <c r="F1577" s="6" t="inlineStr">
        <is>
          <t>PVC 4x400</t>
        </is>
      </c>
      <c r="G1577" s="6" t="inlineStr">
        <is>
          <t>Teljes kínálat</t>
        </is>
      </c>
      <c r="H1577" s="6" t="n">
        <v>1</v>
      </c>
      <c r="I1577" s="6" t="n">
        <v>11</v>
      </c>
      <c r="J1577" s="6" t="inlineStr">
        <is>
          <t>van</t>
        </is>
      </c>
      <c r="K1577" s="6">
        <f>IF(AND(H1577&gt;0,I1577&gt;0),"Rendben",IF(AND(H1577=0,I1577=0),"Nincs kép és adat",IF(H1577=0,"Nincs kép","Nincs adat")))</f>
        <v/>
      </c>
      <c r="L1577" s="6" t="inlineStr">
        <is>
          <t>Igen</t>
        </is>
      </c>
      <c r="M1577" s="7" t="inlineStr">
        <is>
          <t>Rubber Select teljes kínálata (gyártói katalógus / weboldal)</t>
        </is>
      </c>
      <c r="N1577" s="7" t="inlineStr">
        <is>
          <t>Megtalálva: a beszállító teljes kínálatából felvett termék</t>
        </is>
      </c>
      <c r="O1577" s="11" t="inlineStr">
        <is>
          <t>https://www.rubberselect.com/en/products/pvc/pvc-strips</t>
        </is>
      </c>
      <c r="P1577" s="11" t="inlineStr">
        <is>
          <t>https://website-9ib.pages.dev/termek/pvc-fuggonycsik-pvc-4x400-400-50/</t>
        </is>
      </c>
      <c r="Q1577" s="12" t="inlineStr"/>
      <c r="R1577" s="13" t="inlineStr"/>
      <c r="S1577" s="6" t="inlineStr">
        <is>
          <t>pvc-fuggonycsik-pvc-4x400-400-50</t>
        </is>
      </c>
    </row>
    <row r="1578">
      <c r="A1578" s="6" t="inlineStr">
        <is>
          <t>PU70 1/0</t>
        </is>
      </c>
      <c r="B1578" s="7" t="inlineStr">
        <is>
          <t>Poliuretán (PU) lemez 70 Shore A 1 mm, 1×2/4 mm</t>
        </is>
      </c>
      <c r="C1578" s="6" t="inlineStr">
        <is>
          <t>Gumiszőnyegek és gumilemezek</t>
        </is>
      </c>
      <c r="D1578" s="6" t="inlineStr">
        <is>
          <t>Poliuretán (PU) lemezek</t>
        </is>
      </c>
      <c r="E1578" s="6" t="inlineStr">
        <is>
          <t>Rubber Select</t>
        </is>
      </c>
      <c r="F1578" s="6" t="inlineStr">
        <is>
          <t>PU70 1/0</t>
        </is>
      </c>
      <c r="G1578" s="6" t="inlineStr">
        <is>
          <t>Teljes kínálat</t>
        </is>
      </c>
      <c r="H1578" s="6" t="n">
        <v>1</v>
      </c>
      <c r="I1578" s="6" t="n">
        <v>11</v>
      </c>
      <c r="J1578" s="6" t="inlineStr">
        <is>
          <t>van</t>
        </is>
      </c>
      <c r="K1578" s="6">
        <f>IF(AND(H1578&gt;0,I1578&gt;0),"Rendben",IF(AND(H1578=0,I1578=0),"Nincs kép és adat",IF(H1578=0,"Nincs kép","Nincs adat")))</f>
        <v/>
      </c>
      <c r="L1578" s="6" t="inlineStr">
        <is>
          <t>Igen</t>
        </is>
      </c>
      <c r="M1578" s="7" t="inlineStr">
        <is>
          <t>Rubber Select teljes kínálata (gyártói katalógus / weboldal)</t>
        </is>
      </c>
      <c r="N1578" s="7" t="inlineStr">
        <is>
          <t>Megtalálva: a beszállító teljes kínálatából felvett termék</t>
        </is>
      </c>
      <c r="O1578" s="11" t="inlineStr">
        <is>
          <t>https://www.rubberselect.com/en/products/pu/pu-70-shore</t>
        </is>
      </c>
      <c r="P1578" s="11" t="inlineStr">
        <is>
          <t>https://website-9ib.pages.dev/termek/poliuretan-pu-lemez-70-shore-a-pu70-1-0-1-2-4/</t>
        </is>
      </c>
      <c r="Q1578" s="12" t="inlineStr"/>
      <c r="R1578" s="13" t="inlineStr"/>
      <c r="S1578" s="6" t="inlineStr">
        <is>
          <t>poliuretan-pu-lemez-70-shore-a-pu70-1-0-1-2-4</t>
        </is>
      </c>
    </row>
    <row r="1579">
      <c r="A1579" s="6" t="inlineStr">
        <is>
          <t>PU70 10/0</t>
        </is>
      </c>
      <c r="B1579" s="7" t="inlineStr">
        <is>
          <t>Poliuretán (PU) lemez 70 Shore A 10 mm, 1×2/4 mm</t>
        </is>
      </c>
      <c r="C1579" s="6" t="inlineStr">
        <is>
          <t>Gumiszőnyegek és gumilemezek</t>
        </is>
      </c>
      <c r="D1579" s="6" t="inlineStr">
        <is>
          <t>Poliuretán (PU) lemezek</t>
        </is>
      </c>
      <c r="E1579" s="6" t="inlineStr">
        <is>
          <t>Rubber Select</t>
        </is>
      </c>
      <c r="F1579" s="6" t="inlineStr">
        <is>
          <t>PU70 10/0</t>
        </is>
      </c>
      <c r="G1579" s="6" t="inlineStr">
        <is>
          <t>Teljes kínálat</t>
        </is>
      </c>
      <c r="H1579" s="6" t="n">
        <v>1</v>
      </c>
      <c r="I1579" s="6" t="n">
        <v>11</v>
      </c>
      <c r="J1579" s="6" t="inlineStr">
        <is>
          <t>van</t>
        </is>
      </c>
      <c r="K1579" s="6">
        <f>IF(AND(H1579&gt;0,I1579&gt;0),"Rendben",IF(AND(H1579=0,I1579=0),"Nincs kép és adat",IF(H1579=0,"Nincs kép","Nincs adat")))</f>
        <v/>
      </c>
      <c r="L1579" s="6" t="inlineStr">
        <is>
          <t>Igen</t>
        </is>
      </c>
      <c r="M1579" s="7" t="inlineStr">
        <is>
          <t>Rubber Select teljes kínálata (gyártói katalógus / weboldal)</t>
        </is>
      </c>
      <c r="N1579" s="7" t="inlineStr">
        <is>
          <t>Megtalálva: a beszállító teljes kínálatából felvett termék</t>
        </is>
      </c>
      <c r="O1579" s="11" t="inlineStr">
        <is>
          <t>https://www.rubberselect.com/en/products/pu/pu-70-shore</t>
        </is>
      </c>
      <c r="P1579" s="11" t="inlineStr">
        <is>
          <t>https://website-9ib.pages.dev/termek/poliuretan-pu-lemez-70-shore-a-pu70-10-0-1-2-4/</t>
        </is>
      </c>
      <c r="Q1579" s="12" t="inlineStr"/>
      <c r="R1579" s="13" t="inlineStr"/>
      <c r="S1579" s="6" t="inlineStr">
        <is>
          <t>poliuretan-pu-lemez-70-shore-a-pu70-10-0-1-2-4</t>
        </is>
      </c>
    </row>
    <row r="1580">
      <c r="A1580" s="6" t="inlineStr">
        <is>
          <t>PU70 12/0</t>
        </is>
      </c>
      <c r="B1580" s="7" t="inlineStr">
        <is>
          <t>Poliuretán (PU) lemez 70 Shore A 12 mm, 1×2/4 mm</t>
        </is>
      </c>
      <c r="C1580" s="6" t="inlineStr">
        <is>
          <t>Gumiszőnyegek és gumilemezek</t>
        </is>
      </c>
      <c r="D1580" s="6" t="inlineStr">
        <is>
          <t>Poliuretán (PU) lemezek</t>
        </is>
      </c>
      <c r="E1580" s="6" t="inlineStr">
        <is>
          <t>Rubber Select</t>
        </is>
      </c>
      <c r="F1580" s="6" t="inlineStr">
        <is>
          <t>PU70 12/0</t>
        </is>
      </c>
      <c r="G1580" s="6" t="inlineStr">
        <is>
          <t>Teljes kínálat</t>
        </is>
      </c>
      <c r="H1580" s="6" t="n">
        <v>1</v>
      </c>
      <c r="I1580" s="6" t="n">
        <v>11</v>
      </c>
      <c r="J1580" s="6" t="inlineStr">
        <is>
          <t>van</t>
        </is>
      </c>
      <c r="K1580" s="6">
        <f>IF(AND(H1580&gt;0,I1580&gt;0),"Rendben",IF(AND(H1580=0,I1580=0),"Nincs kép és adat",IF(H1580=0,"Nincs kép","Nincs adat")))</f>
        <v/>
      </c>
      <c r="L1580" s="6" t="inlineStr">
        <is>
          <t>Igen</t>
        </is>
      </c>
      <c r="M1580" s="7" t="inlineStr">
        <is>
          <t>Rubber Select teljes kínálata (gyártói katalógus / weboldal)</t>
        </is>
      </c>
      <c r="N1580" s="7" t="inlineStr">
        <is>
          <t>Megtalálva: a beszállító teljes kínálatából felvett termék</t>
        </is>
      </c>
      <c r="O1580" s="11" t="inlineStr">
        <is>
          <t>https://www.rubberselect.com/en/products/pu/pu-70-shore</t>
        </is>
      </c>
      <c r="P1580" s="11" t="inlineStr">
        <is>
          <t>https://website-9ib.pages.dev/termek/poliuretan-pu-lemez-70-shore-a-pu70-12-0-1-2-4/</t>
        </is>
      </c>
      <c r="Q1580" s="12" t="inlineStr"/>
      <c r="R1580" s="13" t="inlineStr"/>
      <c r="S1580" s="6" t="inlineStr">
        <is>
          <t>poliuretan-pu-lemez-70-shore-a-pu70-12-0-1-2-4</t>
        </is>
      </c>
    </row>
    <row r="1581">
      <c r="A1581" s="6" t="inlineStr">
        <is>
          <t>PU70 14/0</t>
        </is>
      </c>
      <c r="B1581" s="7" t="inlineStr">
        <is>
          <t>Poliuretán (PU) lemez 70 Shore A 14 mm, 1×2/4 mm</t>
        </is>
      </c>
      <c r="C1581" s="6" t="inlineStr">
        <is>
          <t>Gumiszőnyegek és gumilemezek</t>
        </is>
      </c>
      <c r="D1581" s="6" t="inlineStr">
        <is>
          <t>Poliuretán (PU) lemezek</t>
        </is>
      </c>
      <c r="E1581" s="6" t="inlineStr">
        <is>
          <t>Rubber Select</t>
        </is>
      </c>
      <c r="F1581" s="6" t="inlineStr">
        <is>
          <t>PU70 14/0</t>
        </is>
      </c>
      <c r="G1581" s="6" t="inlineStr">
        <is>
          <t>Teljes kínálat</t>
        </is>
      </c>
      <c r="H1581" s="6" t="n">
        <v>1</v>
      </c>
      <c r="I1581" s="6" t="n">
        <v>11</v>
      </c>
      <c r="J1581" s="6" t="inlineStr">
        <is>
          <t>van</t>
        </is>
      </c>
      <c r="K1581" s="6">
        <f>IF(AND(H1581&gt;0,I1581&gt;0),"Rendben",IF(AND(H1581=0,I1581=0),"Nincs kép és adat",IF(H1581=0,"Nincs kép","Nincs adat")))</f>
        <v/>
      </c>
      <c r="L1581" s="6" t="inlineStr">
        <is>
          <t>Igen</t>
        </is>
      </c>
      <c r="M1581" s="7" t="inlineStr">
        <is>
          <t>Rubber Select teljes kínálata (gyártói katalógus / weboldal)</t>
        </is>
      </c>
      <c r="N1581" s="7" t="inlineStr">
        <is>
          <t>Megtalálva: a beszállító teljes kínálatából felvett termék</t>
        </is>
      </c>
      <c r="O1581" s="11" t="inlineStr">
        <is>
          <t>https://www.rubberselect.com/en/products/pu/pu-70-shore</t>
        </is>
      </c>
      <c r="P1581" s="11" t="inlineStr">
        <is>
          <t>https://website-9ib.pages.dev/termek/poliuretan-pu-lemez-70-shore-a-pu70-14-0-1-2-4/</t>
        </is>
      </c>
      <c r="Q1581" s="12" t="inlineStr"/>
      <c r="R1581" s="13" t="inlineStr"/>
      <c r="S1581" s="6" t="inlineStr">
        <is>
          <t>poliuretan-pu-lemez-70-shore-a-pu70-14-0-1-2-4</t>
        </is>
      </c>
    </row>
    <row r="1582">
      <c r="A1582" s="6" t="inlineStr">
        <is>
          <t>PU70 15/0</t>
        </is>
      </c>
      <c r="B1582" s="7" t="inlineStr">
        <is>
          <t>Poliuretán (PU) lemez 70 Shore A 15 mm, 1×2/4 mm</t>
        </is>
      </c>
      <c r="C1582" s="6" t="inlineStr">
        <is>
          <t>Gumiszőnyegek és gumilemezek</t>
        </is>
      </c>
      <c r="D1582" s="6" t="inlineStr">
        <is>
          <t>Poliuretán (PU) lemezek</t>
        </is>
      </c>
      <c r="E1582" s="6" t="inlineStr">
        <is>
          <t>Rubber Select</t>
        </is>
      </c>
      <c r="F1582" s="6" t="inlineStr">
        <is>
          <t>PU70 15/0</t>
        </is>
      </c>
      <c r="G1582" s="6" t="inlineStr">
        <is>
          <t>Teljes kínálat</t>
        </is>
      </c>
      <c r="H1582" s="6" t="n">
        <v>1</v>
      </c>
      <c r="I1582" s="6" t="n">
        <v>11</v>
      </c>
      <c r="J1582" s="6" t="inlineStr">
        <is>
          <t>van</t>
        </is>
      </c>
      <c r="K1582" s="6">
        <f>IF(AND(H1582&gt;0,I1582&gt;0),"Rendben",IF(AND(H1582=0,I1582=0),"Nincs kép és adat",IF(H1582=0,"Nincs kép","Nincs adat")))</f>
        <v/>
      </c>
      <c r="L1582" s="6" t="inlineStr">
        <is>
          <t>Igen</t>
        </is>
      </c>
      <c r="M1582" s="7" t="inlineStr">
        <is>
          <t>Rubber Select teljes kínálata (gyártói katalógus / weboldal)</t>
        </is>
      </c>
      <c r="N1582" s="7" t="inlineStr">
        <is>
          <t>Megtalálva: a beszállító teljes kínálatából felvett termék</t>
        </is>
      </c>
      <c r="O1582" s="11" t="inlineStr">
        <is>
          <t>https://www.rubberselect.com/en/products/pu/pu-70-shore</t>
        </is>
      </c>
      <c r="P1582" s="11" t="inlineStr">
        <is>
          <t>https://website-9ib.pages.dev/termek/poliuretan-pu-lemez-70-shore-a-pu70-15-0-1-2-4/</t>
        </is>
      </c>
      <c r="Q1582" s="12" t="inlineStr"/>
      <c r="R1582" s="13" t="inlineStr"/>
      <c r="S1582" s="6" t="inlineStr">
        <is>
          <t>poliuretan-pu-lemez-70-shore-a-pu70-15-0-1-2-4</t>
        </is>
      </c>
    </row>
    <row r="1583">
      <c r="A1583" s="6" t="inlineStr">
        <is>
          <t>PU70 2/0</t>
        </is>
      </c>
      <c r="B1583" s="7" t="inlineStr">
        <is>
          <t>Poliuretán (PU) lemez 70 Shore A 2 mm, 1×2/4 mm</t>
        </is>
      </c>
      <c r="C1583" s="6" t="inlineStr">
        <is>
          <t>Gumiszőnyegek és gumilemezek</t>
        </is>
      </c>
      <c r="D1583" s="6" t="inlineStr">
        <is>
          <t>Poliuretán (PU) lemezek</t>
        </is>
      </c>
      <c r="E1583" s="6" t="inlineStr">
        <is>
          <t>Rubber Select</t>
        </is>
      </c>
      <c r="F1583" s="6" t="inlineStr">
        <is>
          <t>PU70 2/0</t>
        </is>
      </c>
      <c r="G1583" s="6" t="inlineStr">
        <is>
          <t>Teljes kínálat</t>
        </is>
      </c>
      <c r="H1583" s="6" t="n">
        <v>1</v>
      </c>
      <c r="I1583" s="6" t="n">
        <v>11</v>
      </c>
      <c r="J1583" s="6" t="inlineStr">
        <is>
          <t>van</t>
        </is>
      </c>
      <c r="K1583" s="6">
        <f>IF(AND(H1583&gt;0,I1583&gt;0),"Rendben",IF(AND(H1583=0,I1583=0),"Nincs kép és adat",IF(H1583=0,"Nincs kép","Nincs adat")))</f>
        <v/>
      </c>
      <c r="L1583" s="6" t="inlineStr">
        <is>
          <t>Igen</t>
        </is>
      </c>
      <c r="M1583" s="7" t="inlineStr">
        <is>
          <t>Rubber Select teljes kínálata (gyártói katalógus / weboldal)</t>
        </is>
      </c>
      <c r="N1583" s="7" t="inlineStr">
        <is>
          <t>Megtalálva: a beszállító teljes kínálatából felvett termék</t>
        </is>
      </c>
      <c r="O1583" s="11" t="inlineStr">
        <is>
          <t>https://www.rubberselect.com/en/products/pu/pu-70-shore</t>
        </is>
      </c>
      <c r="P1583" s="11" t="inlineStr">
        <is>
          <t>https://website-9ib.pages.dev/termek/poliuretan-pu-lemez-70-shore-a-pu70-2-0-1-2-4/</t>
        </is>
      </c>
      <c r="Q1583" s="12" t="inlineStr"/>
      <c r="R1583" s="13" t="inlineStr"/>
      <c r="S1583" s="6" t="inlineStr">
        <is>
          <t>poliuretan-pu-lemez-70-shore-a-pu70-2-0-1-2-4</t>
        </is>
      </c>
    </row>
    <row r="1584">
      <c r="A1584" s="6" t="inlineStr">
        <is>
          <t>PU70 20/0</t>
        </is>
      </c>
      <c r="B1584" s="7" t="inlineStr">
        <is>
          <t>Poliuretán (PU) lemez 70 Shore A 20 mm, 1×2/4 mm</t>
        </is>
      </c>
      <c r="C1584" s="6" t="inlineStr">
        <is>
          <t>Gumiszőnyegek és gumilemezek</t>
        </is>
      </c>
      <c r="D1584" s="6" t="inlineStr">
        <is>
          <t>Poliuretán (PU) lemezek</t>
        </is>
      </c>
      <c r="E1584" s="6" t="inlineStr">
        <is>
          <t>Rubber Select</t>
        </is>
      </c>
      <c r="F1584" s="6" t="inlineStr">
        <is>
          <t>PU70 20/0</t>
        </is>
      </c>
      <c r="G1584" s="6" t="inlineStr">
        <is>
          <t>Teljes kínálat</t>
        </is>
      </c>
      <c r="H1584" s="6" t="n">
        <v>1</v>
      </c>
      <c r="I1584" s="6" t="n">
        <v>11</v>
      </c>
      <c r="J1584" s="6" t="inlineStr">
        <is>
          <t>van</t>
        </is>
      </c>
      <c r="K1584" s="6">
        <f>IF(AND(H1584&gt;0,I1584&gt;0),"Rendben",IF(AND(H1584=0,I1584=0),"Nincs kép és adat",IF(H1584=0,"Nincs kép","Nincs adat")))</f>
        <v/>
      </c>
      <c r="L1584" s="6" t="inlineStr">
        <is>
          <t>Igen</t>
        </is>
      </c>
      <c r="M1584" s="7" t="inlineStr">
        <is>
          <t>Rubber Select teljes kínálata (gyártói katalógus / weboldal)</t>
        </is>
      </c>
      <c r="N1584" s="7" t="inlineStr">
        <is>
          <t>Megtalálva: a beszállító teljes kínálatából felvett termék</t>
        </is>
      </c>
      <c r="O1584" s="11" t="inlineStr">
        <is>
          <t>https://www.rubberselect.com/en/products/pu/pu-70-shore</t>
        </is>
      </c>
      <c r="P1584" s="11" t="inlineStr">
        <is>
          <t>https://website-9ib.pages.dev/termek/poliuretan-pu-lemez-70-shore-a-pu70-20-0-1-2-4/</t>
        </is>
      </c>
      <c r="Q1584" s="12" t="inlineStr"/>
      <c r="R1584" s="13" t="inlineStr"/>
      <c r="S1584" s="6" t="inlineStr">
        <is>
          <t>poliuretan-pu-lemez-70-shore-a-pu70-20-0-1-2-4</t>
        </is>
      </c>
    </row>
    <row r="1585">
      <c r="A1585" s="6" t="inlineStr">
        <is>
          <t>PU70 25/0</t>
        </is>
      </c>
      <c r="B1585" s="7" t="inlineStr">
        <is>
          <t>Poliuretán (PU) lemez 70 Shore A 25 mm, 1×2 mm</t>
        </is>
      </c>
      <c r="C1585" s="6" t="inlineStr">
        <is>
          <t>Gumiszőnyegek és gumilemezek</t>
        </is>
      </c>
      <c r="D1585" s="6" t="inlineStr">
        <is>
          <t>Poliuretán (PU) lemezek</t>
        </is>
      </c>
      <c r="E1585" s="6" t="inlineStr">
        <is>
          <t>Rubber Select</t>
        </is>
      </c>
      <c r="F1585" s="6" t="inlineStr">
        <is>
          <t>PU70 25/0</t>
        </is>
      </c>
      <c r="G1585" s="6" t="inlineStr">
        <is>
          <t>Teljes kínálat</t>
        </is>
      </c>
      <c r="H1585" s="6" t="n">
        <v>1</v>
      </c>
      <c r="I1585" s="6" t="n">
        <v>11</v>
      </c>
      <c r="J1585" s="6" t="inlineStr">
        <is>
          <t>van</t>
        </is>
      </c>
      <c r="K1585" s="6">
        <f>IF(AND(H1585&gt;0,I1585&gt;0),"Rendben",IF(AND(H1585=0,I1585=0),"Nincs kép és adat",IF(H1585=0,"Nincs kép","Nincs adat")))</f>
        <v/>
      </c>
      <c r="L1585" s="6" t="inlineStr">
        <is>
          <t>Igen</t>
        </is>
      </c>
      <c r="M1585" s="7" t="inlineStr">
        <is>
          <t>Rubber Select teljes kínálata (gyártói katalógus / weboldal)</t>
        </is>
      </c>
      <c r="N1585" s="7" t="inlineStr">
        <is>
          <t>Megtalálva: a beszállító teljes kínálatából felvett termék</t>
        </is>
      </c>
      <c r="O1585" s="11" t="inlineStr">
        <is>
          <t>https://www.rubberselect.com/en/products/pu/pu-70-shore</t>
        </is>
      </c>
      <c r="P1585" s="11" t="inlineStr">
        <is>
          <t>https://website-9ib.pages.dev/termek/poliuretan-pu-lemez-70-shore-a-pu70-25-0-1-2/</t>
        </is>
      </c>
      <c r="Q1585" s="12" t="inlineStr"/>
      <c r="R1585" s="13" t="inlineStr"/>
      <c r="S1585" s="6" t="inlineStr">
        <is>
          <t>poliuretan-pu-lemez-70-shore-a-pu70-25-0-1-2</t>
        </is>
      </c>
    </row>
    <row r="1586">
      <c r="A1586" s="6" t="inlineStr">
        <is>
          <t>PU70 3/0</t>
        </is>
      </c>
      <c r="B1586" s="7" t="inlineStr">
        <is>
          <t>Poliuretán (PU) lemez 70 Shore A 3 mm, 1×2/4 mm</t>
        </is>
      </c>
      <c r="C1586" s="6" t="inlineStr">
        <is>
          <t>Gumiszőnyegek és gumilemezek</t>
        </is>
      </c>
      <c r="D1586" s="6" t="inlineStr">
        <is>
          <t>Poliuretán (PU) lemezek</t>
        </is>
      </c>
      <c r="E1586" s="6" t="inlineStr">
        <is>
          <t>Rubber Select</t>
        </is>
      </c>
      <c r="F1586" s="6" t="inlineStr">
        <is>
          <t>PU70 3/0</t>
        </is>
      </c>
      <c r="G1586" s="6" t="inlineStr">
        <is>
          <t>Teljes kínálat</t>
        </is>
      </c>
      <c r="H1586" s="6" t="n">
        <v>1</v>
      </c>
      <c r="I1586" s="6" t="n">
        <v>11</v>
      </c>
      <c r="J1586" s="6" t="inlineStr">
        <is>
          <t>van</t>
        </is>
      </c>
      <c r="K1586" s="6">
        <f>IF(AND(H1586&gt;0,I1586&gt;0),"Rendben",IF(AND(H1586=0,I1586=0),"Nincs kép és adat",IF(H1586=0,"Nincs kép","Nincs adat")))</f>
        <v/>
      </c>
      <c r="L1586" s="6" t="inlineStr">
        <is>
          <t>Igen</t>
        </is>
      </c>
      <c r="M1586" s="7" t="inlineStr">
        <is>
          <t>Rubber Select teljes kínálata (gyártói katalógus / weboldal)</t>
        </is>
      </c>
      <c r="N1586" s="7" t="inlineStr">
        <is>
          <t>Megtalálva: a beszállító teljes kínálatából felvett termék</t>
        </is>
      </c>
      <c r="O1586" s="11" t="inlineStr">
        <is>
          <t>https://www.rubberselect.com/en/products/pu/pu-70-shore</t>
        </is>
      </c>
      <c r="P1586" s="11" t="inlineStr">
        <is>
          <t>https://website-9ib.pages.dev/termek/poliuretan-pu-lemez-70-shore-a-pu70-3-0-1-2-4/</t>
        </is>
      </c>
      <c r="Q1586" s="12" t="inlineStr"/>
      <c r="R1586" s="13" t="inlineStr"/>
      <c r="S1586" s="6" t="inlineStr">
        <is>
          <t>poliuretan-pu-lemez-70-shore-a-pu70-3-0-1-2-4</t>
        </is>
      </c>
    </row>
    <row r="1587">
      <c r="A1587" s="6" t="inlineStr">
        <is>
          <t>PU70 30/0</t>
        </is>
      </c>
      <c r="B1587" s="7" t="inlineStr">
        <is>
          <t>Poliuretán (PU) lemez 70 Shore A 30 mm, 1×2 mm</t>
        </is>
      </c>
      <c r="C1587" s="6" t="inlineStr">
        <is>
          <t>Gumiszőnyegek és gumilemezek</t>
        </is>
      </c>
      <c r="D1587" s="6" t="inlineStr">
        <is>
          <t>Poliuretán (PU) lemezek</t>
        </is>
      </c>
      <c r="E1587" s="6" t="inlineStr">
        <is>
          <t>Rubber Select</t>
        </is>
      </c>
      <c r="F1587" s="6" t="inlineStr">
        <is>
          <t>PU70 30/0</t>
        </is>
      </c>
      <c r="G1587" s="6" t="inlineStr">
        <is>
          <t>Teljes kínálat</t>
        </is>
      </c>
      <c r="H1587" s="6" t="n">
        <v>1</v>
      </c>
      <c r="I1587" s="6" t="n">
        <v>11</v>
      </c>
      <c r="J1587" s="6" t="inlineStr">
        <is>
          <t>van</t>
        </is>
      </c>
      <c r="K1587" s="6">
        <f>IF(AND(H1587&gt;0,I1587&gt;0),"Rendben",IF(AND(H1587=0,I1587=0),"Nincs kép és adat",IF(H1587=0,"Nincs kép","Nincs adat")))</f>
        <v/>
      </c>
      <c r="L1587" s="6" t="inlineStr">
        <is>
          <t>Igen</t>
        </is>
      </c>
      <c r="M1587" s="7" t="inlineStr">
        <is>
          <t>Rubber Select teljes kínálata (gyártói katalógus / weboldal)</t>
        </is>
      </c>
      <c r="N1587" s="7" t="inlineStr">
        <is>
          <t>Megtalálva: a beszállító teljes kínálatából felvett termék</t>
        </is>
      </c>
      <c r="O1587" s="11" t="inlineStr">
        <is>
          <t>https://www.rubberselect.com/en/products/pu/pu-70-shore</t>
        </is>
      </c>
      <c r="P1587" s="11" t="inlineStr">
        <is>
          <t>https://website-9ib.pages.dev/termek/poliuretan-pu-lemez-70-shore-a-pu70-30-0-1-2/</t>
        </is>
      </c>
      <c r="Q1587" s="12" t="inlineStr"/>
      <c r="R1587" s="13" t="inlineStr"/>
      <c r="S1587" s="6" t="inlineStr">
        <is>
          <t>poliuretan-pu-lemez-70-shore-a-pu70-30-0-1-2</t>
        </is>
      </c>
    </row>
    <row r="1588">
      <c r="A1588" s="6" t="inlineStr">
        <is>
          <t>PU70 4/0</t>
        </is>
      </c>
      <c r="B1588" s="7" t="inlineStr">
        <is>
          <t>Poliuretán (PU) lemez 70 Shore A 4 mm, 1×2/4 mm</t>
        </is>
      </c>
      <c r="C1588" s="6" t="inlineStr">
        <is>
          <t>Gumiszőnyegek és gumilemezek</t>
        </is>
      </c>
      <c r="D1588" s="6" t="inlineStr">
        <is>
          <t>Poliuretán (PU) lemezek</t>
        </is>
      </c>
      <c r="E1588" s="6" t="inlineStr">
        <is>
          <t>Rubber Select</t>
        </is>
      </c>
      <c r="F1588" s="6" t="inlineStr">
        <is>
          <t>PU70 4/0</t>
        </is>
      </c>
      <c r="G1588" s="6" t="inlineStr">
        <is>
          <t>Teljes kínálat</t>
        </is>
      </c>
      <c r="H1588" s="6" t="n">
        <v>1</v>
      </c>
      <c r="I1588" s="6" t="n">
        <v>11</v>
      </c>
      <c r="J1588" s="6" t="inlineStr">
        <is>
          <t>van</t>
        </is>
      </c>
      <c r="K1588" s="6">
        <f>IF(AND(H1588&gt;0,I1588&gt;0),"Rendben",IF(AND(H1588=0,I1588=0),"Nincs kép és adat",IF(H1588=0,"Nincs kép","Nincs adat")))</f>
        <v/>
      </c>
      <c r="L1588" s="6" t="inlineStr">
        <is>
          <t>Igen</t>
        </is>
      </c>
      <c r="M1588" s="7" t="inlineStr">
        <is>
          <t>Rubber Select teljes kínálata (gyártói katalógus / weboldal)</t>
        </is>
      </c>
      <c r="N1588" s="7" t="inlineStr">
        <is>
          <t>Megtalálva: a beszállító teljes kínálatából felvett termék</t>
        </is>
      </c>
      <c r="O1588" s="11" t="inlineStr">
        <is>
          <t>https://www.rubberselect.com/en/products/pu/pu-70-shore</t>
        </is>
      </c>
      <c r="P1588" s="11" t="inlineStr">
        <is>
          <t>https://website-9ib.pages.dev/termek/poliuretan-pu-lemez-70-shore-a-pu70-4-0-1-2-4/</t>
        </is>
      </c>
      <c r="Q1588" s="12" t="inlineStr"/>
      <c r="R1588" s="13" t="inlineStr"/>
      <c r="S1588" s="6" t="inlineStr">
        <is>
          <t>poliuretan-pu-lemez-70-shore-a-pu70-4-0-1-2-4</t>
        </is>
      </c>
    </row>
    <row r="1589">
      <c r="A1589" s="6" t="inlineStr">
        <is>
          <t>PU70 5/0</t>
        </is>
      </c>
      <c r="B1589" s="7" t="inlineStr">
        <is>
          <t>Poliuretán (PU) lemez 70 Shore A 5 mm, 1×2/4 mm</t>
        </is>
      </c>
      <c r="C1589" s="6" t="inlineStr">
        <is>
          <t>Gumiszőnyegek és gumilemezek</t>
        </is>
      </c>
      <c r="D1589" s="6" t="inlineStr">
        <is>
          <t>Poliuretán (PU) lemezek</t>
        </is>
      </c>
      <c r="E1589" s="6" t="inlineStr">
        <is>
          <t>Rubber Select</t>
        </is>
      </c>
      <c r="F1589" s="6" t="inlineStr">
        <is>
          <t>PU70 5/0</t>
        </is>
      </c>
      <c r="G1589" s="6" t="inlineStr">
        <is>
          <t>Teljes kínálat</t>
        </is>
      </c>
      <c r="H1589" s="6" t="n">
        <v>1</v>
      </c>
      <c r="I1589" s="6" t="n">
        <v>11</v>
      </c>
      <c r="J1589" s="6" t="inlineStr">
        <is>
          <t>van</t>
        </is>
      </c>
      <c r="K1589" s="6">
        <f>IF(AND(H1589&gt;0,I1589&gt;0),"Rendben",IF(AND(H1589=0,I1589=0),"Nincs kép és adat",IF(H1589=0,"Nincs kép","Nincs adat")))</f>
        <v/>
      </c>
      <c r="L1589" s="6" t="inlineStr">
        <is>
          <t>Igen</t>
        </is>
      </c>
      <c r="M1589" s="7" t="inlineStr">
        <is>
          <t>Rubber Select teljes kínálata (gyártói katalógus / weboldal)</t>
        </is>
      </c>
      <c r="N1589" s="7" t="inlineStr">
        <is>
          <t>Megtalálva: a beszállító teljes kínálatából felvett termék</t>
        </is>
      </c>
      <c r="O1589" s="11" t="inlineStr">
        <is>
          <t>https://www.rubberselect.com/en/products/pu/pu-70-shore</t>
        </is>
      </c>
      <c r="P1589" s="11" t="inlineStr">
        <is>
          <t>https://website-9ib.pages.dev/termek/poliuretan-pu-lemez-70-shore-a-pu70-5-0-1-2-4/</t>
        </is>
      </c>
      <c r="Q1589" s="12" t="inlineStr"/>
      <c r="R1589" s="13" t="inlineStr"/>
      <c r="S1589" s="6" t="inlineStr">
        <is>
          <t>poliuretan-pu-lemez-70-shore-a-pu70-5-0-1-2-4</t>
        </is>
      </c>
    </row>
    <row r="1590">
      <c r="A1590" s="6" t="inlineStr">
        <is>
          <t>PU70 6/0</t>
        </is>
      </c>
      <c r="B1590" s="7" t="inlineStr">
        <is>
          <t>Poliuretán (PU) lemez 70 Shore A 6 mm, 1×2/4 mm</t>
        </is>
      </c>
      <c r="C1590" s="6" t="inlineStr">
        <is>
          <t>Gumiszőnyegek és gumilemezek</t>
        </is>
      </c>
      <c r="D1590" s="6" t="inlineStr">
        <is>
          <t>Poliuretán (PU) lemezek</t>
        </is>
      </c>
      <c r="E1590" s="6" t="inlineStr">
        <is>
          <t>Rubber Select</t>
        </is>
      </c>
      <c r="F1590" s="6" t="inlineStr">
        <is>
          <t>PU70 6/0</t>
        </is>
      </c>
      <c r="G1590" s="6" t="inlineStr">
        <is>
          <t>Teljes kínálat</t>
        </is>
      </c>
      <c r="H1590" s="6" t="n">
        <v>1</v>
      </c>
      <c r="I1590" s="6" t="n">
        <v>11</v>
      </c>
      <c r="J1590" s="6" t="inlineStr">
        <is>
          <t>van</t>
        </is>
      </c>
      <c r="K1590" s="6">
        <f>IF(AND(H1590&gt;0,I1590&gt;0),"Rendben",IF(AND(H1590=0,I1590=0),"Nincs kép és adat",IF(H1590=0,"Nincs kép","Nincs adat")))</f>
        <v/>
      </c>
      <c r="L1590" s="6" t="inlineStr">
        <is>
          <t>Igen</t>
        </is>
      </c>
      <c r="M1590" s="7" t="inlineStr">
        <is>
          <t>Rubber Select teljes kínálata (gyártói katalógus / weboldal)</t>
        </is>
      </c>
      <c r="N1590" s="7" t="inlineStr">
        <is>
          <t>Megtalálva: a beszállító teljes kínálatából felvett termék</t>
        </is>
      </c>
      <c r="O1590" s="11" t="inlineStr">
        <is>
          <t>https://www.rubberselect.com/en/products/pu/pu-70-shore</t>
        </is>
      </c>
      <c r="P1590" s="11" t="inlineStr">
        <is>
          <t>https://website-9ib.pages.dev/termek/poliuretan-pu-lemez-70-shore-a-pu70-6-0-1-2-4/</t>
        </is>
      </c>
      <c r="Q1590" s="12" t="inlineStr"/>
      <c r="R1590" s="13" t="inlineStr"/>
      <c r="S1590" s="6" t="inlineStr">
        <is>
          <t>poliuretan-pu-lemez-70-shore-a-pu70-6-0-1-2-4</t>
        </is>
      </c>
    </row>
    <row r="1591">
      <c r="A1591" s="6" t="inlineStr">
        <is>
          <t>PU70 8/0</t>
        </is>
      </c>
      <c r="B1591" s="7" t="inlineStr">
        <is>
          <t>Poliuretán (PU) lemez 70 Shore A 8 mm, 1×2/4 mm</t>
        </is>
      </c>
      <c r="C1591" s="6" t="inlineStr">
        <is>
          <t>Gumiszőnyegek és gumilemezek</t>
        </is>
      </c>
      <c r="D1591" s="6" t="inlineStr">
        <is>
          <t>Poliuretán (PU) lemezek</t>
        </is>
      </c>
      <c r="E1591" s="6" t="inlineStr">
        <is>
          <t>Rubber Select</t>
        </is>
      </c>
      <c r="F1591" s="6" t="inlineStr">
        <is>
          <t>PU70 8/0</t>
        </is>
      </c>
      <c r="G1591" s="6" t="inlineStr">
        <is>
          <t>Teljes kínálat</t>
        </is>
      </c>
      <c r="H1591" s="6" t="n">
        <v>1</v>
      </c>
      <c r="I1591" s="6" t="n">
        <v>11</v>
      </c>
      <c r="J1591" s="6" t="inlineStr">
        <is>
          <t>van</t>
        </is>
      </c>
      <c r="K1591" s="6">
        <f>IF(AND(H1591&gt;0,I1591&gt;0),"Rendben",IF(AND(H1591=0,I1591=0),"Nincs kép és adat",IF(H1591=0,"Nincs kép","Nincs adat")))</f>
        <v/>
      </c>
      <c r="L1591" s="6" t="inlineStr">
        <is>
          <t>Igen</t>
        </is>
      </c>
      <c r="M1591" s="7" t="inlineStr">
        <is>
          <t>Rubber Select teljes kínálata (gyártói katalógus / weboldal)</t>
        </is>
      </c>
      <c r="N1591" s="7" t="inlineStr">
        <is>
          <t>Megtalálva: a beszállító teljes kínálatából felvett termék</t>
        </is>
      </c>
      <c r="O1591" s="11" t="inlineStr">
        <is>
          <t>https://www.rubberselect.com/en/products/pu/pu-70-shore</t>
        </is>
      </c>
      <c r="P1591" s="11" t="inlineStr">
        <is>
          <t>https://website-9ib.pages.dev/termek/poliuretan-pu-lemez-70-shore-a-pu70-8-0-1-2-4/</t>
        </is>
      </c>
      <c r="Q1591" s="12" t="inlineStr"/>
      <c r="R1591" s="13" t="inlineStr"/>
      <c r="S1591" s="6" t="inlineStr">
        <is>
          <t>poliuretan-pu-lemez-70-shore-a-pu70-8-0-1-2-4</t>
        </is>
      </c>
    </row>
    <row r="1592">
      <c r="A1592" s="6" t="inlineStr">
        <is>
          <t>PU80 1/0</t>
        </is>
      </c>
      <c r="B1592" s="7" t="inlineStr">
        <is>
          <t>Poliuretán (PU) lemez 80 Shore A 1 mm, 1×2/4 mm</t>
        </is>
      </c>
      <c r="C1592" s="6" t="inlineStr">
        <is>
          <t>Gumiszőnyegek és gumilemezek</t>
        </is>
      </c>
      <c r="D1592" s="6" t="inlineStr">
        <is>
          <t>Poliuretán (PU) lemezek</t>
        </is>
      </c>
      <c r="E1592" s="6" t="inlineStr">
        <is>
          <t>Rubber Select</t>
        </is>
      </c>
      <c r="F1592" s="6" t="inlineStr">
        <is>
          <t>PU80 1/0</t>
        </is>
      </c>
      <c r="G1592" s="6" t="inlineStr">
        <is>
          <t>Teljes kínálat</t>
        </is>
      </c>
      <c r="H1592" s="6" t="n">
        <v>1</v>
      </c>
      <c r="I1592" s="6" t="n">
        <v>11</v>
      </c>
      <c r="J1592" s="6" t="inlineStr">
        <is>
          <t>van</t>
        </is>
      </c>
      <c r="K1592" s="6">
        <f>IF(AND(H1592&gt;0,I1592&gt;0),"Rendben",IF(AND(H1592=0,I1592=0),"Nincs kép és adat",IF(H1592=0,"Nincs kép","Nincs adat")))</f>
        <v/>
      </c>
      <c r="L1592" s="6" t="inlineStr">
        <is>
          <t>Igen</t>
        </is>
      </c>
      <c r="M1592" s="7" t="inlineStr">
        <is>
          <t>Rubber Select teljes kínálata (gyártói katalógus / weboldal)</t>
        </is>
      </c>
      <c r="N1592" s="7" t="inlineStr">
        <is>
          <t>Megtalálva: a beszállító teljes kínálatából felvett termék</t>
        </is>
      </c>
      <c r="O1592" s="11" t="inlineStr">
        <is>
          <t>https://www.rubberselect.com/en/products/pu/pu-80-shore</t>
        </is>
      </c>
      <c r="P1592" s="11" t="inlineStr">
        <is>
          <t>https://website-9ib.pages.dev/termek/poliuretan-pu-lemez-80-shore-a-pu80-1-0-1-2-4/</t>
        </is>
      </c>
      <c r="Q1592" s="12" t="inlineStr"/>
      <c r="R1592" s="13" t="inlineStr"/>
      <c r="S1592" s="6" t="inlineStr">
        <is>
          <t>poliuretan-pu-lemez-80-shore-a-pu80-1-0-1-2-4</t>
        </is>
      </c>
    </row>
    <row r="1593">
      <c r="A1593" s="6" t="inlineStr">
        <is>
          <t>PU80 10/0</t>
        </is>
      </c>
      <c r="B1593" s="7" t="inlineStr">
        <is>
          <t>Poliuretán (PU) lemez 80 Shore A 10 mm, 1×2/4 mm</t>
        </is>
      </c>
      <c r="C1593" s="6" t="inlineStr">
        <is>
          <t>Gumiszőnyegek és gumilemezek</t>
        </is>
      </c>
      <c r="D1593" s="6" t="inlineStr">
        <is>
          <t>Poliuretán (PU) lemezek</t>
        </is>
      </c>
      <c r="E1593" s="6" t="inlineStr">
        <is>
          <t>Rubber Select</t>
        </is>
      </c>
      <c r="F1593" s="6" t="inlineStr">
        <is>
          <t>PU80 10/0</t>
        </is>
      </c>
      <c r="G1593" s="6" t="inlineStr">
        <is>
          <t>Teljes kínálat</t>
        </is>
      </c>
      <c r="H1593" s="6" t="n">
        <v>1</v>
      </c>
      <c r="I1593" s="6" t="n">
        <v>11</v>
      </c>
      <c r="J1593" s="6" t="inlineStr">
        <is>
          <t>van</t>
        </is>
      </c>
      <c r="K1593" s="6">
        <f>IF(AND(H1593&gt;0,I1593&gt;0),"Rendben",IF(AND(H1593=0,I1593=0),"Nincs kép és adat",IF(H1593=0,"Nincs kép","Nincs adat")))</f>
        <v/>
      </c>
      <c r="L1593" s="6" t="inlineStr">
        <is>
          <t>Igen</t>
        </is>
      </c>
      <c r="M1593" s="7" t="inlineStr">
        <is>
          <t>Rubber Select teljes kínálata (gyártói katalógus / weboldal)</t>
        </is>
      </c>
      <c r="N1593" s="7" t="inlineStr">
        <is>
          <t>Megtalálva: a beszállító teljes kínálatából felvett termék</t>
        </is>
      </c>
      <c r="O1593" s="11" t="inlineStr">
        <is>
          <t>https://www.rubberselect.com/en/products/pu/pu-80-shore</t>
        </is>
      </c>
      <c r="P1593" s="11" t="inlineStr">
        <is>
          <t>https://website-9ib.pages.dev/termek/poliuretan-pu-lemez-80-shore-a-pu80-10-0-1-2-4/</t>
        </is>
      </c>
      <c r="Q1593" s="12" t="inlineStr"/>
      <c r="R1593" s="13" t="inlineStr"/>
      <c r="S1593" s="6" t="inlineStr">
        <is>
          <t>poliuretan-pu-lemez-80-shore-a-pu80-10-0-1-2-4</t>
        </is>
      </c>
    </row>
    <row r="1594">
      <c r="A1594" s="6" t="inlineStr">
        <is>
          <t>PU80 12/0</t>
        </is>
      </c>
      <c r="B1594" s="7" t="inlineStr">
        <is>
          <t>Poliuretán (PU) lemez 80 Shore A 12 mm, 1×2/4 mm</t>
        </is>
      </c>
      <c r="C1594" s="6" t="inlineStr">
        <is>
          <t>Gumiszőnyegek és gumilemezek</t>
        </is>
      </c>
      <c r="D1594" s="6" t="inlineStr">
        <is>
          <t>Poliuretán (PU) lemezek</t>
        </is>
      </c>
      <c r="E1594" s="6" t="inlineStr">
        <is>
          <t>Rubber Select</t>
        </is>
      </c>
      <c r="F1594" s="6" t="inlineStr">
        <is>
          <t>PU80 12/0</t>
        </is>
      </c>
      <c r="G1594" s="6" t="inlineStr">
        <is>
          <t>Teljes kínálat</t>
        </is>
      </c>
      <c r="H1594" s="6" t="n">
        <v>1</v>
      </c>
      <c r="I1594" s="6" t="n">
        <v>11</v>
      </c>
      <c r="J1594" s="6" t="inlineStr">
        <is>
          <t>van</t>
        </is>
      </c>
      <c r="K1594" s="6">
        <f>IF(AND(H1594&gt;0,I1594&gt;0),"Rendben",IF(AND(H1594=0,I1594=0),"Nincs kép és adat",IF(H1594=0,"Nincs kép","Nincs adat")))</f>
        <v/>
      </c>
      <c r="L1594" s="6" t="inlineStr">
        <is>
          <t>Igen</t>
        </is>
      </c>
      <c r="M1594" s="7" t="inlineStr">
        <is>
          <t>Rubber Select teljes kínálata (gyártói katalógus / weboldal)</t>
        </is>
      </c>
      <c r="N1594" s="7" t="inlineStr">
        <is>
          <t>Megtalálva: a beszállító teljes kínálatából felvett termék</t>
        </is>
      </c>
      <c r="O1594" s="11" t="inlineStr">
        <is>
          <t>https://www.rubberselect.com/en/products/pu/pu-80-shore</t>
        </is>
      </c>
      <c r="P1594" s="11" t="inlineStr">
        <is>
          <t>https://website-9ib.pages.dev/termek/poliuretan-pu-lemez-80-shore-a-pu80-12-0-1-2-4/</t>
        </is>
      </c>
      <c r="Q1594" s="12" t="inlineStr"/>
      <c r="R1594" s="13" t="inlineStr"/>
      <c r="S1594" s="6" t="inlineStr">
        <is>
          <t>poliuretan-pu-lemez-80-shore-a-pu80-12-0-1-2-4</t>
        </is>
      </c>
    </row>
    <row r="1595">
      <c r="A1595" s="6" t="inlineStr">
        <is>
          <t>PU80 14/0</t>
        </is>
      </c>
      <c r="B1595" s="7" t="inlineStr">
        <is>
          <t>Poliuretán (PU) lemez 80 Shore A 14 mm, 1×2/4 mm</t>
        </is>
      </c>
      <c r="C1595" s="6" t="inlineStr">
        <is>
          <t>Gumiszőnyegek és gumilemezek</t>
        </is>
      </c>
      <c r="D1595" s="6" t="inlineStr">
        <is>
          <t>Poliuretán (PU) lemezek</t>
        </is>
      </c>
      <c r="E1595" s="6" t="inlineStr">
        <is>
          <t>Rubber Select</t>
        </is>
      </c>
      <c r="F1595" s="6" t="inlineStr">
        <is>
          <t>PU80 14/0</t>
        </is>
      </c>
      <c r="G1595" s="6" t="inlineStr">
        <is>
          <t>Teljes kínálat</t>
        </is>
      </c>
      <c r="H1595" s="6" t="n">
        <v>1</v>
      </c>
      <c r="I1595" s="6" t="n">
        <v>11</v>
      </c>
      <c r="J1595" s="6" t="inlineStr">
        <is>
          <t>van</t>
        </is>
      </c>
      <c r="K1595" s="6">
        <f>IF(AND(H1595&gt;0,I1595&gt;0),"Rendben",IF(AND(H1595=0,I1595=0),"Nincs kép és adat",IF(H1595=0,"Nincs kép","Nincs adat")))</f>
        <v/>
      </c>
      <c r="L1595" s="6" t="inlineStr">
        <is>
          <t>Igen</t>
        </is>
      </c>
      <c r="M1595" s="7" t="inlineStr">
        <is>
          <t>Rubber Select teljes kínálata (gyártói katalógus / weboldal)</t>
        </is>
      </c>
      <c r="N1595" s="7" t="inlineStr">
        <is>
          <t>Megtalálva: a beszállító teljes kínálatából felvett termék</t>
        </is>
      </c>
      <c r="O1595" s="11" t="inlineStr">
        <is>
          <t>https://www.rubberselect.com/en/products/pu/pu-80-shore</t>
        </is>
      </c>
      <c r="P1595" s="11" t="inlineStr">
        <is>
          <t>https://website-9ib.pages.dev/termek/poliuretan-pu-lemez-80-shore-a-pu80-14-0-1-2-4/</t>
        </is>
      </c>
      <c r="Q1595" s="12" t="inlineStr"/>
      <c r="R1595" s="13" t="inlineStr"/>
      <c r="S1595" s="6" t="inlineStr">
        <is>
          <t>poliuretan-pu-lemez-80-shore-a-pu80-14-0-1-2-4</t>
        </is>
      </c>
    </row>
    <row r="1596">
      <c r="A1596" s="6" t="inlineStr">
        <is>
          <t>PU80 15/0</t>
        </is>
      </c>
      <c r="B1596" s="7" t="inlineStr">
        <is>
          <t>Poliuretán (PU) lemez 80 Shore A 15 mm, 1×2/4 mm</t>
        </is>
      </c>
      <c r="C1596" s="6" t="inlineStr">
        <is>
          <t>Gumiszőnyegek és gumilemezek</t>
        </is>
      </c>
      <c r="D1596" s="6" t="inlineStr">
        <is>
          <t>Poliuretán (PU) lemezek</t>
        </is>
      </c>
      <c r="E1596" s="6" t="inlineStr">
        <is>
          <t>Rubber Select</t>
        </is>
      </c>
      <c r="F1596" s="6" t="inlineStr">
        <is>
          <t>PU80 15/0</t>
        </is>
      </c>
      <c r="G1596" s="6" t="inlineStr">
        <is>
          <t>Teljes kínálat</t>
        </is>
      </c>
      <c r="H1596" s="6" t="n">
        <v>1</v>
      </c>
      <c r="I1596" s="6" t="n">
        <v>11</v>
      </c>
      <c r="J1596" s="6" t="inlineStr">
        <is>
          <t>van</t>
        </is>
      </c>
      <c r="K1596" s="6">
        <f>IF(AND(H1596&gt;0,I1596&gt;0),"Rendben",IF(AND(H1596=0,I1596=0),"Nincs kép és adat",IF(H1596=0,"Nincs kép","Nincs adat")))</f>
        <v/>
      </c>
      <c r="L1596" s="6" t="inlineStr">
        <is>
          <t>Igen</t>
        </is>
      </c>
      <c r="M1596" s="7" t="inlineStr">
        <is>
          <t>Rubber Select teljes kínálata (gyártói katalógus / weboldal)</t>
        </is>
      </c>
      <c r="N1596" s="7" t="inlineStr">
        <is>
          <t>Megtalálva: a beszállító teljes kínálatából felvett termék</t>
        </is>
      </c>
      <c r="O1596" s="11" t="inlineStr">
        <is>
          <t>https://www.rubberselect.com/en/products/pu/pu-80-shore</t>
        </is>
      </c>
      <c r="P1596" s="11" t="inlineStr">
        <is>
          <t>https://website-9ib.pages.dev/termek/poliuretan-pu-lemez-80-shore-a-pu80-15-0-1-2-4/</t>
        </is>
      </c>
      <c r="Q1596" s="12" t="inlineStr"/>
      <c r="R1596" s="13" t="inlineStr"/>
      <c r="S1596" s="6" t="inlineStr">
        <is>
          <t>poliuretan-pu-lemez-80-shore-a-pu80-15-0-1-2-4</t>
        </is>
      </c>
    </row>
    <row r="1597">
      <c r="A1597" s="6" t="inlineStr">
        <is>
          <t>PU80 2/0</t>
        </is>
      </c>
      <c r="B1597" s="7" t="inlineStr">
        <is>
          <t>Poliuretán (PU) lemez 80 Shore A 2 mm, 1×2/4 mm</t>
        </is>
      </c>
      <c r="C1597" s="6" t="inlineStr">
        <is>
          <t>Gumiszőnyegek és gumilemezek</t>
        </is>
      </c>
      <c r="D1597" s="6" t="inlineStr">
        <is>
          <t>Poliuretán (PU) lemezek</t>
        </is>
      </c>
      <c r="E1597" s="6" t="inlineStr">
        <is>
          <t>Rubber Select</t>
        </is>
      </c>
      <c r="F1597" s="6" t="inlineStr">
        <is>
          <t>PU80 2/0</t>
        </is>
      </c>
      <c r="G1597" s="6" t="inlineStr">
        <is>
          <t>Teljes kínálat</t>
        </is>
      </c>
      <c r="H1597" s="6" t="n">
        <v>1</v>
      </c>
      <c r="I1597" s="6" t="n">
        <v>11</v>
      </c>
      <c r="J1597" s="6" t="inlineStr">
        <is>
          <t>van</t>
        </is>
      </c>
      <c r="K1597" s="6">
        <f>IF(AND(H1597&gt;0,I1597&gt;0),"Rendben",IF(AND(H1597=0,I1597=0),"Nincs kép és adat",IF(H1597=0,"Nincs kép","Nincs adat")))</f>
        <v/>
      </c>
      <c r="L1597" s="6" t="inlineStr">
        <is>
          <t>Igen</t>
        </is>
      </c>
      <c r="M1597" s="7" t="inlineStr">
        <is>
          <t>Rubber Select teljes kínálata (gyártói katalógus / weboldal)</t>
        </is>
      </c>
      <c r="N1597" s="7" t="inlineStr">
        <is>
          <t>Megtalálva: a beszállító teljes kínálatából felvett termék</t>
        </is>
      </c>
      <c r="O1597" s="11" t="inlineStr">
        <is>
          <t>https://www.rubberselect.com/en/products/pu/pu-80-shore</t>
        </is>
      </c>
      <c r="P1597" s="11" t="inlineStr">
        <is>
          <t>https://website-9ib.pages.dev/termek/poliuretan-pu-lemez-80-shore-a-pu80-2-0-1-2-4/</t>
        </is>
      </c>
      <c r="Q1597" s="12" t="inlineStr"/>
      <c r="R1597" s="13" t="inlineStr"/>
      <c r="S1597" s="6" t="inlineStr">
        <is>
          <t>poliuretan-pu-lemez-80-shore-a-pu80-2-0-1-2-4</t>
        </is>
      </c>
    </row>
    <row r="1598">
      <c r="A1598" s="6" t="inlineStr">
        <is>
          <t>PU80 20/0</t>
        </is>
      </c>
      <c r="B1598" s="7" t="inlineStr">
        <is>
          <t>Poliuretán (PU) lemez 80 Shore A 20 mm, 1×2/4 mm</t>
        </is>
      </c>
      <c r="C1598" s="6" t="inlineStr">
        <is>
          <t>Gumiszőnyegek és gumilemezek</t>
        </is>
      </c>
      <c r="D1598" s="6" t="inlineStr">
        <is>
          <t>Poliuretán (PU) lemezek</t>
        </is>
      </c>
      <c r="E1598" s="6" t="inlineStr">
        <is>
          <t>Rubber Select</t>
        </is>
      </c>
      <c r="F1598" s="6" t="inlineStr">
        <is>
          <t>PU80 20/0</t>
        </is>
      </c>
      <c r="G1598" s="6" t="inlineStr">
        <is>
          <t>Teljes kínálat</t>
        </is>
      </c>
      <c r="H1598" s="6" t="n">
        <v>1</v>
      </c>
      <c r="I1598" s="6" t="n">
        <v>11</v>
      </c>
      <c r="J1598" s="6" t="inlineStr">
        <is>
          <t>van</t>
        </is>
      </c>
      <c r="K1598" s="6">
        <f>IF(AND(H1598&gt;0,I1598&gt;0),"Rendben",IF(AND(H1598=0,I1598=0),"Nincs kép és adat",IF(H1598=0,"Nincs kép","Nincs adat")))</f>
        <v/>
      </c>
      <c r="L1598" s="6" t="inlineStr">
        <is>
          <t>Igen</t>
        </is>
      </c>
      <c r="M1598" s="7" t="inlineStr">
        <is>
          <t>Rubber Select teljes kínálata (gyártói katalógus / weboldal)</t>
        </is>
      </c>
      <c r="N1598" s="7" t="inlineStr">
        <is>
          <t>Megtalálva: a beszállító teljes kínálatából felvett termék</t>
        </is>
      </c>
      <c r="O1598" s="11" t="inlineStr">
        <is>
          <t>https://www.rubberselect.com/en/products/pu/pu-80-shore</t>
        </is>
      </c>
      <c r="P1598" s="11" t="inlineStr">
        <is>
          <t>https://website-9ib.pages.dev/termek/poliuretan-pu-lemez-80-shore-a-pu80-20-0-1-2-4/</t>
        </is>
      </c>
      <c r="Q1598" s="12" t="inlineStr"/>
      <c r="R1598" s="13" t="inlineStr"/>
      <c r="S1598" s="6" t="inlineStr">
        <is>
          <t>poliuretan-pu-lemez-80-shore-a-pu80-20-0-1-2-4</t>
        </is>
      </c>
    </row>
    <row r="1599">
      <c r="A1599" s="6" t="inlineStr">
        <is>
          <t>PU80 25/0</t>
        </is>
      </c>
      <c r="B1599" s="7" t="inlineStr">
        <is>
          <t>Poliuretán (PU) lemez 80 Shore A 25 mm, 1×2 mm</t>
        </is>
      </c>
      <c r="C1599" s="6" t="inlineStr">
        <is>
          <t>Gumiszőnyegek és gumilemezek</t>
        </is>
      </c>
      <c r="D1599" s="6" t="inlineStr">
        <is>
          <t>Poliuretán (PU) lemezek</t>
        </is>
      </c>
      <c r="E1599" s="6" t="inlineStr">
        <is>
          <t>Rubber Select</t>
        </is>
      </c>
      <c r="F1599" s="6" t="inlineStr">
        <is>
          <t>PU80 25/0</t>
        </is>
      </c>
      <c r="G1599" s="6" t="inlineStr">
        <is>
          <t>Teljes kínálat</t>
        </is>
      </c>
      <c r="H1599" s="6" t="n">
        <v>1</v>
      </c>
      <c r="I1599" s="6" t="n">
        <v>11</v>
      </c>
      <c r="J1599" s="6" t="inlineStr">
        <is>
          <t>van</t>
        </is>
      </c>
      <c r="K1599" s="6">
        <f>IF(AND(H1599&gt;0,I1599&gt;0),"Rendben",IF(AND(H1599=0,I1599=0),"Nincs kép és adat",IF(H1599=0,"Nincs kép","Nincs adat")))</f>
        <v/>
      </c>
      <c r="L1599" s="6" t="inlineStr">
        <is>
          <t>Igen</t>
        </is>
      </c>
      <c r="M1599" s="7" t="inlineStr">
        <is>
          <t>Rubber Select teljes kínálata (gyártói katalógus / weboldal)</t>
        </is>
      </c>
      <c r="N1599" s="7" t="inlineStr">
        <is>
          <t>Megtalálva: a beszállító teljes kínálatából felvett termék</t>
        </is>
      </c>
      <c r="O1599" s="11" t="inlineStr">
        <is>
          <t>https://www.rubberselect.com/en/products/pu/pu-80-shore</t>
        </is>
      </c>
      <c r="P1599" s="11" t="inlineStr">
        <is>
          <t>https://website-9ib.pages.dev/termek/poliuretan-pu-lemez-80-shore-a-pu80-25-0-1-2/</t>
        </is>
      </c>
      <c r="Q1599" s="12" t="inlineStr"/>
      <c r="R1599" s="13" t="inlineStr"/>
      <c r="S1599" s="6" t="inlineStr">
        <is>
          <t>poliuretan-pu-lemez-80-shore-a-pu80-25-0-1-2</t>
        </is>
      </c>
    </row>
    <row r="1600">
      <c r="A1600" s="6" t="inlineStr">
        <is>
          <t>PU80 3/0</t>
        </is>
      </c>
      <c r="B1600" s="7" t="inlineStr">
        <is>
          <t>Poliuretán (PU) lemez 80 Shore A 3 mm, 1×2/4 mm</t>
        </is>
      </c>
      <c r="C1600" s="6" t="inlineStr">
        <is>
          <t>Gumiszőnyegek és gumilemezek</t>
        </is>
      </c>
      <c r="D1600" s="6" t="inlineStr">
        <is>
          <t>Poliuretán (PU) lemezek</t>
        </is>
      </c>
      <c r="E1600" s="6" t="inlineStr">
        <is>
          <t>Rubber Select</t>
        </is>
      </c>
      <c r="F1600" s="6" t="inlineStr">
        <is>
          <t>PU80 3/0</t>
        </is>
      </c>
      <c r="G1600" s="6" t="inlineStr">
        <is>
          <t>Teljes kínálat</t>
        </is>
      </c>
      <c r="H1600" s="6" t="n">
        <v>1</v>
      </c>
      <c r="I1600" s="6" t="n">
        <v>11</v>
      </c>
      <c r="J1600" s="6" t="inlineStr">
        <is>
          <t>van</t>
        </is>
      </c>
      <c r="K1600" s="6">
        <f>IF(AND(H1600&gt;0,I1600&gt;0),"Rendben",IF(AND(H1600=0,I1600=0),"Nincs kép és adat",IF(H1600=0,"Nincs kép","Nincs adat")))</f>
        <v/>
      </c>
      <c r="L1600" s="6" t="inlineStr">
        <is>
          <t>Igen</t>
        </is>
      </c>
      <c r="M1600" s="7" t="inlineStr">
        <is>
          <t>Rubber Select teljes kínálata (gyártói katalógus / weboldal)</t>
        </is>
      </c>
      <c r="N1600" s="7" t="inlineStr">
        <is>
          <t>Megtalálva: a beszállító teljes kínálatából felvett termék</t>
        </is>
      </c>
      <c r="O1600" s="11" t="inlineStr">
        <is>
          <t>https://www.rubberselect.com/en/products/pu/pu-80-shore</t>
        </is>
      </c>
      <c r="P1600" s="11" t="inlineStr">
        <is>
          <t>https://website-9ib.pages.dev/termek/poliuretan-pu-lemez-80-shore-a-pu80-3-0-1-2-4/</t>
        </is>
      </c>
      <c r="Q1600" s="12" t="inlineStr"/>
      <c r="R1600" s="13" t="inlineStr"/>
      <c r="S1600" s="6" t="inlineStr">
        <is>
          <t>poliuretan-pu-lemez-80-shore-a-pu80-3-0-1-2-4</t>
        </is>
      </c>
    </row>
    <row r="1601">
      <c r="A1601" s="6" t="inlineStr">
        <is>
          <t>PU80 30/0</t>
        </is>
      </c>
      <c r="B1601" s="7" t="inlineStr">
        <is>
          <t>Poliuretán (PU) lemez 80 Shore A 30 mm, 1×2 mm</t>
        </is>
      </c>
      <c r="C1601" s="6" t="inlineStr">
        <is>
          <t>Gumiszőnyegek és gumilemezek</t>
        </is>
      </c>
      <c r="D1601" s="6" t="inlineStr">
        <is>
          <t>Poliuretán (PU) lemezek</t>
        </is>
      </c>
      <c r="E1601" s="6" t="inlineStr">
        <is>
          <t>Rubber Select</t>
        </is>
      </c>
      <c r="F1601" s="6" t="inlineStr">
        <is>
          <t>PU80 30/0</t>
        </is>
      </c>
      <c r="G1601" s="6" t="inlineStr">
        <is>
          <t>Teljes kínálat</t>
        </is>
      </c>
      <c r="H1601" s="6" t="n">
        <v>1</v>
      </c>
      <c r="I1601" s="6" t="n">
        <v>11</v>
      </c>
      <c r="J1601" s="6" t="inlineStr">
        <is>
          <t>van</t>
        </is>
      </c>
      <c r="K1601" s="6">
        <f>IF(AND(H1601&gt;0,I1601&gt;0),"Rendben",IF(AND(H1601=0,I1601=0),"Nincs kép és adat",IF(H1601=0,"Nincs kép","Nincs adat")))</f>
        <v/>
      </c>
      <c r="L1601" s="6" t="inlineStr">
        <is>
          <t>Igen</t>
        </is>
      </c>
      <c r="M1601" s="7" t="inlineStr">
        <is>
          <t>Rubber Select teljes kínálata (gyártói katalógus / weboldal)</t>
        </is>
      </c>
      <c r="N1601" s="7" t="inlineStr">
        <is>
          <t>Megtalálva: a beszállító teljes kínálatából felvett termék</t>
        </is>
      </c>
      <c r="O1601" s="11" t="inlineStr">
        <is>
          <t>https://www.rubberselect.com/en/products/pu/pu-80-shore</t>
        </is>
      </c>
      <c r="P1601" s="11" t="inlineStr">
        <is>
          <t>https://website-9ib.pages.dev/termek/poliuretan-pu-lemez-80-shore-a-pu80-30-0-1-2/</t>
        </is>
      </c>
      <c r="Q1601" s="12" t="inlineStr"/>
      <c r="R1601" s="13" t="inlineStr"/>
      <c r="S1601" s="6" t="inlineStr">
        <is>
          <t>poliuretan-pu-lemez-80-shore-a-pu80-30-0-1-2</t>
        </is>
      </c>
    </row>
    <row r="1602">
      <c r="A1602" s="6" t="inlineStr">
        <is>
          <t>PU80 4/0</t>
        </is>
      </c>
      <c r="B1602" s="7" t="inlineStr">
        <is>
          <t>Poliuretán (PU) lemez 80 Shore A 4 mm, 1×2/4 mm</t>
        </is>
      </c>
      <c r="C1602" s="6" t="inlineStr">
        <is>
          <t>Gumiszőnyegek és gumilemezek</t>
        </is>
      </c>
      <c r="D1602" s="6" t="inlineStr">
        <is>
          <t>Poliuretán (PU) lemezek</t>
        </is>
      </c>
      <c r="E1602" s="6" t="inlineStr">
        <is>
          <t>Rubber Select</t>
        </is>
      </c>
      <c r="F1602" s="6" t="inlineStr">
        <is>
          <t>PU80 4/0</t>
        </is>
      </c>
      <c r="G1602" s="6" t="inlineStr">
        <is>
          <t>Teljes kínálat</t>
        </is>
      </c>
      <c r="H1602" s="6" t="n">
        <v>1</v>
      </c>
      <c r="I1602" s="6" t="n">
        <v>11</v>
      </c>
      <c r="J1602" s="6" t="inlineStr">
        <is>
          <t>van</t>
        </is>
      </c>
      <c r="K1602" s="6">
        <f>IF(AND(H1602&gt;0,I1602&gt;0),"Rendben",IF(AND(H1602=0,I1602=0),"Nincs kép és adat",IF(H1602=0,"Nincs kép","Nincs adat")))</f>
        <v/>
      </c>
      <c r="L1602" s="6" t="inlineStr">
        <is>
          <t>Igen</t>
        </is>
      </c>
      <c r="M1602" s="7" t="inlineStr">
        <is>
          <t>Rubber Select teljes kínálata (gyártói katalógus / weboldal)</t>
        </is>
      </c>
      <c r="N1602" s="7" t="inlineStr">
        <is>
          <t>Megtalálva: a beszállító teljes kínálatából felvett termék</t>
        </is>
      </c>
      <c r="O1602" s="11" t="inlineStr">
        <is>
          <t>https://www.rubberselect.com/en/products/pu/pu-80-shore</t>
        </is>
      </c>
      <c r="P1602" s="11" t="inlineStr">
        <is>
          <t>https://website-9ib.pages.dev/termek/poliuretan-pu-lemez-80-shore-a-pu80-4-0-1-2-4/</t>
        </is>
      </c>
      <c r="Q1602" s="12" t="inlineStr"/>
      <c r="R1602" s="13" t="inlineStr"/>
      <c r="S1602" s="6" t="inlineStr">
        <is>
          <t>poliuretan-pu-lemez-80-shore-a-pu80-4-0-1-2-4</t>
        </is>
      </c>
    </row>
    <row r="1603">
      <c r="A1603" s="6" t="inlineStr">
        <is>
          <t>PU80 5/0</t>
        </is>
      </c>
      <c r="B1603" s="7" t="inlineStr">
        <is>
          <t>Poliuretán (PU) lemez 80 Shore A 5 mm, 1×2/4 mm</t>
        </is>
      </c>
      <c r="C1603" s="6" t="inlineStr">
        <is>
          <t>Gumiszőnyegek és gumilemezek</t>
        </is>
      </c>
      <c r="D1603" s="6" t="inlineStr">
        <is>
          <t>Poliuretán (PU) lemezek</t>
        </is>
      </c>
      <c r="E1603" s="6" t="inlineStr">
        <is>
          <t>Rubber Select</t>
        </is>
      </c>
      <c r="F1603" s="6" t="inlineStr">
        <is>
          <t>PU80 5/0</t>
        </is>
      </c>
      <c r="G1603" s="6" t="inlineStr">
        <is>
          <t>Teljes kínálat</t>
        </is>
      </c>
      <c r="H1603" s="6" t="n">
        <v>1</v>
      </c>
      <c r="I1603" s="6" t="n">
        <v>11</v>
      </c>
      <c r="J1603" s="6" t="inlineStr">
        <is>
          <t>van</t>
        </is>
      </c>
      <c r="K1603" s="6">
        <f>IF(AND(H1603&gt;0,I1603&gt;0),"Rendben",IF(AND(H1603=0,I1603=0),"Nincs kép és adat",IF(H1603=0,"Nincs kép","Nincs adat")))</f>
        <v/>
      </c>
      <c r="L1603" s="6" t="inlineStr">
        <is>
          <t>Igen</t>
        </is>
      </c>
      <c r="M1603" s="7" t="inlineStr">
        <is>
          <t>Rubber Select teljes kínálata (gyártói katalógus / weboldal)</t>
        </is>
      </c>
      <c r="N1603" s="7" t="inlineStr">
        <is>
          <t>Megtalálva: a beszállító teljes kínálatából felvett termék</t>
        </is>
      </c>
      <c r="O1603" s="11" t="inlineStr">
        <is>
          <t>https://www.rubberselect.com/en/products/pu/pu-80-shore</t>
        </is>
      </c>
      <c r="P1603" s="11" t="inlineStr">
        <is>
          <t>https://website-9ib.pages.dev/termek/poliuretan-pu-lemez-80-shore-a-pu80-5-0-1-2-4/</t>
        </is>
      </c>
      <c r="Q1603" s="12" t="inlineStr"/>
      <c r="R1603" s="13" t="inlineStr"/>
      <c r="S1603" s="6" t="inlineStr">
        <is>
          <t>poliuretan-pu-lemez-80-shore-a-pu80-5-0-1-2-4</t>
        </is>
      </c>
    </row>
    <row r="1604">
      <c r="A1604" s="6" t="inlineStr">
        <is>
          <t>PU80 6/0</t>
        </is>
      </c>
      <c r="B1604" s="7" t="inlineStr">
        <is>
          <t>Poliuretán (PU) lemez 80 Shore A 6 mm, 1×2/4 mm</t>
        </is>
      </c>
      <c r="C1604" s="6" t="inlineStr">
        <is>
          <t>Gumiszőnyegek és gumilemezek</t>
        </is>
      </c>
      <c r="D1604" s="6" t="inlineStr">
        <is>
          <t>Poliuretán (PU) lemezek</t>
        </is>
      </c>
      <c r="E1604" s="6" t="inlineStr">
        <is>
          <t>Rubber Select</t>
        </is>
      </c>
      <c r="F1604" s="6" t="inlineStr">
        <is>
          <t>PU80 6/0</t>
        </is>
      </c>
      <c r="G1604" s="6" t="inlineStr">
        <is>
          <t>Teljes kínálat</t>
        </is>
      </c>
      <c r="H1604" s="6" t="n">
        <v>1</v>
      </c>
      <c r="I1604" s="6" t="n">
        <v>11</v>
      </c>
      <c r="J1604" s="6" t="inlineStr">
        <is>
          <t>van</t>
        </is>
      </c>
      <c r="K1604" s="6">
        <f>IF(AND(H1604&gt;0,I1604&gt;0),"Rendben",IF(AND(H1604=0,I1604=0),"Nincs kép és adat",IF(H1604=0,"Nincs kép","Nincs adat")))</f>
        <v/>
      </c>
      <c r="L1604" s="6" t="inlineStr">
        <is>
          <t>Igen</t>
        </is>
      </c>
      <c r="M1604" s="7" t="inlineStr">
        <is>
          <t>Rubber Select teljes kínálata (gyártói katalógus / weboldal)</t>
        </is>
      </c>
      <c r="N1604" s="7" t="inlineStr">
        <is>
          <t>Megtalálva: a beszállító teljes kínálatából felvett termék</t>
        </is>
      </c>
      <c r="O1604" s="11" t="inlineStr">
        <is>
          <t>https://www.rubberselect.com/en/products/pu/pu-80-shore</t>
        </is>
      </c>
      <c r="P1604" s="11" t="inlineStr">
        <is>
          <t>https://website-9ib.pages.dev/termek/poliuretan-pu-lemez-80-shore-a-pu80-6-0-1-2-4/</t>
        </is>
      </c>
      <c r="Q1604" s="12" t="inlineStr"/>
      <c r="R1604" s="13" t="inlineStr"/>
      <c r="S1604" s="6" t="inlineStr">
        <is>
          <t>poliuretan-pu-lemez-80-shore-a-pu80-6-0-1-2-4</t>
        </is>
      </c>
    </row>
    <row r="1605">
      <c r="A1605" s="6" t="inlineStr">
        <is>
          <t>PU80 8/0</t>
        </is>
      </c>
      <c r="B1605" s="7" t="inlineStr">
        <is>
          <t>Poliuretán (PU) lemez 80 Shore A 8 mm, 1×2/4 mm</t>
        </is>
      </c>
      <c r="C1605" s="6" t="inlineStr">
        <is>
          <t>Gumiszőnyegek és gumilemezek</t>
        </is>
      </c>
      <c r="D1605" s="6" t="inlineStr">
        <is>
          <t>Poliuretán (PU) lemezek</t>
        </is>
      </c>
      <c r="E1605" s="6" t="inlineStr">
        <is>
          <t>Rubber Select</t>
        </is>
      </c>
      <c r="F1605" s="6" t="inlineStr">
        <is>
          <t>PU80 8/0</t>
        </is>
      </c>
      <c r="G1605" s="6" t="inlineStr">
        <is>
          <t>Teljes kínálat</t>
        </is>
      </c>
      <c r="H1605" s="6" t="n">
        <v>1</v>
      </c>
      <c r="I1605" s="6" t="n">
        <v>11</v>
      </c>
      <c r="J1605" s="6" t="inlineStr">
        <is>
          <t>van</t>
        </is>
      </c>
      <c r="K1605" s="6">
        <f>IF(AND(H1605&gt;0,I1605&gt;0),"Rendben",IF(AND(H1605=0,I1605=0),"Nincs kép és adat",IF(H1605=0,"Nincs kép","Nincs adat")))</f>
        <v/>
      </c>
      <c r="L1605" s="6" t="inlineStr">
        <is>
          <t>Igen</t>
        </is>
      </c>
      <c r="M1605" s="7" t="inlineStr">
        <is>
          <t>Rubber Select teljes kínálata (gyártói katalógus / weboldal)</t>
        </is>
      </c>
      <c r="N1605" s="7" t="inlineStr">
        <is>
          <t>Megtalálva: a beszállító teljes kínálatából felvett termék</t>
        </is>
      </c>
      <c r="O1605" s="11" t="inlineStr">
        <is>
          <t>https://www.rubberselect.com/en/products/pu/pu-80-shore</t>
        </is>
      </c>
      <c r="P1605" s="11" t="inlineStr">
        <is>
          <t>https://website-9ib.pages.dev/termek/poliuretan-pu-lemez-80-shore-a-pu80-8-0-1-2-4/</t>
        </is>
      </c>
      <c r="Q1605" s="12" t="inlineStr"/>
      <c r="R1605" s="13" t="inlineStr"/>
      <c r="S1605" s="6" t="inlineStr">
        <is>
          <t>poliuretan-pu-lemez-80-shore-a-pu80-8-0-1-2-4</t>
        </is>
      </c>
    </row>
    <row r="1606">
      <c r="A1606" s="6" t="inlineStr">
        <is>
          <t>PU90 1/0</t>
        </is>
      </c>
      <c r="B1606" s="7" t="inlineStr">
        <is>
          <t>Poliuretán (PU) lemez 90 Shore A 1 mm, 1×2/4 mm</t>
        </is>
      </c>
      <c r="C1606" s="6" t="inlineStr">
        <is>
          <t>Gumiszőnyegek és gumilemezek</t>
        </is>
      </c>
      <c r="D1606" s="6" t="inlineStr">
        <is>
          <t>Poliuretán (PU) lemezek</t>
        </is>
      </c>
      <c r="E1606" s="6" t="inlineStr">
        <is>
          <t>Rubber Select</t>
        </is>
      </c>
      <c r="F1606" s="6" t="inlineStr">
        <is>
          <t>PU90 1/0</t>
        </is>
      </c>
      <c r="G1606" s="6" t="inlineStr">
        <is>
          <t>Teljes kínálat</t>
        </is>
      </c>
      <c r="H1606" s="6" t="n">
        <v>1</v>
      </c>
      <c r="I1606" s="6" t="n">
        <v>11</v>
      </c>
      <c r="J1606" s="6" t="inlineStr">
        <is>
          <t>van</t>
        </is>
      </c>
      <c r="K1606" s="6">
        <f>IF(AND(H1606&gt;0,I1606&gt;0),"Rendben",IF(AND(H1606=0,I1606=0),"Nincs kép és adat",IF(H1606=0,"Nincs kép","Nincs adat")))</f>
        <v/>
      </c>
      <c r="L1606" s="6" t="inlineStr">
        <is>
          <t>Igen</t>
        </is>
      </c>
      <c r="M1606" s="7" t="inlineStr">
        <is>
          <t>Rubber Select teljes kínálata (gyártói katalógus / weboldal)</t>
        </is>
      </c>
      <c r="N1606" s="7" t="inlineStr">
        <is>
          <t>Megtalálva: a beszállító teljes kínálatából felvett termék</t>
        </is>
      </c>
      <c r="O1606" s="11" t="inlineStr">
        <is>
          <t>https://www.rubberselect.com/en/products/pu/pu-90-shore</t>
        </is>
      </c>
      <c r="P1606" s="11" t="inlineStr">
        <is>
          <t>https://website-9ib.pages.dev/termek/poliuretan-pu-lemez-90-shore-a-pu90-1-0-1-2-4/</t>
        </is>
      </c>
      <c r="Q1606" s="12" t="inlineStr"/>
      <c r="R1606" s="13" t="inlineStr"/>
      <c r="S1606" s="6" t="inlineStr">
        <is>
          <t>poliuretan-pu-lemez-90-shore-a-pu90-1-0-1-2-4</t>
        </is>
      </c>
    </row>
    <row r="1607">
      <c r="A1607" s="6" t="inlineStr">
        <is>
          <t>PU90 10/0</t>
        </is>
      </c>
      <c r="B1607" s="7" t="inlineStr">
        <is>
          <t>Poliuretán (PU) lemez 90 Shore A 10 mm, 1×2/4 mm</t>
        </is>
      </c>
      <c r="C1607" s="6" t="inlineStr">
        <is>
          <t>Gumiszőnyegek és gumilemezek</t>
        </is>
      </c>
      <c r="D1607" s="6" t="inlineStr">
        <is>
          <t>Poliuretán (PU) lemezek</t>
        </is>
      </c>
      <c r="E1607" s="6" t="inlineStr">
        <is>
          <t>Rubber Select</t>
        </is>
      </c>
      <c r="F1607" s="6" t="inlineStr">
        <is>
          <t>PU90 10/0</t>
        </is>
      </c>
      <c r="G1607" s="6" t="inlineStr">
        <is>
          <t>Teljes kínálat</t>
        </is>
      </c>
      <c r="H1607" s="6" t="n">
        <v>1</v>
      </c>
      <c r="I1607" s="6" t="n">
        <v>11</v>
      </c>
      <c r="J1607" s="6" t="inlineStr">
        <is>
          <t>van</t>
        </is>
      </c>
      <c r="K1607" s="6">
        <f>IF(AND(H1607&gt;0,I1607&gt;0),"Rendben",IF(AND(H1607=0,I1607=0),"Nincs kép és adat",IF(H1607=0,"Nincs kép","Nincs adat")))</f>
        <v/>
      </c>
      <c r="L1607" s="6" t="inlineStr">
        <is>
          <t>Igen</t>
        </is>
      </c>
      <c r="M1607" s="7" t="inlineStr">
        <is>
          <t>Rubber Select teljes kínálata (gyártói katalógus / weboldal)</t>
        </is>
      </c>
      <c r="N1607" s="7" t="inlineStr">
        <is>
          <t>Megtalálva: a beszállító teljes kínálatából felvett termék</t>
        </is>
      </c>
      <c r="O1607" s="11" t="inlineStr">
        <is>
          <t>https://www.rubberselect.com/en/products/pu/pu-90-shore</t>
        </is>
      </c>
      <c r="P1607" s="11" t="inlineStr">
        <is>
          <t>https://website-9ib.pages.dev/termek/poliuretan-pu-lemez-90-shore-a-pu90-10-0-1-2-4/</t>
        </is>
      </c>
      <c r="Q1607" s="12" t="inlineStr"/>
      <c r="R1607" s="13" t="inlineStr"/>
      <c r="S1607" s="6" t="inlineStr">
        <is>
          <t>poliuretan-pu-lemez-90-shore-a-pu90-10-0-1-2-4</t>
        </is>
      </c>
    </row>
    <row r="1608">
      <c r="A1608" s="6" t="inlineStr">
        <is>
          <t>PU90 12/0</t>
        </is>
      </c>
      <c r="B1608" s="7" t="inlineStr">
        <is>
          <t>Poliuretán (PU) lemez 90 Shore A 12 mm, 1×2/4 mm</t>
        </is>
      </c>
      <c r="C1608" s="6" t="inlineStr">
        <is>
          <t>Gumiszőnyegek és gumilemezek</t>
        </is>
      </c>
      <c r="D1608" s="6" t="inlineStr">
        <is>
          <t>Poliuretán (PU) lemezek</t>
        </is>
      </c>
      <c r="E1608" s="6" t="inlineStr">
        <is>
          <t>Rubber Select</t>
        </is>
      </c>
      <c r="F1608" s="6" t="inlineStr">
        <is>
          <t>PU90 12/0</t>
        </is>
      </c>
      <c r="G1608" s="6" t="inlineStr">
        <is>
          <t>Teljes kínálat</t>
        </is>
      </c>
      <c r="H1608" s="6" t="n">
        <v>1</v>
      </c>
      <c r="I1608" s="6" t="n">
        <v>11</v>
      </c>
      <c r="J1608" s="6" t="inlineStr">
        <is>
          <t>van</t>
        </is>
      </c>
      <c r="K1608" s="6">
        <f>IF(AND(H1608&gt;0,I1608&gt;0),"Rendben",IF(AND(H1608=0,I1608=0),"Nincs kép és adat",IF(H1608=0,"Nincs kép","Nincs adat")))</f>
        <v/>
      </c>
      <c r="L1608" s="6" t="inlineStr">
        <is>
          <t>Igen</t>
        </is>
      </c>
      <c r="M1608" s="7" t="inlineStr">
        <is>
          <t>Rubber Select teljes kínálata (gyártói katalógus / weboldal)</t>
        </is>
      </c>
      <c r="N1608" s="7" t="inlineStr">
        <is>
          <t>Megtalálva: a beszállító teljes kínálatából felvett termék</t>
        </is>
      </c>
      <c r="O1608" s="11" t="inlineStr">
        <is>
          <t>https://www.rubberselect.com/en/products/pu/pu-90-shore</t>
        </is>
      </c>
      <c r="P1608" s="11" t="inlineStr">
        <is>
          <t>https://website-9ib.pages.dev/termek/poliuretan-pu-lemez-90-shore-a-pu90-12-0-1-2-4/</t>
        </is>
      </c>
      <c r="Q1608" s="12" t="inlineStr"/>
      <c r="R1608" s="13" t="inlineStr"/>
      <c r="S1608" s="6" t="inlineStr">
        <is>
          <t>poliuretan-pu-lemez-90-shore-a-pu90-12-0-1-2-4</t>
        </is>
      </c>
    </row>
    <row r="1609">
      <c r="A1609" s="6" t="inlineStr">
        <is>
          <t>PU90 14/0</t>
        </is>
      </c>
      <c r="B1609" s="7" t="inlineStr">
        <is>
          <t>Poliuretán (PU) lemez 90 Shore A 14 mm, 1×2/4 mm</t>
        </is>
      </c>
      <c r="C1609" s="6" t="inlineStr">
        <is>
          <t>Gumiszőnyegek és gumilemezek</t>
        </is>
      </c>
      <c r="D1609" s="6" t="inlineStr">
        <is>
          <t>Poliuretán (PU) lemezek</t>
        </is>
      </c>
      <c r="E1609" s="6" t="inlineStr">
        <is>
          <t>Rubber Select</t>
        </is>
      </c>
      <c r="F1609" s="6" t="inlineStr">
        <is>
          <t>PU90 14/0</t>
        </is>
      </c>
      <c r="G1609" s="6" t="inlineStr">
        <is>
          <t>Teljes kínálat</t>
        </is>
      </c>
      <c r="H1609" s="6" t="n">
        <v>1</v>
      </c>
      <c r="I1609" s="6" t="n">
        <v>11</v>
      </c>
      <c r="J1609" s="6" t="inlineStr">
        <is>
          <t>van</t>
        </is>
      </c>
      <c r="K1609" s="6">
        <f>IF(AND(H1609&gt;0,I1609&gt;0),"Rendben",IF(AND(H1609=0,I1609=0),"Nincs kép és adat",IF(H1609=0,"Nincs kép","Nincs adat")))</f>
        <v/>
      </c>
      <c r="L1609" s="6" t="inlineStr">
        <is>
          <t>Igen</t>
        </is>
      </c>
      <c r="M1609" s="7" t="inlineStr">
        <is>
          <t>Rubber Select teljes kínálata (gyártói katalógus / weboldal)</t>
        </is>
      </c>
      <c r="N1609" s="7" t="inlineStr">
        <is>
          <t>Megtalálva: a beszállító teljes kínálatából felvett termék</t>
        </is>
      </c>
      <c r="O1609" s="11" t="inlineStr">
        <is>
          <t>https://www.rubberselect.com/en/products/pu/pu-90-shore</t>
        </is>
      </c>
      <c r="P1609" s="11" t="inlineStr">
        <is>
          <t>https://website-9ib.pages.dev/termek/poliuretan-pu-lemez-90-shore-a-pu90-14-0-1-2-4/</t>
        </is>
      </c>
      <c r="Q1609" s="12" t="inlineStr"/>
      <c r="R1609" s="13" t="inlineStr"/>
      <c r="S1609" s="6" t="inlineStr">
        <is>
          <t>poliuretan-pu-lemez-90-shore-a-pu90-14-0-1-2-4</t>
        </is>
      </c>
    </row>
    <row r="1610">
      <c r="A1610" s="6" t="inlineStr">
        <is>
          <t>PU90 15/0</t>
        </is>
      </c>
      <c r="B1610" s="7" t="inlineStr">
        <is>
          <t>Poliuretán (PU) lemez 90 Shore A 15 mm, 1×2/4 mm</t>
        </is>
      </c>
      <c r="C1610" s="6" t="inlineStr">
        <is>
          <t>Gumiszőnyegek és gumilemezek</t>
        </is>
      </c>
      <c r="D1610" s="6" t="inlineStr">
        <is>
          <t>Poliuretán (PU) lemezek</t>
        </is>
      </c>
      <c r="E1610" s="6" t="inlineStr">
        <is>
          <t>Rubber Select</t>
        </is>
      </c>
      <c r="F1610" s="6" t="inlineStr">
        <is>
          <t>PU90 15/0</t>
        </is>
      </c>
      <c r="G1610" s="6" t="inlineStr">
        <is>
          <t>Teljes kínálat</t>
        </is>
      </c>
      <c r="H1610" s="6" t="n">
        <v>1</v>
      </c>
      <c r="I1610" s="6" t="n">
        <v>11</v>
      </c>
      <c r="J1610" s="6" t="inlineStr">
        <is>
          <t>van</t>
        </is>
      </c>
      <c r="K1610" s="6">
        <f>IF(AND(H1610&gt;0,I1610&gt;0),"Rendben",IF(AND(H1610=0,I1610=0),"Nincs kép és adat",IF(H1610=0,"Nincs kép","Nincs adat")))</f>
        <v/>
      </c>
      <c r="L1610" s="6" t="inlineStr">
        <is>
          <t>Igen</t>
        </is>
      </c>
      <c r="M1610" s="7" t="inlineStr">
        <is>
          <t>Rubber Select teljes kínálata (gyártói katalógus / weboldal)</t>
        </is>
      </c>
      <c r="N1610" s="7" t="inlineStr">
        <is>
          <t>Megtalálva: a beszállító teljes kínálatából felvett termék</t>
        </is>
      </c>
      <c r="O1610" s="11" t="inlineStr">
        <is>
          <t>https://www.rubberselect.com/en/products/pu/pu-90-shore</t>
        </is>
      </c>
      <c r="P1610" s="11" t="inlineStr">
        <is>
          <t>https://website-9ib.pages.dev/termek/poliuretan-pu-lemez-90-shore-a-pu90-15-0-1-2-4/</t>
        </is>
      </c>
      <c r="Q1610" s="12" t="inlineStr"/>
      <c r="R1610" s="13" t="inlineStr"/>
      <c r="S1610" s="6" t="inlineStr">
        <is>
          <t>poliuretan-pu-lemez-90-shore-a-pu90-15-0-1-2-4</t>
        </is>
      </c>
    </row>
    <row r="1611">
      <c r="A1611" s="6" t="inlineStr">
        <is>
          <t>PU90 2/0</t>
        </is>
      </c>
      <c r="B1611" s="7" t="inlineStr">
        <is>
          <t>Poliuretán (PU) lemez 90 Shore A 2 mm, 1×2/4 mm</t>
        </is>
      </c>
      <c r="C1611" s="6" t="inlineStr">
        <is>
          <t>Gumiszőnyegek és gumilemezek</t>
        </is>
      </c>
      <c r="D1611" s="6" t="inlineStr">
        <is>
          <t>Poliuretán (PU) lemezek</t>
        </is>
      </c>
      <c r="E1611" s="6" t="inlineStr">
        <is>
          <t>Rubber Select</t>
        </is>
      </c>
      <c r="F1611" s="6" t="inlineStr">
        <is>
          <t>PU90 2/0</t>
        </is>
      </c>
      <c r="G1611" s="6" t="inlineStr">
        <is>
          <t>Teljes kínálat</t>
        </is>
      </c>
      <c r="H1611" s="6" t="n">
        <v>1</v>
      </c>
      <c r="I1611" s="6" t="n">
        <v>11</v>
      </c>
      <c r="J1611" s="6" t="inlineStr">
        <is>
          <t>van</t>
        </is>
      </c>
      <c r="K1611" s="6">
        <f>IF(AND(H1611&gt;0,I1611&gt;0),"Rendben",IF(AND(H1611=0,I1611=0),"Nincs kép és adat",IF(H1611=0,"Nincs kép","Nincs adat")))</f>
        <v/>
      </c>
      <c r="L1611" s="6" t="inlineStr">
        <is>
          <t>Igen</t>
        </is>
      </c>
      <c r="M1611" s="7" t="inlineStr">
        <is>
          <t>Rubber Select teljes kínálata (gyártói katalógus / weboldal)</t>
        </is>
      </c>
      <c r="N1611" s="7" t="inlineStr">
        <is>
          <t>Megtalálva: a beszállító teljes kínálatából felvett termék</t>
        </is>
      </c>
      <c r="O1611" s="11" t="inlineStr">
        <is>
          <t>https://www.rubberselect.com/en/products/pu/pu-90-shore</t>
        </is>
      </c>
      <c r="P1611" s="11" t="inlineStr">
        <is>
          <t>https://website-9ib.pages.dev/termek/poliuretan-pu-lemez-90-shore-a-pu90-2-0-1-2-4/</t>
        </is>
      </c>
      <c r="Q1611" s="12" t="inlineStr"/>
      <c r="R1611" s="13" t="inlineStr"/>
      <c r="S1611" s="6" t="inlineStr">
        <is>
          <t>poliuretan-pu-lemez-90-shore-a-pu90-2-0-1-2-4</t>
        </is>
      </c>
    </row>
    <row r="1612">
      <c r="A1612" s="6" t="inlineStr">
        <is>
          <t>PU90 20/0</t>
        </is>
      </c>
      <c r="B1612" s="7" t="inlineStr">
        <is>
          <t>Poliuretán (PU) lemez 90 Shore A 20 mm, 1×2/4 mm</t>
        </is>
      </c>
      <c r="C1612" s="6" t="inlineStr">
        <is>
          <t>Gumiszőnyegek és gumilemezek</t>
        </is>
      </c>
      <c r="D1612" s="6" t="inlineStr">
        <is>
          <t>Poliuretán (PU) lemezek</t>
        </is>
      </c>
      <c r="E1612" s="6" t="inlineStr">
        <is>
          <t>Rubber Select</t>
        </is>
      </c>
      <c r="F1612" s="6" t="inlineStr">
        <is>
          <t>PU90 20/0</t>
        </is>
      </c>
      <c r="G1612" s="6" t="inlineStr">
        <is>
          <t>Teljes kínálat</t>
        </is>
      </c>
      <c r="H1612" s="6" t="n">
        <v>1</v>
      </c>
      <c r="I1612" s="6" t="n">
        <v>11</v>
      </c>
      <c r="J1612" s="6" t="inlineStr">
        <is>
          <t>van</t>
        </is>
      </c>
      <c r="K1612" s="6">
        <f>IF(AND(H1612&gt;0,I1612&gt;0),"Rendben",IF(AND(H1612=0,I1612=0),"Nincs kép és adat",IF(H1612=0,"Nincs kép","Nincs adat")))</f>
        <v/>
      </c>
      <c r="L1612" s="6" t="inlineStr">
        <is>
          <t>Igen</t>
        </is>
      </c>
      <c r="M1612" s="7" t="inlineStr">
        <is>
          <t>Rubber Select teljes kínálata (gyártói katalógus / weboldal)</t>
        </is>
      </c>
      <c r="N1612" s="7" t="inlineStr">
        <is>
          <t>Megtalálva: a beszállító teljes kínálatából felvett termék</t>
        </is>
      </c>
      <c r="O1612" s="11" t="inlineStr">
        <is>
          <t>https://www.rubberselect.com/en/products/pu/pu-90-shore</t>
        </is>
      </c>
      <c r="P1612" s="11" t="inlineStr">
        <is>
          <t>https://website-9ib.pages.dev/termek/poliuretan-pu-lemez-90-shore-a-pu90-20-0-1-2-4/</t>
        </is>
      </c>
      <c r="Q1612" s="12" t="inlineStr"/>
      <c r="R1612" s="13" t="inlineStr"/>
      <c r="S1612" s="6" t="inlineStr">
        <is>
          <t>poliuretan-pu-lemez-90-shore-a-pu90-20-0-1-2-4</t>
        </is>
      </c>
    </row>
    <row r="1613">
      <c r="A1613" s="6" t="inlineStr">
        <is>
          <t>PU90 25/0</t>
        </is>
      </c>
      <c r="B1613" s="7" t="inlineStr">
        <is>
          <t>Poliuretán (PU) lemez 90 Shore A 25 mm, 1×2 mm</t>
        </is>
      </c>
      <c r="C1613" s="6" t="inlineStr">
        <is>
          <t>Gumiszőnyegek és gumilemezek</t>
        </is>
      </c>
      <c r="D1613" s="6" t="inlineStr">
        <is>
          <t>Poliuretán (PU) lemezek</t>
        </is>
      </c>
      <c r="E1613" s="6" t="inlineStr">
        <is>
          <t>Rubber Select</t>
        </is>
      </c>
      <c r="F1613" s="6" t="inlineStr">
        <is>
          <t>PU90 25/0</t>
        </is>
      </c>
      <c r="G1613" s="6" t="inlineStr">
        <is>
          <t>Teljes kínálat</t>
        </is>
      </c>
      <c r="H1613" s="6" t="n">
        <v>1</v>
      </c>
      <c r="I1613" s="6" t="n">
        <v>11</v>
      </c>
      <c r="J1613" s="6" t="inlineStr">
        <is>
          <t>van</t>
        </is>
      </c>
      <c r="K1613" s="6">
        <f>IF(AND(H1613&gt;0,I1613&gt;0),"Rendben",IF(AND(H1613=0,I1613=0),"Nincs kép és adat",IF(H1613=0,"Nincs kép","Nincs adat")))</f>
        <v/>
      </c>
      <c r="L1613" s="6" t="inlineStr">
        <is>
          <t>Igen</t>
        </is>
      </c>
      <c r="M1613" s="7" t="inlineStr">
        <is>
          <t>Rubber Select teljes kínálata (gyártói katalógus / weboldal)</t>
        </is>
      </c>
      <c r="N1613" s="7" t="inlineStr">
        <is>
          <t>Megtalálva: a beszállító teljes kínálatából felvett termék</t>
        </is>
      </c>
      <c r="O1613" s="11" t="inlineStr">
        <is>
          <t>https://www.rubberselect.com/en/products/pu/pu-90-shore</t>
        </is>
      </c>
      <c r="P1613" s="11" t="inlineStr">
        <is>
          <t>https://website-9ib.pages.dev/termek/poliuretan-pu-lemez-90-shore-a-pu90-25-0-1-2/</t>
        </is>
      </c>
      <c r="Q1613" s="12" t="inlineStr"/>
      <c r="R1613" s="13" t="inlineStr"/>
      <c r="S1613" s="6" t="inlineStr">
        <is>
          <t>poliuretan-pu-lemez-90-shore-a-pu90-25-0-1-2</t>
        </is>
      </c>
    </row>
    <row r="1614">
      <c r="A1614" s="6" t="inlineStr">
        <is>
          <t>PU90 3/0</t>
        </is>
      </c>
      <c r="B1614" s="7" t="inlineStr">
        <is>
          <t>Poliuretán (PU) lemez 90 Shore A 3 mm, 1×2/4 mm</t>
        </is>
      </c>
      <c r="C1614" s="6" t="inlineStr">
        <is>
          <t>Gumiszőnyegek és gumilemezek</t>
        </is>
      </c>
      <c r="D1614" s="6" t="inlineStr">
        <is>
          <t>Poliuretán (PU) lemezek</t>
        </is>
      </c>
      <c r="E1614" s="6" t="inlineStr">
        <is>
          <t>Rubber Select</t>
        </is>
      </c>
      <c r="F1614" s="6" t="inlineStr">
        <is>
          <t>PU90 3/0</t>
        </is>
      </c>
      <c r="G1614" s="6" t="inlineStr">
        <is>
          <t>Teljes kínálat</t>
        </is>
      </c>
      <c r="H1614" s="6" t="n">
        <v>1</v>
      </c>
      <c r="I1614" s="6" t="n">
        <v>11</v>
      </c>
      <c r="J1614" s="6" t="inlineStr">
        <is>
          <t>van</t>
        </is>
      </c>
      <c r="K1614" s="6">
        <f>IF(AND(H1614&gt;0,I1614&gt;0),"Rendben",IF(AND(H1614=0,I1614=0),"Nincs kép és adat",IF(H1614=0,"Nincs kép","Nincs adat")))</f>
        <v/>
      </c>
      <c r="L1614" s="6" t="inlineStr">
        <is>
          <t>Igen</t>
        </is>
      </c>
      <c r="M1614" s="7" t="inlineStr">
        <is>
          <t>Rubber Select teljes kínálata (gyártói katalógus / weboldal)</t>
        </is>
      </c>
      <c r="N1614" s="7" t="inlineStr">
        <is>
          <t>Megtalálva: a beszállító teljes kínálatából felvett termék</t>
        </is>
      </c>
      <c r="O1614" s="11" t="inlineStr">
        <is>
          <t>https://www.rubberselect.com/en/products/pu/pu-90-shore</t>
        </is>
      </c>
      <c r="P1614" s="11" t="inlineStr">
        <is>
          <t>https://website-9ib.pages.dev/termek/poliuretan-pu-lemez-90-shore-a-pu90-3-0-1-2-4/</t>
        </is>
      </c>
      <c r="Q1614" s="12" t="inlineStr"/>
      <c r="R1614" s="13" t="inlineStr"/>
      <c r="S1614" s="6" t="inlineStr">
        <is>
          <t>poliuretan-pu-lemez-90-shore-a-pu90-3-0-1-2-4</t>
        </is>
      </c>
    </row>
    <row r="1615">
      <c r="A1615" s="6" t="inlineStr">
        <is>
          <t>PU90 30/0</t>
        </is>
      </c>
      <c r="B1615" s="7" t="inlineStr">
        <is>
          <t>Poliuretán (PU) lemez 90 Shore A 30 mm, 1×2 mm</t>
        </is>
      </c>
      <c r="C1615" s="6" t="inlineStr">
        <is>
          <t>Gumiszőnyegek és gumilemezek</t>
        </is>
      </c>
      <c r="D1615" s="6" t="inlineStr">
        <is>
          <t>Poliuretán (PU) lemezek</t>
        </is>
      </c>
      <c r="E1615" s="6" t="inlineStr">
        <is>
          <t>Rubber Select</t>
        </is>
      </c>
      <c r="F1615" s="6" t="inlineStr">
        <is>
          <t>PU90 30/0</t>
        </is>
      </c>
      <c r="G1615" s="6" t="inlineStr">
        <is>
          <t>Teljes kínálat</t>
        </is>
      </c>
      <c r="H1615" s="6" t="n">
        <v>1</v>
      </c>
      <c r="I1615" s="6" t="n">
        <v>11</v>
      </c>
      <c r="J1615" s="6" t="inlineStr">
        <is>
          <t>van</t>
        </is>
      </c>
      <c r="K1615" s="6">
        <f>IF(AND(H1615&gt;0,I1615&gt;0),"Rendben",IF(AND(H1615=0,I1615=0),"Nincs kép és adat",IF(H1615=0,"Nincs kép","Nincs adat")))</f>
        <v/>
      </c>
      <c r="L1615" s="6" t="inlineStr">
        <is>
          <t>Igen</t>
        </is>
      </c>
      <c r="M1615" s="7" t="inlineStr">
        <is>
          <t>Rubber Select teljes kínálata (gyártói katalógus / weboldal)</t>
        </is>
      </c>
      <c r="N1615" s="7" t="inlineStr">
        <is>
          <t>Megtalálva: a beszállító teljes kínálatából felvett termék</t>
        </is>
      </c>
      <c r="O1615" s="11" t="inlineStr">
        <is>
          <t>https://www.rubberselect.com/en/products/pu/pu-90-shore</t>
        </is>
      </c>
      <c r="P1615" s="11" t="inlineStr">
        <is>
          <t>https://website-9ib.pages.dev/termek/poliuretan-pu-lemez-90-shore-a-pu90-30-0-1-2/</t>
        </is>
      </c>
      <c r="Q1615" s="12" t="inlineStr"/>
      <c r="R1615" s="13" t="inlineStr"/>
      <c r="S1615" s="6" t="inlineStr">
        <is>
          <t>poliuretan-pu-lemez-90-shore-a-pu90-30-0-1-2</t>
        </is>
      </c>
    </row>
    <row r="1616">
      <c r="A1616" s="6" t="inlineStr">
        <is>
          <t>PU90 4/0</t>
        </is>
      </c>
      <c r="B1616" s="7" t="inlineStr">
        <is>
          <t>Poliuretán (PU) lemez 90 Shore A 4 mm, 1×2/4 mm</t>
        </is>
      </c>
      <c r="C1616" s="6" t="inlineStr">
        <is>
          <t>Gumiszőnyegek és gumilemezek</t>
        </is>
      </c>
      <c r="D1616" s="6" t="inlineStr">
        <is>
          <t>Poliuretán (PU) lemezek</t>
        </is>
      </c>
      <c r="E1616" s="6" t="inlineStr">
        <is>
          <t>Rubber Select</t>
        </is>
      </c>
      <c r="F1616" s="6" t="inlineStr">
        <is>
          <t>PU90 4/0</t>
        </is>
      </c>
      <c r="G1616" s="6" t="inlineStr">
        <is>
          <t>Teljes kínálat</t>
        </is>
      </c>
      <c r="H1616" s="6" t="n">
        <v>1</v>
      </c>
      <c r="I1616" s="6" t="n">
        <v>11</v>
      </c>
      <c r="J1616" s="6" t="inlineStr">
        <is>
          <t>van</t>
        </is>
      </c>
      <c r="K1616" s="6">
        <f>IF(AND(H1616&gt;0,I1616&gt;0),"Rendben",IF(AND(H1616=0,I1616=0),"Nincs kép és adat",IF(H1616=0,"Nincs kép","Nincs adat")))</f>
        <v/>
      </c>
      <c r="L1616" s="6" t="inlineStr">
        <is>
          <t>Igen</t>
        </is>
      </c>
      <c r="M1616" s="7" t="inlineStr">
        <is>
          <t>Rubber Select teljes kínálata (gyártói katalógus / weboldal)</t>
        </is>
      </c>
      <c r="N1616" s="7" t="inlineStr">
        <is>
          <t>Megtalálva: a beszállító teljes kínálatából felvett termék</t>
        </is>
      </c>
      <c r="O1616" s="11" t="inlineStr">
        <is>
          <t>https://www.rubberselect.com/en/products/pu/pu-90-shore</t>
        </is>
      </c>
      <c r="P1616" s="11" t="inlineStr">
        <is>
          <t>https://website-9ib.pages.dev/termek/poliuretan-pu-lemez-90-shore-a-pu90-4-0-1-2-4/</t>
        </is>
      </c>
      <c r="Q1616" s="12" t="inlineStr"/>
      <c r="R1616" s="13" t="inlineStr"/>
      <c r="S1616" s="6" t="inlineStr">
        <is>
          <t>poliuretan-pu-lemez-90-shore-a-pu90-4-0-1-2-4</t>
        </is>
      </c>
    </row>
    <row r="1617">
      <c r="A1617" s="6" t="inlineStr">
        <is>
          <t>PU90 5/0</t>
        </is>
      </c>
      <c r="B1617" s="7" t="inlineStr">
        <is>
          <t>Poliuretán (PU) lemez 90 Shore A 5 mm, 1×2/4 mm</t>
        </is>
      </c>
      <c r="C1617" s="6" t="inlineStr">
        <is>
          <t>Gumiszőnyegek és gumilemezek</t>
        </is>
      </c>
      <c r="D1617" s="6" t="inlineStr">
        <is>
          <t>Poliuretán (PU) lemezek</t>
        </is>
      </c>
      <c r="E1617" s="6" t="inlineStr">
        <is>
          <t>Rubber Select</t>
        </is>
      </c>
      <c r="F1617" s="6" t="inlineStr">
        <is>
          <t>PU90 5/0</t>
        </is>
      </c>
      <c r="G1617" s="6" t="inlineStr">
        <is>
          <t>Teljes kínálat</t>
        </is>
      </c>
      <c r="H1617" s="6" t="n">
        <v>1</v>
      </c>
      <c r="I1617" s="6" t="n">
        <v>11</v>
      </c>
      <c r="J1617" s="6" t="inlineStr">
        <is>
          <t>van</t>
        </is>
      </c>
      <c r="K1617" s="6">
        <f>IF(AND(H1617&gt;0,I1617&gt;0),"Rendben",IF(AND(H1617=0,I1617=0),"Nincs kép és adat",IF(H1617=0,"Nincs kép","Nincs adat")))</f>
        <v/>
      </c>
      <c r="L1617" s="6" t="inlineStr">
        <is>
          <t>Igen</t>
        </is>
      </c>
      <c r="M1617" s="7" t="inlineStr">
        <is>
          <t>Rubber Select teljes kínálata (gyártói katalógus / weboldal)</t>
        </is>
      </c>
      <c r="N1617" s="7" t="inlineStr">
        <is>
          <t>Megtalálva: a beszállító teljes kínálatából felvett termék</t>
        </is>
      </c>
      <c r="O1617" s="11" t="inlineStr">
        <is>
          <t>https://www.rubberselect.com/en/products/pu/pu-90-shore</t>
        </is>
      </c>
      <c r="P1617" s="11" t="inlineStr">
        <is>
          <t>https://website-9ib.pages.dev/termek/poliuretan-pu-lemez-90-shore-a-pu90-5-0-1-2-4/</t>
        </is>
      </c>
      <c r="Q1617" s="12" t="inlineStr"/>
      <c r="R1617" s="13" t="inlineStr"/>
      <c r="S1617" s="6" t="inlineStr">
        <is>
          <t>poliuretan-pu-lemez-90-shore-a-pu90-5-0-1-2-4</t>
        </is>
      </c>
    </row>
    <row r="1618">
      <c r="A1618" s="6" t="inlineStr">
        <is>
          <t>PU90 6/0</t>
        </is>
      </c>
      <c r="B1618" s="7" t="inlineStr">
        <is>
          <t>Poliuretán (PU) lemez 90 Shore A 6 mm, 1×2/4 mm</t>
        </is>
      </c>
      <c r="C1618" s="6" t="inlineStr">
        <is>
          <t>Gumiszőnyegek és gumilemezek</t>
        </is>
      </c>
      <c r="D1618" s="6" t="inlineStr">
        <is>
          <t>Poliuretán (PU) lemezek</t>
        </is>
      </c>
      <c r="E1618" s="6" t="inlineStr">
        <is>
          <t>Rubber Select</t>
        </is>
      </c>
      <c r="F1618" s="6" t="inlineStr">
        <is>
          <t>PU90 6/0</t>
        </is>
      </c>
      <c r="G1618" s="6" t="inlineStr">
        <is>
          <t>Teljes kínálat</t>
        </is>
      </c>
      <c r="H1618" s="6" t="n">
        <v>1</v>
      </c>
      <c r="I1618" s="6" t="n">
        <v>11</v>
      </c>
      <c r="J1618" s="6" t="inlineStr">
        <is>
          <t>van</t>
        </is>
      </c>
      <c r="K1618" s="6">
        <f>IF(AND(H1618&gt;0,I1618&gt;0),"Rendben",IF(AND(H1618=0,I1618=0),"Nincs kép és adat",IF(H1618=0,"Nincs kép","Nincs adat")))</f>
        <v/>
      </c>
      <c r="L1618" s="6" t="inlineStr">
        <is>
          <t>Igen</t>
        </is>
      </c>
      <c r="M1618" s="7" t="inlineStr">
        <is>
          <t>Rubber Select teljes kínálata (gyártói katalógus / weboldal)</t>
        </is>
      </c>
      <c r="N1618" s="7" t="inlineStr">
        <is>
          <t>Megtalálva: a beszállító teljes kínálatából felvett termék</t>
        </is>
      </c>
      <c r="O1618" s="11" t="inlineStr">
        <is>
          <t>https://www.rubberselect.com/en/products/pu/pu-90-shore</t>
        </is>
      </c>
      <c r="P1618" s="11" t="inlineStr">
        <is>
          <t>https://website-9ib.pages.dev/termek/poliuretan-pu-lemez-90-shore-a-pu90-6-0-1-2-4/</t>
        </is>
      </c>
      <c r="Q1618" s="12" t="inlineStr"/>
      <c r="R1618" s="13" t="inlineStr"/>
      <c r="S1618" s="6" t="inlineStr">
        <is>
          <t>poliuretan-pu-lemez-90-shore-a-pu90-6-0-1-2-4</t>
        </is>
      </c>
    </row>
    <row r="1619">
      <c r="A1619" s="6" t="inlineStr">
        <is>
          <t>PU90 8/0</t>
        </is>
      </c>
      <c r="B1619" s="7" t="inlineStr">
        <is>
          <t>Poliuretán (PU) lemez 90 Shore A 8 mm, 1×2/4 mm</t>
        </is>
      </c>
      <c r="C1619" s="6" t="inlineStr">
        <is>
          <t>Gumiszőnyegek és gumilemezek</t>
        </is>
      </c>
      <c r="D1619" s="6" t="inlineStr">
        <is>
          <t>Poliuretán (PU) lemezek</t>
        </is>
      </c>
      <c r="E1619" s="6" t="inlineStr">
        <is>
          <t>Rubber Select</t>
        </is>
      </c>
      <c r="F1619" s="6" t="inlineStr">
        <is>
          <t>PU90 8/0</t>
        </is>
      </c>
      <c r="G1619" s="6" t="inlineStr">
        <is>
          <t>Teljes kínálat</t>
        </is>
      </c>
      <c r="H1619" s="6" t="n">
        <v>1</v>
      </c>
      <c r="I1619" s="6" t="n">
        <v>11</v>
      </c>
      <c r="J1619" s="6" t="inlineStr">
        <is>
          <t>van</t>
        </is>
      </c>
      <c r="K1619" s="6">
        <f>IF(AND(H1619&gt;0,I1619&gt;0),"Rendben",IF(AND(H1619=0,I1619=0),"Nincs kép és adat",IF(H1619=0,"Nincs kép","Nincs adat")))</f>
        <v/>
      </c>
      <c r="L1619" s="6" t="inlineStr">
        <is>
          <t>Igen</t>
        </is>
      </c>
      <c r="M1619" s="7" t="inlineStr">
        <is>
          <t>Rubber Select teljes kínálata (gyártói katalógus / weboldal)</t>
        </is>
      </c>
      <c r="N1619" s="7" t="inlineStr">
        <is>
          <t>Megtalálva: a beszállító teljes kínálatából felvett termék</t>
        </is>
      </c>
      <c r="O1619" s="11" t="inlineStr">
        <is>
          <t>https://www.rubberselect.com/en/products/pu/pu-90-shore</t>
        </is>
      </c>
      <c r="P1619" s="11" t="inlineStr">
        <is>
          <t>https://website-9ib.pages.dev/termek/poliuretan-pu-lemez-90-shore-a-pu90-8-0-1-2-4/</t>
        </is>
      </c>
      <c r="Q1619" s="12" t="inlineStr"/>
      <c r="R1619" s="13" t="inlineStr"/>
      <c r="S1619" s="6" t="inlineStr">
        <is>
          <t>poliuretan-pu-lemez-90-shore-a-pu90-8-0-1-2-4</t>
        </is>
      </c>
    </row>
    <row r="1620">
      <c r="A1620" s="6" t="inlineStr">
        <is>
          <t>PPU90 10/0</t>
        </is>
      </c>
      <c r="B1620" s="7" t="inlineStr">
        <is>
          <t>Prémium poliuretán (PU) lemez 10 mm, 1000×2000 mm</t>
        </is>
      </c>
      <c r="C1620" s="6" t="inlineStr">
        <is>
          <t>Gumiszőnyegek és gumilemezek</t>
        </is>
      </c>
      <c r="D1620" s="6" t="inlineStr">
        <is>
          <t>Poliuretán (PU) lemezek</t>
        </is>
      </c>
      <c r="E1620" s="6" t="inlineStr">
        <is>
          <t>Rubber Select</t>
        </is>
      </c>
      <c r="F1620" s="6" t="inlineStr">
        <is>
          <t>PPU90 10/0</t>
        </is>
      </c>
      <c r="G1620" s="6" t="inlineStr">
        <is>
          <t>Teljes kínálat</t>
        </is>
      </c>
      <c r="H1620" s="6" t="n">
        <v>1</v>
      </c>
      <c r="I1620" s="6" t="n">
        <v>11</v>
      </c>
      <c r="J1620" s="6" t="inlineStr">
        <is>
          <t>van</t>
        </is>
      </c>
      <c r="K1620" s="6">
        <f>IF(AND(H1620&gt;0,I1620&gt;0),"Rendben",IF(AND(H1620=0,I1620=0),"Nincs kép és adat",IF(H1620=0,"Nincs kép","Nincs adat")))</f>
        <v/>
      </c>
      <c r="L1620" s="6" t="inlineStr">
        <is>
          <t>Igen</t>
        </is>
      </c>
      <c r="M1620" s="7" t="inlineStr">
        <is>
          <t>Rubber Select teljes kínálata (gyártói katalógus / weboldal)</t>
        </is>
      </c>
      <c r="N1620" s="7" t="inlineStr">
        <is>
          <t>Megtalálva: a beszállító teljes kínálatából felvett termék</t>
        </is>
      </c>
      <c r="O1620" s="11" t="inlineStr">
        <is>
          <t>https://www.rubberselect.com/en/products/pu/premium-pu</t>
        </is>
      </c>
      <c r="P1620" s="11" t="inlineStr">
        <is>
          <t>https://website-9ib.pages.dev/termek/premium-poliuretan-pu-lemez-ppu90-10-0-1000-2000/</t>
        </is>
      </c>
      <c r="Q1620" s="12" t="inlineStr"/>
      <c r="R1620" s="13" t="inlineStr"/>
      <c r="S1620" s="6" t="inlineStr">
        <is>
          <t>premium-poliuretan-pu-lemez-ppu90-10-0-1000-2000</t>
        </is>
      </c>
    </row>
    <row r="1621">
      <c r="A1621" s="6" t="inlineStr">
        <is>
          <t>PPU90 10/0</t>
        </is>
      </c>
      <c r="B1621" s="7" t="inlineStr">
        <is>
          <t>Prémium poliuretán (PU) lemez 10 mm, 1000×4000 mm</t>
        </is>
      </c>
      <c r="C1621" s="6" t="inlineStr">
        <is>
          <t>Gumiszőnyegek és gumilemezek</t>
        </is>
      </c>
      <c r="D1621" s="6" t="inlineStr">
        <is>
          <t>Poliuretán (PU) lemezek</t>
        </is>
      </c>
      <c r="E1621" s="6" t="inlineStr">
        <is>
          <t>Rubber Select</t>
        </is>
      </c>
      <c r="F1621" s="6" t="inlineStr">
        <is>
          <t>PPU90 10/0</t>
        </is>
      </c>
      <c r="G1621" s="6" t="inlineStr">
        <is>
          <t>Teljes kínálat</t>
        </is>
      </c>
      <c r="H1621" s="6" t="n">
        <v>1</v>
      </c>
      <c r="I1621" s="6" t="n">
        <v>11</v>
      </c>
      <c r="J1621" s="6" t="inlineStr">
        <is>
          <t>van</t>
        </is>
      </c>
      <c r="K1621" s="6">
        <f>IF(AND(H1621&gt;0,I1621&gt;0),"Rendben",IF(AND(H1621=0,I1621=0),"Nincs kép és adat",IF(H1621=0,"Nincs kép","Nincs adat")))</f>
        <v/>
      </c>
      <c r="L1621" s="6" t="inlineStr">
        <is>
          <t>Igen</t>
        </is>
      </c>
      <c r="M1621" s="7" t="inlineStr">
        <is>
          <t>Rubber Select teljes kínálata (gyártói katalógus / weboldal)</t>
        </is>
      </c>
      <c r="N1621" s="7" t="inlineStr">
        <is>
          <t>Megtalálva: a beszállító teljes kínálatából felvett termék</t>
        </is>
      </c>
      <c r="O1621" s="11" t="inlineStr">
        <is>
          <t>https://www.rubberselect.com/en/products/pu/premium-pu</t>
        </is>
      </c>
      <c r="P1621" s="11" t="inlineStr">
        <is>
          <t>https://website-9ib.pages.dev/termek/premium-poliuretan-pu-lemez-ppu90-10-0-1000-4000/</t>
        </is>
      </c>
      <c r="Q1621" s="12" t="inlineStr"/>
      <c r="R1621" s="13" t="inlineStr"/>
      <c r="S1621" s="6" t="inlineStr">
        <is>
          <t>premium-poliuretan-pu-lemez-ppu90-10-0-1000-4000</t>
        </is>
      </c>
    </row>
    <row r="1622">
      <c r="A1622" s="6" t="inlineStr">
        <is>
          <t>PPU90 3/0</t>
        </is>
      </c>
      <c r="B1622" s="7" t="inlineStr">
        <is>
          <t>Prémium poliuretán (PU) lemez 3 mm, 1000×2000 mm</t>
        </is>
      </c>
      <c r="C1622" s="6" t="inlineStr">
        <is>
          <t>Gumiszőnyegek és gumilemezek</t>
        </is>
      </c>
      <c r="D1622" s="6" t="inlineStr">
        <is>
          <t>Poliuretán (PU) lemezek</t>
        </is>
      </c>
      <c r="E1622" s="6" t="inlineStr">
        <is>
          <t>Rubber Select</t>
        </is>
      </c>
      <c r="F1622" s="6" t="inlineStr">
        <is>
          <t>PPU90 3/0</t>
        </is>
      </c>
      <c r="G1622" s="6" t="inlineStr">
        <is>
          <t>Teljes kínálat</t>
        </is>
      </c>
      <c r="H1622" s="6" t="n">
        <v>1</v>
      </c>
      <c r="I1622" s="6" t="n">
        <v>11</v>
      </c>
      <c r="J1622" s="6" t="inlineStr">
        <is>
          <t>van</t>
        </is>
      </c>
      <c r="K1622" s="6">
        <f>IF(AND(H1622&gt;0,I1622&gt;0),"Rendben",IF(AND(H1622=0,I1622=0),"Nincs kép és adat",IF(H1622=0,"Nincs kép","Nincs adat")))</f>
        <v/>
      </c>
      <c r="L1622" s="6" t="inlineStr">
        <is>
          <t>Igen</t>
        </is>
      </c>
      <c r="M1622" s="7" t="inlineStr">
        <is>
          <t>Rubber Select teljes kínálata (gyártói katalógus / weboldal)</t>
        </is>
      </c>
      <c r="N1622" s="7" t="inlineStr">
        <is>
          <t>Megtalálva: a beszállító teljes kínálatából felvett termék</t>
        </is>
      </c>
      <c r="O1622" s="11" t="inlineStr">
        <is>
          <t>https://www.rubberselect.com/en/products/pu/premium-pu</t>
        </is>
      </c>
      <c r="P1622" s="11" t="inlineStr">
        <is>
          <t>https://website-9ib.pages.dev/termek/premium-poliuretan-pu-lemez-ppu90-3-0-1000-2000/</t>
        </is>
      </c>
      <c r="Q1622" s="12" t="inlineStr"/>
      <c r="R1622" s="13" t="inlineStr"/>
      <c r="S1622" s="6" t="inlineStr">
        <is>
          <t>premium-poliuretan-pu-lemez-ppu90-3-0-1000-2000</t>
        </is>
      </c>
    </row>
    <row r="1623">
      <c r="A1623" s="6" t="inlineStr">
        <is>
          <t>PPU90 3/0</t>
        </is>
      </c>
      <c r="B1623" s="7" t="inlineStr">
        <is>
          <t>Prémium poliuretán (PU) lemez 3 mm, 1000×4000 mm</t>
        </is>
      </c>
      <c r="C1623" s="6" t="inlineStr">
        <is>
          <t>Gumiszőnyegek és gumilemezek</t>
        </is>
      </c>
      <c r="D1623" s="6" t="inlineStr">
        <is>
          <t>Poliuretán (PU) lemezek</t>
        </is>
      </c>
      <c r="E1623" s="6" t="inlineStr">
        <is>
          <t>Rubber Select</t>
        </is>
      </c>
      <c r="F1623" s="6" t="inlineStr">
        <is>
          <t>PPU90 3/0</t>
        </is>
      </c>
      <c r="G1623" s="6" t="inlineStr">
        <is>
          <t>Teljes kínálat</t>
        </is>
      </c>
      <c r="H1623" s="6" t="n">
        <v>1</v>
      </c>
      <c r="I1623" s="6" t="n">
        <v>11</v>
      </c>
      <c r="J1623" s="6" t="inlineStr">
        <is>
          <t>van</t>
        </is>
      </c>
      <c r="K1623" s="6">
        <f>IF(AND(H1623&gt;0,I1623&gt;0),"Rendben",IF(AND(H1623=0,I1623=0),"Nincs kép és adat",IF(H1623=0,"Nincs kép","Nincs adat")))</f>
        <v/>
      </c>
      <c r="L1623" s="6" t="inlineStr">
        <is>
          <t>Igen</t>
        </is>
      </c>
      <c r="M1623" s="7" t="inlineStr">
        <is>
          <t>Rubber Select teljes kínálata (gyártói katalógus / weboldal)</t>
        </is>
      </c>
      <c r="N1623" s="7" t="inlineStr">
        <is>
          <t>Megtalálva: a beszállító teljes kínálatából felvett termék</t>
        </is>
      </c>
      <c r="O1623" s="11" t="inlineStr">
        <is>
          <t>https://www.rubberselect.com/en/products/pu/premium-pu</t>
        </is>
      </c>
      <c r="P1623" s="11" t="inlineStr">
        <is>
          <t>https://website-9ib.pages.dev/termek/premium-poliuretan-pu-lemez-ppu90-3-0-1000-4000/</t>
        </is>
      </c>
      <c r="Q1623" s="12" t="inlineStr"/>
      <c r="R1623" s="13" t="inlineStr"/>
      <c r="S1623" s="6" t="inlineStr">
        <is>
          <t>premium-poliuretan-pu-lemez-ppu90-3-0-1000-4000</t>
        </is>
      </c>
    </row>
    <row r="1624">
      <c r="A1624" s="6" t="inlineStr">
        <is>
          <t>PPU90 6/0</t>
        </is>
      </c>
      <c r="B1624" s="7" t="inlineStr">
        <is>
          <t>Prémium poliuretán (PU) lemez 6 mm, 1000×2000 mm</t>
        </is>
      </c>
      <c r="C1624" s="6" t="inlineStr">
        <is>
          <t>Gumiszőnyegek és gumilemezek</t>
        </is>
      </c>
      <c r="D1624" s="6" t="inlineStr">
        <is>
          <t>Poliuretán (PU) lemezek</t>
        </is>
      </c>
      <c r="E1624" s="6" t="inlineStr">
        <is>
          <t>Rubber Select</t>
        </is>
      </c>
      <c r="F1624" s="6" t="inlineStr">
        <is>
          <t>PPU90 6/0</t>
        </is>
      </c>
      <c r="G1624" s="6" t="inlineStr">
        <is>
          <t>Teljes kínálat</t>
        </is>
      </c>
      <c r="H1624" s="6" t="n">
        <v>1</v>
      </c>
      <c r="I1624" s="6" t="n">
        <v>11</v>
      </c>
      <c r="J1624" s="6" t="inlineStr">
        <is>
          <t>van</t>
        </is>
      </c>
      <c r="K1624" s="6">
        <f>IF(AND(H1624&gt;0,I1624&gt;0),"Rendben",IF(AND(H1624=0,I1624=0),"Nincs kép és adat",IF(H1624=0,"Nincs kép","Nincs adat")))</f>
        <v/>
      </c>
      <c r="L1624" s="6" t="inlineStr">
        <is>
          <t>Igen</t>
        </is>
      </c>
      <c r="M1624" s="7" t="inlineStr">
        <is>
          <t>Rubber Select teljes kínálata (gyártói katalógus / weboldal)</t>
        </is>
      </c>
      <c r="N1624" s="7" t="inlineStr">
        <is>
          <t>Megtalálva: a beszállító teljes kínálatából felvett termék</t>
        </is>
      </c>
      <c r="O1624" s="11" t="inlineStr">
        <is>
          <t>https://www.rubberselect.com/en/products/pu/premium-pu</t>
        </is>
      </c>
      <c r="P1624" s="11" t="inlineStr">
        <is>
          <t>https://website-9ib.pages.dev/termek/premium-poliuretan-pu-lemez-ppu90-6-0-1000-2000/</t>
        </is>
      </c>
      <c r="Q1624" s="12" t="inlineStr"/>
      <c r="R1624" s="13" t="inlineStr"/>
      <c r="S1624" s="6" t="inlineStr">
        <is>
          <t>premium-poliuretan-pu-lemez-ppu90-6-0-1000-2000</t>
        </is>
      </c>
    </row>
    <row r="1625">
      <c r="A1625" s="6" t="inlineStr">
        <is>
          <t>PPU90 6/0</t>
        </is>
      </c>
      <c r="B1625" s="7" t="inlineStr">
        <is>
          <t>Prémium poliuretán (PU) lemez 6 mm, 1000×4000 mm</t>
        </is>
      </c>
      <c r="C1625" s="6" t="inlineStr">
        <is>
          <t>Gumiszőnyegek és gumilemezek</t>
        </is>
      </c>
      <c r="D1625" s="6" t="inlineStr">
        <is>
          <t>Poliuretán (PU) lemezek</t>
        </is>
      </c>
      <c r="E1625" s="6" t="inlineStr">
        <is>
          <t>Rubber Select</t>
        </is>
      </c>
      <c r="F1625" s="6" t="inlineStr">
        <is>
          <t>PPU90 6/0</t>
        </is>
      </c>
      <c r="G1625" s="6" t="inlineStr">
        <is>
          <t>Teljes kínálat</t>
        </is>
      </c>
      <c r="H1625" s="6" t="n">
        <v>1</v>
      </c>
      <c r="I1625" s="6" t="n">
        <v>11</v>
      </c>
      <c r="J1625" s="6" t="inlineStr">
        <is>
          <t>van</t>
        </is>
      </c>
      <c r="K1625" s="6">
        <f>IF(AND(H1625&gt;0,I1625&gt;0),"Rendben",IF(AND(H1625=0,I1625=0),"Nincs kép és adat",IF(H1625=0,"Nincs kép","Nincs adat")))</f>
        <v/>
      </c>
      <c r="L1625" s="6" t="inlineStr">
        <is>
          <t>Igen</t>
        </is>
      </c>
      <c r="M1625" s="7" t="inlineStr">
        <is>
          <t>Rubber Select teljes kínálata (gyártói katalógus / weboldal)</t>
        </is>
      </c>
      <c r="N1625" s="7" t="inlineStr">
        <is>
          <t>Megtalálva: a beszállító teljes kínálatából felvett termék</t>
        </is>
      </c>
      <c r="O1625" s="11" t="inlineStr">
        <is>
          <t>https://www.rubberselect.com/en/products/pu/premium-pu</t>
        </is>
      </c>
      <c r="P1625" s="11" t="inlineStr">
        <is>
          <t>https://website-9ib.pages.dev/termek/premium-poliuretan-pu-lemez-ppu90-6-0-1000-4000/</t>
        </is>
      </c>
      <c r="Q1625" s="12" t="inlineStr"/>
      <c r="R1625" s="13" t="inlineStr"/>
      <c r="S1625" s="6" t="inlineStr">
        <is>
          <t>premium-poliuretan-pu-lemez-ppu90-6-0-1000-4000</t>
        </is>
      </c>
    </row>
    <row r="1626">
      <c r="A1626" s="6" t="inlineStr">
        <is>
          <t>MR 3/0</t>
        </is>
      </c>
      <c r="B1626" s="7" t="inlineStr">
        <is>
          <t>Széles bordás gumiszőnyeg 3 mm, 1000×10000 mm</t>
        </is>
      </c>
      <c r="C1626" s="6" t="inlineStr">
        <is>
          <t>Gumiszőnyegek és gumilemezek</t>
        </is>
      </c>
      <c r="D1626" s="6" t="inlineStr">
        <is>
          <t>Bordás és mintás gumiszőnyegek</t>
        </is>
      </c>
      <c r="E1626" s="6" t="inlineStr">
        <is>
          <t>Rubber Select</t>
        </is>
      </c>
      <c r="F1626" s="6" t="inlineStr">
        <is>
          <t>MR 3/0</t>
        </is>
      </c>
      <c r="G1626" s="6" t="inlineStr">
        <is>
          <t>Teljes kínálat</t>
        </is>
      </c>
      <c r="H1626" s="6" t="n">
        <v>1</v>
      </c>
      <c r="I1626" s="6" t="n">
        <v>11</v>
      </c>
      <c r="J1626" s="6" t="inlineStr">
        <is>
          <t>van</t>
        </is>
      </c>
      <c r="K1626" s="6">
        <f>IF(AND(H1626&gt;0,I1626&gt;0),"Rendben",IF(AND(H1626=0,I1626=0),"Nincs kép és adat",IF(H1626=0,"Nincs kép","Nincs adat")))</f>
        <v/>
      </c>
      <c r="L1626" s="6" t="inlineStr">
        <is>
          <t>Igen</t>
        </is>
      </c>
      <c r="M1626" s="7" t="inlineStr">
        <is>
          <t>Rubber Select teljes kínálata (gyártói katalógus / weboldal)</t>
        </is>
      </c>
      <c r="N1626" s="7" t="inlineStr">
        <is>
          <t>Megtalálva: a beszállító teljes kínálatából felvett termék</t>
        </is>
      </c>
      <c r="O1626" s="11" t="inlineStr">
        <is>
          <t>https://www.rubberselect.com/en/products/matting/broad-rib-mat</t>
        </is>
      </c>
      <c r="P1626" s="11" t="inlineStr">
        <is>
          <t>https://website-9ib.pages.dev/termek/szeles-bordas-gumiszonyeg-mr-3-0-1000-10000/</t>
        </is>
      </c>
      <c r="Q1626" s="12" t="inlineStr"/>
      <c r="R1626" s="13" t="inlineStr"/>
      <c r="S1626" s="6" t="inlineStr">
        <is>
          <t>szeles-bordas-gumiszonyeg-mr-3-0-1000-10000</t>
        </is>
      </c>
    </row>
    <row r="1627">
      <c r="A1627" s="6" t="inlineStr">
        <is>
          <t>MR 3/0</t>
        </is>
      </c>
      <c r="B1627" s="7" t="inlineStr">
        <is>
          <t>Széles bordás gumiszőnyeg 3 mm, 1200×10000 mm</t>
        </is>
      </c>
      <c r="C1627" s="6" t="inlineStr">
        <is>
          <t>Gumiszőnyegek és gumilemezek</t>
        </is>
      </c>
      <c r="D1627" s="6" t="inlineStr">
        <is>
          <t>Bordás és mintás gumiszőnyegek</t>
        </is>
      </c>
      <c r="E1627" s="6" t="inlineStr">
        <is>
          <t>Rubber Select</t>
        </is>
      </c>
      <c r="F1627" s="6" t="inlineStr">
        <is>
          <t>MR 3/0</t>
        </is>
      </c>
      <c r="G1627" s="6" t="inlineStr">
        <is>
          <t>Teljes kínálat</t>
        </is>
      </c>
      <c r="H1627" s="6" t="n">
        <v>1</v>
      </c>
      <c r="I1627" s="6" t="n">
        <v>11</v>
      </c>
      <c r="J1627" s="6" t="inlineStr">
        <is>
          <t>van</t>
        </is>
      </c>
      <c r="K1627" s="6">
        <f>IF(AND(H1627&gt;0,I1627&gt;0),"Rendben",IF(AND(H1627=0,I1627=0),"Nincs kép és adat",IF(H1627=0,"Nincs kép","Nincs adat")))</f>
        <v/>
      </c>
      <c r="L1627" s="6" t="inlineStr">
        <is>
          <t>Igen</t>
        </is>
      </c>
      <c r="M1627" s="7" t="inlineStr">
        <is>
          <t>Rubber Select teljes kínálata (gyártói katalógus / weboldal)</t>
        </is>
      </c>
      <c r="N1627" s="7" t="inlineStr">
        <is>
          <t>Megtalálva: a beszállító teljes kínálatából felvett termék</t>
        </is>
      </c>
      <c r="O1627" s="11" t="inlineStr">
        <is>
          <t>https://www.rubberselect.com/en/products/matting/broad-rib-mat</t>
        </is>
      </c>
      <c r="P1627" s="11" t="inlineStr">
        <is>
          <t>https://website-9ib.pages.dev/termek/szeles-bordas-gumiszonyeg-mr-3-0-1200-10000/</t>
        </is>
      </c>
      <c r="Q1627" s="12" t="inlineStr"/>
      <c r="R1627" s="13" t="inlineStr"/>
      <c r="S1627" s="6" t="inlineStr">
        <is>
          <t>szeles-bordas-gumiszonyeg-mr-3-0-1200-10000</t>
        </is>
      </c>
    </row>
    <row r="1628">
      <c r="A1628" s="6" t="inlineStr">
        <is>
          <t>SBR 10/2</t>
        </is>
      </c>
      <c r="B1628" s="7" t="inlineStr">
        <is>
          <t>Szövetbetétes gumilemez NR/SBR 10 mm, 1,4×10 mm</t>
        </is>
      </c>
      <c r="C1628" s="6" t="inlineStr">
        <is>
          <t>Gumiszőnyegek és gumilemezek</t>
        </is>
      </c>
      <c r="D1628" s="6" t="inlineStr">
        <is>
          <t>Gumilemezek (NR/SBR)</t>
        </is>
      </c>
      <c r="E1628" s="6" t="inlineStr">
        <is>
          <t>Rubber Select</t>
        </is>
      </c>
      <c r="F1628" s="6" t="inlineStr">
        <is>
          <t>SBR 10/2</t>
        </is>
      </c>
      <c r="G1628" s="6" t="inlineStr">
        <is>
          <t>Teljes kínálat</t>
        </is>
      </c>
      <c r="H1628" s="6" t="n">
        <v>1</v>
      </c>
      <c r="I1628" s="6" t="n">
        <v>11</v>
      </c>
      <c r="J1628" s="6" t="inlineStr">
        <is>
          <t>van</t>
        </is>
      </c>
      <c r="K1628" s="6">
        <f>IF(AND(H1628&gt;0,I1628&gt;0),"Rendben",IF(AND(H1628=0,I1628=0),"Nincs kép és adat",IF(H1628=0,"Nincs kép","Nincs adat")))</f>
        <v/>
      </c>
      <c r="L1628" s="6" t="inlineStr">
        <is>
          <t>Igen</t>
        </is>
      </c>
      <c r="M1628" s="7" t="inlineStr">
        <is>
          <t>Rubber Select teljes kínálata (gyártói katalógus / weboldal)</t>
        </is>
      </c>
      <c r="N1628" s="7" t="inlineStr">
        <is>
          <t>Megtalálva: a beszállító teljes kínálatából felvett termék</t>
        </is>
      </c>
      <c r="O1628" s="11" t="inlineStr">
        <is>
          <t>https://www.rubberselect.com/en/products/nrsbr-rubber-sheets/allpac-insertions</t>
        </is>
      </c>
      <c r="P1628" s="11" t="inlineStr">
        <is>
          <t>https://website-9ib.pages.dev/termek/szovetbetetes-gumilemez-nr-sbr-sbr-10-2-1-4-10/</t>
        </is>
      </c>
      <c r="Q1628" s="12" t="inlineStr"/>
      <c r="R1628" s="13" t="inlineStr"/>
      <c r="S1628" s="6" t="inlineStr">
        <is>
          <t>szovetbetetes-gumilemez-nr-sbr-sbr-10-2-1-4-10</t>
        </is>
      </c>
    </row>
    <row r="1629">
      <c r="A1629" s="6" t="inlineStr">
        <is>
          <t>SBR 10/2</t>
        </is>
      </c>
      <c r="B1629" s="7" t="inlineStr">
        <is>
          <t>Szövetbetétes gumilemez NR/SBR 10 mm, 1,4×5 mm</t>
        </is>
      </c>
      <c r="C1629" s="6" t="inlineStr">
        <is>
          <t>Gumiszőnyegek és gumilemezek</t>
        </is>
      </c>
      <c r="D1629" s="6" t="inlineStr">
        <is>
          <t>Gumilemezek (NR/SBR)</t>
        </is>
      </c>
      <c r="E1629" s="6" t="inlineStr">
        <is>
          <t>Rubber Select</t>
        </is>
      </c>
      <c r="F1629" s="6" t="inlineStr">
        <is>
          <t>SBR 10/2</t>
        </is>
      </c>
      <c r="G1629" s="6" t="inlineStr">
        <is>
          <t>Teljes kínálat</t>
        </is>
      </c>
      <c r="H1629" s="6" t="n">
        <v>1</v>
      </c>
      <c r="I1629" s="6" t="n">
        <v>11</v>
      </c>
      <c r="J1629" s="6" t="inlineStr">
        <is>
          <t>van</t>
        </is>
      </c>
      <c r="K1629" s="6">
        <f>IF(AND(H1629&gt;0,I1629&gt;0),"Rendben",IF(AND(H1629=0,I1629=0),"Nincs kép és adat",IF(H1629=0,"Nincs kép","Nincs adat")))</f>
        <v/>
      </c>
      <c r="L1629" s="6" t="inlineStr">
        <is>
          <t>Igen</t>
        </is>
      </c>
      <c r="M1629" s="7" t="inlineStr">
        <is>
          <t>Rubber Select teljes kínálata (gyártói katalógus / weboldal)</t>
        </is>
      </c>
      <c r="N1629" s="7" t="inlineStr">
        <is>
          <t>Megtalálva: a beszállító teljes kínálatából felvett termék</t>
        </is>
      </c>
      <c r="O1629" s="11" t="inlineStr">
        <is>
          <t>https://www.rubberselect.com/en/products/nrsbr-rubber-sheets/allpac-insertions</t>
        </is>
      </c>
      <c r="P1629" s="11" t="inlineStr">
        <is>
          <t>https://website-9ib.pages.dev/termek/szovetbetetes-gumilemez-nr-sbr-sbr-10-2-1-4-5/</t>
        </is>
      </c>
      <c r="Q1629" s="12" t="inlineStr"/>
      <c r="R1629" s="13" t="inlineStr"/>
      <c r="S1629" s="6" t="inlineStr">
        <is>
          <t>szovetbetetes-gumilemez-nr-sbr-sbr-10-2-1-4-5</t>
        </is>
      </c>
    </row>
    <row r="1630">
      <c r="A1630" s="6" t="inlineStr">
        <is>
          <t>SBR 2/1</t>
        </is>
      </c>
      <c r="B1630" s="7" t="inlineStr">
        <is>
          <t>Szövetbetétes gumilemez NR/SBR 2 mm, 1,2×10 mm</t>
        </is>
      </c>
      <c r="C1630" s="6" t="inlineStr">
        <is>
          <t>Gumiszőnyegek és gumilemezek</t>
        </is>
      </c>
      <c r="D1630" s="6" t="inlineStr">
        <is>
          <t>Gumilemezek (NR/SBR)</t>
        </is>
      </c>
      <c r="E1630" s="6" t="inlineStr">
        <is>
          <t>Rubber Select</t>
        </is>
      </c>
      <c r="F1630" s="6" t="inlineStr">
        <is>
          <t>SBR 2/1</t>
        </is>
      </c>
      <c r="G1630" s="6" t="inlineStr">
        <is>
          <t>Teljes kínálat</t>
        </is>
      </c>
      <c r="H1630" s="6" t="n">
        <v>1</v>
      </c>
      <c r="I1630" s="6" t="n">
        <v>11</v>
      </c>
      <c r="J1630" s="6" t="inlineStr">
        <is>
          <t>van</t>
        </is>
      </c>
      <c r="K1630" s="6">
        <f>IF(AND(H1630&gt;0,I1630&gt;0),"Rendben",IF(AND(H1630=0,I1630=0),"Nincs kép és adat",IF(H1630=0,"Nincs kép","Nincs adat")))</f>
        <v/>
      </c>
      <c r="L1630" s="6" t="inlineStr">
        <is>
          <t>Igen</t>
        </is>
      </c>
      <c r="M1630" s="7" t="inlineStr">
        <is>
          <t>Rubber Select teljes kínálata (gyártói katalógus / weboldal)</t>
        </is>
      </c>
      <c r="N1630" s="7" t="inlineStr">
        <is>
          <t>Megtalálva: a beszállító teljes kínálatából felvett termék</t>
        </is>
      </c>
      <c r="O1630" s="11" t="inlineStr">
        <is>
          <t>https://www.rubberselect.com/en/products/nrsbr-rubber-sheets/allpac-insertions</t>
        </is>
      </c>
      <c r="P1630" s="11" t="inlineStr">
        <is>
          <t>https://website-9ib.pages.dev/termek/szovetbetetes-gumilemez-nr-sbr-sbr-2-1-1-2-10/</t>
        </is>
      </c>
      <c r="Q1630" s="12" t="inlineStr"/>
      <c r="R1630" s="13" t="inlineStr"/>
      <c r="S1630" s="6" t="inlineStr">
        <is>
          <t>szovetbetetes-gumilemez-nr-sbr-sbr-2-1-1-2-10</t>
        </is>
      </c>
    </row>
    <row r="1631">
      <c r="A1631" s="6" t="inlineStr">
        <is>
          <t>SBR 2/1</t>
        </is>
      </c>
      <c r="B1631" s="7" t="inlineStr">
        <is>
          <t>Szövetbetétes gumilemez NR/SBR 2 mm, 1,4×10 mm</t>
        </is>
      </c>
      <c r="C1631" s="6" t="inlineStr">
        <is>
          <t>Gumiszőnyegek és gumilemezek</t>
        </is>
      </c>
      <c r="D1631" s="6" t="inlineStr">
        <is>
          <t>Gumilemezek (NR/SBR)</t>
        </is>
      </c>
      <c r="E1631" s="6" t="inlineStr">
        <is>
          <t>Rubber Select</t>
        </is>
      </c>
      <c r="F1631" s="6" t="inlineStr">
        <is>
          <t>SBR 2/1</t>
        </is>
      </c>
      <c r="G1631" s="6" t="inlineStr">
        <is>
          <t>Teljes kínálat</t>
        </is>
      </c>
      <c r="H1631" s="6" t="n">
        <v>1</v>
      </c>
      <c r="I1631" s="6" t="n">
        <v>11</v>
      </c>
      <c r="J1631" s="6" t="inlineStr">
        <is>
          <t>van</t>
        </is>
      </c>
      <c r="K1631" s="6">
        <f>IF(AND(H1631&gt;0,I1631&gt;0),"Rendben",IF(AND(H1631=0,I1631=0),"Nincs kép és adat",IF(H1631=0,"Nincs kép","Nincs adat")))</f>
        <v/>
      </c>
      <c r="L1631" s="6" t="inlineStr">
        <is>
          <t>Igen</t>
        </is>
      </c>
      <c r="M1631" s="7" t="inlineStr">
        <is>
          <t>Rubber Select teljes kínálata (gyártói katalógus / weboldal)</t>
        </is>
      </c>
      <c r="N1631" s="7" t="inlineStr">
        <is>
          <t>Megtalálva: a beszállító teljes kínálatából felvett termék</t>
        </is>
      </c>
      <c r="O1631" s="11" t="inlineStr">
        <is>
          <t>https://www.rubberselect.com/en/products/nrsbr-rubber-sheets/allpac-insertions</t>
        </is>
      </c>
      <c r="P1631" s="11" t="inlineStr">
        <is>
          <t>https://website-9ib.pages.dev/termek/szovetbetetes-gumilemez-nr-sbr-sbr-2-1-1-4-10/</t>
        </is>
      </c>
      <c r="Q1631" s="12" t="inlineStr"/>
      <c r="R1631" s="13" t="inlineStr"/>
      <c r="S1631" s="6" t="inlineStr">
        <is>
          <t>szovetbetetes-gumilemez-nr-sbr-sbr-2-1-1-4-10</t>
        </is>
      </c>
    </row>
    <row r="1632">
      <c r="A1632" s="6" t="inlineStr">
        <is>
          <t>SBR 3/1</t>
        </is>
      </c>
      <c r="B1632" s="7" t="inlineStr">
        <is>
          <t>Szövetbetétes gumilemez NR/SBR 3 mm, 1,2×10 mm</t>
        </is>
      </c>
      <c r="C1632" s="6" t="inlineStr">
        <is>
          <t>Gumiszőnyegek és gumilemezek</t>
        </is>
      </c>
      <c r="D1632" s="6" t="inlineStr">
        <is>
          <t>Gumilemezek (NR/SBR)</t>
        </is>
      </c>
      <c r="E1632" s="6" t="inlineStr">
        <is>
          <t>Rubber Select</t>
        </is>
      </c>
      <c r="F1632" s="6" t="inlineStr">
        <is>
          <t>SBR 3/1</t>
        </is>
      </c>
      <c r="G1632" s="6" t="inlineStr">
        <is>
          <t>Teljes kínálat</t>
        </is>
      </c>
      <c r="H1632" s="6" t="n">
        <v>1</v>
      </c>
      <c r="I1632" s="6" t="n">
        <v>11</v>
      </c>
      <c r="J1632" s="6" t="inlineStr">
        <is>
          <t>van</t>
        </is>
      </c>
      <c r="K1632" s="6">
        <f>IF(AND(H1632&gt;0,I1632&gt;0),"Rendben",IF(AND(H1632=0,I1632=0),"Nincs kép és adat",IF(H1632=0,"Nincs kép","Nincs adat")))</f>
        <v/>
      </c>
      <c r="L1632" s="6" t="inlineStr">
        <is>
          <t>Igen</t>
        </is>
      </c>
      <c r="M1632" s="7" t="inlineStr">
        <is>
          <t>Rubber Select teljes kínálata (gyártói katalógus / weboldal)</t>
        </is>
      </c>
      <c r="N1632" s="7" t="inlineStr">
        <is>
          <t>Megtalálva: a beszállító teljes kínálatából felvett termék</t>
        </is>
      </c>
      <c r="O1632" s="11" t="inlineStr">
        <is>
          <t>https://www.rubberselect.com/en/products/nrsbr-rubber-sheets/allpac-insertions</t>
        </is>
      </c>
      <c r="P1632" s="11" t="inlineStr">
        <is>
          <t>https://website-9ib.pages.dev/termek/szovetbetetes-gumilemez-nr-sbr-sbr-3-1-1-2-10/</t>
        </is>
      </c>
      <c r="Q1632" s="12" t="inlineStr"/>
      <c r="R1632" s="13" t="inlineStr"/>
      <c r="S1632" s="6" t="inlineStr">
        <is>
          <t>szovetbetetes-gumilemez-nr-sbr-sbr-3-1-1-2-10</t>
        </is>
      </c>
    </row>
    <row r="1633">
      <c r="A1633" s="6" t="inlineStr">
        <is>
          <t>SBR 3/2</t>
        </is>
      </c>
      <c r="B1633" s="7" t="inlineStr">
        <is>
          <t>Szövetbetétes gumilemez NR/SBR 3 mm, 1,2×10 mm</t>
        </is>
      </c>
      <c r="C1633" s="6" t="inlineStr">
        <is>
          <t>Gumiszőnyegek és gumilemezek</t>
        </is>
      </c>
      <c r="D1633" s="6" t="inlineStr">
        <is>
          <t>Gumilemezek (NR/SBR)</t>
        </is>
      </c>
      <c r="E1633" s="6" t="inlineStr">
        <is>
          <t>Rubber Select</t>
        </is>
      </c>
      <c r="F1633" s="6" t="inlineStr">
        <is>
          <t>SBR 3/2</t>
        </is>
      </c>
      <c r="G1633" s="6" t="inlineStr">
        <is>
          <t>Teljes kínálat</t>
        </is>
      </c>
      <c r="H1633" s="6" t="n">
        <v>1</v>
      </c>
      <c r="I1633" s="6" t="n">
        <v>11</v>
      </c>
      <c r="J1633" s="6" t="inlineStr">
        <is>
          <t>van</t>
        </is>
      </c>
      <c r="K1633" s="6">
        <f>IF(AND(H1633&gt;0,I1633&gt;0),"Rendben",IF(AND(H1633=0,I1633=0),"Nincs kép és adat",IF(H1633=0,"Nincs kép","Nincs adat")))</f>
        <v/>
      </c>
      <c r="L1633" s="6" t="inlineStr">
        <is>
          <t>Igen</t>
        </is>
      </c>
      <c r="M1633" s="7" t="inlineStr">
        <is>
          <t>Rubber Select teljes kínálata (gyártói katalógus / weboldal)</t>
        </is>
      </c>
      <c r="N1633" s="7" t="inlineStr">
        <is>
          <t>Megtalálva: a beszállító teljes kínálatából felvett termék</t>
        </is>
      </c>
      <c r="O1633" s="11" t="inlineStr">
        <is>
          <t>https://www.rubberselect.com/en/products/nrsbr-rubber-sheets/allpac-insertions</t>
        </is>
      </c>
      <c r="P1633" s="11" t="inlineStr">
        <is>
          <t>https://website-9ib.pages.dev/termek/szovetbetetes-gumilemez-nr-sbr-sbr-3-2-1-2-10/</t>
        </is>
      </c>
      <c r="Q1633" s="12" t="inlineStr"/>
      <c r="R1633" s="13" t="inlineStr"/>
      <c r="S1633" s="6" t="inlineStr">
        <is>
          <t>szovetbetetes-gumilemez-nr-sbr-sbr-3-2-1-2-10</t>
        </is>
      </c>
    </row>
    <row r="1634">
      <c r="A1634" s="6" t="inlineStr">
        <is>
          <t>SBR 3/1</t>
        </is>
      </c>
      <c r="B1634" s="7" t="inlineStr">
        <is>
          <t>Szövetbetétes gumilemez NR/SBR 3 mm, 1,4×10 mm</t>
        </is>
      </c>
      <c r="C1634" s="6" t="inlineStr">
        <is>
          <t>Gumiszőnyegek és gumilemezek</t>
        </is>
      </c>
      <c r="D1634" s="6" t="inlineStr">
        <is>
          <t>Gumilemezek (NR/SBR)</t>
        </is>
      </c>
      <c r="E1634" s="6" t="inlineStr">
        <is>
          <t>Rubber Select</t>
        </is>
      </c>
      <c r="F1634" s="6" t="inlineStr">
        <is>
          <t>SBR 3/1</t>
        </is>
      </c>
      <c r="G1634" s="6" t="inlineStr">
        <is>
          <t>Teljes kínálat</t>
        </is>
      </c>
      <c r="H1634" s="6" t="n">
        <v>1</v>
      </c>
      <c r="I1634" s="6" t="n">
        <v>11</v>
      </c>
      <c r="J1634" s="6" t="inlineStr">
        <is>
          <t>van</t>
        </is>
      </c>
      <c r="K1634" s="6">
        <f>IF(AND(H1634&gt;0,I1634&gt;0),"Rendben",IF(AND(H1634=0,I1634=0),"Nincs kép és adat",IF(H1634=0,"Nincs kép","Nincs adat")))</f>
        <v/>
      </c>
      <c r="L1634" s="6" t="inlineStr">
        <is>
          <t>Igen</t>
        </is>
      </c>
      <c r="M1634" s="7" t="inlineStr">
        <is>
          <t>Rubber Select teljes kínálata (gyártói katalógus / weboldal)</t>
        </is>
      </c>
      <c r="N1634" s="7" t="inlineStr">
        <is>
          <t>Megtalálva: a beszállító teljes kínálatából felvett termék</t>
        </is>
      </c>
      <c r="O1634" s="11" t="inlineStr">
        <is>
          <t>https://www.rubberselect.com/en/products/nrsbr-rubber-sheets/allpac-insertions</t>
        </is>
      </c>
      <c r="P1634" s="11" t="inlineStr">
        <is>
          <t>https://website-9ib.pages.dev/termek/szovetbetetes-gumilemez-nr-sbr-sbr-3-1-1-4-10/</t>
        </is>
      </c>
      <c r="Q1634" s="12" t="inlineStr"/>
      <c r="R1634" s="13" t="inlineStr"/>
      <c r="S1634" s="6" t="inlineStr">
        <is>
          <t>szovetbetetes-gumilemez-nr-sbr-sbr-3-1-1-4-10</t>
        </is>
      </c>
    </row>
    <row r="1635">
      <c r="A1635" s="6" t="inlineStr">
        <is>
          <t>SBR 3/2</t>
        </is>
      </c>
      <c r="B1635" s="7" t="inlineStr">
        <is>
          <t>Szövetbetétes gumilemez NR/SBR 3 mm, 1,4×10 mm</t>
        </is>
      </c>
      <c r="C1635" s="6" t="inlineStr">
        <is>
          <t>Gumiszőnyegek és gumilemezek</t>
        </is>
      </c>
      <c r="D1635" s="6" t="inlineStr">
        <is>
          <t>Gumilemezek (NR/SBR)</t>
        </is>
      </c>
      <c r="E1635" s="6" t="inlineStr">
        <is>
          <t>Rubber Select</t>
        </is>
      </c>
      <c r="F1635" s="6" t="inlineStr">
        <is>
          <t>SBR 3/2</t>
        </is>
      </c>
      <c r="G1635" s="6" t="inlineStr">
        <is>
          <t>Teljes kínálat</t>
        </is>
      </c>
      <c r="H1635" s="6" t="n">
        <v>1</v>
      </c>
      <c r="I1635" s="6" t="n">
        <v>11</v>
      </c>
      <c r="J1635" s="6" t="inlineStr">
        <is>
          <t>van</t>
        </is>
      </c>
      <c r="K1635" s="6">
        <f>IF(AND(H1635&gt;0,I1635&gt;0),"Rendben",IF(AND(H1635=0,I1635=0),"Nincs kép és adat",IF(H1635=0,"Nincs kép","Nincs adat")))</f>
        <v/>
      </c>
      <c r="L1635" s="6" t="inlineStr">
        <is>
          <t>Igen</t>
        </is>
      </c>
      <c r="M1635" s="7" t="inlineStr">
        <is>
          <t>Rubber Select teljes kínálata (gyártói katalógus / weboldal)</t>
        </is>
      </c>
      <c r="N1635" s="7" t="inlineStr">
        <is>
          <t>Megtalálva: a beszállító teljes kínálatából felvett termék</t>
        </is>
      </c>
      <c r="O1635" s="11" t="inlineStr">
        <is>
          <t>https://www.rubberselect.com/en/products/nrsbr-rubber-sheets/allpac-insertions</t>
        </is>
      </c>
      <c r="P1635" s="11" t="inlineStr">
        <is>
          <t>https://website-9ib.pages.dev/termek/szovetbetetes-gumilemez-nr-sbr-sbr-3-2-1-4-10/</t>
        </is>
      </c>
      <c r="Q1635" s="12" t="inlineStr"/>
      <c r="R1635" s="13" t="inlineStr"/>
      <c r="S1635" s="6" t="inlineStr">
        <is>
          <t>szovetbetetes-gumilemez-nr-sbr-sbr-3-2-1-4-10</t>
        </is>
      </c>
    </row>
    <row r="1636">
      <c r="A1636" s="6" t="inlineStr">
        <is>
          <t>SBR 4/1</t>
        </is>
      </c>
      <c r="B1636" s="7" t="inlineStr">
        <is>
          <t>Szövetbetétes gumilemez NR/SBR 4 mm, 1,2×10 mm</t>
        </is>
      </c>
      <c r="C1636" s="6" t="inlineStr">
        <is>
          <t>Gumiszőnyegek és gumilemezek</t>
        </is>
      </c>
      <c r="D1636" s="6" t="inlineStr">
        <is>
          <t>Gumilemezek (NR/SBR)</t>
        </is>
      </c>
      <c r="E1636" s="6" t="inlineStr">
        <is>
          <t>Rubber Select</t>
        </is>
      </c>
      <c r="F1636" s="6" t="inlineStr">
        <is>
          <t>SBR 4/1</t>
        </is>
      </c>
      <c r="G1636" s="6" t="inlineStr">
        <is>
          <t>Teljes kínálat</t>
        </is>
      </c>
      <c r="H1636" s="6" t="n">
        <v>1</v>
      </c>
      <c r="I1636" s="6" t="n">
        <v>11</v>
      </c>
      <c r="J1636" s="6" t="inlineStr">
        <is>
          <t>van</t>
        </is>
      </c>
      <c r="K1636" s="6">
        <f>IF(AND(H1636&gt;0,I1636&gt;0),"Rendben",IF(AND(H1636=0,I1636=0),"Nincs kép és adat",IF(H1636=0,"Nincs kép","Nincs adat")))</f>
        <v/>
      </c>
      <c r="L1636" s="6" t="inlineStr">
        <is>
          <t>Igen</t>
        </is>
      </c>
      <c r="M1636" s="7" t="inlineStr">
        <is>
          <t>Rubber Select teljes kínálata (gyártói katalógus / weboldal)</t>
        </is>
      </c>
      <c r="N1636" s="7" t="inlineStr">
        <is>
          <t>Megtalálva: a beszállító teljes kínálatából felvett termék</t>
        </is>
      </c>
      <c r="O1636" s="11" t="inlineStr">
        <is>
          <t>https://www.rubberselect.com/en/products/nrsbr-rubber-sheets/allpac-insertions</t>
        </is>
      </c>
      <c r="P1636" s="11" t="inlineStr">
        <is>
          <t>https://website-9ib.pages.dev/termek/szovetbetetes-gumilemez-nr-sbr-sbr-4-1-1-2-10/</t>
        </is>
      </c>
      <c r="Q1636" s="12" t="inlineStr"/>
      <c r="R1636" s="13" t="inlineStr"/>
      <c r="S1636" s="6" t="inlineStr">
        <is>
          <t>szovetbetetes-gumilemez-nr-sbr-sbr-4-1-1-2-10</t>
        </is>
      </c>
    </row>
    <row r="1637">
      <c r="A1637" s="6" t="inlineStr">
        <is>
          <t>SBR 4/2</t>
        </is>
      </c>
      <c r="B1637" s="7" t="inlineStr">
        <is>
          <t>Szövetbetétes gumilemez NR/SBR 4 mm, 1,2×10 mm</t>
        </is>
      </c>
      <c r="C1637" s="6" t="inlineStr">
        <is>
          <t>Gumiszőnyegek és gumilemezek</t>
        </is>
      </c>
      <c r="D1637" s="6" t="inlineStr">
        <is>
          <t>Gumilemezek (NR/SBR)</t>
        </is>
      </c>
      <c r="E1637" s="6" t="inlineStr">
        <is>
          <t>Rubber Select</t>
        </is>
      </c>
      <c r="F1637" s="6" t="inlineStr">
        <is>
          <t>SBR 4/2</t>
        </is>
      </c>
      <c r="G1637" s="6" t="inlineStr">
        <is>
          <t>Teljes kínálat</t>
        </is>
      </c>
      <c r="H1637" s="6" t="n">
        <v>1</v>
      </c>
      <c r="I1637" s="6" t="n">
        <v>11</v>
      </c>
      <c r="J1637" s="6" t="inlineStr">
        <is>
          <t>van</t>
        </is>
      </c>
      <c r="K1637" s="6">
        <f>IF(AND(H1637&gt;0,I1637&gt;0),"Rendben",IF(AND(H1637=0,I1637=0),"Nincs kép és adat",IF(H1637=0,"Nincs kép","Nincs adat")))</f>
        <v/>
      </c>
      <c r="L1637" s="6" t="inlineStr">
        <is>
          <t>Igen</t>
        </is>
      </c>
      <c r="M1637" s="7" t="inlineStr">
        <is>
          <t>Rubber Select teljes kínálata (gyártói katalógus / weboldal)</t>
        </is>
      </c>
      <c r="N1637" s="7" t="inlineStr">
        <is>
          <t>Megtalálva: a beszállító teljes kínálatából felvett termék</t>
        </is>
      </c>
      <c r="O1637" s="11" t="inlineStr">
        <is>
          <t>https://www.rubberselect.com/en/products/nrsbr-rubber-sheets/allpac-insertions</t>
        </is>
      </c>
      <c r="P1637" s="11" t="inlineStr">
        <is>
          <t>https://website-9ib.pages.dev/termek/szovetbetetes-gumilemez-nr-sbr-sbr-4-2-1-2-10/</t>
        </is>
      </c>
      <c r="Q1637" s="12" t="inlineStr"/>
      <c r="R1637" s="13" t="inlineStr"/>
      <c r="S1637" s="6" t="inlineStr">
        <is>
          <t>szovetbetetes-gumilemez-nr-sbr-sbr-4-2-1-2-10</t>
        </is>
      </c>
    </row>
    <row r="1638">
      <c r="A1638" s="6" t="inlineStr">
        <is>
          <t>SBR 4/1</t>
        </is>
      </c>
      <c r="B1638" s="7" t="inlineStr">
        <is>
          <t>Szövetbetétes gumilemez NR/SBR 4 mm, 1,4×10 mm</t>
        </is>
      </c>
      <c r="C1638" s="6" t="inlineStr">
        <is>
          <t>Gumiszőnyegek és gumilemezek</t>
        </is>
      </c>
      <c r="D1638" s="6" t="inlineStr">
        <is>
          <t>Gumilemezek (NR/SBR)</t>
        </is>
      </c>
      <c r="E1638" s="6" t="inlineStr">
        <is>
          <t>Rubber Select</t>
        </is>
      </c>
      <c r="F1638" s="6" t="inlineStr">
        <is>
          <t>SBR 4/1</t>
        </is>
      </c>
      <c r="G1638" s="6" t="inlineStr">
        <is>
          <t>Teljes kínálat</t>
        </is>
      </c>
      <c r="H1638" s="6" t="n">
        <v>1</v>
      </c>
      <c r="I1638" s="6" t="n">
        <v>11</v>
      </c>
      <c r="J1638" s="6" t="inlineStr">
        <is>
          <t>van</t>
        </is>
      </c>
      <c r="K1638" s="6">
        <f>IF(AND(H1638&gt;0,I1638&gt;0),"Rendben",IF(AND(H1638=0,I1638=0),"Nincs kép és adat",IF(H1638=0,"Nincs kép","Nincs adat")))</f>
        <v/>
      </c>
      <c r="L1638" s="6" t="inlineStr">
        <is>
          <t>Igen</t>
        </is>
      </c>
      <c r="M1638" s="7" t="inlineStr">
        <is>
          <t>Rubber Select teljes kínálata (gyártói katalógus / weboldal)</t>
        </is>
      </c>
      <c r="N1638" s="7" t="inlineStr">
        <is>
          <t>Megtalálva: a beszállító teljes kínálatából felvett termék</t>
        </is>
      </c>
      <c r="O1638" s="11" t="inlineStr">
        <is>
          <t>https://www.rubberselect.com/en/products/nrsbr-rubber-sheets/allpac-insertions</t>
        </is>
      </c>
      <c r="P1638" s="11" t="inlineStr">
        <is>
          <t>https://website-9ib.pages.dev/termek/szovetbetetes-gumilemez-nr-sbr-sbr-4-1-1-4-10/</t>
        </is>
      </c>
      <c r="Q1638" s="12" t="inlineStr"/>
      <c r="R1638" s="13" t="inlineStr"/>
      <c r="S1638" s="6" t="inlineStr">
        <is>
          <t>szovetbetetes-gumilemez-nr-sbr-sbr-4-1-1-4-10</t>
        </is>
      </c>
    </row>
    <row r="1639">
      <c r="A1639" s="6" t="inlineStr">
        <is>
          <t>SBR 4/2</t>
        </is>
      </c>
      <c r="B1639" s="7" t="inlineStr">
        <is>
          <t>Szövetbetétes gumilemez NR/SBR 4 mm, 1,4×10 mm</t>
        </is>
      </c>
      <c r="C1639" s="6" t="inlineStr">
        <is>
          <t>Gumiszőnyegek és gumilemezek</t>
        </is>
      </c>
      <c r="D1639" s="6" t="inlineStr">
        <is>
          <t>Gumilemezek (NR/SBR)</t>
        </is>
      </c>
      <c r="E1639" s="6" t="inlineStr">
        <is>
          <t>Rubber Select</t>
        </is>
      </c>
      <c r="F1639" s="6" t="inlineStr">
        <is>
          <t>SBR 4/2</t>
        </is>
      </c>
      <c r="G1639" s="6" t="inlineStr">
        <is>
          <t>Teljes kínálat</t>
        </is>
      </c>
      <c r="H1639" s="6" t="n">
        <v>1</v>
      </c>
      <c r="I1639" s="6" t="n">
        <v>11</v>
      </c>
      <c r="J1639" s="6" t="inlineStr">
        <is>
          <t>van</t>
        </is>
      </c>
      <c r="K1639" s="6">
        <f>IF(AND(H1639&gt;0,I1639&gt;0),"Rendben",IF(AND(H1639=0,I1639=0),"Nincs kép és adat",IF(H1639=0,"Nincs kép","Nincs adat")))</f>
        <v/>
      </c>
      <c r="L1639" s="6" t="inlineStr">
        <is>
          <t>Igen</t>
        </is>
      </c>
      <c r="M1639" s="7" t="inlineStr">
        <is>
          <t>Rubber Select teljes kínálata (gyártói katalógus / weboldal)</t>
        </is>
      </c>
      <c r="N1639" s="7" t="inlineStr">
        <is>
          <t>Megtalálva: a beszállító teljes kínálatából felvett termék</t>
        </is>
      </c>
      <c r="O1639" s="11" t="inlineStr">
        <is>
          <t>https://www.rubberselect.com/en/products/nrsbr-rubber-sheets/allpac-insertions</t>
        </is>
      </c>
      <c r="P1639" s="11" t="inlineStr">
        <is>
          <t>https://website-9ib.pages.dev/termek/szovetbetetes-gumilemez-nr-sbr-sbr-4-2-1-4-10/</t>
        </is>
      </c>
      <c r="Q1639" s="12" t="inlineStr"/>
      <c r="R1639" s="13" t="inlineStr"/>
      <c r="S1639" s="6" t="inlineStr">
        <is>
          <t>szovetbetetes-gumilemez-nr-sbr-sbr-4-2-1-4-10</t>
        </is>
      </c>
    </row>
    <row r="1640">
      <c r="A1640" s="6" t="inlineStr">
        <is>
          <t>SBR 5/1</t>
        </is>
      </c>
      <c r="B1640" s="7" t="inlineStr">
        <is>
          <t>Szövetbetétes gumilemez NR/SBR 5 mm, 1,2×10 mm</t>
        </is>
      </c>
      <c r="C1640" s="6" t="inlineStr">
        <is>
          <t>Gumiszőnyegek és gumilemezek</t>
        </is>
      </c>
      <c r="D1640" s="6" t="inlineStr">
        <is>
          <t>Gumilemezek (NR/SBR)</t>
        </is>
      </c>
      <c r="E1640" s="6" t="inlineStr">
        <is>
          <t>Rubber Select</t>
        </is>
      </c>
      <c r="F1640" s="6" t="inlineStr">
        <is>
          <t>SBR 5/1</t>
        </is>
      </c>
      <c r="G1640" s="6" t="inlineStr">
        <is>
          <t>Teljes kínálat</t>
        </is>
      </c>
      <c r="H1640" s="6" t="n">
        <v>1</v>
      </c>
      <c r="I1640" s="6" t="n">
        <v>11</v>
      </c>
      <c r="J1640" s="6" t="inlineStr">
        <is>
          <t>van</t>
        </is>
      </c>
      <c r="K1640" s="6">
        <f>IF(AND(H1640&gt;0,I1640&gt;0),"Rendben",IF(AND(H1640=0,I1640=0),"Nincs kép és adat",IF(H1640=0,"Nincs kép","Nincs adat")))</f>
        <v/>
      </c>
      <c r="L1640" s="6" t="inlineStr">
        <is>
          <t>Igen</t>
        </is>
      </c>
      <c r="M1640" s="7" t="inlineStr">
        <is>
          <t>Rubber Select teljes kínálata (gyártói katalógus / weboldal)</t>
        </is>
      </c>
      <c r="N1640" s="7" t="inlineStr">
        <is>
          <t>Megtalálva: a beszállító teljes kínálatából felvett termék</t>
        </is>
      </c>
      <c r="O1640" s="11" t="inlineStr">
        <is>
          <t>https://www.rubberselect.com/en/products/nrsbr-rubber-sheets/allpac-insertions</t>
        </is>
      </c>
      <c r="P1640" s="11" t="inlineStr">
        <is>
          <t>https://website-9ib.pages.dev/termek/szovetbetetes-gumilemez-nr-sbr-sbr-5-1-1-2-10/</t>
        </is>
      </c>
      <c r="Q1640" s="12" t="inlineStr"/>
      <c r="R1640" s="13" t="inlineStr"/>
      <c r="S1640" s="6" t="inlineStr">
        <is>
          <t>szovetbetetes-gumilemez-nr-sbr-sbr-5-1-1-2-10</t>
        </is>
      </c>
    </row>
    <row r="1641">
      <c r="A1641" s="6" t="inlineStr">
        <is>
          <t>SBR 5/2</t>
        </is>
      </c>
      <c r="B1641" s="7" t="inlineStr">
        <is>
          <t>Szövetbetétes gumilemez NR/SBR 5 mm, 1,2×10 mm</t>
        </is>
      </c>
      <c r="C1641" s="6" t="inlineStr">
        <is>
          <t>Gumiszőnyegek és gumilemezek</t>
        </is>
      </c>
      <c r="D1641" s="6" t="inlineStr">
        <is>
          <t>Gumilemezek (NR/SBR)</t>
        </is>
      </c>
      <c r="E1641" s="6" t="inlineStr">
        <is>
          <t>Rubber Select</t>
        </is>
      </c>
      <c r="F1641" s="6" t="inlineStr">
        <is>
          <t>SBR 5/2</t>
        </is>
      </c>
      <c r="G1641" s="6" t="inlineStr">
        <is>
          <t>Teljes kínálat</t>
        </is>
      </c>
      <c r="H1641" s="6" t="n">
        <v>1</v>
      </c>
      <c r="I1641" s="6" t="n">
        <v>11</v>
      </c>
      <c r="J1641" s="6" t="inlineStr">
        <is>
          <t>van</t>
        </is>
      </c>
      <c r="K1641" s="6">
        <f>IF(AND(H1641&gt;0,I1641&gt;0),"Rendben",IF(AND(H1641=0,I1641=0),"Nincs kép és adat",IF(H1641=0,"Nincs kép","Nincs adat")))</f>
        <v/>
      </c>
      <c r="L1641" s="6" t="inlineStr">
        <is>
          <t>Igen</t>
        </is>
      </c>
      <c r="M1641" s="7" t="inlineStr">
        <is>
          <t>Rubber Select teljes kínálata (gyártói katalógus / weboldal)</t>
        </is>
      </c>
      <c r="N1641" s="7" t="inlineStr">
        <is>
          <t>Megtalálva: a beszállító teljes kínálatából felvett termék</t>
        </is>
      </c>
      <c r="O1641" s="11" t="inlineStr">
        <is>
          <t>https://www.rubberselect.com/en/products/nrsbr-rubber-sheets/allpac-insertions</t>
        </is>
      </c>
      <c r="P1641" s="11" t="inlineStr">
        <is>
          <t>https://website-9ib.pages.dev/termek/szovetbetetes-gumilemez-nr-sbr-sbr-5-2-1-2-10/</t>
        </is>
      </c>
      <c r="Q1641" s="12" t="inlineStr"/>
      <c r="R1641" s="13" t="inlineStr"/>
      <c r="S1641" s="6" t="inlineStr">
        <is>
          <t>szovetbetetes-gumilemez-nr-sbr-sbr-5-2-1-2-10</t>
        </is>
      </c>
    </row>
    <row r="1642">
      <c r="A1642" s="6" t="inlineStr">
        <is>
          <t>SBR 5/1</t>
        </is>
      </c>
      <c r="B1642" s="7" t="inlineStr">
        <is>
          <t>Szövetbetétes gumilemez NR/SBR 5 mm, 1,4×10 mm</t>
        </is>
      </c>
      <c r="C1642" s="6" t="inlineStr">
        <is>
          <t>Gumiszőnyegek és gumilemezek</t>
        </is>
      </c>
      <c r="D1642" s="6" t="inlineStr">
        <is>
          <t>Gumilemezek (NR/SBR)</t>
        </is>
      </c>
      <c r="E1642" s="6" t="inlineStr">
        <is>
          <t>Rubber Select</t>
        </is>
      </c>
      <c r="F1642" s="6" t="inlineStr">
        <is>
          <t>SBR 5/1</t>
        </is>
      </c>
      <c r="G1642" s="6" t="inlineStr">
        <is>
          <t>Teljes kínálat</t>
        </is>
      </c>
      <c r="H1642" s="6" t="n">
        <v>1</v>
      </c>
      <c r="I1642" s="6" t="n">
        <v>11</v>
      </c>
      <c r="J1642" s="6" t="inlineStr">
        <is>
          <t>van</t>
        </is>
      </c>
      <c r="K1642" s="6">
        <f>IF(AND(H1642&gt;0,I1642&gt;0),"Rendben",IF(AND(H1642=0,I1642=0),"Nincs kép és adat",IF(H1642=0,"Nincs kép","Nincs adat")))</f>
        <v/>
      </c>
      <c r="L1642" s="6" t="inlineStr">
        <is>
          <t>Igen</t>
        </is>
      </c>
      <c r="M1642" s="7" t="inlineStr">
        <is>
          <t>Rubber Select teljes kínálata (gyártói katalógus / weboldal)</t>
        </is>
      </c>
      <c r="N1642" s="7" t="inlineStr">
        <is>
          <t>Megtalálva: a beszállító teljes kínálatából felvett termék</t>
        </is>
      </c>
      <c r="O1642" s="11" t="inlineStr">
        <is>
          <t>https://www.rubberselect.com/en/products/nrsbr-rubber-sheets/allpac-insertions</t>
        </is>
      </c>
      <c r="P1642" s="11" t="inlineStr">
        <is>
          <t>https://website-9ib.pages.dev/termek/szovetbetetes-gumilemez-nr-sbr-sbr-5-1-1-4-10/</t>
        </is>
      </c>
      <c r="Q1642" s="12" t="inlineStr"/>
      <c r="R1642" s="13" t="inlineStr"/>
      <c r="S1642" s="6" t="inlineStr">
        <is>
          <t>szovetbetetes-gumilemez-nr-sbr-sbr-5-1-1-4-10</t>
        </is>
      </c>
    </row>
    <row r="1643">
      <c r="A1643" s="6" t="inlineStr">
        <is>
          <t>SBR 5/2</t>
        </is>
      </c>
      <c r="B1643" s="7" t="inlineStr">
        <is>
          <t>Szövetbetétes gumilemez NR/SBR 5 mm, 1,4×10 mm</t>
        </is>
      </c>
      <c r="C1643" s="6" t="inlineStr">
        <is>
          <t>Gumiszőnyegek és gumilemezek</t>
        </is>
      </c>
      <c r="D1643" s="6" t="inlineStr">
        <is>
          <t>Gumilemezek (NR/SBR)</t>
        </is>
      </c>
      <c r="E1643" s="6" t="inlineStr">
        <is>
          <t>Rubber Select</t>
        </is>
      </c>
      <c r="F1643" s="6" t="inlineStr">
        <is>
          <t>SBR 5/2</t>
        </is>
      </c>
      <c r="G1643" s="6" t="inlineStr">
        <is>
          <t>Teljes kínálat</t>
        </is>
      </c>
      <c r="H1643" s="6" t="n">
        <v>1</v>
      </c>
      <c r="I1643" s="6" t="n">
        <v>11</v>
      </c>
      <c r="J1643" s="6" t="inlineStr">
        <is>
          <t>van</t>
        </is>
      </c>
      <c r="K1643" s="6">
        <f>IF(AND(H1643&gt;0,I1643&gt;0),"Rendben",IF(AND(H1643=0,I1643=0),"Nincs kép és adat",IF(H1643=0,"Nincs kép","Nincs adat")))</f>
        <v/>
      </c>
      <c r="L1643" s="6" t="inlineStr">
        <is>
          <t>Igen</t>
        </is>
      </c>
      <c r="M1643" s="7" t="inlineStr">
        <is>
          <t>Rubber Select teljes kínálata (gyártói katalógus / weboldal)</t>
        </is>
      </c>
      <c r="N1643" s="7" t="inlineStr">
        <is>
          <t>Megtalálva: a beszállító teljes kínálatából felvett termék</t>
        </is>
      </c>
      <c r="O1643" s="11" t="inlineStr">
        <is>
          <t>https://www.rubberselect.com/en/products/nrsbr-rubber-sheets/allpac-insertions</t>
        </is>
      </c>
      <c r="P1643" s="11" t="inlineStr">
        <is>
          <t>https://website-9ib.pages.dev/termek/szovetbetetes-gumilemez-nr-sbr-sbr-5-2-1-4-10/</t>
        </is>
      </c>
      <c r="Q1643" s="12" t="inlineStr"/>
      <c r="R1643" s="13" t="inlineStr"/>
      <c r="S1643" s="6" t="inlineStr">
        <is>
          <t>szovetbetetes-gumilemez-nr-sbr-sbr-5-2-1-4-10</t>
        </is>
      </c>
    </row>
    <row r="1644">
      <c r="A1644" s="6" t="inlineStr">
        <is>
          <t>SBR 6/1</t>
        </is>
      </c>
      <c r="B1644" s="7" t="inlineStr">
        <is>
          <t>Szövetbetétes gumilemez NR/SBR 6 mm, 1,2×10 mm</t>
        </is>
      </c>
      <c r="C1644" s="6" t="inlineStr">
        <is>
          <t>Gumiszőnyegek és gumilemezek</t>
        </is>
      </c>
      <c r="D1644" s="6" t="inlineStr">
        <is>
          <t>Gumilemezek (NR/SBR)</t>
        </is>
      </c>
      <c r="E1644" s="6" t="inlineStr">
        <is>
          <t>Rubber Select</t>
        </is>
      </c>
      <c r="F1644" s="6" t="inlineStr">
        <is>
          <t>SBR 6/1</t>
        </is>
      </c>
      <c r="G1644" s="6" t="inlineStr">
        <is>
          <t>Teljes kínálat</t>
        </is>
      </c>
      <c r="H1644" s="6" t="n">
        <v>1</v>
      </c>
      <c r="I1644" s="6" t="n">
        <v>11</v>
      </c>
      <c r="J1644" s="6" t="inlineStr">
        <is>
          <t>van</t>
        </is>
      </c>
      <c r="K1644" s="6">
        <f>IF(AND(H1644&gt;0,I1644&gt;0),"Rendben",IF(AND(H1644=0,I1644=0),"Nincs kép és adat",IF(H1644=0,"Nincs kép","Nincs adat")))</f>
        <v/>
      </c>
      <c r="L1644" s="6" t="inlineStr">
        <is>
          <t>Igen</t>
        </is>
      </c>
      <c r="M1644" s="7" t="inlineStr">
        <is>
          <t>Rubber Select teljes kínálata (gyártói katalógus / weboldal)</t>
        </is>
      </c>
      <c r="N1644" s="7" t="inlineStr">
        <is>
          <t>Megtalálva: a beszállító teljes kínálatából felvett termék</t>
        </is>
      </c>
      <c r="O1644" s="11" t="inlineStr">
        <is>
          <t>https://www.rubberselect.com/en/products/nrsbr-rubber-sheets/allpac-insertions</t>
        </is>
      </c>
      <c r="P1644" s="11" t="inlineStr">
        <is>
          <t>https://website-9ib.pages.dev/termek/szovetbetetes-gumilemez-nr-sbr-sbr-6-1-1-2-10/</t>
        </is>
      </c>
      <c r="Q1644" s="12" t="inlineStr"/>
      <c r="R1644" s="13" t="inlineStr"/>
      <c r="S1644" s="6" t="inlineStr">
        <is>
          <t>szovetbetetes-gumilemez-nr-sbr-sbr-6-1-1-2-10</t>
        </is>
      </c>
    </row>
    <row r="1645">
      <c r="A1645" s="6" t="inlineStr">
        <is>
          <t>SBR 6/2</t>
        </is>
      </c>
      <c r="B1645" s="7" t="inlineStr">
        <is>
          <t>Szövetbetétes gumilemez NR/SBR 6 mm, 1,2×10 mm</t>
        </is>
      </c>
      <c r="C1645" s="6" t="inlineStr">
        <is>
          <t>Gumiszőnyegek és gumilemezek</t>
        </is>
      </c>
      <c r="D1645" s="6" t="inlineStr">
        <is>
          <t>Gumilemezek (NR/SBR)</t>
        </is>
      </c>
      <c r="E1645" s="6" t="inlineStr">
        <is>
          <t>Rubber Select</t>
        </is>
      </c>
      <c r="F1645" s="6" t="inlineStr">
        <is>
          <t>SBR 6/2</t>
        </is>
      </c>
      <c r="G1645" s="6" t="inlineStr">
        <is>
          <t>Teljes kínálat</t>
        </is>
      </c>
      <c r="H1645" s="6" t="n">
        <v>1</v>
      </c>
      <c r="I1645" s="6" t="n">
        <v>11</v>
      </c>
      <c r="J1645" s="6" t="inlineStr">
        <is>
          <t>van</t>
        </is>
      </c>
      <c r="K1645" s="6">
        <f>IF(AND(H1645&gt;0,I1645&gt;0),"Rendben",IF(AND(H1645=0,I1645=0),"Nincs kép és adat",IF(H1645=0,"Nincs kép","Nincs adat")))</f>
        <v/>
      </c>
      <c r="L1645" s="6" t="inlineStr">
        <is>
          <t>Igen</t>
        </is>
      </c>
      <c r="M1645" s="7" t="inlineStr">
        <is>
          <t>Rubber Select teljes kínálata (gyártói katalógus / weboldal)</t>
        </is>
      </c>
      <c r="N1645" s="7" t="inlineStr">
        <is>
          <t>Megtalálva: a beszállító teljes kínálatából felvett termék</t>
        </is>
      </c>
      <c r="O1645" s="11" t="inlineStr">
        <is>
          <t>https://www.rubberselect.com/en/products/nrsbr-rubber-sheets/allpac-insertions</t>
        </is>
      </c>
      <c r="P1645" s="11" t="inlineStr">
        <is>
          <t>https://website-9ib.pages.dev/termek/szovetbetetes-gumilemez-nr-sbr-sbr-6-2-1-2-10/</t>
        </is>
      </c>
      <c r="Q1645" s="12" t="inlineStr"/>
      <c r="R1645" s="13" t="inlineStr"/>
      <c r="S1645" s="6" t="inlineStr">
        <is>
          <t>szovetbetetes-gumilemez-nr-sbr-sbr-6-2-1-2-10</t>
        </is>
      </c>
    </row>
    <row r="1646">
      <c r="A1646" s="6" t="inlineStr">
        <is>
          <t>SBR 6/1</t>
        </is>
      </c>
      <c r="B1646" s="7" t="inlineStr">
        <is>
          <t>Szövetbetétes gumilemez NR/SBR 6 mm, 1,4×10 mm</t>
        </is>
      </c>
      <c r="C1646" s="6" t="inlineStr">
        <is>
          <t>Gumiszőnyegek és gumilemezek</t>
        </is>
      </c>
      <c r="D1646" s="6" t="inlineStr">
        <is>
          <t>Gumilemezek (NR/SBR)</t>
        </is>
      </c>
      <c r="E1646" s="6" t="inlineStr">
        <is>
          <t>Rubber Select</t>
        </is>
      </c>
      <c r="F1646" s="6" t="inlineStr">
        <is>
          <t>SBR 6/1</t>
        </is>
      </c>
      <c r="G1646" s="6" t="inlineStr">
        <is>
          <t>Teljes kínálat</t>
        </is>
      </c>
      <c r="H1646" s="6" t="n">
        <v>1</v>
      </c>
      <c r="I1646" s="6" t="n">
        <v>11</v>
      </c>
      <c r="J1646" s="6" t="inlineStr">
        <is>
          <t>van</t>
        </is>
      </c>
      <c r="K1646" s="6">
        <f>IF(AND(H1646&gt;0,I1646&gt;0),"Rendben",IF(AND(H1646=0,I1646=0),"Nincs kép és adat",IF(H1646=0,"Nincs kép","Nincs adat")))</f>
        <v/>
      </c>
      <c r="L1646" s="6" t="inlineStr">
        <is>
          <t>Igen</t>
        </is>
      </c>
      <c r="M1646" s="7" t="inlineStr">
        <is>
          <t>Rubber Select teljes kínálata (gyártói katalógus / weboldal)</t>
        </is>
      </c>
      <c r="N1646" s="7" t="inlineStr">
        <is>
          <t>Megtalálva: a beszállító teljes kínálatából felvett termék</t>
        </is>
      </c>
      <c r="O1646" s="11" t="inlineStr">
        <is>
          <t>https://www.rubberselect.com/en/products/nrsbr-rubber-sheets/allpac-insertions</t>
        </is>
      </c>
      <c r="P1646" s="11" t="inlineStr">
        <is>
          <t>https://website-9ib.pages.dev/termek/szovetbetetes-gumilemez-nr-sbr-sbr-6-1-1-4-10/</t>
        </is>
      </c>
      <c r="Q1646" s="12" t="inlineStr"/>
      <c r="R1646" s="13" t="inlineStr"/>
      <c r="S1646" s="6" t="inlineStr">
        <is>
          <t>szovetbetetes-gumilemez-nr-sbr-sbr-6-1-1-4-10</t>
        </is>
      </c>
    </row>
    <row r="1647">
      <c r="A1647" s="6" t="inlineStr">
        <is>
          <t>SBR 6/2</t>
        </is>
      </c>
      <c r="B1647" s="7" t="inlineStr">
        <is>
          <t>Szövetbetétes gumilemez NR/SBR 6 mm, 1,4×10 mm</t>
        </is>
      </c>
      <c r="C1647" s="6" t="inlineStr">
        <is>
          <t>Gumiszőnyegek és gumilemezek</t>
        </is>
      </c>
      <c r="D1647" s="6" t="inlineStr">
        <is>
          <t>Gumilemezek (NR/SBR)</t>
        </is>
      </c>
      <c r="E1647" s="6" t="inlineStr">
        <is>
          <t>Rubber Select</t>
        </is>
      </c>
      <c r="F1647" s="6" t="inlineStr">
        <is>
          <t>SBR 6/2</t>
        </is>
      </c>
      <c r="G1647" s="6" t="inlineStr">
        <is>
          <t>Teljes kínálat</t>
        </is>
      </c>
      <c r="H1647" s="6" t="n">
        <v>1</v>
      </c>
      <c r="I1647" s="6" t="n">
        <v>11</v>
      </c>
      <c r="J1647" s="6" t="inlineStr">
        <is>
          <t>van</t>
        </is>
      </c>
      <c r="K1647" s="6">
        <f>IF(AND(H1647&gt;0,I1647&gt;0),"Rendben",IF(AND(H1647=0,I1647=0),"Nincs kép és adat",IF(H1647=0,"Nincs kép","Nincs adat")))</f>
        <v/>
      </c>
      <c r="L1647" s="6" t="inlineStr">
        <is>
          <t>Igen</t>
        </is>
      </c>
      <c r="M1647" s="7" t="inlineStr">
        <is>
          <t>Rubber Select teljes kínálata (gyártói katalógus / weboldal)</t>
        </is>
      </c>
      <c r="N1647" s="7" t="inlineStr">
        <is>
          <t>Megtalálva: a beszállító teljes kínálatából felvett termék</t>
        </is>
      </c>
      <c r="O1647" s="11" t="inlineStr">
        <is>
          <t>https://www.rubberselect.com/en/products/nrsbr-rubber-sheets/allpac-insertions</t>
        </is>
      </c>
      <c r="P1647" s="11" t="inlineStr">
        <is>
          <t>https://website-9ib.pages.dev/termek/szovetbetetes-gumilemez-nr-sbr-sbr-6-2-1-4-10/</t>
        </is>
      </c>
      <c r="Q1647" s="12" t="inlineStr"/>
      <c r="R1647" s="13" t="inlineStr"/>
      <c r="S1647" s="6" t="inlineStr">
        <is>
          <t>szovetbetetes-gumilemez-nr-sbr-sbr-6-2-1-4-10</t>
        </is>
      </c>
    </row>
    <row r="1648">
      <c r="A1648" s="6" t="inlineStr">
        <is>
          <t>SBR 8/2</t>
        </is>
      </c>
      <c r="B1648" s="7" t="inlineStr">
        <is>
          <t>Szövetbetétes gumilemez NR/SBR 8 mm, 1,2×10 mm</t>
        </is>
      </c>
      <c r="C1648" s="6" t="inlineStr">
        <is>
          <t>Gumiszőnyegek és gumilemezek</t>
        </is>
      </c>
      <c r="D1648" s="6" t="inlineStr">
        <is>
          <t>Gumilemezek (NR/SBR)</t>
        </is>
      </c>
      <c r="E1648" s="6" t="inlineStr">
        <is>
          <t>Rubber Select</t>
        </is>
      </c>
      <c r="F1648" s="6" t="inlineStr">
        <is>
          <t>SBR 8/2</t>
        </is>
      </c>
      <c r="G1648" s="6" t="inlineStr">
        <is>
          <t>Teljes kínálat</t>
        </is>
      </c>
      <c r="H1648" s="6" t="n">
        <v>1</v>
      </c>
      <c r="I1648" s="6" t="n">
        <v>11</v>
      </c>
      <c r="J1648" s="6" t="inlineStr">
        <is>
          <t>van</t>
        </is>
      </c>
      <c r="K1648" s="6">
        <f>IF(AND(H1648&gt;0,I1648&gt;0),"Rendben",IF(AND(H1648=0,I1648=0),"Nincs kép és adat",IF(H1648=0,"Nincs kép","Nincs adat")))</f>
        <v/>
      </c>
      <c r="L1648" s="6" t="inlineStr">
        <is>
          <t>Igen</t>
        </is>
      </c>
      <c r="M1648" s="7" t="inlineStr">
        <is>
          <t>Rubber Select teljes kínálata (gyártói katalógus / weboldal)</t>
        </is>
      </c>
      <c r="N1648" s="7" t="inlineStr">
        <is>
          <t>Megtalálva: a beszállító teljes kínálatából felvett termék</t>
        </is>
      </c>
      <c r="O1648" s="11" t="inlineStr">
        <is>
          <t>https://www.rubberselect.com/en/products/nrsbr-rubber-sheets/allpac-insertions</t>
        </is>
      </c>
      <c r="P1648" s="11" t="inlineStr">
        <is>
          <t>https://website-9ib.pages.dev/termek/szovetbetetes-gumilemez-nr-sbr-sbr-8-2-1-2-10/</t>
        </is>
      </c>
      <c r="Q1648" s="12" t="inlineStr"/>
      <c r="R1648" s="13" t="inlineStr"/>
      <c r="S1648" s="6" t="inlineStr">
        <is>
          <t>szovetbetetes-gumilemez-nr-sbr-sbr-8-2-1-2-10</t>
        </is>
      </c>
    </row>
    <row r="1649">
      <c r="A1649" s="6" t="inlineStr">
        <is>
          <t>SBR 8/2</t>
        </is>
      </c>
      <c r="B1649" s="7" t="inlineStr">
        <is>
          <t>Szövetbetétes gumilemez NR/SBR 8 mm, 1,4×10 mm</t>
        </is>
      </c>
      <c r="C1649" s="6" t="inlineStr">
        <is>
          <t>Gumiszőnyegek és gumilemezek</t>
        </is>
      </c>
      <c r="D1649" s="6" t="inlineStr">
        <is>
          <t>Gumilemezek (NR/SBR)</t>
        </is>
      </c>
      <c r="E1649" s="6" t="inlineStr">
        <is>
          <t>Rubber Select</t>
        </is>
      </c>
      <c r="F1649" s="6" t="inlineStr">
        <is>
          <t>SBR 8/2</t>
        </is>
      </c>
      <c r="G1649" s="6" t="inlineStr">
        <is>
          <t>Teljes kínálat</t>
        </is>
      </c>
      <c r="H1649" s="6" t="n">
        <v>1</v>
      </c>
      <c r="I1649" s="6" t="n">
        <v>11</v>
      </c>
      <c r="J1649" s="6" t="inlineStr">
        <is>
          <t>van</t>
        </is>
      </c>
      <c r="K1649" s="6">
        <f>IF(AND(H1649&gt;0,I1649&gt;0),"Rendben",IF(AND(H1649=0,I1649=0),"Nincs kép és adat",IF(H1649=0,"Nincs kép","Nincs adat")))</f>
        <v/>
      </c>
      <c r="L1649" s="6" t="inlineStr">
        <is>
          <t>Igen</t>
        </is>
      </c>
      <c r="M1649" s="7" t="inlineStr">
        <is>
          <t>Rubber Select teljes kínálata (gyártói katalógus / weboldal)</t>
        </is>
      </c>
      <c r="N1649" s="7" t="inlineStr">
        <is>
          <t>Megtalálva: a beszállító teljes kínálatából felvett termék</t>
        </is>
      </c>
      <c r="O1649" s="11" t="inlineStr">
        <is>
          <t>https://www.rubberselect.com/en/products/nrsbr-rubber-sheets/allpac-insertions</t>
        </is>
      </c>
      <c r="P1649" s="11" t="inlineStr">
        <is>
          <t>https://website-9ib.pages.dev/termek/szovetbetetes-gumilemez-nr-sbr-sbr-8-2-1-4-10/</t>
        </is>
      </c>
      <c r="Q1649" s="12" t="inlineStr"/>
      <c r="R1649" s="13" t="inlineStr"/>
      <c r="S1649" s="6" t="inlineStr">
        <is>
          <t>szovetbetetes-gumilemez-nr-sbr-sbr-8-2-1-4-10</t>
        </is>
      </c>
    </row>
    <row r="1650">
      <c r="A1650" s="6" t="inlineStr">
        <is>
          <t>SBR 8/2</t>
        </is>
      </c>
      <c r="B1650" s="7" t="inlineStr">
        <is>
          <t>Szövetbetétes gumilemez NR/SBR 8 mm, 1,4×5 mm</t>
        </is>
      </c>
      <c r="C1650" s="6" t="inlineStr">
        <is>
          <t>Gumiszőnyegek és gumilemezek</t>
        </is>
      </c>
      <c r="D1650" s="6" t="inlineStr">
        <is>
          <t>Gumilemezek (NR/SBR)</t>
        </is>
      </c>
      <c r="E1650" s="6" t="inlineStr">
        <is>
          <t>Rubber Select</t>
        </is>
      </c>
      <c r="F1650" s="6" t="inlineStr">
        <is>
          <t>SBR 8/2</t>
        </is>
      </c>
      <c r="G1650" s="6" t="inlineStr">
        <is>
          <t>Teljes kínálat</t>
        </is>
      </c>
      <c r="H1650" s="6" t="n">
        <v>1</v>
      </c>
      <c r="I1650" s="6" t="n">
        <v>11</v>
      </c>
      <c r="J1650" s="6" t="inlineStr">
        <is>
          <t>van</t>
        </is>
      </c>
      <c r="K1650" s="6">
        <f>IF(AND(H1650&gt;0,I1650&gt;0),"Rendben",IF(AND(H1650=0,I1650=0),"Nincs kép és adat",IF(H1650=0,"Nincs kép","Nincs adat")))</f>
        <v/>
      </c>
      <c r="L1650" s="6" t="inlineStr">
        <is>
          <t>Igen</t>
        </is>
      </c>
      <c r="M1650" s="7" t="inlineStr">
        <is>
          <t>Rubber Select teljes kínálata (gyártói katalógus / weboldal)</t>
        </is>
      </c>
      <c r="N1650" s="7" t="inlineStr">
        <is>
          <t>Megtalálva: a beszállító teljes kínálatából felvett termék</t>
        </is>
      </c>
      <c r="O1650" s="11" t="inlineStr">
        <is>
          <t>https://www.rubberselect.com/en/products/nrsbr-rubber-sheets/allpac-insertions</t>
        </is>
      </c>
      <c r="P1650" s="11" t="inlineStr">
        <is>
          <t>https://website-9ib.pages.dev/termek/szovetbetetes-gumilemez-nr-sbr-sbr-8-2-1-4-5/</t>
        </is>
      </c>
      <c r="Q1650" s="12" t="inlineStr"/>
      <c r="R1650" s="13" t="inlineStr"/>
      <c r="S1650" s="6" t="inlineStr">
        <is>
          <t>szovetbetetes-gumilemez-nr-sbr-sbr-8-2-1-4-5</t>
        </is>
      </c>
    </row>
    <row r="1651">
      <c r="A1651" s="6" t="inlineStr">
        <is>
          <t>LM 17/0</t>
        </is>
      </c>
      <c r="B1651" s="7" t="inlineStr">
        <is>
          <t>Utánfutó- és lószállító gumiszőnyeg 17 mm, 1550×1750 mm</t>
        </is>
      </c>
      <c r="C1651" s="6" t="inlineStr">
        <is>
          <t>Gumiszőnyegek és gumilemezek</t>
        </is>
      </c>
      <c r="D1651" s="6" t="inlineStr">
        <is>
          <t>Istálló szőnyeg</t>
        </is>
      </c>
      <c r="E1651" s="6" t="inlineStr">
        <is>
          <t>Rubber Select</t>
        </is>
      </c>
      <c r="F1651" s="6" t="inlineStr">
        <is>
          <t>LM 17/0</t>
        </is>
      </c>
      <c r="G1651" s="6" t="inlineStr">
        <is>
          <t>Teljes kínálat</t>
        </is>
      </c>
      <c r="H1651" s="6" t="n">
        <v>1</v>
      </c>
      <c r="I1651" s="6" t="n">
        <v>11</v>
      </c>
      <c r="J1651" s="6" t="inlineStr">
        <is>
          <t>van</t>
        </is>
      </c>
      <c r="K1651" s="6">
        <f>IF(AND(H1651&gt;0,I1651&gt;0),"Rendben",IF(AND(H1651=0,I1651=0),"Nincs kép és adat",IF(H1651=0,"Nincs kép","Nincs adat")))</f>
        <v/>
      </c>
      <c r="L1651" s="6" t="inlineStr">
        <is>
          <t>Igen</t>
        </is>
      </c>
      <c r="M1651" s="7" t="inlineStr">
        <is>
          <t>Rubber Select teljes kínálata (gyártói katalógus / weboldal)</t>
        </is>
      </c>
      <c r="N1651" s="7" t="inlineStr">
        <is>
          <t>Megtalálva: a beszállító teljes kínálatából felvett termék</t>
        </is>
      </c>
      <c r="O1651" s="11" t="inlineStr">
        <is>
          <t>https://www.rubberselect.com/en/products/matting/trailermat</t>
        </is>
      </c>
      <c r="P1651" s="11" t="inlineStr">
        <is>
          <t>https://website-9ib.pages.dev/termek/utanfuto-es-loszallito-gumiszonyeg-lm-17-0-1550-1750/</t>
        </is>
      </c>
      <c r="Q1651" s="12" t="inlineStr"/>
      <c r="R1651" s="13" t="inlineStr"/>
      <c r="S1651" s="6" t="inlineStr">
        <is>
          <t>utanfuto-es-loszallito-gumiszonyeg-lm-17-0-1550-1750</t>
        </is>
      </c>
    </row>
    <row r="1652">
      <c r="A1652" s="6" t="inlineStr">
        <is>
          <t>TM 27/0</t>
        </is>
      </c>
      <c r="B1652" s="7" t="inlineStr">
        <is>
          <t>Utánfutó- és lószállító gumiszőnyeg 27 mm, 1200×2400 mm</t>
        </is>
      </c>
      <c r="C1652" s="6" t="inlineStr">
        <is>
          <t>Gumiszőnyegek és gumilemezek</t>
        </is>
      </c>
      <c r="D1652" s="6" t="inlineStr">
        <is>
          <t>Istálló szőnyeg</t>
        </is>
      </c>
      <c r="E1652" s="6" t="inlineStr">
        <is>
          <t>Rubber Select</t>
        </is>
      </c>
      <c r="F1652" s="6" t="inlineStr">
        <is>
          <t>TM 27/0</t>
        </is>
      </c>
      <c r="G1652" s="6" t="inlineStr">
        <is>
          <t>Teljes kínálat</t>
        </is>
      </c>
      <c r="H1652" s="6" t="n">
        <v>1</v>
      </c>
      <c r="I1652" s="6" t="n">
        <v>11</v>
      </c>
      <c r="J1652" s="6" t="inlineStr">
        <is>
          <t>van</t>
        </is>
      </c>
      <c r="K1652" s="6">
        <f>IF(AND(H1652&gt;0,I1652&gt;0),"Rendben",IF(AND(H1652=0,I1652=0),"Nincs kép és adat",IF(H1652=0,"Nincs kép","Nincs adat")))</f>
        <v/>
      </c>
      <c r="L1652" s="6" t="inlineStr">
        <is>
          <t>Igen</t>
        </is>
      </c>
      <c r="M1652" s="7" t="inlineStr">
        <is>
          <t>Rubber Select teljes kínálata (gyártói katalógus / weboldal)</t>
        </is>
      </c>
      <c r="N1652" s="7" t="inlineStr">
        <is>
          <t>Megtalálva: a beszállító teljes kínálatából felvett termék</t>
        </is>
      </c>
      <c r="O1652" s="11" t="inlineStr">
        <is>
          <t>https://www.rubberselect.com/en/products/matting/trailermat</t>
        </is>
      </c>
      <c r="P1652" s="11" t="inlineStr">
        <is>
          <t>https://website-9ib.pages.dev/termek/utanfuto-es-loszallito-gumiszonyeg-tm-27-0-1200-2400/</t>
        </is>
      </c>
      <c r="Q1652" s="12" t="inlineStr"/>
      <c r="R1652" s="13" t="inlineStr"/>
      <c r="S1652" s="6" t="inlineStr">
        <is>
          <t>utanfuto-es-loszallito-gumiszonyeg-tm-27-0-1200-2400</t>
        </is>
      </c>
    </row>
    <row r="1653">
      <c r="A1653" s="6" t="inlineStr">
        <is>
          <t>PVC 1x1200</t>
        </is>
      </c>
      <c r="B1653" s="7" t="inlineStr">
        <is>
          <t>Víztiszta PVC lemez 1 mm, 1,2×20 mm</t>
        </is>
      </c>
      <c r="C1653" s="6" t="inlineStr">
        <is>
          <t>Gumiszőnyegek és gumilemezek</t>
        </is>
      </c>
      <c r="D1653" s="6" t="inlineStr">
        <is>
          <t>Víztiszta PVC</t>
        </is>
      </c>
      <c r="E1653" s="6" t="inlineStr">
        <is>
          <t>Rubber Select</t>
        </is>
      </c>
      <c r="F1653" s="6" t="inlineStr">
        <is>
          <t>PVC 1x1200</t>
        </is>
      </c>
      <c r="G1653" s="6" t="inlineStr">
        <is>
          <t>Teljes kínálat</t>
        </is>
      </c>
      <c r="H1653" s="6" t="n">
        <v>1</v>
      </c>
      <c r="I1653" s="6" t="n">
        <v>11</v>
      </c>
      <c r="J1653" s="6" t="inlineStr">
        <is>
          <t>van</t>
        </is>
      </c>
      <c r="K1653" s="6">
        <f>IF(AND(H1653&gt;0,I1653&gt;0),"Rendben",IF(AND(H1653=0,I1653=0),"Nincs kép és adat",IF(H1653=0,"Nincs kép","Nincs adat")))</f>
        <v/>
      </c>
      <c r="L1653" s="6" t="inlineStr">
        <is>
          <t>Igen</t>
        </is>
      </c>
      <c r="M1653" s="7" t="inlineStr">
        <is>
          <t>Rubber Select teljes kínálata (gyártói katalógus / weboldal)</t>
        </is>
      </c>
      <c r="N1653" s="7" t="inlineStr">
        <is>
          <t>Megtalálva: a beszállító teljes kínálatából felvett termék</t>
        </is>
      </c>
      <c r="O1653" s="11" t="inlineStr">
        <is>
          <t>https://www.rubberselect.com/en/products/pvc/pvc-sheeting</t>
        </is>
      </c>
      <c r="P1653" s="11" t="inlineStr">
        <is>
          <t>https://website-9ib.pages.dev/termek/viztiszta-pvc-lemez-pvc-1x1200-1-2-20/</t>
        </is>
      </c>
      <c r="Q1653" s="12" t="inlineStr"/>
      <c r="R1653" s="13" t="inlineStr"/>
      <c r="S1653" s="6" t="inlineStr">
        <is>
          <t>viztiszta-pvc-lemez-pvc-1x1200-1-2-20</t>
        </is>
      </c>
    </row>
    <row r="1654">
      <c r="A1654" s="6" t="inlineStr">
        <is>
          <t>PVC 1x1000</t>
        </is>
      </c>
      <c r="B1654" s="7" t="inlineStr">
        <is>
          <t>Víztiszta PVC lemez 1 mm, 1×20 mm</t>
        </is>
      </c>
      <c r="C1654" s="6" t="inlineStr">
        <is>
          <t>Gumiszőnyegek és gumilemezek</t>
        </is>
      </c>
      <c r="D1654" s="6" t="inlineStr">
        <is>
          <t>Víztiszta PVC</t>
        </is>
      </c>
      <c r="E1654" s="6" t="inlineStr">
        <is>
          <t>Rubber Select</t>
        </is>
      </c>
      <c r="F1654" s="6" t="inlineStr">
        <is>
          <t>PVC 1x1000</t>
        </is>
      </c>
      <c r="G1654" s="6" t="inlineStr">
        <is>
          <t>Teljes kínálat</t>
        </is>
      </c>
      <c r="H1654" s="6" t="n">
        <v>1</v>
      </c>
      <c r="I1654" s="6" t="n">
        <v>11</v>
      </c>
      <c r="J1654" s="6" t="inlineStr">
        <is>
          <t>van</t>
        </is>
      </c>
      <c r="K1654" s="6">
        <f>IF(AND(H1654&gt;0,I1654&gt;0),"Rendben",IF(AND(H1654=0,I1654=0),"Nincs kép és adat",IF(H1654=0,"Nincs kép","Nincs adat")))</f>
        <v/>
      </c>
      <c r="L1654" s="6" t="inlineStr">
        <is>
          <t>Igen</t>
        </is>
      </c>
      <c r="M1654" s="7" t="inlineStr">
        <is>
          <t>Rubber Select teljes kínálata (gyártói katalógus / weboldal)</t>
        </is>
      </c>
      <c r="N1654" s="7" t="inlineStr">
        <is>
          <t>Megtalálva: a beszállító teljes kínálatából felvett termék</t>
        </is>
      </c>
      <c r="O1654" s="11" t="inlineStr">
        <is>
          <t>https://www.rubberselect.com/en/products/pvc/pvc-sheeting</t>
        </is>
      </c>
      <c r="P1654" s="11" t="inlineStr">
        <is>
          <t>https://website-9ib.pages.dev/termek/viztiszta-pvc-lemez-pvc-1x1000-1-20/</t>
        </is>
      </c>
      <c r="Q1654" s="12" t="inlineStr"/>
      <c r="R1654" s="13" t="inlineStr"/>
      <c r="S1654" s="6" t="inlineStr">
        <is>
          <t>viztiszta-pvc-lemez-pvc-1x1000-1-20</t>
        </is>
      </c>
    </row>
    <row r="1655">
      <c r="A1655" s="6" t="inlineStr">
        <is>
          <t>PVC 2x1200</t>
        </is>
      </c>
      <c r="B1655" s="7" t="inlineStr">
        <is>
          <t>Víztiszta PVC lemez 2 mm, 1,2×20 mm</t>
        </is>
      </c>
      <c r="C1655" s="6" t="inlineStr">
        <is>
          <t>Gumiszőnyegek és gumilemezek</t>
        </is>
      </c>
      <c r="D1655" s="6" t="inlineStr">
        <is>
          <t>Víztiszta PVC</t>
        </is>
      </c>
      <c r="E1655" s="6" t="inlineStr">
        <is>
          <t>Rubber Select</t>
        </is>
      </c>
      <c r="F1655" s="6" t="inlineStr">
        <is>
          <t>PVC 2x1200</t>
        </is>
      </c>
      <c r="G1655" s="6" t="inlineStr">
        <is>
          <t>Teljes kínálat</t>
        </is>
      </c>
      <c r="H1655" s="6" t="n">
        <v>1</v>
      </c>
      <c r="I1655" s="6" t="n">
        <v>11</v>
      </c>
      <c r="J1655" s="6" t="inlineStr">
        <is>
          <t>van</t>
        </is>
      </c>
      <c r="K1655" s="6">
        <f>IF(AND(H1655&gt;0,I1655&gt;0),"Rendben",IF(AND(H1655=0,I1655=0),"Nincs kép és adat",IF(H1655=0,"Nincs kép","Nincs adat")))</f>
        <v/>
      </c>
      <c r="L1655" s="6" t="inlineStr">
        <is>
          <t>Igen</t>
        </is>
      </c>
      <c r="M1655" s="7" t="inlineStr">
        <is>
          <t>Rubber Select teljes kínálata (gyártói katalógus / weboldal)</t>
        </is>
      </c>
      <c r="N1655" s="7" t="inlineStr">
        <is>
          <t>Megtalálva: a beszállító teljes kínálatából felvett termék</t>
        </is>
      </c>
      <c r="O1655" s="11" t="inlineStr">
        <is>
          <t>https://www.rubberselect.com/en/products/pvc/pvc-sheeting</t>
        </is>
      </c>
      <c r="P1655" s="11" t="inlineStr">
        <is>
          <t>https://website-9ib.pages.dev/termek/viztiszta-pvc-lemez-pvc-2x1200-1-2-20/</t>
        </is>
      </c>
      <c r="Q1655" s="12" t="inlineStr"/>
      <c r="R1655" s="13" t="inlineStr"/>
      <c r="S1655" s="6" t="inlineStr">
        <is>
          <t>viztiszta-pvc-lemez-pvc-2x1200-1-2-20</t>
        </is>
      </c>
    </row>
    <row r="1656">
      <c r="A1656" s="6" t="inlineStr">
        <is>
          <t>PVC 2x1500</t>
        </is>
      </c>
      <c r="B1656" s="7" t="inlineStr">
        <is>
          <t>Víztiszta PVC lemez 2 mm, 1,5×20 mm</t>
        </is>
      </c>
      <c r="C1656" s="6" t="inlineStr">
        <is>
          <t>Gumiszőnyegek és gumilemezek</t>
        </is>
      </c>
      <c r="D1656" s="6" t="inlineStr">
        <is>
          <t>Víztiszta PVC</t>
        </is>
      </c>
      <c r="E1656" s="6" t="inlineStr">
        <is>
          <t>Rubber Select</t>
        </is>
      </c>
      <c r="F1656" s="6" t="inlineStr">
        <is>
          <t>PVC 2x1500</t>
        </is>
      </c>
      <c r="G1656" s="6" t="inlineStr">
        <is>
          <t>Teljes kínálat</t>
        </is>
      </c>
      <c r="H1656" s="6" t="n">
        <v>1</v>
      </c>
      <c r="I1656" s="6" t="n">
        <v>11</v>
      </c>
      <c r="J1656" s="6" t="inlineStr">
        <is>
          <t>van</t>
        </is>
      </c>
      <c r="K1656" s="6">
        <f>IF(AND(H1656&gt;0,I1656&gt;0),"Rendben",IF(AND(H1656=0,I1656=0),"Nincs kép és adat",IF(H1656=0,"Nincs kép","Nincs adat")))</f>
        <v/>
      </c>
      <c r="L1656" s="6" t="inlineStr">
        <is>
          <t>Igen</t>
        </is>
      </c>
      <c r="M1656" s="7" t="inlineStr">
        <is>
          <t>Rubber Select teljes kínálata (gyártói katalógus / weboldal)</t>
        </is>
      </c>
      <c r="N1656" s="7" t="inlineStr">
        <is>
          <t>Megtalálva: a beszállító teljes kínálatából felvett termék</t>
        </is>
      </c>
      <c r="O1656" s="11" t="inlineStr">
        <is>
          <t>https://www.rubberselect.com/en/products/pvc/pvc-sheeting</t>
        </is>
      </c>
      <c r="P1656" s="11" t="inlineStr">
        <is>
          <t>https://website-9ib.pages.dev/termek/viztiszta-pvc-lemez-pvc-2x1500-1-5-20/</t>
        </is>
      </c>
      <c r="Q1656" s="12" t="inlineStr"/>
      <c r="R1656" s="13" t="inlineStr"/>
      <c r="S1656" s="6" t="inlineStr">
        <is>
          <t>viztiszta-pvc-lemez-pvc-2x1500-1-5-20</t>
        </is>
      </c>
    </row>
    <row r="1657">
      <c r="A1657" s="6" t="inlineStr">
        <is>
          <t>PVC 2x1000</t>
        </is>
      </c>
      <c r="B1657" s="7" t="inlineStr">
        <is>
          <t>Víztiszta PVC lemez 2 mm, 1×20 mm</t>
        </is>
      </c>
      <c r="C1657" s="6" t="inlineStr">
        <is>
          <t>Gumiszőnyegek és gumilemezek</t>
        </is>
      </c>
      <c r="D1657" s="6" t="inlineStr">
        <is>
          <t>Víztiszta PVC</t>
        </is>
      </c>
      <c r="E1657" s="6" t="inlineStr">
        <is>
          <t>Rubber Select</t>
        </is>
      </c>
      <c r="F1657" s="6" t="inlineStr">
        <is>
          <t>PVC 2x1000</t>
        </is>
      </c>
      <c r="G1657" s="6" t="inlineStr">
        <is>
          <t>Teljes kínálat</t>
        </is>
      </c>
      <c r="H1657" s="6" t="n">
        <v>1</v>
      </c>
      <c r="I1657" s="6" t="n">
        <v>11</v>
      </c>
      <c r="J1657" s="6" t="inlineStr">
        <is>
          <t>van</t>
        </is>
      </c>
      <c r="K1657" s="6">
        <f>IF(AND(H1657&gt;0,I1657&gt;0),"Rendben",IF(AND(H1657=0,I1657=0),"Nincs kép és adat",IF(H1657=0,"Nincs kép","Nincs adat")))</f>
        <v/>
      </c>
      <c r="L1657" s="6" t="inlineStr">
        <is>
          <t>Igen</t>
        </is>
      </c>
      <c r="M1657" s="7" t="inlineStr">
        <is>
          <t>Rubber Select teljes kínálata (gyártói katalógus / weboldal)</t>
        </is>
      </c>
      <c r="N1657" s="7" t="inlineStr">
        <is>
          <t>Megtalálva: a beszállító teljes kínálatából felvett termék</t>
        </is>
      </c>
      <c r="O1657" s="11" t="inlineStr">
        <is>
          <t>https://www.rubberselect.com/en/products/pvc/pvc-sheeting</t>
        </is>
      </c>
      <c r="P1657" s="11" t="inlineStr">
        <is>
          <t>https://website-9ib.pages.dev/termek/viztiszta-pvc-lemez-pvc-2x1000-1-20/</t>
        </is>
      </c>
      <c r="Q1657" s="12" t="inlineStr"/>
      <c r="R1657" s="13" t="inlineStr"/>
      <c r="S1657" s="6" t="inlineStr">
        <is>
          <t>viztiszta-pvc-lemez-pvc-2x1000-1-20</t>
        </is>
      </c>
    </row>
    <row r="1658">
      <c r="A1658" s="6" t="inlineStr">
        <is>
          <t>PVC 3x1200</t>
        </is>
      </c>
      <c r="B1658" s="7" t="inlineStr">
        <is>
          <t>Víztiszta PVC lemez 3 mm, 1,2×20 mm</t>
        </is>
      </c>
      <c r="C1658" s="6" t="inlineStr">
        <is>
          <t>Gumiszőnyegek és gumilemezek</t>
        </is>
      </c>
      <c r="D1658" s="6" t="inlineStr">
        <is>
          <t>Víztiszta PVC</t>
        </is>
      </c>
      <c r="E1658" s="6" t="inlineStr">
        <is>
          <t>Rubber Select</t>
        </is>
      </c>
      <c r="F1658" s="6" t="inlineStr">
        <is>
          <t>PVC 3x1200</t>
        </is>
      </c>
      <c r="G1658" s="6" t="inlineStr">
        <is>
          <t>Teljes kínálat</t>
        </is>
      </c>
      <c r="H1658" s="6" t="n">
        <v>1</v>
      </c>
      <c r="I1658" s="6" t="n">
        <v>11</v>
      </c>
      <c r="J1658" s="6" t="inlineStr">
        <is>
          <t>van</t>
        </is>
      </c>
      <c r="K1658" s="6">
        <f>IF(AND(H1658&gt;0,I1658&gt;0),"Rendben",IF(AND(H1658=0,I1658=0),"Nincs kép és adat",IF(H1658=0,"Nincs kép","Nincs adat")))</f>
        <v/>
      </c>
      <c r="L1658" s="6" t="inlineStr">
        <is>
          <t>Igen</t>
        </is>
      </c>
      <c r="M1658" s="7" t="inlineStr">
        <is>
          <t>Rubber Select teljes kínálata (gyártói katalógus / weboldal)</t>
        </is>
      </c>
      <c r="N1658" s="7" t="inlineStr">
        <is>
          <t>Megtalálva: a beszállító teljes kínálatából felvett termék</t>
        </is>
      </c>
      <c r="O1658" s="11" t="inlineStr">
        <is>
          <t>https://www.rubberselect.com/en/products/pvc/pvc-sheeting</t>
        </is>
      </c>
      <c r="P1658" s="11" t="inlineStr">
        <is>
          <t>https://website-9ib.pages.dev/termek/viztiszta-pvc-lemez-pvc-3x1200-1-2-20/</t>
        </is>
      </c>
      <c r="Q1658" s="12" t="inlineStr"/>
      <c r="R1658" s="13" t="inlineStr"/>
      <c r="S1658" s="6" t="inlineStr">
        <is>
          <t>viztiszta-pvc-lemez-pvc-3x1200-1-2-20</t>
        </is>
      </c>
    </row>
    <row r="1659">
      <c r="A1659" s="6" t="inlineStr">
        <is>
          <t>PVC 3x1500</t>
        </is>
      </c>
      <c r="B1659" s="7" t="inlineStr">
        <is>
          <t>Víztiszta PVC lemez 3 mm, 1,5×20 mm</t>
        </is>
      </c>
      <c r="C1659" s="6" t="inlineStr">
        <is>
          <t>Gumiszőnyegek és gumilemezek</t>
        </is>
      </c>
      <c r="D1659" s="6" t="inlineStr">
        <is>
          <t>Víztiszta PVC</t>
        </is>
      </c>
      <c r="E1659" s="6" t="inlineStr">
        <is>
          <t>Rubber Select</t>
        </is>
      </c>
      <c r="F1659" s="6" t="inlineStr">
        <is>
          <t>PVC 3x1500</t>
        </is>
      </c>
      <c r="G1659" s="6" t="inlineStr">
        <is>
          <t>Teljes kínálat</t>
        </is>
      </c>
      <c r="H1659" s="6" t="n">
        <v>1</v>
      </c>
      <c r="I1659" s="6" t="n">
        <v>11</v>
      </c>
      <c r="J1659" s="6" t="inlineStr">
        <is>
          <t>van</t>
        </is>
      </c>
      <c r="K1659" s="6">
        <f>IF(AND(H1659&gt;0,I1659&gt;0),"Rendben",IF(AND(H1659=0,I1659=0),"Nincs kép és adat",IF(H1659=0,"Nincs kép","Nincs adat")))</f>
        <v/>
      </c>
      <c r="L1659" s="6" t="inlineStr">
        <is>
          <t>Igen</t>
        </is>
      </c>
      <c r="M1659" s="7" t="inlineStr">
        <is>
          <t>Rubber Select teljes kínálata (gyártói katalógus / weboldal)</t>
        </is>
      </c>
      <c r="N1659" s="7" t="inlineStr">
        <is>
          <t>Megtalálva: a beszállító teljes kínálatából felvett termék</t>
        </is>
      </c>
      <c r="O1659" s="11" t="inlineStr">
        <is>
          <t>https://www.rubberselect.com/en/products/pvc/pvc-sheeting</t>
        </is>
      </c>
      <c r="P1659" s="11" t="inlineStr">
        <is>
          <t>https://website-9ib.pages.dev/termek/viztiszta-pvc-lemez-pvc-3x1500-1-5-20/</t>
        </is>
      </c>
      <c r="Q1659" s="12" t="inlineStr"/>
      <c r="R1659" s="13" t="inlineStr"/>
      <c r="S1659" s="6" t="inlineStr">
        <is>
          <t>viztiszta-pvc-lemez-pvc-3x1500-1-5-20</t>
        </is>
      </c>
    </row>
    <row r="1660">
      <c r="A1660" s="6" t="inlineStr">
        <is>
          <t>PVC 3x1000</t>
        </is>
      </c>
      <c r="B1660" s="7" t="inlineStr">
        <is>
          <t>Víztiszta PVC lemez 3 mm, 1×20 mm</t>
        </is>
      </c>
      <c r="C1660" s="6" t="inlineStr">
        <is>
          <t>Gumiszőnyegek és gumilemezek</t>
        </is>
      </c>
      <c r="D1660" s="6" t="inlineStr">
        <is>
          <t>Víztiszta PVC</t>
        </is>
      </c>
      <c r="E1660" s="6" t="inlineStr">
        <is>
          <t>Rubber Select</t>
        </is>
      </c>
      <c r="F1660" s="6" t="inlineStr">
        <is>
          <t>PVC 3x1000</t>
        </is>
      </c>
      <c r="G1660" s="6" t="inlineStr">
        <is>
          <t>Teljes kínálat</t>
        </is>
      </c>
      <c r="H1660" s="6" t="n">
        <v>1</v>
      </c>
      <c r="I1660" s="6" t="n">
        <v>11</v>
      </c>
      <c r="J1660" s="6" t="inlineStr">
        <is>
          <t>van</t>
        </is>
      </c>
      <c r="K1660" s="6">
        <f>IF(AND(H1660&gt;0,I1660&gt;0),"Rendben",IF(AND(H1660=0,I1660=0),"Nincs kép és adat",IF(H1660=0,"Nincs kép","Nincs adat")))</f>
        <v/>
      </c>
      <c r="L1660" s="6" t="inlineStr">
        <is>
          <t>Igen</t>
        </is>
      </c>
      <c r="M1660" s="7" t="inlineStr">
        <is>
          <t>Rubber Select teljes kínálata (gyártói katalógus / weboldal)</t>
        </is>
      </c>
      <c r="N1660" s="7" t="inlineStr">
        <is>
          <t>Megtalálva: a beszállító teljes kínálatából felvett termék</t>
        </is>
      </c>
      <c r="O1660" s="11" t="inlineStr">
        <is>
          <t>https://www.rubberselect.com/en/products/pvc/pvc-sheeting</t>
        </is>
      </c>
      <c r="P1660" s="11" t="inlineStr">
        <is>
          <t>https://website-9ib.pages.dev/termek/viztiszta-pvc-lemez-pvc-3x1000-1-20/</t>
        </is>
      </c>
      <c r="Q1660" s="12" t="inlineStr"/>
      <c r="R1660" s="13" t="inlineStr"/>
      <c r="S1660" s="6" t="inlineStr">
        <is>
          <t>viztiszta-pvc-lemez-pvc-3x1000-1-20</t>
        </is>
      </c>
    </row>
    <row r="1661">
      <c r="A1661" s="6" t="inlineStr">
        <is>
          <t>PVC 4x1200</t>
        </is>
      </c>
      <c r="B1661" s="7" t="inlineStr">
        <is>
          <t>Víztiszta PVC lemez 4 mm, 1,2×20 mm</t>
        </is>
      </c>
      <c r="C1661" s="6" t="inlineStr">
        <is>
          <t>Gumiszőnyegek és gumilemezek</t>
        </is>
      </c>
      <c r="D1661" s="6" t="inlineStr">
        <is>
          <t>Víztiszta PVC</t>
        </is>
      </c>
      <c r="E1661" s="6" t="inlineStr">
        <is>
          <t>Rubber Select</t>
        </is>
      </c>
      <c r="F1661" s="6" t="inlineStr">
        <is>
          <t>PVC 4x1200</t>
        </is>
      </c>
      <c r="G1661" s="6" t="inlineStr">
        <is>
          <t>Teljes kínálat</t>
        </is>
      </c>
      <c r="H1661" s="6" t="n">
        <v>1</v>
      </c>
      <c r="I1661" s="6" t="n">
        <v>11</v>
      </c>
      <c r="J1661" s="6" t="inlineStr">
        <is>
          <t>van</t>
        </is>
      </c>
      <c r="K1661" s="6">
        <f>IF(AND(H1661&gt;0,I1661&gt;0),"Rendben",IF(AND(H1661=0,I1661=0),"Nincs kép és adat",IF(H1661=0,"Nincs kép","Nincs adat")))</f>
        <v/>
      </c>
      <c r="L1661" s="6" t="inlineStr">
        <is>
          <t>Igen</t>
        </is>
      </c>
      <c r="M1661" s="7" t="inlineStr">
        <is>
          <t>Rubber Select teljes kínálata (gyártói katalógus / weboldal)</t>
        </is>
      </c>
      <c r="N1661" s="7" t="inlineStr">
        <is>
          <t>Megtalálva: a beszállító teljes kínálatából felvett termék</t>
        </is>
      </c>
      <c r="O1661" s="11" t="inlineStr">
        <is>
          <t>https://www.rubberselect.com/en/products/pvc/pvc-sheeting</t>
        </is>
      </c>
      <c r="P1661" s="11" t="inlineStr">
        <is>
          <t>https://website-9ib.pages.dev/termek/viztiszta-pvc-lemez-pvc-4x1200-1-2-20/</t>
        </is>
      </c>
      <c r="Q1661" s="12" t="inlineStr"/>
      <c r="R1661" s="13" t="inlineStr"/>
      <c r="S1661" s="6" t="inlineStr">
        <is>
          <t>viztiszta-pvc-lemez-pvc-4x1200-1-2-20</t>
        </is>
      </c>
    </row>
    <row r="1662">
      <c r="A1662" s="6" t="inlineStr">
        <is>
          <t>PVC 4x1500</t>
        </is>
      </c>
      <c r="B1662" s="7" t="inlineStr">
        <is>
          <t>Víztiszta PVC lemez 4 mm, 1,5×20 mm</t>
        </is>
      </c>
      <c r="C1662" s="6" t="inlineStr">
        <is>
          <t>Gumiszőnyegek és gumilemezek</t>
        </is>
      </c>
      <c r="D1662" s="6" t="inlineStr">
        <is>
          <t>Víztiszta PVC</t>
        </is>
      </c>
      <c r="E1662" s="6" t="inlineStr">
        <is>
          <t>Rubber Select</t>
        </is>
      </c>
      <c r="F1662" s="6" t="inlineStr">
        <is>
          <t>PVC 4x1500</t>
        </is>
      </c>
      <c r="G1662" s="6" t="inlineStr">
        <is>
          <t>Teljes kínálat</t>
        </is>
      </c>
      <c r="H1662" s="6" t="n">
        <v>1</v>
      </c>
      <c r="I1662" s="6" t="n">
        <v>11</v>
      </c>
      <c r="J1662" s="6" t="inlineStr">
        <is>
          <t>van</t>
        </is>
      </c>
      <c r="K1662" s="6">
        <f>IF(AND(H1662&gt;0,I1662&gt;0),"Rendben",IF(AND(H1662=0,I1662=0),"Nincs kép és adat",IF(H1662=0,"Nincs kép","Nincs adat")))</f>
        <v/>
      </c>
      <c r="L1662" s="6" t="inlineStr">
        <is>
          <t>Igen</t>
        </is>
      </c>
      <c r="M1662" s="7" t="inlineStr">
        <is>
          <t>Rubber Select teljes kínálata (gyártói katalógus / weboldal)</t>
        </is>
      </c>
      <c r="N1662" s="7" t="inlineStr">
        <is>
          <t>Megtalálva: a beszállító teljes kínálatából felvett termék</t>
        </is>
      </c>
      <c r="O1662" s="11" t="inlineStr">
        <is>
          <t>https://www.rubberselect.com/en/products/pvc/pvc-sheeting</t>
        </is>
      </c>
      <c r="P1662" s="11" t="inlineStr">
        <is>
          <t>https://website-9ib.pages.dev/termek/viztiszta-pvc-lemez-pvc-4x1500-1-5-20/</t>
        </is>
      </c>
      <c r="Q1662" s="12" t="inlineStr"/>
      <c r="R1662" s="13" t="inlineStr"/>
      <c r="S1662" s="6" t="inlineStr">
        <is>
          <t>viztiszta-pvc-lemez-pvc-4x1500-1-5-20</t>
        </is>
      </c>
    </row>
    <row r="1663">
      <c r="A1663" s="6" t="inlineStr">
        <is>
          <t>PVC 4x1000</t>
        </is>
      </c>
      <c r="B1663" s="7" t="inlineStr">
        <is>
          <t>Víztiszta PVC lemez 4 mm, 1×20 mm</t>
        </is>
      </c>
      <c r="C1663" s="6" t="inlineStr">
        <is>
          <t>Gumiszőnyegek és gumilemezek</t>
        </is>
      </c>
      <c r="D1663" s="6" t="inlineStr">
        <is>
          <t>Víztiszta PVC</t>
        </is>
      </c>
      <c r="E1663" s="6" t="inlineStr">
        <is>
          <t>Rubber Select</t>
        </is>
      </c>
      <c r="F1663" s="6" t="inlineStr">
        <is>
          <t>PVC 4x1000</t>
        </is>
      </c>
      <c r="G1663" s="6" t="inlineStr">
        <is>
          <t>Teljes kínálat</t>
        </is>
      </c>
      <c r="H1663" s="6" t="n">
        <v>1</v>
      </c>
      <c r="I1663" s="6" t="n">
        <v>11</v>
      </c>
      <c r="J1663" s="6" t="inlineStr">
        <is>
          <t>van</t>
        </is>
      </c>
      <c r="K1663" s="6">
        <f>IF(AND(H1663&gt;0,I1663&gt;0),"Rendben",IF(AND(H1663=0,I1663=0),"Nincs kép és adat",IF(H1663=0,"Nincs kép","Nincs adat")))</f>
        <v/>
      </c>
      <c r="L1663" s="6" t="inlineStr">
        <is>
          <t>Igen</t>
        </is>
      </c>
      <c r="M1663" s="7" t="inlineStr">
        <is>
          <t>Rubber Select teljes kínálata (gyártói katalógus / weboldal)</t>
        </is>
      </c>
      <c r="N1663" s="7" t="inlineStr">
        <is>
          <t>Megtalálva: a beszállító teljes kínálatából felvett termék</t>
        </is>
      </c>
      <c r="O1663" s="11" t="inlineStr">
        <is>
          <t>https://www.rubberselect.com/en/products/pvc/pvc-sheeting</t>
        </is>
      </c>
      <c r="P1663" s="11" t="inlineStr">
        <is>
          <t>https://website-9ib.pages.dev/termek/viztiszta-pvc-lemez-pvc-4x1000-1-20/</t>
        </is>
      </c>
      <c r="Q1663" s="12" t="inlineStr"/>
      <c r="R1663" s="13" t="inlineStr"/>
      <c r="S1663" s="6" t="inlineStr">
        <is>
          <t>viztiszta-pvc-lemez-pvc-4x1000-1-20</t>
        </is>
      </c>
    </row>
    <row r="1664">
      <c r="A1664" s="6" t="inlineStr">
        <is>
          <t>PVC 5x1200</t>
        </is>
      </c>
      <c r="B1664" s="7" t="inlineStr">
        <is>
          <t>Víztiszta PVC lemez 5 mm, 1,2×20 mm</t>
        </is>
      </c>
      <c r="C1664" s="6" t="inlineStr">
        <is>
          <t>Gumiszőnyegek és gumilemezek</t>
        </is>
      </c>
      <c r="D1664" s="6" t="inlineStr">
        <is>
          <t>Víztiszta PVC</t>
        </is>
      </c>
      <c r="E1664" s="6" t="inlineStr">
        <is>
          <t>Rubber Select</t>
        </is>
      </c>
      <c r="F1664" s="6" t="inlineStr">
        <is>
          <t>PVC 5x1200</t>
        </is>
      </c>
      <c r="G1664" s="6" t="inlineStr">
        <is>
          <t>Teljes kínálat</t>
        </is>
      </c>
      <c r="H1664" s="6" t="n">
        <v>1</v>
      </c>
      <c r="I1664" s="6" t="n">
        <v>11</v>
      </c>
      <c r="J1664" s="6" t="inlineStr">
        <is>
          <t>van</t>
        </is>
      </c>
      <c r="K1664" s="6">
        <f>IF(AND(H1664&gt;0,I1664&gt;0),"Rendben",IF(AND(H1664=0,I1664=0),"Nincs kép és adat",IF(H1664=0,"Nincs kép","Nincs adat")))</f>
        <v/>
      </c>
      <c r="L1664" s="6" t="inlineStr">
        <is>
          <t>Igen</t>
        </is>
      </c>
      <c r="M1664" s="7" t="inlineStr">
        <is>
          <t>Rubber Select teljes kínálata (gyártói katalógus / weboldal)</t>
        </is>
      </c>
      <c r="N1664" s="7" t="inlineStr">
        <is>
          <t>Megtalálva: a beszállító teljes kínálatából felvett termék</t>
        </is>
      </c>
      <c r="O1664" s="11" t="inlineStr">
        <is>
          <t>https://www.rubberselect.com/en/products/pvc/pvc-sheeting</t>
        </is>
      </c>
      <c r="P1664" s="11" t="inlineStr">
        <is>
          <t>https://website-9ib.pages.dev/termek/viztiszta-pvc-lemez-pvc-5x1200-1-2-20/</t>
        </is>
      </c>
      <c r="Q1664" s="12" t="inlineStr"/>
      <c r="R1664" s="13" t="inlineStr"/>
      <c r="S1664" s="6" t="inlineStr">
        <is>
          <t>viztiszta-pvc-lemez-pvc-5x1200-1-2-20</t>
        </is>
      </c>
    </row>
    <row r="1665">
      <c r="A1665" s="6" t="inlineStr">
        <is>
          <t>PVC 5x1500</t>
        </is>
      </c>
      <c r="B1665" s="7" t="inlineStr">
        <is>
          <t>Víztiszta PVC lemez 5 mm, 1,5×20 mm</t>
        </is>
      </c>
      <c r="C1665" s="6" t="inlineStr">
        <is>
          <t>Gumiszőnyegek és gumilemezek</t>
        </is>
      </c>
      <c r="D1665" s="6" t="inlineStr">
        <is>
          <t>Víztiszta PVC</t>
        </is>
      </c>
      <c r="E1665" s="6" t="inlineStr">
        <is>
          <t>Rubber Select</t>
        </is>
      </c>
      <c r="F1665" s="6" t="inlineStr">
        <is>
          <t>PVC 5x1500</t>
        </is>
      </c>
      <c r="G1665" s="6" t="inlineStr">
        <is>
          <t>Teljes kínálat</t>
        </is>
      </c>
      <c r="H1665" s="6" t="n">
        <v>1</v>
      </c>
      <c r="I1665" s="6" t="n">
        <v>11</v>
      </c>
      <c r="J1665" s="6" t="inlineStr">
        <is>
          <t>van</t>
        </is>
      </c>
      <c r="K1665" s="6">
        <f>IF(AND(H1665&gt;0,I1665&gt;0),"Rendben",IF(AND(H1665=0,I1665=0),"Nincs kép és adat",IF(H1665=0,"Nincs kép","Nincs adat")))</f>
        <v/>
      </c>
      <c r="L1665" s="6" t="inlineStr">
        <is>
          <t>Igen</t>
        </is>
      </c>
      <c r="M1665" s="7" t="inlineStr">
        <is>
          <t>Rubber Select teljes kínálata (gyártói katalógus / weboldal)</t>
        </is>
      </c>
      <c r="N1665" s="7" t="inlineStr">
        <is>
          <t>Megtalálva: a beszállító teljes kínálatából felvett termék</t>
        </is>
      </c>
      <c r="O1665" s="11" t="inlineStr">
        <is>
          <t>https://www.rubberselect.com/en/products/pvc/pvc-sheeting</t>
        </is>
      </c>
      <c r="P1665" s="11" t="inlineStr">
        <is>
          <t>https://website-9ib.pages.dev/termek/viztiszta-pvc-lemez-pvc-5x1500-1-5-20/</t>
        </is>
      </c>
      <c r="Q1665" s="12" t="inlineStr"/>
      <c r="R1665" s="13" t="inlineStr"/>
      <c r="S1665" s="6" t="inlineStr">
        <is>
          <t>viztiszta-pvc-lemez-pvc-5x1500-1-5-20</t>
        </is>
      </c>
    </row>
    <row r="1666">
      <c r="A1666" s="6" t="inlineStr">
        <is>
          <t>PVC 5x1000</t>
        </is>
      </c>
      <c r="B1666" s="7" t="inlineStr">
        <is>
          <t>Víztiszta PVC lemez 5 mm, 1×20 mm</t>
        </is>
      </c>
      <c r="C1666" s="6" t="inlineStr">
        <is>
          <t>Gumiszőnyegek és gumilemezek</t>
        </is>
      </c>
      <c r="D1666" s="6" t="inlineStr">
        <is>
          <t>Víztiszta PVC</t>
        </is>
      </c>
      <c r="E1666" s="6" t="inlineStr">
        <is>
          <t>Rubber Select</t>
        </is>
      </c>
      <c r="F1666" s="6" t="inlineStr">
        <is>
          <t>PVC 5x1000</t>
        </is>
      </c>
      <c r="G1666" s="6" t="inlineStr">
        <is>
          <t>Teljes kínálat</t>
        </is>
      </c>
      <c r="H1666" s="6" t="n">
        <v>1</v>
      </c>
      <c r="I1666" s="6" t="n">
        <v>11</v>
      </c>
      <c r="J1666" s="6" t="inlineStr">
        <is>
          <t>van</t>
        </is>
      </c>
      <c r="K1666" s="6">
        <f>IF(AND(H1666&gt;0,I1666&gt;0),"Rendben",IF(AND(H1666=0,I1666=0),"Nincs kép és adat",IF(H1666=0,"Nincs kép","Nincs adat")))</f>
        <v/>
      </c>
      <c r="L1666" s="6" t="inlineStr">
        <is>
          <t>Igen</t>
        </is>
      </c>
      <c r="M1666" s="7" t="inlineStr">
        <is>
          <t>Rubber Select teljes kínálata (gyártói katalógus / weboldal)</t>
        </is>
      </c>
      <c r="N1666" s="7" t="inlineStr">
        <is>
          <t>Megtalálva: a beszállító teljes kínálatából felvett termék</t>
        </is>
      </c>
      <c r="O1666" s="11" t="inlineStr">
        <is>
          <t>https://www.rubberselect.com/en/products/pvc/pvc-sheeting</t>
        </is>
      </c>
      <c r="P1666" s="11" t="inlineStr">
        <is>
          <t>https://website-9ib.pages.dev/termek/viztiszta-pvc-lemez-pvc-5x1000-1-20/</t>
        </is>
      </c>
      <c r="Q1666" s="12" t="inlineStr"/>
      <c r="R1666" s="13" t="inlineStr"/>
      <c r="S1666" s="6" t="inlineStr">
        <is>
          <t>viztiszta-pvc-lemez-pvc-5x1000-1-20</t>
        </is>
      </c>
    </row>
    <row r="1667">
      <c r="A1667" s="6" t="inlineStr">
        <is>
          <t>PVC 7x1200</t>
        </is>
      </c>
      <c r="B1667" s="7" t="inlineStr">
        <is>
          <t>Víztiszta PVC lemez 7 mm, 1,2×10 mm</t>
        </is>
      </c>
      <c r="C1667" s="6" t="inlineStr">
        <is>
          <t>Gumiszőnyegek és gumilemezek</t>
        </is>
      </c>
      <c r="D1667" s="6" t="inlineStr">
        <is>
          <t>Víztiszta PVC</t>
        </is>
      </c>
      <c r="E1667" s="6" t="inlineStr">
        <is>
          <t>Rubber Select</t>
        </is>
      </c>
      <c r="F1667" s="6" t="inlineStr">
        <is>
          <t>PVC 7x1200</t>
        </is>
      </c>
      <c r="G1667" s="6" t="inlineStr">
        <is>
          <t>Teljes kínálat</t>
        </is>
      </c>
      <c r="H1667" s="6" t="n">
        <v>1</v>
      </c>
      <c r="I1667" s="6" t="n">
        <v>11</v>
      </c>
      <c r="J1667" s="6" t="inlineStr">
        <is>
          <t>van</t>
        </is>
      </c>
      <c r="K1667" s="6">
        <f>IF(AND(H1667&gt;0,I1667&gt;0),"Rendben",IF(AND(H1667=0,I1667=0),"Nincs kép és adat",IF(H1667=0,"Nincs kép","Nincs adat")))</f>
        <v/>
      </c>
      <c r="L1667" s="6" t="inlineStr">
        <is>
          <t>Igen</t>
        </is>
      </c>
      <c r="M1667" s="7" t="inlineStr">
        <is>
          <t>Rubber Select teljes kínálata (gyártói katalógus / weboldal)</t>
        </is>
      </c>
      <c r="N1667" s="7" t="inlineStr">
        <is>
          <t>Megtalálva: a beszállító teljes kínálatából felvett termék</t>
        </is>
      </c>
      <c r="O1667" s="11" t="inlineStr">
        <is>
          <t>https://www.rubberselect.com/en/products/pvc/pvc-sheeting</t>
        </is>
      </c>
      <c r="P1667" s="11" t="inlineStr">
        <is>
          <t>https://website-9ib.pages.dev/termek/viztiszta-pvc-lemez-pvc-7x1200-1-2-10/</t>
        </is>
      </c>
      <c r="Q1667" s="12" t="inlineStr"/>
      <c r="R1667" s="13" t="inlineStr"/>
      <c r="S1667" s="6" t="inlineStr">
        <is>
          <t>viztiszta-pvc-lemez-pvc-7x1200-1-2-10</t>
        </is>
      </c>
    </row>
    <row r="1668">
      <c r="A1668" s="6" t="inlineStr">
        <is>
          <t>PVC 7x1500</t>
        </is>
      </c>
      <c r="B1668" s="7" t="inlineStr">
        <is>
          <t>Víztiszta PVC lemez 7 mm, 1,5×10 mm</t>
        </is>
      </c>
      <c r="C1668" s="6" t="inlineStr">
        <is>
          <t>Gumiszőnyegek és gumilemezek</t>
        </is>
      </c>
      <c r="D1668" s="6" t="inlineStr">
        <is>
          <t>Víztiszta PVC</t>
        </is>
      </c>
      <c r="E1668" s="6" t="inlineStr">
        <is>
          <t>Rubber Select</t>
        </is>
      </c>
      <c r="F1668" s="6" t="inlineStr">
        <is>
          <t>PVC 7x1500</t>
        </is>
      </c>
      <c r="G1668" s="6" t="inlineStr">
        <is>
          <t>Teljes kínálat</t>
        </is>
      </c>
      <c r="H1668" s="6" t="n">
        <v>1</v>
      </c>
      <c r="I1668" s="6" t="n">
        <v>11</v>
      </c>
      <c r="J1668" s="6" t="inlineStr">
        <is>
          <t>van</t>
        </is>
      </c>
      <c r="K1668" s="6">
        <f>IF(AND(H1668&gt;0,I1668&gt;0),"Rendben",IF(AND(H1668=0,I1668=0),"Nincs kép és adat",IF(H1668=0,"Nincs kép","Nincs adat")))</f>
        <v/>
      </c>
      <c r="L1668" s="6" t="inlineStr">
        <is>
          <t>Igen</t>
        </is>
      </c>
      <c r="M1668" s="7" t="inlineStr">
        <is>
          <t>Rubber Select teljes kínálata (gyártói katalógus / weboldal)</t>
        </is>
      </c>
      <c r="N1668" s="7" t="inlineStr">
        <is>
          <t>Megtalálva: a beszállító teljes kínálatából felvett termék</t>
        </is>
      </c>
      <c r="O1668" s="11" t="inlineStr">
        <is>
          <t>https://www.rubberselect.com/en/products/pvc/pvc-sheeting</t>
        </is>
      </c>
      <c r="P1668" s="11" t="inlineStr">
        <is>
          <t>https://website-9ib.pages.dev/termek/viztiszta-pvc-lemez-pvc-7x1500-1-5-10/</t>
        </is>
      </c>
      <c r="Q1668" s="12" t="inlineStr"/>
      <c r="R1668" s="13" t="inlineStr"/>
      <c r="S1668" s="6" t="inlineStr">
        <is>
          <t>viztiszta-pvc-lemez-pvc-7x1500-1-5-10</t>
        </is>
      </c>
    </row>
    <row r="1669">
      <c r="A1669" s="6" t="inlineStr">
        <is>
          <t>PVC 7x1000</t>
        </is>
      </c>
      <c r="B1669" s="7" t="inlineStr">
        <is>
          <t>Víztiszta PVC lemez 7 mm, 1×10 mm</t>
        </is>
      </c>
      <c r="C1669" s="6" t="inlineStr">
        <is>
          <t>Gumiszőnyegek és gumilemezek</t>
        </is>
      </c>
      <c r="D1669" s="6" t="inlineStr">
        <is>
          <t>Víztiszta PVC</t>
        </is>
      </c>
      <c r="E1669" s="6" t="inlineStr">
        <is>
          <t>Rubber Select</t>
        </is>
      </c>
      <c r="F1669" s="6" t="inlineStr">
        <is>
          <t>PVC 7x1000</t>
        </is>
      </c>
      <c r="G1669" s="6" t="inlineStr">
        <is>
          <t>Teljes kínálat</t>
        </is>
      </c>
      <c r="H1669" s="6" t="n">
        <v>1</v>
      </c>
      <c r="I1669" s="6" t="n">
        <v>11</v>
      </c>
      <c r="J1669" s="6" t="inlineStr">
        <is>
          <t>van</t>
        </is>
      </c>
      <c r="K1669" s="6">
        <f>IF(AND(H1669&gt;0,I1669&gt;0),"Rendben",IF(AND(H1669=0,I1669=0),"Nincs kép és adat",IF(H1669=0,"Nincs kép","Nincs adat")))</f>
        <v/>
      </c>
      <c r="L1669" s="6" t="inlineStr">
        <is>
          <t>Igen</t>
        </is>
      </c>
      <c r="M1669" s="7" t="inlineStr">
        <is>
          <t>Rubber Select teljes kínálata (gyártói katalógus / weboldal)</t>
        </is>
      </c>
      <c r="N1669" s="7" t="inlineStr">
        <is>
          <t>Megtalálva: a beszállító teljes kínálatából felvett termék</t>
        </is>
      </c>
      <c r="O1669" s="11" t="inlineStr">
        <is>
          <t>https://www.rubberselect.com/en/products/pvc/pvc-sheeting</t>
        </is>
      </c>
      <c r="P1669" s="11" t="inlineStr">
        <is>
          <t>https://website-9ib.pages.dev/termek/viztiszta-pvc-lemez-pvc-7x1000-1-10/</t>
        </is>
      </c>
      <c r="Q1669" s="12" t="inlineStr"/>
      <c r="R1669" s="13" t="inlineStr"/>
      <c r="S1669" s="6" t="inlineStr">
        <is>
          <t>viztiszta-pvc-lemez-pvc-7x1000-1-10</t>
        </is>
      </c>
    </row>
    <row r="1670">
      <c r="A1670" s="6" t="inlineStr">
        <is>
          <t>SBC 23/0</t>
        </is>
      </c>
      <c r="B1670" s="7" t="inlineStr">
        <is>
          <t>Állattartó gumiszőnyeg 23 mm, 1830×1200 mm</t>
        </is>
      </c>
      <c r="C1670" s="6" t="inlineStr">
        <is>
          <t>Gumiszőnyegek és gumilemezek</t>
        </is>
      </c>
      <c r="D1670" s="6" t="inlineStr">
        <is>
          <t>Istálló szőnyeg</t>
        </is>
      </c>
      <c r="E1670" s="6" t="inlineStr">
        <is>
          <t>Rubber Select</t>
        </is>
      </c>
      <c r="F1670" s="6" t="inlineStr">
        <is>
          <t>SBC 23/0</t>
        </is>
      </c>
      <c r="G1670" s="6" t="inlineStr">
        <is>
          <t>Teljes kínálat</t>
        </is>
      </c>
      <c r="H1670" s="6" t="n">
        <v>1</v>
      </c>
      <c r="I1670" s="6" t="n">
        <v>11</v>
      </c>
      <c r="J1670" s="6" t="inlineStr">
        <is>
          <t>van</t>
        </is>
      </c>
      <c r="K1670" s="6">
        <f>IF(AND(H1670&gt;0,I1670&gt;0),"Rendben",IF(AND(H1670=0,I1670=0),"Nincs kép és adat",IF(H1670=0,"Nincs kép","Nincs adat")))</f>
        <v/>
      </c>
      <c r="L1670" s="6" t="inlineStr">
        <is>
          <t>Igen</t>
        </is>
      </c>
      <c r="M1670" s="7" t="inlineStr">
        <is>
          <t>Rubber Select teljes kínálata (gyártói katalógus / weboldal)</t>
        </is>
      </c>
      <c r="N1670" s="7" t="inlineStr">
        <is>
          <t>Megtalálva: a beszállító teljes kínálatából felvett termék</t>
        </is>
      </c>
      <c r="O1670" s="11" t="inlineStr">
        <is>
          <t>https://www.rubberselect.com/en/products/matting/cowmat</t>
        </is>
      </c>
      <c r="P1670" s="11" t="inlineStr">
        <is>
          <t>https://website-9ib.pages.dev/termek/allattarto-gumiszonyeg-sbc-23-0-1830-1200/</t>
        </is>
      </c>
      <c r="Q1670" s="12" t="inlineStr"/>
      <c r="R1670" s="13" t="inlineStr"/>
      <c r="S1670" s="6" t="inlineStr">
        <is>
          <t>allattarto-gumiszonyeg-sbc-23-0-1830-1200</t>
        </is>
      </c>
    </row>
    <row r="1671">
      <c r="A1671" s="6" t="inlineStr">
        <is>
          <t>RMS 14/0</t>
        </is>
      </c>
      <c r="B1671" s="7" t="inlineStr">
        <is>
          <t>Összekapcsolható lyukacsos gumiszőnyeg 14 mm, 900×900 mm</t>
        </is>
      </c>
      <c r="C1671" s="6" t="inlineStr">
        <is>
          <t>Gumiszőnyegek és gumilemezek</t>
        </is>
      </c>
      <c r="D1671" s="6" t="inlineStr">
        <is>
          <t>Lyukacsos (gyűrűs) gumiszőnyegek</t>
        </is>
      </c>
      <c r="E1671" s="6" t="inlineStr">
        <is>
          <t>Rubber Select</t>
        </is>
      </c>
      <c r="F1671" s="6" t="inlineStr">
        <is>
          <t>RMS 14/0</t>
        </is>
      </c>
      <c r="G1671" s="6" t="inlineStr">
        <is>
          <t>Teljes kínálat</t>
        </is>
      </c>
      <c r="H1671" s="6" t="n">
        <v>1</v>
      </c>
      <c r="I1671" s="6" t="n">
        <v>11</v>
      </c>
      <c r="J1671" s="6" t="inlineStr">
        <is>
          <t>van</t>
        </is>
      </c>
      <c r="K1671" s="6">
        <f>IF(AND(H1671&gt;0,I1671&gt;0),"Rendben",IF(AND(H1671=0,I1671=0),"Nincs kép és adat",IF(H1671=0,"Nincs kép","Nincs adat")))</f>
        <v/>
      </c>
      <c r="L1671" s="6" t="inlineStr">
        <is>
          <t>Igen</t>
        </is>
      </c>
      <c r="M1671" s="7" t="inlineStr">
        <is>
          <t>Rubber Select teljes kínálata (gyártói katalógus / weboldal)</t>
        </is>
      </c>
      <c r="N1671" s="7" t="inlineStr">
        <is>
          <t>Megtalálva: a beszállító teljes kínálatából felvett termék</t>
        </is>
      </c>
      <c r="O1671" s="11" t="inlineStr">
        <is>
          <t>https://www.rubberselect.com/en/products/matting/connective-ringmat</t>
        </is>
      </c>
      <c r="P1671" s="11" t="inlineStr">
        <is>
          <t>https://website-9ib.pages.dev/termek/osszekapcsolhato-lyukacsos-gumiszonyeg-rms-14-0-900-900/</t>
        </is>
      </c>
      <c r="Q1671" s="12" t="inlineStr"/>
      <c r="R1671" s="13" t="inlineStr"/>
      <c r="S1671" s="6" t="inlineStr">
        <is>
          <t>osszekapcsolhato-lyukacsos-gumiszonyeg-rms-14-0-900-900</t>
        </is>
      </c>
    </row>
    <row r="1672">
      <c r="A1672" s="6" t="inlineStr">
        <is>
          <t>CON</t>
        </is>
      </c>
      <c r="B1672" s="7" t="inlineStr">
        <is>
          <t>Összekötő elem lyukacsos gumiszőnyeghez 22 mm</t>
        </is>
      </c>
      <c r="C1672" s="6" t="inlineStr">
        <is>
          <t>Gumiszőnyegek és gumilemezek</t>
        </is>
      </c>
      <c r="D1672" s="6" t="inlineStr">
        <is>
          <t>Lyukacsos (gyűrűs) gumiszőnyegek</t>
        </is>
      </c>
      <c r="E1672" s="6" t="inlineStr">
        <is>
          <t>Rubber Select</t>
        </is>
      </c>
      <c r="F1672" s="6" t="inlineStr">
        <is>
          <t>CON</t>
        </is>
      </c>
      <c r="G1672" s="6" t="inlineStr">
        <is>
          <t>Teljes kínálat</t>
        </is>
      </c>
      <c r="H1672" s="6" t="n">
        <v>1</v>
      </c>
      <c r="I1672" s="6" t="n">
        <v>8</v>
      </c>
      <c r="J1672" s="6" t="inlineStr">
        <is>
          <t>van</t>
        </is>
      </c>
      <c r="K1672" s="6">
        <f>IF(AND(H1672&gt;0,I1672&gt;0),"Rendben",IF(AND(H1672=0,I1672=0),"Nincs kép és adat",IF(H1672=0,"Nincs kép","Nincs adat")))</f>
        <v/>
      </c>
      <c r="L1672" s="6" t="inlineStr">
        <is>
          <t>Igen</t>
        </is>
      </c>
      <c r="M1672" s="7" t="inlineStr">
        <is>
          <t>Rubber Select teljes kínálata (gyártói katalógus / weboldal)</t>
        </is>
      </c>
      <c r="N1672" s="7" t="inlineStr">
        <is>
          <t>Megtalálva: a beszállító teljes kínálatából felvett termék</t>
        </is>
      </c>
      <c r="O1672" s="11" t="inlineStr">
        <is>
          <t>https://www.rubberselect.com/en/products/matting/ring-mat-connector</t>
        </is>
      </c>
      <c r="P1672" s="11" t="inlineStr">
        <is>
          <t>https://website-9ib.pages.dev/termek/osszekoto-elem-lyukacsos-gumiszonyeghez-con/</t>
        </is>
      </c>
      <c r="Q1672" s="12" t="inlineStr"/>
      <c r="R1672" s="13" t="inlineStr"/>
      <c r="S1672" s="6" t="inlineStr">
        <is>
          <t>osszekoto-elem-lyukacsos-gumiszonyeghez-con</t>
        </is>
      </c>
    </row>
    <row r="1673">
      <c r="A1673" s="6" t="inlineStr">
        <is>
          <t>D1 137</t>
        </is>
      </c>
      <c r="B1673" s="7" t="inlineStr">
        <is>
          <t>Gumiprofil D1 137 – fekete</t>
        </is>
      </c>
      <c r="C1673" s="6" t="inlineStr">
        <is>
          <t>Gumi- és kéderprofilok</t>
        </is>
      </c>
      <c r="D1673" s="6" t="inlineStr">
        <is>
          <t>Speciális gumiprofilok</t>
        </is>
      </c>
      <c r="E1673" s="6" t="inlineStr">
        <is>
          <t>Sand-Profile</t>
        </is>
      </c>
      <c r="F1673" s="6" t="inlineStr">
        <is>
          <t>D1 137</t>
        </is>
      </c>
      <c r="G1673" s="6" t="inlineStr">
        <is>
          <t>Teljes kínálat</t>
        </is>
      </c>
      <c r="H1673" s="6" t="n">
        <v>1</v>
      </c>
      <c r="I1673" s="6" t="n">
        <v>3</v>
      </c>
      <c r="J1673" s="6" t="inlineStr">
        <is>
          <t>van</t>
        </is>
      </c>
      <c r="K1673" s="6">
        <f>IF(AND(H1673&gt;0,I1673&gt;0),"Rendben",IF(AND(H1673=0,I1673=0),"Nincs kép és adat",IF(H1673=0,"Nincs kép","Nincs adat")))</f>
        <v/>
      </c>
      <c r="L1673" s="6" t="inlineStr">
        <is>
          <t>Igen</t>
        </is>
      </c>
      <c r="M1673" s="7" t="inlineStr">
        <is>
          <t>Sand-Profile teljes kínálata (gyártói katalógus / weboldal)</t>
        </is>
      </c>
      <c r="N1673" s="7" t="inlineStr">
        <is>
          <t>Megtalálva: a beszállító teljes kínálatából felvett termék</t>
        </is>
      </c>
      <c r="O1673" s="11" t="inlineStr">
        <is>
          <t>https://www.sandprofile.com/media/gesamtkatalog_en.pdf#page=67</t>
        </is>
      </c>
      <c r="P1673" s="11" t="inlineStr">
        <is>
          <t>https://website-9ib.pages.dev/termek/sp-d1-137/</t>
        </is>
      </c>
      <c r="Q1673" s="12" t="inlineStr"/>
      <c r="R1673" s="13" t="inlineStr"/>
      <c r="S1673" s="6" t="inlineStr">
        <is>
          <t>sp-d1-137</t>
        </is>
      </c>
    </row>
    <row r="1674">
      <c r="A1674" s="6" t="inlineStr">
        <is>
          <t>D2 230</t>
        </is>
      </c>
      <c r="B1674" s="7" t="inlineStr">
        <is>
          <t>Gumiprofil D2 230 – fekete</t>
        </is>
      </c>
      <c r="C1674" s="6" t="inlineStr">
        <is>
          <t>Gumi- és kéderprofilok</t>
        </is>
      </c>
      <c r="D1674" s="6" t="inlineStr">
        <is>
          <t>Speciális gumiprofilok</t>
        </is>
      </c>
      <c r="E1674" s="6" t="inlineStr">
        <is>
          <t>Sand-Profile</t>
        </is>
      </c>
      <c r="F1674" s="6" t="inlineStr">
        <is>
          <t>D2 230</t>
        </is>
      </c>
      <c r="G1674" s="6" t="inlineStr">
        <is>
          <t>Teljes kínálat</t>
        </is>
      </c>
      <c r="H1674" s="6" t="n">
        <v>1</v>
      </c>
      <c r="I1674" s="6" t="n">
        <v>3</v>
      </c>
      <c r="J1674" s="6" t="inlineStr">
        <is>
          <t>van</t>
        </is>
      </c>
      <c r="K1674" s="6">
        <f>IF(AND(H1674&gt;0,I1674&gt;0),"Rendben",IF(AND(H1674=0,I1674=0),"Nincs kép és adat",IF(H1674=0,"Nincs kép","Nincs adat")))</f>
        <v/>
      </c>
      <c r="L1674" s="6" t="inlineStr">
        <is>
          <t>Igen</t>
        </is>
      </c>
      <c r="M1674" s="7" t="inlineStr">
        <is>
          <t>Sand-Profile teljes kínálata (gyártói katalógus / weboldal)</t>
        </is>
      </c>
      <c r="N1674" s="7" t="inlineStr">
        <is>
          <t>Megtalálva: a beszállító teljes kínálatából felvett termék</t>
        </is>
      </c>
      <c r="O1674" s="11" t="inlineStr">
        <is>
          <t>https://www.sandprofile.com/media/gesamtkatalog_en.pdf#page=67</t>
        </is>
      </c>
      <c r="P1674" s="11" t="inlineStr">
        <is>
          <t>https://website-9ib.pages.dev/termek/sp-d2-230/</t>
        </is>
      </c>
      <c r="Q1674" s="12" t="inlineStr"/>
      <c r="R1674" s="13" t="inlineStr"/>
      <c r="S1674" s="6" t="inlineStr">
        <is>
          <t>sp-d2-230</t>
        </is>
      </c>
    </row>
    <row r="1675">
      <c r="A1675" s="6" t="inlineStr">
        <is>
          <t>D2 796</t>
        </is>
      </c>
      <c r="B1675" s="7" t="inlineStr">
        <is>
          <t>Gumiprofil D2 796 – fekete</t>
        </is>
      </c>
      <c r="C1675" s="6" t="inlineStr">
        <is>
          <t>Gumi- és kéderprofilok</t>
        </is>
      </c>
      <c r="D1675" s="6" t="inlineStr">
        <is>
          <t>Speciális gumiprofilok</t>
        </is>
      </c>
      <c r="E1675" s="6" t="inlineStr">
        <is>
          <t>Sand-Profile</t>
        </is>
      </c>
      <c r="F1675" s="6" t="inlineStr">
        <is>
          <t>D2 796</t>
        </is>
      </c>
      <c r="G1675" s="6" t="inlineStr">
        <is>
          <t>Teljes kínálat</t>
        </is>
      </c>
      <c r="H1675" s="6" t="n">
        <v>1</v>
      </c>
      <c r="I1675" s="6" t="n">
        <v>3</v>
      </c>
      <c r="J1675" s="6" t="inlineStr">
        <is>
          <t>van</t>
        </is>
      </c>
      <c r="K1675" s="6">
        <f>IF(AND(H1675&gt;0,I1675&gt;0),"Rendben",IF(AND(H1675=0,I1675=0),"Nincs kép és adat",IF(H1675=0,"Nincs kép","Nincs adat")))</f>
        <v/>
      </c>
      <c r="L1675" s="6" t="inlineStr">
        <is>
          <t>Igen</t>
        </is>
      </c>
      <c r="M1675" s="7" t="inlineStr">
        <is>
          <t>Sand-Profile teljes kínálata (gyártói katalógus / weboldal)</t>
        </is>
      </c>
      <c r="N1675" s="7" t="inlineStr">
        <is>
          <t>Megtalálva: a beszállító teljes kínálatából felvett termék</t>
        </is>
      </c>
      <c r="O1675" s="11" t="inlineStr">
        <is>
          <t>https://www.sandprofile.com/media/gesamtkatalog_en.pdf#page=67</t>
        </is>
      </c>
      <c r="P1675" s="11" t="inlineStr">
        <is>
          <t>https://website-9ib.pages.dev/termek/sp-d2-796/</t>
        </is>
      </c>
      <c r="Q1675" s="12" t="inlineStr"/>
      <c r="R1675" s="13" t="inlineStr"/>
      <c r="S1675" s="6" t="inlineStr">
        <is>
          <t>sp-d2-796</t>
        </is>
      </c>
    </row>
    <row r="1676">
      <c r="A1676" s="6" t="inlineStr">
        <is>
          <t>B1 117</t>
        </is>
      </c>
      <c r="B1676" s="7" t="inlineStr">
        <is>
          <t>Kitöltő profil B1 117</t>
        </is>
      </c>
      <c r="C1676" s="6" t="inlineStr">
        <is>
          <t>Gumi- és kéderprofilok</t>
        </is>
      </c>
      <c r="D1676" s="6" t="inlineStr">
        <is>
          <t>Kitöltő (zár) profilok</t>
        </is>
      </c>
      <c r="E1676" s="6" t="inlineStr">
        <is>
          <t>Sand-Profile</t>
        </is>
      </c>
      <c r="F1676" s="6" t="inlineStr">
        <is>
          <t>B1 117</t>
        </is>
      </c>
      <c r="G1676" s="6" t="inlineStr">
        <is>
          <t>Teljes kínálat</t>
        </is>
      </c>
      <c r="H1676" s="6" t="n">
        <v>1</v>
      </c>
      <c r="I1676" s="6" t="n">
        <v>1</v>
      </c>
      <c r="J1676" s="6" t="inlineStr">
        <is>
          <t>van</t>
        </is>
      </c>
      <c r="K1676" s="6">
        <f>IF(AND(H1676&gt;0,I1676&gt;0),"Rendben",IF(AND(H1676=0,I1676=0),"Nincs kép és adat",IF(H1676=0,"Nincs kép","Nincs adat")))</f>
        <v/>
      </c>
      <c r="L1676" s="6" t="inlineStr">
        <is>
          <t>Igen</t>
        </is>
      </c>
      <c r="M1676" s="7" t="inlineStr">
        <is>
          <t>Sand-Profile teljes kínálata (gyártói katalógus / weboldal)</t>
        </is>
      </c>
      <c r="N1676" s="7" t="inlineStr">
        <is>
          <t>Megtalálva: a beszállító teljes kínálatából felvett termék</t>
        </is>
      </c>
      <c r="O1676" s="11" t="inlineStr">
        <is>
          <t>https://www.sandprofile.com/media/gesamtkatalog_en.pdf#page=54</t>
        </is>
      </c>
      <c r="P1676" s="11" t="inlineStr">
        <is>
          <t>https://website-9ib.pages.dev/termek/sp-b1-117/</t>
        </is>
      </c>
      <c r="Q1676" s="12" t="inlineStr"/>
      <c r="R1676" s="13" t="inlineStr"/>
      <c r="S1676" s="6" t="inlineStr">
        <is>
          <t>sp-b1-117</t>
        </is>
      </c>
    </row>
    <row r="1677">
      <c r="A1677" s="6" t="inlineStr">
        <is>
          <t>B1 155</t>
        </is>
      </c>
      <c r="B1677" s="7" t="inlineStr">
        <is>
          <t>Kitöltő profil B1 155</t>
        </is>
      </c>
      <c r="C1677" s="6" t="inlineStr">
        <is>
          <t>Gumi- és kéderprofilok</t>
        </is>
      </c>
      <c r="D1677" s="6" t="inlineStr">
        <is>
          <t>Kitöltő (zár) profilok</t>
        </is>
      </c>
      <c r="E1677" s="6" t="inlineStr">
        <is>
          <t>Sand-Profile</t>
        </is>
      </c>
      <c r="F1677" s="6" t="inlineStr">
        <is>
          <t>B1 155</t>
        </is>
      </c>
      <c r="G1677" s="6" t="inlineStr">
        <is>
          <t>Teljes kínálat</t>
        </is>
      </c>
      <c r="H1677" s="6" t="n">
        <v>1</v>
      </c>
      <c r="I1677" s="6" t="n">
        <v>1</v>
      </c>
      <c r="J1677" s="6" t="inlineStr">
        <is>
          <t>van</t>
        </is>
      </c>
      <c r="K1677" s="6">
        <f>IF(AND(H1677&gt;0,I1677&gt;0),"Rendben",IF(AND(H1677=0,I1677=0),"Nincs kép és adat",IF(H1677=0,"Nincs kép","Nincs adat")))</f>
        <v/>
      </c>
      <c r="L1677" s="6" t="inlineStr">
        <is>
          <t>Igen</t>
        </is>
      </c>
      <c r="M1677" s="7" t="inlineStr">
        <is>
          <t>Sand-Profile teljes kínálata (gyártói katalógus / weboldal)</t>
        </is>
      </c>
      <c r="N1677" s="7" t="inlineStr">
        <is>
          <t>Megtalálva: a beszállító teljes kínálatából felvett termék</t>
        </is>
      </c>
      <c r="O1677" s="11" t="inlineStr">
        <is>
          <t>https://www.sandprofile.com/media/gesamtkatalog_en.pdf#page=54</t>
        </is>
      </c>
      <c r="P1677" s="11" t="inlineStr">
        <is>
          <t>https://website-9ib.pages.dev/termek/sp-b1-155/</t>
        </is>
      </c>
      <c r="Q1677" s="12" t="inlineStr"/>
      <c r="R1677" s="13" t="inlineStr"/>
      <c r="S1677" s="6" t="inlineStr">
        <is>
          <t>sp-b1-155</t>
        </is>
      </c>
    </row>
    <row r="1678">
      <c r="A1678" s="6" t="inlineStr">
        <is>
          <t>B2 144</t>
        </is>
      </c>
      <c r="B1678" s="7" t="inlineStr">
        <is>
          <t>Kitöltő profil B2 144</t>
        </is>
      </c>
      <c r="C1678" s="6" t="inlineStr">
        <is>
          <t>Gumi- és kéderprofilok</t>
        </is>
      </c>
      <c r="D1678" s="6" t="inlineStr">
        <is>
          <t>Kitöltő (zár) profilok</t>
        </is>
      </c>
      <c r="E1678" s="6" t="inlineStr">
        <is>
          <t>Sand-Profile</t>
        </is>
      </c>
      <c r="F1678" s="6" t="inlineStr">
        <is>
          <t>B2 144</t>
        </is>
      </c>
      <c r="G1678" s="6" t="inlineStr">
        <is>
          <t>Teljes kínálat</t>
        </is>
      </c>
      <c r="H1678" s="6" t="n">
        <v>1</v>
      </c>
      <c r="I1678" s="6" t="n">
        <v>1</v>
      </c>
      <c r="J1678" s="6" t="inlineStr">
        <is>
          <t>van</t>
        </is>
      </c>
      <c r="K1678" s="6">
        <f>IF(AND(H1678&gt;0,I1678&gt;0),"Rendben",IF(AND(H1678=0,I1678=0),"Nincs kép és adat",IF(H1678=0,"Nincs kép","Nincs adat")))</f>
        <v/>
      </c>
      <c r="L1678" s="6" t="inlineStr">
        <is>
          <t>Igen</t>
        </is>
      </c>
      <c r="M1678" s="7" t="inlineStr">
        <is>
          <t>Sand-Profile teljes kínálata (gyártói katalógus / weboldal)</t>
        </is>
      </c>
      <c r="N1678" s="7" t="inlineStr">
        <is>
          <t>Megtalálva: a beszállító teljes kínálatából felvett termék</t>
        </is>
      </c>
      <c r="O1678" s="11" t="inlineStr">
        <is>
          <t>https://www.sandprofile.com/media/gesamtkatalog_en.pdf#page=54</t>
        </is>
      </c>
      <c r="P1678" s="11" t="inlineStr">
        <is>
          <t>https://website-9ib.pages.dev/termek/sp-b2-144/</t>
        </is>
      </c>
      <c r="Q1678" s="12" t="inlineStr"/>
      <c r="R1678" s="13" t="inlineStr"/>
      <c r="S1678" s="6" t="inlineStr">
        <is>
          <t>sp-b2-144</t>
        </is>
      </c>
    </row>
    <row r="1679">
      <c r="A1679" s="6" t="inlineStr">
        <is>
          <t>B2 149</t>
        </is>
      </c>
      <c r="B1679" s="7" t="inlineStr">
        <is>
          <t>Kitöltő profil B2 149</t>
        </is>
      </c>
      <c r="C1679" s="6" t="inlineStr">
        <is>
          <t>Gumi- és kéderprofilok</t>
        </is>
      </c>
      <c r="D1679" s="6" t="inlineStr">
        <is>
          <t>Kitöltő (zár) profilok</t>
        </is>
      </c>
      <c r="E1679" s="6" t="inlineStr">
        <is>
          <t>Sand-Profile</t>
        </is>
      </c>
      <c r="F1679" s="6" t="inlineStr">
        <is>
          <t>B2 149</t>
        </is>
      </c>
      <c r="G1679" s="6" t="inlineStr">
        <is>
          <t>Teljes kínálat</t>
        </is>
      </c>
      <c r="H1679" s="6" t="n">
        <v>1</v>
      </c>
      <c r="I1679" s="6" t="n">
        <v>1</v>
      </c>
      <c r="J1679" s="6" t="inlineStr">
        <is>
          <t>van</t>
        </is>
      </c>
      <c r="K1679" s="6">
        <f>IF(AND(H1679&gt;0,I1679&gt;0),"Rendben",IF(AND(H1679=0,I1679=0),"Nincs kép és adat",IF(H1679=0,"Nincs kép","Nincs adat")))</f>
        <v/>
      </c>
      <c r="L1679" s="6" t="inlineStr">
        <is>
          <t>Igen</t>
        </is>
      </c>
      <c r="M1679" s="7" t="inlineStr">
        <is>
          <t>Sand-Profile teljes kínálata (gyártói katalógus / weboldal)</t>
        </is>
      </c>
      <c r="N1679" s="7" t="inlineStr">
        <is>
          <t>Megtalálva: a beszállító teljes kínálatából felvett termék</t>
        </is>
      </c>
      <c r="O1679" s="11" t="inlineStr">
        <is>
          <t>https://www.sandprofile.com/media/gesamtkatalog_en.pdf#page=54</t>
        </is>
      </c>
      <c r="P1679" s="11" t="inlineStr">
        <is>
          <t>https://website-9ib.pages.dev/termek/sp-b2-149/</t>
        </is>
      </c>
      <c r="Q1679" s="12" t="inlineStr"/>
      <c r="R1679" s="13" t="inlineStr"/>
      <c r="S1679" s="6" t="inlineStr">
        <is>
          <t>sp-b2-149</t>
        </is>
      </c>
    </row>
    <row r="1680">
      <c r="A1680" s="6" t="inlineStr">
        <is>
          <t>C1 200</t>
        </is>
      </c>
      <c r="B1680" s="7" t="inlineStr">
        <is>
          <t>Kitöltő profil C1 200 – fekete</t>
        </is>
      </c>
      <c r="C1680" s="6" t="inlineStr">
        <is>
          <t>Gumi- és kéderprofilok</t>
        </is>
      </c>
      <c r="D1680" s="6" t="inlineStr">
        <is>
          <t>Kitöltő (zár) profilok</t>
        </is>
      </c>
      <c r="E1680" s="6" t="inlineStr">
        <is>
          <t>Sand-Profile</t>
        </is>
      </c>
      <c r="F1680" s="6" t="inlineStr">
        <is>
          <t>C1 200</t>
        </is>
      </c>
      <c r="G1680" s="6" t="inlineStr">
        <is>
          <t>Teljes kínálat</t>
        </is>
      </c>
      <c r="H1680" s="6" t="n">
        <v>1</v>
      </c>
      <c r="I1680" s="6" t="n">
        <v>3</v>
      </c>
      <c r="J1680" s="6" t="inlineStr">
        <is>
          <t>van</t>
        </is>
      </c>
      <c r="K1680" s="6">
        <f>IF(AND(H1680&gt;0,I1680&gt;0),"Rendben",IF(AND(H1680=0,I1680=0),"Nincs kép és adat",IF(H1680=0,"Nincs kép","Nincs adat")))</f>
        <v/>
      </c>
      <c r="L1680" s="6" t="inlineStr">
        <is>
          <t>Igen</t>
        </is>
      </c>
      <c r="M1680" s="7" t="inlineStr">
        <is>
          <t>Sand-Profile teljes kínálata (gyártói katalógus / weboldal)</t>
        </is>
      </c>
      <c r="N1680" s="7" t="inlineStr">
        <is>
          <t>Megtalálva: a beszállító teljes kínálatából felvett termék</t>
        </is>
      </c>
      <c r="O1680" s="11" t="inlineStr">
        <is>
          <t>https://www.sandprofile.com/media/gesamtkatalog_en.pdf#page=53</t>
        </is>
      </c>
      <c r="P1680" s="11" t="inlineStr">
        <is>
          <t>https://website-9ib.pages.dev/termek/sp-c1-200/</t>
        </is>
      </c>
      <c r="Q1680" s="12" t="inlineStr"/>
      <c r="R1680" s="13" t="inlineStr"/>
      <c r="S1680" s="6" t="inlineStr">
        <is>
          <t>sp-c1-200</t>
        </is>
      </c>
    </row>
    <row r="1681">
      <c r="A1681" s="6" t="inlineStr">
        <is>
          <t>C1 201</t>
        </is>
      </c>
      <c r="B1681" s="7" t="inlineStr">
        <is>
          <t>Kitöltő profil C1 201 – fekete</t>
        </is>
      </c>
      <c r="C1681" s="6" t="inlineStr">
        <is>
          <t>Gumi- és kéderprofilok</t>
        </is>
      </c>
      <c r="D1681" s="6" t="inlineStr">
        <is>
          <t>Kitöltő (zár) profilok</t>
        </is>
      </c>
      <c r="E1681" s="6" t="inlineStr">
        <is>
          <t>Sand-Profile</t>
        </is>
      </c>
      <c r="F1681" s="6" t="inlineStr">
        <is>
          <t>C1 201</t>
        </is>
      </c>
      <c r="G1681" s="6" t="inlineStr">
        <is>
          <t>Teljes kínálat</t>
        </is>
      </c>
      <c r="H1681" s="6" t="n">
        <v>0</v>
      </c>
      <c r="I1681" s="6" t="n">
        <v>3</v>
      </c>
      <c r="J1681" s="6" t="inlineStr">
        <is>
          <t>van</t>
        </is>
      </c>
      <c r="K1681" s="6">
        <f>IF(AND(H1681&gt;0,I1681&gt;0),"Rendben",IF(AND(H1681=0,I1681=0),"Nincs kép és adat",IF(H1681=0,"Nincs kép","Nincs adat")))</f>
        <v/>
      </c>
      <c r="L1681" s="6" t="inlineStr">
        <is>
          <t>Igen</t>
        </is>
      </c>
      <c r="M1681" s="7" t="inlineStr">
        <is>
          <t>Sand-Profile teljes kínálata (gyártói katalógus / weboldal)</t>
        </is>
      </c>
      <c r="N1681" s="7" t="inlineStr">
        <is>
          <t>Megtalálva: a beszállító teljes kínálatából felvett termék</t>
        </is>
      </c>
      <c r="O1681" s="11" t="inlineStr">
        <is>
          <t>https://www.sandprofile.com/media/gesamtkatalog_en.pdf#page=53</t>
        </is>
      </c>
      <c r="P1681" s="11" t="inlineStr">
        <is>
          <t>https://website-9ib.pages.dev/termek/sp-c1-201/</t>
        </is>
      </c>
      <c r="Q1681" s="12" t="inlineStr"/>
      <c r="R1681" s="13" t="inlineStr"/>
      <c r="S1681" s="6" t="inlineStr">
        <is>
          <t>sp-c1-201</t>
        </is>
      </c>
    </row>
    <row r="1682">
      <c r="A1682" s="6" t="inlineStr">
        <is>
          <t>C1 202</t>
        </is>
      </c>
      <c r="B1682" s="7" t="inlineStr">
        <is>
          <t>Kitöltő profil C1 202 – fekete</t>
        </is>
      </c>
      <c r="C1682" s="6" t="inlineStr">
        <is>
          <t>Gumi- és kéderprofilok</t>
        </is>
      </c>
      <c r="D1682" s="6" t="inlineStr">
        <is>
          <t>Kitöltő (zár) profilok</t>
        </is>
      </c>
      <c r="E1682" s="6" t="inlineStr">
        <is>
          <t>Sand-Profile</t>
        </is>
      </c>
      <c r="F1682" s="6" t="inlineStr">
        <is>
          <t>C1 202</t>
        </is>
      </c>
      <c r="G1682" s="6" t="inlineStr">
        <is>
          <t>Teljes kínálat</t>
        </is>
      </c>
      <c r="H1682" s="6" t="n">
        <v>0</v>
      </c>
      <c r="I1682" s="6" t="n">
        <v>3</v>
      </c>
      <c r="J1682" s="6" t="inlineStr">
        <is>
          <t>van</t>
        </is>
      </c>
      <c r="K1682" s="6">
        <f>IF(AND(H1682&gt;0,I1682&gt;0),"Rendben",IF(AND(H1682=0,I1682=0),"Nincs kép és adat",IF(H1682=0,"Nincs kép","Nincs adat")))</f>
        <v/>
      </c>
      <c r="L1682" s="6" t="inlineStr">
        <is>
          <t>Igen</t>
        </is>
      </c>
      <c r="M1682" s="7" t="inlineStr">
        <is>
          <t>Sand-Profile teljes kínálata (gyártói katalógus / weboldal)</t>
        </is>
      </c>
      <c r="N1682" s="7" t="inlineStr">
        <is>
          <t>Megtalálva: a beszállító teljes kínálatából felvett termék</t>
        </is>
      </c>
      <c r="O1682" s="11" t="inlineStr">
        <is>
          <t>https://www.sandprofile.com/media/gesamtkatalog_en.pdf#page=53</t>
        </is>
      </c>
      <c r="P1682" s="11" t="inlineStr">
        <is>
          <t>https://website-9ib.pages.dev/termek/sp-c1-202/</t>
        </is>
      </c>
      <c r="Q1682" s="12" t="inlineStr"/>
      <c r="R1682" s="13" t="inlineStr"/>
      <c r="S1682" s="6" t="inlineStr">
        <is>
          <t>sp-c1-202</t>
        </is>
      </c>
    </row>
    <row r="1683">
      <c r="A1683" s="6" t="inlineStr">
        <is>
          <t>C1 250</t>
        </is>
      </c>
      <c r="B1683" s="7" t="inlineStr">
        <is>
          <t>Kitöltő profil C1 250 – fekete</t>
        </is>
      </c>
      <c r="C1683" s="6" t="inlineStr">
        <is>
          <t>Gumi- és kéderprofilok</t>
        </is>
      </c>
      <c r="D1683" s="6" t="inlineStr">
        <is>
          <t>Kitöltő (zár) profilok</t>
        </is>
      </c>
      <c r="E1683" s="6" t="inlineStr">
        <is>
          <t>Sand-Profile</t>
        </is>
      </c>
      <c r="F1683" s="6" t="inlineStr">
        <is>
          <t>C1 250</t>
        </is>
      </c>
      <c r="G1683" s="6" t="inlineStr">
        <is>
          <t>Teljes kínálat</t>
        </is>
      </c>
      <c r="H1683" s="6" t="n">
        <v>0</v>
      </c>
      <c r="I1683" s="6" t="n">
        <v>3</v>
      </c>
      <c r="J1683" s="6" t="inlineStr">
        <is>
          <t>van</t>
        </is>
      </c>
      <c r="K1683" s="6">
        <f>IF(AND(H1683&gt;0,I1683&gt;0),"Rendben",IF(AND(H1683=0,I1683=0),"Nincs kép és adat",IF(H1683=0,"Nincs kép","Nincs adat")))</f>
        <v/>
      </c>
      <c r="L1683" s="6" t="inlineStr">
        <is>
          <t>Igen</t>
        </is>
      </c>
      <c r="M1683" s="7" t="inlineStr">
        <is>
          <t>Sand-Profile teljes kínálata (gyártói katalógus / weboldal)</t>
        </is>
      </c>
      <c r="N1683" s="7" t="inlineStr">
        <is>
          <t>Megtalálva: a beszállító teljes kínálatából felvett termék</t>
        </is>
      </c>
      <c r="O1683" s="11" t="inlineStr">
        <is>
          <t>https://www.sandprofile.com/media/gesamtkatalog_en.pdf#page=53</t>
        </is>
      </c>
      <c r="P1683" s="11" t="inlineStr">
        <is>
          <t>https://website-9ib.pages.dev/termek/sp-c1-250/</t>
        </is>
      </c>
      <c r="Q1683" s="12" t="inlineStr"/>
      <c r="R1683" s="13" t="inlineStr"/>
      <c r="S1683" s="6" t="inlineStr">
        <is>
          <t>sp-c1-250</t>
        </is>
      </c>
    </row>
    <row r="1684">
      <c r="A1684" s="6" t="inlineStr">
        <is>
          <t>C1 251</t>
        </is>
      </c>
      <c r="B1684" s="7" t="inlineStr">
        <is>
          <t>Kitöltő profil C1 251 – ivory</t>
        </is>
      </c>
      <c r="C1684" s="6" t="inlineStr">
        <is>
          <t>Gumi- és kéderprofilok</t>
        </is>
      </c>
      <c r="D1684" s="6" t="inlineStr">
        <is>
          <t>Kitöltő (zár) profilok</t>
        </is>
      </c>
      <c r="E1684" s="6" t="inlineStr">
        <is>
          <t>Sand-Profile</t>
        </is>
      </c>
      <c r="F1684" s="6" t="inlineStr">
        <is>
          <t>C1 251</t>
        </is>
      </c>
      <c r="G1684" s="6" t="inlineStr">
        <is>
          <t>Teljes kínálat</t>
        </is>
      </c>
      <c r="H1684" s="6" t="n">
        <v>0</v>
      </c>
      <c r="I1684" s="6" t="n">
        <v>3</v>
      </c>
      <c r="J1684" s="6" t="inlineStr">
        <is>
          <t>van</t>
        </is>
      </c>
      <c r="K1684" s="6">
        <f>IF(AND(H1684&gt;0,I1684&gt;0),"Rendben",IF(AND(H1684=0,I1684=0),"Nincs kép és adat",IF(H1684=0,"Nincs kép","Nincs adat")))</f>
        <v/>
      </c>
      <c r="L1684" s="6" t="inlineStr">
        <is>
          <t>Igen</t>
        </is>
      </c>
      <c r="M1684" s="7" t="inlineStr">
        <is>
          <t>Sand-Profile teljes kínálata (gyártói katalógus / weboldal)</t>
        </is>
      </c>
      <c r="N1684" s="7" t="inlineStr">
        <is>
          <t>Megtalálva: a beszállító teljes kínálatából felvett termék</t>
        </is>
      </c>
      <c r="O1684" s="11" t="inlineStr">
        <is>
          <t>https://www.sandprofile.com/media/gesamtkatalog_en.pdf#page=53</t>
        </is>
      </c>
      <c r="P1684" s="11" t="inlineStr">
        <is>
          <t>https://website-9ib.pages.dev/termek/sp-c1-251/</t>
        </is>
      </c>
      <c r="Q1684" s="12" t="inlineStr"/>
      <c r="R1684" s="13" t="inlineStr"/>
      <c r="S1684" s="6" t="inlineStr">
        <is>
          <t>sp-c1-251</t>
        </is>
      </c>
    </row>
    <row r="1685">
      <c r="A1685" s="6" t="inlineStr">
        <is>
          <t>C1 252</t>
        </is>
      </c>
      <c r="B1685" s="7" t="inlineStr">
        <is>
          <t>Kitöltő profil C1 252 – ezüst</t>
        </is>
      </c>
      <c r="C1685" s="6" t="inlineStr">
        <is>
          <t>Gumi- és kéderprofilok</t>
        </is>
      </c>
      <c r="D1685" s="6" t="inlineStr">
        <is>
          <t>Kitöltő (zár) profilok</t>
        </is>
      </c>
      <c r="E1685" s="6" t="inlineStr">
        <is>
          <t>Sand-Profile</t>
        </is>
      </c>
      <c r="F1685" s="6" t="inlineStr">
        <is>
          <t>C1 252</t>
        </is>
      </c>
      <c r="G1685" s="6" t="inlineStr">
        <is>
          <t>Teljes kínálat</t>
        </is>
      </c>
      <c r="H1685" s="6" t="n">
        <v>0</v>
      </c>
      <c r="I1685" s="6" t="n">
        <v>3</v>
      </c>
      <c r="J1685" s="6" t="inlineStr">
        <is>
          <t>van</t>
        </is>
      </c>
      <c r="K1685" s="6">
        <f>IF(AND(H1685&gt;0,I1685&gt;0),"Rendben",IF(AND(H1685=0,I1685=0),"Nincs kép és adat",IF(H1685=0,"Nincs kép","Nincs adat")))</f>
        <v/>
      </c>
      <c r="L1685" s="6" t="inlineStr">
        <is>
          <t>Igen</t>
        </is>
      </c>
      <c r="M1685" s="7" t="inlineStr">
        <is>
          <t>Sand-Profile teljes kínálata (gyártói katalógus / weboldal)</t>
        </is>
      </c>
      <c r="N1685" s="7" t="inlineStr">
        <is>
          <t>Megtalálva: a beszállító teljes kínálatából felvett termék</t>
        </is>
      </c>
      <c r="O1685" s="11" t="inlineStr">
        <is>
          <t>https://www.sandprofile.com/media/gesamtkatalog_en.pdf#page=53</t>
        </is>
      </c>
      <c r="P1685" s="11" t="inlineStr">
        <is>
          <t>https://website-9ib.pages.dev/termek/sp-c1-252/</t>
        </is>
      </c>
      <c r="Q1685" s="12" t="inlineStr"/>
      <c r="R1685" s="13" t="inlineStr"/>
      <c r="S1685" s="6" t="inlineStr">
        <is>
          <t>sp-c1-252</t>
        </is>
      </c>
    </row>
    <row r="1686">
      <c r="A1686" s="6" t="inlineStr">
        <is>
          <t>C1 253</t>
        </is>
      </c>
      <c r="B1686" s="7" t="inlineStr">
        <is>
          <t>Kitöltő profil C1 253 – piros</t>
        </is>
      </c>
      <c r="C1686" s="6" t="inlineStr">
        <is>
          <t>Gumi- és kéderprofilok</t>
        </is>
      </c>
      <c r="D1686" s="6" t="inlineStr">
        <is>
          <t>Kitöltő (zár) profilok</t>
        </is>
      </c>
      <c r="E1686" s="6" t="inlineStr">
        <is>
          <t>Sand-Profile</t>
        </is>
      </c>
      <c r="F1686" s="6" t="inlineStr">
        <is>
          <t>C1 253</t>
        </is>
      </c>
      <c r="G1686" s="6" t="inlineStr">
        <is>
          <t>Teljes kínálat</t>
        </is>
      </c>
      <c r="H1686" s="6" t="n">
        <v>0</v>
      </c>
      <c r="I1686" s="6" t="n">
        <v>3</v>
      </c>
      <c r="J1686" s="6" t="inlineStr">
        <is>
          <t>van</t>
        </is>
      </c>
      <c r="K1686" s="6">
        <f>IF(AND(H1686&gt;0,I1686&gt;0),"Rendben",IF(AND(H1686=0,I1686=0),"Nincs kép és adat",IF(H1686=0,"Nincs kép","Nincs adat")))</f>
        <v/>
      </c>
      <c r="L1686" s="6" t="inlineStr">
        <is>
          <t>Igen</t>
        </is>
      </c>
      <c r="M1686" s="7" t="inlineStr">
        <is>
          <t>Sand-Profile teljes kínálata (gyártói katalógus / weboldal)</t>
        </is>
      </c>
      <c r="N1686" s="7" t="inlineStr">
        <is>
          <t>Megtalálva: a beszállító teljes kínálatából felvett termék</t>
        </is>
      </c>
      <c r="O1686" s="11" t="inlineStr">
        <is>
          <t>https://www.sandprofile.com/media/gesamtkatalog_en.pdf#page=53</t>
        </is>
      </c>
      <c r="P1686" s="11" t="inlineStr">
        <is>
          <t>https://website-9ib.pages.dev/termek/sp-c1-253/</t>
        </is>
      </c>
      <c r="Q1686" s="12" t="inlineStr"/>
      <c r="R1686" s="13" t="inlineStr"/>
      <c r="S1686" s="6" t="inlineStr">
        <is>
          <t>sp-c1-253</t>
        </is>
      </c>
    </row>
    <row r="1687">
      <c r="A1687" s="6" t="inlineStr">
        <is>
          <t>D1 010</t>
        </is>
      </c>
      <c r="B1687" s="7" t="inlineStr">
        <is>
          <t>Kitöltő profil D1 010 – fekete</t>
        </is>
      </c>
      <c r="C1687" s="6" t="inlineStr">
        <is>
          <t>Gumi- és kéderprofilok</t>
        </is>
      </c>
      <c r="D1687" s="6" t="inlineStr">
        <is>
          <t>Kitöltő (zár) profilok</t>
        </is>
      </c>
      <c r="E1687" s="6" t="inlineStr">
        <is>
          <t>Sand-Profile</t>
        </is>
      </c>
      <c r="F1687" s="6" t="inlineStr">
        <is>
          <t>D1 010</t>
        </is>
      </c>
      <c r="G1687" s="6" t="inlineStr">
        <is>
          <t>Teljes kínálat</t>
        </is>
      </c>
      <c r="H1687" s="6" t="n">
        <v>1</v>
      </c>
      <c r="I1687" s="6" t="n">
        <v>3</v>
      </c>
      <c r="J1687" s="6" t="inlineStr">
        <is>
          <t>van</t>
        </is>
      </c>
      <c r="K1687" s="6">
        <f>IF(AND(H1687&gt;0,I1687&gt;0),"Rendben",IF(AND(H1687=0,I1687=0),"Nincs kép és adat",IF(H1687=0,"Nincs kép","Nincs adat")))</f>
        <v/>
      </c>
      <c r="L1687" s="6" t="inlineStr">
        <is>
          <t>Igen</t>
        </is>
      </c>
      <c r="M1687" s="7" t="inlineStr">
        <is>
          <t>Sand-Profile teljes kínálata (gyártói katalógus / weboldal)</t>
        </is>
      </c>
      <c r="N1687" s="7" t="inlineStr">
        <is>
          <t>Megtalálva: a beszállító teljes kínálatából felvett termék</t>
        </is>
      </c>
      <c r="O1687" s="11" t="inlineStr">
        <is>
          <t>https://www.sandprofile.com/media/gesamtkatalog_en.pdf#page=56</t>
        </is>
      </c>
      <c r="P1687" s="11" t="inlineStr">
        <is>
          <t>https://website-9ib.pages.dev/termek/sp-d1-010/</t>
        </is>
      </c>
      <c r="Q1687" s="12" t="inlineStr"/>
      <c r="R1687" s="13" t="inlineStr"/>
      <c r="S1687" s="6" t="inlineStr">
        <is>
          <t>sp-d1-010</t>
        </is>
      </c>
    </row>
    <row r="1688">
      <c r="A1688" s="6" t="inlineStr">
        <is>
          <t>D1 011</t>
        </is>
      </c>
      <c r="B1688" s="7" t="inlineStr">
        <is>
          <t>Kitöltő profil D1 011 – schwarz</t>
        </is>
      </c>
      <c r="C1688" s="6" t="inlineStr">
        <is>
          <t>Gumi- és kéderprofilok</t>
        </is>
      </c>
      <c r="D1688" s="6" t="inlineStr">
        <is>
          <t>Kitöltő (zár) profilok</t>
        </is>
      </c>
      <c r="E1688" s="6" t="inlineStr">
        <is>
          <t>Sand-Profile</t>
        </is>
      </c>
      <c r="F1688" s="6" t="inlineStr">
        <is>
          <t>D1 011</t>
        </is>
      </c>
      <c r="G1688" s="6" t="inlineStr">
        <is>
          <t>Teljes kínálat</t>
        </is>
      </c>
      <c r="H1688" s="6" t="n">
        <v>1</v>
      </c>
      <c r="I1688" s="6" t="n">
        <v>3</v>
      </c>
      <c r="J1688" s="6" t="inlineStr">
        <is>
          <t>van</t>
        </is>
      </c>
      <c r="K1688" s="6">
        <f>IF(AND(H1688&gt;0,I1688&gt;0),"Rendben",IF(AND(H1688=0,I1688=0),"Nincs kép és adat",IF(H1688=0,"Nincs kép","Nincs adat")))</f>
        <v/>
      </c>
      <c r="L1688" s="6" t="inlineStr">
        <is>
          <t>Igen</t>
        </is>
      </c>
      <c r="M1688" s="7" t="inlineStr">
        <is>
          <t>Sand-Profile teljes kínálata (gyártói katalógus / weboldal)</t>
        </is>
      </c>
      <c r="N1688" s="7" t="inlineStr">
        <is>
          <t>Megtalálva: a beszállító teljes kínálatából felvett termék</t>
        </is>
      </c>
      <c r="O1688" s="11" t="inlineStr">
        <is>
          <t>https://www.sandprofile.com/media/gesamtkatalog_en.pdf#page=56</t>
        </is>
      </c>
      <c r="P1688" s="11" t="inlineStr">
        <is>
          <t>https://website-9ib.pages.dev/termek/sp-d1-011/</t>
        </is>
      </c>
      <c r="Q1688" s="12" t="inlineStr"/>
      <c r="R1688" s="13" t="inlineStr"/>
      <c r="S1688" s="6" t="inlineStr">
        <is>
          <t>sp-d1-011</t>
        </is>
      </c>
    </row>
    <row r="1689">
      <c r="A1689" s="6" t="inlineStr">
        <is>
          <t>D1 012</t>
        </is>
      </c>
      <c r="B1689" s="7" t="inlineStr">
        <is>
          <t>Kitöltő profil D1 012 – fekete</t>
        </is>
      </c>
      <c r="C1689" s="6" t="inlineStr">
        <is>
          <t>Gumi- és kéderprofilok</t>
        </is>
      </c>
      <c r="D1689" s="6" t="inlineStr">
        <is>
          <t>Kitöltő (zár) profilok</t>
        </is>
      </c>
      <c r="E1689" s="6" t="inlineStr">
        <is>
          <t>Sand-Profile</t>
        </is>
      </c>
      <c r="F1689" s="6" t="inlineStr">
        <is>
          <t>D1 012</t>
        </is>
      </c>
      <c r="G1689" s="6" t="inlineStr">
        <is>
          <t>Teljes kínálat</t>
        </is>
      </c>
      <c r="H1689" s="6" t="n">
        <v>1</v>
      </c>
      <c r="I1689" s="6" t="n">
        <v>3</v>
      </c>
      <c r="J1689" s="6" t="inlineStr">
        <is>
          <t>van</t>
        </is>
      </c>
      <c r="K1689" s="6">
        <f>IF(AND(H1689&gt;0,I1689&gt;0),"Rendben",IF(AND(H1689=0,I1689=0),"Nincs kép és adat",IF(H1689=0,"Nincs kép","Nincs adat")))</f>
        <v/>
      </c>
      <c r="L1689" s="6" t="inlineStr">
        <is>
          <t>Igen</t>
        </is>
      </c>
      <c r="M1689" s="7" t="inlineStr">
        <is>
          <t>Sand-Profile teljes kínálata (gyártói katalógus / weboldal)</t>
        </is>
      </c>
      <c r="N1689" s="7" t="inlineStr">
        <is>
          <t>Megtalálva: a beszállító teljes kínálatából felvett termék</t>
        </is>
      </c>
      <c r="O1689" s="11" t="inlineStr">
        <is>
          <t>https://www.sandprofile.com/media/gesamtkatalog_en.pdf#page=56</t>
        </is>
      </c>
      <c r="P1689" s="11" t="inlineStr">
        <is>
          <t>https://website-9ib.pages.dev/termek/sp-d1-012/</t>
        </is>
      </c>
      <c r="Q1689" s="12" t="inlineStr"/>
      <c r="R1689" s="13" t="inlineStr"/>
      <c r="S1689" s="6" t="inlineStr">
        <is>
          <t>sp-d1-012</t>
        </is>
      </c>
    </row>
    <row r="1690">
      <c r="A1690" s="6" t="inlineStr">
        <is>
          <t>D1 013</t>
        </is>
      </c>
      <c r="B1690" s="7" t="inlineStr">
        <is>
          <t>Kitöltő profil D1 013 – fekete</t>
        </is>
      </c>
      <c r="C1690" s="6" t="inlineStr">
        <is>
          <t>Gumi- és kéderprofilok</t>
        </is>
      </c>
      <c r="D1690" s="6" t="inlineStr">
        <is>
          <t>Kitöltő (zár) profilok</t>
        </is>
      </c>
      <c r="E1690" s="6" t="inlineStr">
        <is>
          <t>Sand-Profile</t>
        </is>
      </c>
      <c r="F1690" s="6" t="inlineStr">
        <is>
          <t>D1 013</t>
        </is>
      </c>
      <c r="G1690" s="6" t="inlineStr">
        <is>
          <t>Teljes kínálat</t>
        </is>
      </c>
      <c r="H1690" s="6" t="n">
        <v>1</v>
      </c>
      <c r="I1690" s="6" t="n">
        <v>3</v>
      </c>
      <c r="J1690" s="6" t="inlineStr">
        <is>
          <t>van</t>
        </is>
      </c>
      <c r="K1690" s="6">
        <f>IF(AND(H1690&gt;0,I1690&gt;0),"Rendben",IF(AND(H1690=0,I1690=0),"Nincs kép és adat",IF(H1690=0,"Nincs kép","Nincs adat")))</f>
        <v/>
      </c>
      <c r="L1690" s="6" t="inlineStr">
        <is>
          <t>Igen</t>
        </is>
      </c>
      <c r="M1690" s="7" t="inlineStr">
        <is>
          <t>Sand-Profile teljes kínálata (gyártói katalógus / weboldal)</t>
        </is>
      </c>
      <c r="N1690" s="7" t="inlineStr">
        <is>
          <t>Megtalálva: a beszállító teljes kínálatából felvett termék</t>
        </is>
      </c>
      <c r="O1690" s="11" t="inlineStr">
        <is>
          <t>https://www.sandprofile.com/media/gesamtkatalog_en.pdf#page=55</t>
        </is>
      </c>
      <c r="P1690" s="11" t="inlineStr">
        <is>
          <t>https://website-9ib.pages.dev/termek/sp-d1-013/</t>
        </is>
      </c>
      <c r="Q1690" s="12" t="inlineStr"/>
      <c r="R1690" s="13" t="inlineStr"/>
      <c r="S1690" s="6" t="inlineStr">
        <is>
          <t>sp-d1-013</t>
        </is>
      </c>
    </row>
    <row r="1691">
      <c r="A1691" s="6" t="inlineStr">
        <is>
          <t>D1 014</t>
        </is>
      </c>
      <c r="B1691" s="7" t="inlineStr">
        <is>
          <t>Kitöltő profil D1 014 – fekete</t>
        </is>
      </c>
      <c r="C1691" s="6" t="inlineStr">
        <is>
          <t>Gumi- és kéderprofilok</t>
        </is>
      </c>
      <c r="D1691" s="6" t="inlineStr">
        <is>
          <t>Kitöltő (zár) profilok</t>
        </is>
      </c>
      <c r="E1691" s="6" t="inlineStr">
        <is>
          <t>Sand-Profile</t>
        </is>
      </c>
      <c r="F1691" s="6" t="inlineStr">
        <is>
          <t>D1 014</t>
        </is>
      </c>
      <c r="G1691" s="6" t="inlineStr">
        <is>
          <t>Teljes kínálat</t>
        </is>
      </c>
      <c r="H1691" s="6" t="n">
        <v>1</v>
      </c>
      <c r="I1691" s="6" t="n">
        <v>3</v>
      </c>
      <c r="J1691" s="6" t="inlineStr">
        <is>
          <t>van</t>
        </is>
      </c>
      <c r="K1691" s="6">
        <f>IF(AND(H1691&gt;0,I1691&gt;0),"Rendben",IF(AND(H1691=0,I1691=0),"Nincs kép és adat",IF(H1691=0,"Nincs kép","Nincs adat")))</f>
        <v/>
      </c>
      <c r="L1691" s="6" t="inlineStr">
        <is>
          <t>Igen</t>
        </is>
      </c>
      <c r="M1691" s="7" t="inlineStr">
        <is>
          <t>Sand-Profile teljes kínálata (gyártói katalógus / weboldal)</t>
        </is>
      </c>
      <c r="N1691" s="7" t="inlineStr">
        <is>
          <t>Megtalálva: a beszállító teljes kínálatából felvett termék</t>
        </is>
      </c>
      <c r="O1691" s="11" t="inlineStr">
        <is>
          <t>https://www.sandprofile.com/media/gesamtkatalog_en.pdf#page=57</t>
        </is>
      </c>
      <c r="P1691" s="11" t="inlineStr">
        <is>
          <t>https://website-9ib.pages.dev/termek/sp-d1-014/</t>
        </is>
      </c>
      <c r="Q1691" s="12" t="inlineStr"/>
      <c r="R1691" s="13" t="inlineStr"/>
      <c r="S1691" s="6" t="inlineStr">
        <is>
          <t>sp-d1-014</t>
        </is>
      </c>
    </row>
    <row r="1692">
      <c r="A1692" s="6" t="inlineStr">
        <is>
          <t>D1 015</t>
        </is>
      </c>
      <c r="B1692" s="7" t="inlineStr">
        <is>
          <t>Kitöltő profil D1 015 – fekete</t>
        </is>
      </c>
      <c r="C1692" s="6" t="inlineStr">
        <is>
          <t>Gumi- és kéderprofilok</t>
        </is>
      </c>
      <c r="D1692" s="6" t="inlineStr">
        <is>
          <t>Kitöltő (zár) profilok</t>
        </is>
      </c>
      <c r="E1692" s="6" t="inlineStr">
        <is>
          <t>Sand-Profile</t>
        </is>
      </c>
      <c r="F1692" s="6" t="inlineStr">
        <is>
          <t>D1 015</t>
        </is>
      </c>
      <c r="G1692" s="6" t="inlineStr">
        <is>
          <t>Teljes kínálat</t>
        </is>
      </c>
      <c r="H1692" s="6" t="n">
        <v>1</v>
      </c>
      <c r="I1692" s="6" t="n">
        <v>3</v>
      </c>
      <c r="J1692" s="6" t="inlineStr">
        <is>
          <t>van</t>
        </is>
      </c>
      <c r="K1692" s="6">
        <f>IF(AND(H1692&gt;0,I1692&gt;0),"Rendben",IF(AND(H1692=0,I1692=0),"Nincs kép és adat",IF(H1692=0,"Nincs kép","Nincs adat")))</f>
        <v/>
      </c>
      <c r="L1692" s="6" t="inlineStr">
        <is>
          <t>Igen</t>
        </is>
      </c>
      <c r="M1692" s="7" t="inlineStr">
        <is>
          <t>Sand-Profile teljes kínálata (gyártói katalógus / weboldal)</t>
        </is>
      </c>
      <c r="N1692" s="7" t="inlineStr">
        <is>
          <t>Megtalálva: a beszállító teljes kínálatából felvett termék</t>
        </is>
      </c>
      <c r="O1692" s="11" t="inlineStr">
        <is>
          <t>https://www.sandprofile.com/media/gesamtkatalog_en.pdf#page=57</t>
        </is>
      </c>
      <c r="P1692" s="11" t="inlineStr">
        <is>
          <t>https://website-9ib.pages.dev/termek/sp-d1-015/</t>
        </is>
      </c>
      <c r="Q1692" s="12" t="inlineStr"/>
      <c r="R1692" s="13" t="inlineStr"/>
      <c r="S1692" s="6" t="inlineStr">
        <is>
          <t>sp-d1-015</t>
        </is>
      </c>
    </row>
    <row r="1693">
      <c r="A1693" s="6" t="inlineStr">
        <is>
          <t>D1 020</t>
        </is>
      </c>
      <c r="B1693" s="7" t="inlineStr">
        <is>
          <t>Kitöltő profil D1 020 – fekete</t>
        </is>
      </c>
      <c r="C1693" s="6" t="inlineStr">
        <is>
          <t>Gumi- és kéderprofilok</t>
        </is>
      </c>
      <c r="D1693" s="6" t="inlineStr">
        <is>
          <t>Kitöltő (zár) profilok</t>
        </is>
      </c>
      <c r="E1693" s="6" t="inlineStr">
        <is>
          <t>Sand-Profile</t>
        </is>
      </c>
      <c r="F1693" s="6" t="inlineStr">
        <is>
          <t>D1 020</t>
        </is>
      </c>
      <c r="G1693" s="6" t="inlineStr">
        <is>
          <t>Teljes kínálat</t>
        </is>
      </c>
      <c r="H1693" s="6" t="n">
        <v>1</v>
      </c>
      <c r="I1693" s="6" t="n">
        <v>3</v>
      </c>
      <c r="J1693" s="6" t="inlineStr">
        <is>
          <t>van</t>
        </is>
      </c>
      <c r="K1693" s="6">
        <f>IF(AND(H1693&gt;0,I1693&gt;0),"Rendben",IF(AND(H1693=0,I1693=0),"Nincs kép és adat",IF(H1693=0,"Nincs kép","Nincs adat")))</f>
        <v/>
      </c>
      <c r="L1693" s="6" t="inlineStr">
        <is>
          <t>Igen</t>
        </is>
      </c>
      <c r="M1693" s="7" t="inlineStr">
        <is>
          <t>Sand-Profile teljes kínálata (gyártói katalógus / weboldal)</t>
        </is>
      </c>
      <c r="N1693" s="7" t="inlineStr">
        <is>
          <t>Megtalálva: a beszállító teljes kínálatából felvett termék</t>
        </is>
      </c>
      <c r="O1693" s="11" t="inlineStr">
        <is>
          <t>https://www.sandprofile.com/media/gesamtkatalog_en.pdf#page=56</t>
        </is>
      </c>
      <c r="P1693" s="11" t="inlineStr">
        <is>
          <t>https://website-9ib.pages.dev/termek/sp-d1-020/</t>
        </is>
      </c>
      <c r="Q1693" s="12" t="inlineStr"/>
      <c r="R1693" s="13" t="inlineStr"/>
      <c r="S1693" s="6" t="inlineStr">
        <is>
          <t>sp-d1-020</t>
        </is>
      </c>
    </row>
    <row r="1694">
      <c r="A1694" s="6" t="inlineStr">
        <is>
          <t>D1 021</t>
        </is>
      </c>
      <c r="B1694" s="7" t="inlineStr">
        <is>
          <t>Kitöltő profil D1 021 – fekete</t>
        </is>
      </c>
      <c r="C1694" s="6" t="inlineStr">
        <is>
          <t>Gumi- és kéderprofilok</t>
        </is>
      </c>
      <c r="D1694" s="6" t="inlineStr">
        <is>
          <t>Kitöltő (zár) profilok</t>
        </is>
      </c>
      <c r="E1694" s="6" t="inlineStr">
        <is>
          <t>Sand-Profile</t>
        </is>
      </c>
      <c r="F1694" s="6" t="inlineStr">
        <is>
          <t>D1 021</t>
        </is>
      </c>
      <c r="G1694" s="6" t="inlineStr">
        <is>
          <t>Teljes kínálat</t>
        </is>
      </c>
      <c r="H1694" s="6" t="n">
        <v>1</v>
      </c>
      <c r="I1694" s="6" t="n">
        <v>3</v>
      </c>
      <c r="J1694" s="6" t="inlineStr">
        <is>
          <t>van</t>
        </is>
      </c>
      <c r="K1694" s="6">
        <f>IF(AND(H1694&gt;0,I1694&gt;0),"Rendben",IF(AND(H1694=0,I1694=0),"Nincs kép és adat",IF(H1694=0,"Nincs kép","Nincs adat")))</f>
        <v/>
      </c>
      <c r="L1694" s="6" t="inlineStr">
        <is>
          <t>Igen</t>
        </is>
      </c>
      <c r="M1694" s="7" t="inlineStr">
        <is>
          <t>Sand-Profile teljes kínálata (gyártói katalógus / weboldal)</t>
        </is>
      </c>
      <c r="N1694" s="7" t="inlineStr">
        <is>
          <t>Megtalálva: a beszállító teljes kínálatából felvett termék</t>
        </is>
      </c>
      <c r="O1694" s="11" t="inlineStr">
        <is>
          <t>https://www.sandprofile.com/media/gesamtkatalog_en.pdf#page=56</t>
        </is>
      </c>
      <c r="P1694" s="11" t="inlineStr">
        <is>
          <t>https://website-9ib.pages.dev/termek/sp-d1-021/</t>
        </is>
      </c>
      <c r="Q1694" s="12" t="inlineStr"/>
      <c r="R1694" s="13" t="inlineStr"/>
      <c r="S1694" s="6" t="inlineStr">
        <is>
          <t>sp-d1-021</t>
        </is>
      </c>
    </row>
    <row r="1695">
      <c r="A1695" s="6" t="inlineStr">
        <is>
          <t>D1 022</t>
        </is>
      </c>
      <c r="B1695" s="7" t="inlineStr">
        <is>
          <t>Kitöltő profil D1 022 – fekete</t>
        </is>
      </c>
      <c r="C1695" s="6" t="inlineStr">
        <is>
          <t>Gumi- és kéderprofilok</t>
        </is>
      </c>
      <c r="D1695" s="6" t="inlineStr">
        <is>
          <t>Kitöltő (zár) profilok</t>
        </is>
      </c>
      <c r="E1695" s="6" t="inlineStr">
        <is>
          <t>Sand-Profile</t>
        </is>
      </c>
      <c r="F1695" s="6" t="inlineStr">
        <is>
          <t>D1 022</t>
        </is>
      </c>
      <c r="G1695" s="6" t="inlineStr">
        <is>
          <t>Teljes kínálat</t>
        </is>
      </c>
      <c r="H1695" s="6" t="n">
        <v>1</v>
      </c>
      <c r="I1695" s="6" t="n">
        <v>3</v>
      </c>
      <c r="J1695" s="6" t="inlineStr">
        <is>
          <t>van</t>
        </is>
      </c>
      <c r="K1695" s="6">
        <f>IF(AND(H1695&gt;0,I1695&gt;0),"Rendben",IF(AND(H1695=0,I1695=0),"Nincs kép és adat",IF(H1695=0,"Nincs kép","Nincs adat")))</f>
        <v/>
      </c>
      <c r="L1695" s="6" t="inlineStr">
        <is>
          <t>Igen</t>
        </is>
      </c>
      <c r="M1695" s="7" t="inlineStr">
        <is>
          <t>Sand-Profile teljes kínálata (gyártói katalógus / weboldal)</t>
        </is>
      </c>
      <c r="N1695" s="7" t="inlineStr">
        <is>
          <t>Megtalálva: a beszállító teljes kínálatából felvett termék</t>
        </is>
      </c>
      <c r="O1695" s="11" t="inlineStr">
        <is>
          <t>https://www.sandprofile.com/media/gesamtkatalog_en.pdf#page=57</t>
        </is>
      </c>
      <c r="P1695" s="11" t="inlineStr">
        <is>
          <t>https://website-9ib.pages.dev/termek/sp-d1-022/</t>
        </is>
      </c>
      <c r="Q1695" s="12" t="inlineStr"/>
      <c r="R1695" s="13" t="inlineStr"/>
      <c r="S1695" s="6" t="inlineStr">
        <is>
          <t>sp-d1-022</t>
        </is>
      </c>
    </row>
    <row r="1696">
      <c r="A1696" s="6" t="inlineStr">
        <is>
          <t>D1 024</t>
        </is>
      </c>
      <c r="B1696" s="7" t="inlineStr">
        <is>
          <t>Kitöltő profil D1 024 – fekete</t>
        </is>
      </c>
      <c r="C1696" s="6" t="inlineStr">
        <is>
          <t>Gumi- és kéderprofilok</t>
        </is>
      </c>
      <c r="D1696" s="6" t="inlineStr">
        <is>
          <t>Kitöltő (zár) profilok</t>
        </is>
      </c>
      <c r="E1696" s="6" t="inlineStr">
        <is>
          <t>Sand-Profile</t>
        </is>
      </c>
      <c r="F1696" s="6" t="inlineStr">
        <is>
          <t>D1 024</t>
        </is>
      </c>
      <c r="G1696" s="6" t="inlineStr">
        <is>
          <t>Teljes kínálat</t>
        </is>
      </c>
      <c r="H1696" s="6" t="n">
        <v>1</v>
      </c>
      <c r="I1696" s="6" t="n">
        <v>3</v>
      </c>
      <c r="J1696" s="6" t="inlineStr">
        <is>
          <t>van</t>
        </is>
      </c>
      <c r="K1696" s="6">
        <f>IF(AND(H1696&gt;0,I1696&gt;0),"Rendben",IF(AND(H1696=0,I1696=0),"Nincs kép és adat",IF(H1696=0,"Nincs kép","Nincs adat")))</f>
        <v/>
      </c>
      <c r="L1696" s="6" t="inlineStr">
        <is>
          <t>Igen</t>
        </is>
      </c>
      <c r="M1696" s="7" t="inlineStr">
        <is>
          <t>Sand-Profile teljes kínálata (gyártói katalógus / weboldal)</t>
        </is>
      </c>
      <c r="N1696" s="7" t="inlineStr">
        <is>
          <t>Megtalálva: a beszállító teljes kínálatából felvett termék</t>
        </is>
      </c>
      <c r="O1696" s="11" t="inlineStr">
        <is>
          <t>https://www.sandprofile.com/media/gesamtkatalog_en.pdf#page=57</t>
        </is>
      </c>
      <c r="P1696" s="11" t="inlineStr">
        <is>
          <t>https://website-9ib.pages.dev/termek/sp-d1-024/</t>
        </is>
      </c>
      <c r="Q1696" s="12" t="inlineStr"/>
      <c r="R1696" s="13" t="inlineStr"/>
      <c r="S1696" s="6" t="inlineStr">
        <is>
          <t>sp-d1-024</t>
        </is>
      </c>
    </row>
    <row r="1697">
      <c r="A1697" s="6" t="inlineStr">
        <is>
          <t>D1 025</t>
        </is>
      </c>
      <c r="B1697" s="7" t="inlineStr">
        <is>
          <t>Kitöltő profil D1 025 – fekete</t>
        </is>
      </c>
      <c r="C1697" s="6" t="inlineStr">
        <is>
          <t>Gumi- és kéderprofilok</t>
        </is>
      </c>
      <c r="D1697" s="6" t="inlineStr">
        <is>
          <t>Kitöltő (zár) profilok</t>
        </is>
      </c>
      <c r="E1697" s="6" t="inlineStr">
        <is>
          <t>Sand-Profile</t>
        </is>
      </c>
      <c r="F1697" s="6" t="inlineStr">
        <is>
          <t>D1 025</t>
        </is>
      </c>
      <c r="G1697" s="6" t="inlineStr">
        <is>
          <t>Teljes kínálat</t>
        </is>
      </c>
      <c r="H1697" s="6" t="n">
        <v>1</v>
      </c>
      <c r="I1697" s="6" t="n">
        <v>3</v>
      </c>
      <c r="J1697" s="6" t="inlineStr">
        <is>
          <t>van</t>
        </is>
      </c>
      <c r="K1697" s="6">
        <f>IF(AND(H1697&gt;0,I1697&gt;0),"Rendben",IF(AND(H1697=0,I1697=0),"Nincs kép és adat",IF(H1697=0,"Nincs kép","Nincs adat")))</f>
        <v/>
      </c>
      <c r="L1697" s="6" t="inlineStr">
        <is>
          <t>Igen</t>
        </is>
      </c>
      <c r="M1697" s="7" t="inlineStr">
        <is>
          <t>Sand-Profile teljes kínálata (gyártói katalógus / weboldal)</t>
        </is>
      </c>
      <c r="N1697" s="7" t="inlineStr">
        <is>
          <t>Megtalálva: a beszállító teljes kínálatából felvett termék</t>
        </is>
      </c>
      <c r="O1697" s="11" t="inlineStr">
        <is>
          <t>https://www.sandprofile.com/media/gesamtkatalog_en.pdf#page=57</t>
        </is>
      </c>
      <c r="P1697" s="11" t="inlineStr">
        <is>
          <t>https://website-9ib.pages.dev/termek/sp-d1-025/</t>
        </is>
      </c>
      <c r="Q1697" s="12" t="inlineStr"/>
      <c r="R1697" s="13" t="inlineStr"/>
      <c r="S1697" s="6" t="inlineStr">
        <is>
          <t>sp-d1-025</t>
        </is>
      </c>
    </row>
    <row r="1698">
      <c r="A1698" s="6" t="inlineStr">
        <is>
          <t>D1 026</t>
        </is>
      </c>
      <c r="B1698" s="7" t="inlineStr">
        <is>
          <t>Kitöltő profil D1 026 – fekete</t>
        </is>
      </c>
      <c r="C1698" s="6" t="inlineStr">
        <is>
          <t>Gumi- és kéderprofilok</t>
        </is>
      </c>
      <c r="D1698" s="6" t="inlineStr">
        <is>
          <t>Kitöltő (zár) profilok</t>
        </is>
      </c>
      <c r="E1698" s="6" t="inlineStr">
        <is>
          <t>Sand-Profile</t>
        </is>
      </c>
      <c r="F1698" s="6" t="inlineStr">
        <is>
          <t>D1 026</t>
        </is>
      </c>
      <c r="G1698" s="6" t="inlineStr">
        <is>
          <t>Teljes kínálat</t>
        </is>
      </c>
      <c r="H1698" s="6" t="n">
        <v>1</v>
      </c>
      <c r="I1698" s="6" t="n">
        <v>3</v>
      </c>
      <c r="J1698" s="6" t="inlineStr">
        <is>
          <t>van</t>
        </is>
      </c>
      <c r="K1698" s="6">
        <f>IF(AND(H1698&gt;0,I1698&gt;0),"Rendben",IF(AND(H1698=0,I1698=0),"Nincs kép és adat",IF(H1698=0,"Nincs kép","Nincs adat")))</f>
        <v/>
      </c>
      <c r="L1698" s="6" t="inlineStr">
        <is>
          <t>Igen</t>
        </is>
      </c>
      <c r="M1698" s="7" t="inlineStr">
        <is>
          <t>Sand-Profile teljes kínálata (gyártói katalógus / weboldal)</t>
        </is>
      </c>
      <c r="N1698" s="7" t="inlineStr">
        <is>
          <t>Megtalálva: a beszállító teljes kínálatából felvett termék</t>
        </is>
      </c>
      <c r="O1698" s="11" t="inlineStr">
        <is>
          <t>https://www.sandprofile.com/media/gesamtkatalog_en.pdf#page=57</t>
        </is>
      </c>
      <c r="P1698" s="11" t="inlineStr">
        <is>
          <t>https://website-9ib.pages.dev/termek/sp-d1-026/</t>
        </is>
      </c>
      <c r="Q1698" s="12" t="inlineStr"/>
      <c r="R1698" s="13" t="inlineStr"/>
      <c r="S1698" s="6" t="inlineStr">
        <is>
          <t>sp-d1-026</t>
        </is>
      </c>
    </row>
    <row r="1699">
      <c r="A1699" s="6" t="inlineStr">
        <is>
          <t>D1 028</t>
        </is>
      </c>
      <c r="B1699" s="7" t="inlineStr">
        <is>
          <t>Kitöltő profil D1 028 – fekete</t>
        </is>
      </c>
      <c r="C1699" s="6" t="inlineStr">
        <is>
          <t>Gumi- és kéderprofilok</t>
        </is>
      </c>
      <c r="D1699" s="6" t="inlineStr">
        <is>
          <t>Kitöltő (zár) profilok</t>
        </is>
      </c>
      <c r="E1699" s="6" t="inlineStr">
        <is>
          <t>Sand-Profile</t>
        </is>
      </c>
      <c r="F1699" s="6" t="inlineStr">
        <is>
          <t>D1 028</t>
        </is>
      </c>
      <c r="G1699" s="6" t="inlineStr">
        <is>
          <t>Teljes kínálat</t>
        </is>
      </c>
      <c r="H1699" s="6" t="n">
        <v>1</v>
      </c>
      <c r="I1699" s="6" t="n">
        <v>3</v>
      </c>
      <c r="J1699" s="6" t="inlineStr">
        <is>
          <t>van</t>
        </is>
      </c>
      <c r="K1699" s="6">
        <f>IF(AND(H1699&gt;0,I1699&gt;0),"Rendben",IF(AND(H1699=0,I1699=0),"Nincs kép és adat",IF(H1699=0,"Nincs kép","Nincs adat")))</f>
        <v/>
      </c>
      <c r="L1699" s="6" t="inlineStr">
        <is>
          <t>Igen</t>
        </is>
      </c>
      <c r="M1699" s="7" t="inlineStr">
        <is>
          <t>Sand-Profile teljes kínálata (gyártói katalógus / weboldal)</t>
        </is>
      </c>
      <c r="N1699" s="7" t="inlineStr">
        <is>
          <t>Megtalálva: a beszállító teljes kínálatából felvett termék</t>
        </is>
      </c>
      <c r="O1699" s="11" t="inlineStr">
        <is>
          <t>https://www.sandprofile.com/media/gesamtkatalog_en.pdf#page=56</t>
        </is>
      </c>
      <c r="P1699" s="11" t="inlineStr">
        <is>
          <t>https://website-9ib.pages.dev/termek/sp-d1-028/</t>
        </is>
      </c>
      <c r="Q1699" s="12" t="inlineStr"/>
      <c r="R1699" s="13" t="inlineStr"/>
      <c r="S1699" s="6" t="inlineStr">
        <is>
          <t>sp-d1-028</t>
        </is>
      </c>
    </row>
    <row r="1700">
      <c r="A1700" s="6" t="inlineStr">
        <is>
          <t>D1 034</t>
        </is>
      </c>
      <c r="B1700" s="7" t="inlineStr">
        <is>
          <t>Kitöltő profil D1 034 – fekete</t>
        </is>
      </c>
      <c r="C1700" s="6" t="inlineStr">
        <is>
          <t>Gumi- és kéderprofilok</t>
        </is>
      </c>
      <c r="D1700" s="6" t="inlineStr">
        <is>
          <t>Kitöltő (zár) profilok</t>
        </is>
      </c>
      <c r="E1700" s="6" t="inlineStr">
        <is>
          <t>Sand-Profile</t>
        </is>
      </c>
      <c r="F1700" s="6" t="inlineStr">
        <is>
          <t>D1 034</t>
        </is>
      </c>
      <c r="G1700" s="6" t="inlineStr">
        <is>
          <t>Teljes kínálat</t>
        </is>
      </c>
      <c r="H1700" s="6" t="n">
        <v>1</v>
      </c>
      <c r="I1700" s="6" t="n">
        <v>3</v>
      </c>
      <c r="J1700" s="6" t="inlineStr">
        <is>
          <t>van</t>
        </is>
      </c>
      <c r="K1700" s="6">
        <f>IF(AND(H1700&gt;0,I1700&gt;0),"Rendben",IF(AND(H1700=0,I1700=0),"Nincs kép és adat",IF(H1700=0,"Nincs kép","Nincs adat")))</f>
        <v/>
      </c>
      <c r="L1700" s="6" t="inlineStr">
        <is>
          <t>Igen</t>
        </is>
      </c>
      <c r="M1700" s="7" t="inlineStr">
        <is>
          <t>Sand-Profile teljes kínálata (gyártói katalógus / weboldal)</t>
        </is>
      </c>
      <c r="N1700" s="7" t="inlineStr">
        <is>
          <t>Megtalálva: a beszállító teljes kínálatából felvett termék</t>
        </is>
      </c>
      <c r="O1700" s="11" t="inlineStr">
        <is>
          <t>https://www.sandprofile.com/media/gesamtkatalog_en.pdf#page=57</t>
        </is>
      </c>
      <c r="P1700" s="11" t="inlineStr">
        <is>
          <t>https://website-9ib.pages.dev/termek/sp-d1-034/</t>
        </is>
      </c>
      <c r="Q1700" s="12" t="inlineStr"/>
      <c r="R1700" s="13" t="inlineStr"/>
      <c r="S1700" s="6" t="inlineStr">
        <is>
          <t>sp-d1-034</t>
        </is>
      </c>
    </row>
    <row r="1701">
      <c r="A1701" s="6" t="inlineStr">
        <is>
          <t>D1 123</t>
        </is>
      </c>
      <c r="B1701" s="7" t="inlineStr">
        <is>
          <t>Kitöltő profil D1 123 – fekete</t>
        </is>
      </c>
      <c r="C1701" s="6" t="inlineStr">
        <is>
          <t>Gumi- és kéderprofilok</t>
        </is>
      </c>
      <c r="D1701" s="6" t="inlineStr">
        <is>
          <t>Kitöltő (zár) profilok</t>
        </is>
      </c>
      <c r="E1701" s="6" t="inlineStr">
        <is>
          <t>Sand-Profile</t>
        </is>
      </c>
      <c r="F1701" s="6" t="inlineStr">
        <is>
          <t>D1 123</t>
        </is>
      </c>
      <c r="G1701" s="6" t="inlineStr">
        <is>
          <t>Teljes kínálat</t>
        </is>
      </c>
      <c r="H1701" s="6" t="n">
        <v>1</v>
      </c>
      <c r="I1701" s="6" t="n">
        <v>3</v>
      </c>
      <c r="J1701" s="6" t="inlineStr">
        <is>
          <t>van</t>
        </is>
      </c>
      <c r="K1701" s="6">
        <f>IF(AND(H1701&gt;0,I1701&gt;0),"Rendben",IF(AND(H1701=0,I1701=0),"Nincs kép és adat",IF(H1701=0,"Nincs kép","Nincs adat")))</f>
        <v/>
      </c>
      <c r="L1701" s="6" t="inlineStr">
        <is>
          <t>Igen</t>
        </is>
      </c>
      <c r="M1701" s="7" t="inlineStr">
        <is>
          <t>Sand-Profile teljes kínálata (gyártói katalógus / weboldal)</t>
        </is>
      </c>
      <c r="N1701" s="7" t="inlineStr">
        <is>
          <t>Megtalálva: a beszállító teljes kínálatából felvett termék</t>
        </is>
      </c>
      <c r="O1701" s="11" t="inlineStr">
        <is>
          <t>https://www.sandprofile.com/media/gesamtkatalog_en.pdf#page=55</t>
        </is>
      </c>
      <c r="P1701" s="11" t="inlineStr">
        <is>
          <t>https://website-9ib.pages.dev/termek/sp-d1-123/</t>
        </is>
      </c>
      <c r="Q1701" s="12" t="inlineStr"/>
      <c r="R1701" s="13" t="inlineStr"/>
      <c r="S1701" s="6" t="inlineStr">
        <is>
          <t>sp-d1-123</t>
        </is>
      </c>
    </row>
    <row r="1702">
      <c r="A1702" s="6" t="inlineStr">
        <is>
          <t>D2 199</t>
        </is>
      </c>
      <c r="B1702" s="7" t="inlineStr">
        <is>
          <t>Kitöltő profil D2 199 – fekete</t>
        </is>
      </c>
      <c r="C1702" s="6" t="inlineStr">
        <is>
          <t>Gumi- és kéderprofilok</t>
        </is>
      </c>
      <c r="D1702" s="6" t="inlineStr">
        <is>
          <t>Kitöltő (zár) profilok</t>
        </is>
      </c>
      <c r="E1702" s="6" t="inlineStr">
        <is>
          <t>Sand-Profile</t>
        </is>
      </c>
      <c r="F1702" s="6" t="inlineStr">
        <is>
          <t>D2 199</t>
        </is>
      </c>
      <c r="G1702" s="6" t="inlineStr">
        <is>
          <t>Teljes kínálat</t>
        </is>
      </c>
      <c r="H1702" s="6" t="n">
        <v>1</v>
      </c>
      <c r="I1702" s="6" t="n">
        <v>3</v>
      </c>
      <c r="J1702" s="6" t="inlineStr">
        <is>
          <t>van</t>
        </is>
      </c>
      <c r="K1702" s="6">
        <f>IF(AND(H1702&gt;0,I1702&gt;0),"Rendben",IF(AND(H1702=0,I1702=0),"Nincs kép és adat",IF(H1702=0,"Nincs kép","Nincs adat")))</f>
        <v/>
      </c>
      <c r="L1702" s="6" t="inlineStr">
        <is>
          <t>Igen</t>
        </is>
      </c>
      <c r="M1702" s="7" t="inlineStr">
        <is>
          <t>Sand-Profile teljes kínálata (gyártói katalógus / weboldal)</t>
        </is>
      </c>
      <c r="N1702" s="7" t="inlineStr">
        <is>
          <t>Megtalálva: a beszállító teljes kínálatából felvett termék</t>
        </is>
      </c>
      <c r="O1702" s="11" t="inlineStr">
        <is>
          <t>https://www.sandprofile.com/media/gesamtkatalog_en.pdf#page=55</t>
        </is>
      </c>
      <c r="P1702" s="11" t="inlineStr">
        <is>
          <t>https://website-9ib.pages.dev/termek/sp-d2-199/</t>
        </is>
      </c>
      <c r="Q1702" s="12" t="inlineStr"/>
      <c r="R1702" s="13" t="inlineStr"/>
      <c r="S1702" s="6" t="inlineStr">
        <is>
          <t>sp-d2-199</t>
        </is>
      </c>
    </row>
    <row r="1703">
      <c r="A1703" s="6" t="inlineStr">
        <is>
          <t>D2 499</t>
        </is>
      </c>
      <c r="B1703" s="7" t="inlineStr">
        <is>
          <t>Kitöltő profil D2 499 – fekete</t>
        </is>
      </c>
      <c r="C1703" s="6" t="inlineStr">
        <is>
          <t>Gumi- és kéderprofilok</t>
        </is>
      </c>
      <c r="D1703" s="6" t="inlineStr">
        <is>
          <t>Kitöltő (zár) profilok</t>
        </is>
      </c>
      <c r="E1703" s="6" t="inlineStr">
        <is>
          <t>Sand-Profile</t>
        </is>
      </c>
      <c r="F1703" s="6" t="inlineStr">
        <is>
          <t>D2 499</t>
        </is>
      </c>
      <c r="G1703" s="6" t="inlineStr">
        <is>
          <t>Teljes kínálat</t>
        </is>
      </c>
      <c r="H1703" s="6" t="n">
        <v>1</v>
      </c>
      <c r="I1703" s="6" t="n">
        <v>3</v>
      </c>
      <c r="J1703" s="6" t="inlineStr">
        <is>
          <t>van</t>
        </is>
      </c>
      <c r="K1703" s="6">
        <f>IF(AND(H1703&gt;0,I1703&gt;0),"Rendben",IF(AND(H1703=0,I1703=0),"Nincs kép és adat",IF(H1703=0,"Nincs kép","Nincs adat")))</f>
        <v/>
      </c>
      <c r="L1703" s="6" t="inlineStr">
        <is>
          <t>Igen</t>
        </is>
      </c>
      <c r="M1703" s="7" t="inlineStr">
        <is>
          <t>Sand-Profile teljes kínálata (gyártói katalógus / weboldal)</t>
        </is>
      </c>
      <c r="N1703" s="7" t="inlineStr">
        <is>
          <t>Megtalálva: a beszállító teljes kínálatából felvett termék</t>
        </is>
      </c>
      <c r="O1703" s="11" t="inlineStr">
        <is>
          <t>https://www.sandprofile.com/media/gesamtkatalog_en.pdf#page=55</t>
        </is>
      </c>
      <c r="P1703" s="11" t="inlineStr">
        <is>
          <t>https://website-9ib.pages.dev/termek/sp-d2-499/</t>
        </is>
      </c>
      <c r="Q1703" s="12" t="inlineStr"/>
      <c r="R1703" s="13" t="inlineStr"/>
      <c r="S1703" s="6" t="inlineStr">
        <is>
          <t>sp-d2-499</t>
        </is>
      </c>
    </row>
    <row r="1704">
      <c r="A1704" s="6" t="inlineStr">
        <is>
          <t>D2 539</t>
        </is>
      </c>
      <c r="B1704" s="7" t="inlineStr">
        <is>
          <t>Kitöltő profil D2 539 – fekete</t>
        </is>
      </c>
      <c r="C1704" s="6" t="inlineStr">
        <is>
          <t>Gumi- és kéderprofilok</t>
        </is>
      </c>
      <c r="D1704" s="6" t="inlineStr">
        <is>
          <t>Kitöltő (zár) profilok</t>
        </is>
      </c>
      <c r="E1704" s="6" t="inlineStr">
        <is>
          <t>Sand-Profile</t>
        </is>
      </c>
      <c r="F1704" s="6" t="inlineStr">
        <is>
          <t>D2 539</t>
        </is>
      </c>
      <c r="G1704" s="6" t="inlineStr">
        <is>
          <t>Teljes kínálat</t>
        </is>
      </c>
      <c r="H1704" s="6" t="n">
        <v>1</v>
      </c>
      <c r="I1704" s="6" t="n">
        <v>3</v>
      </c>
      <c r="J1704" s="6" t="inlineStr">
        <is>
          <t>van</t>
        </is>
      </c>
      <c r="K1704" s="6">
        <f>IF(AND(H1704&gt;0,I1704&gt;0),"Rendben",IF(AND(H1704=0,I1704=0),"Nincs kép és adat",IF(H1704=0,"Nincs kép","Nincs adat")))</f>
        <v/>
      </c>
      <c r="L1704" s="6" t="inlineStr">
        <is>
          <t>Igen</t>
        </is>
      </c>
      <c r="M1704" s="7" t="inlineStr">
        <is>
          <t>Sand-Profile teljes kínálata (gyártói katalógus / weboldal)</t>
        </is>
      </c>
      <c r="N1704" s="7" t="inlineStr">
        <is>
          <t>Megtalálva: a beszállító teljes kínálatából felvett termék</t>
        </is>
      </c>
      <c r="O1704" s="11" t="inlineStr">
        <is>
          <t>https://www.sandprofile.com/media/gesamtkatalog_en.pdf#page=56</t>
        </is>
      </c>
      <c r="P1704" s="11" t="inlineStr">
        <is>
          <t>https://website-9ib.pages.dev/termek/sp-d2-539/</t>
        </is>
      </c>
      <c r="Q1704" s="12" t="inlineStr"/>
      <c r="R1704" s="13" t="inlineStr"/>
      <c r="S1704" s="6" t="inlineStr">
        <is>
          <t>sp-d2-539</t>
        </is>
      </c>
    </row>
    <row r="1705">
      <c r="A1705" s="6" t="inlineStr">
        <is>
          <t>D2 553</t>
        </is>
      </c>
      <c r="B1705" s="7" t="inlineStr">
        <is>
          <t>Kitöltő profil D2 553 – fekete</t>
        </is>
      </c>
      <c r="C1705" s="6" t="inlineStr">
        <is>
          <t>Gumi- és kéderprofilok</t>
        </is>
      </c>
      <c r="D1705" s="6" t="inlineStr">
        <is>
          <t>Kitöltő (zár) profilok</t>
        </is>
      </c>
      <c r="E1705" s="6" t="inlineStr">
        <is>
          <t>Sand-Profile</t>
        </is>
      </c>
      <c r="F1705" s="6" t="inlineStr">
        <is>
          <t>D2 553</t>
        </is>
      </c>
      <c r="G1705" s="6" t="inlineStr">
        <is>
          <t>Teljes kínálat</t>
        </is>
      </c>
      <c r="H1705" s="6" t="n">
        <v>1</v>
      </c>
      <c r="I1705" s="6" t="n">
        <v>3</v>
      </c>
      <c r="J1705" s="6" t="inlineStr">
        <is>
          <t>van</t>
        </is>
      </c>
      <c r="K1705" s="6">
        <f>IF(AND(H1705&gt;0,I1705&gt;0),"Rendben",IF(AND(H1705=0,I1705=0),"Nincs kép és adat",IF(H1705=0,"Nincs kép","Nincs adat")))</f>
        <v/>
      </c>
      <c r="L1705" s="6" t="inlineStr">
        <is>
          <t>Igen</t>
        </is>
      </c>
      <c r="M1705" s="7" t="inlineStr">
        <is>
          <t>Sand-Profile teljes kínálata (gyártói katalógus / weboldal)</t>
        </is>
      </c>
      <c r="N1705" s="7" t="inlineStr">
        <is>
          <t>Megtalálva: a beszállító teljes kínálatából felvett termék</t>
        </is>
      </c>
      <c r="O1705" s="11" t="inlineStr">
        <is>
          <t>https://www.sandprofile.com/media/gesamtkatalog_en.pdf#page=55</t>
        </is>
      </c>
      <c r="P1705" s="11" t="inlineStr">
        <is>
          <t>https://website-9ib.pages.dev/termek/sp-d2-553/</t>
        </is>
      </c>
      <c r="Q1705" s="12" t="inlineStr"/>
      <c r="R1705" s="13" t="inlineStr"/>
      <c r="S1705" s="6" t="inlineStr">
        <is>
          <t>sp-d2-553</t>
        </is>
      </c>
    </row>
    <row r="1706">
      <c r="A1706" s="6" t="inlineStr">
        <is>
          <t>A1 500</t>
        </is>
      </c>
      <c r="B1706" s="7" t="inlineStr">
        <is>
          <t>Kéderprofil A1 500 – fekete, 1,0-2,5 mm</t>
        </is>
      </c>
      <c r="C1706" s="6" t="inlineStr">
        <is>
          <t>Gumi- és kéderprofilok</t>
        </is>
      </c>
      <c r="D1706" s="6" t="inlineStr">
        <is>
          <t>Kéder- és ablakgumi profilok (Gista)</t>
        </is>
      </c>
      <c r="E1706" s="6" t="inlineStr">
        <is>
          <t>Sand-Profile</t>
        </is>
      </c>
      <c r="F1706" s="6" t="inlineStr">
        <is>
          <t>A1 500</t>
        </is>
      </c>
      <c r="G1706" s="6" t="inlineStr">
        <is>
          <t>Teljes kínálat</t>
        </is>
      </c>
      <c r="H1706" s="6" t="n">
        <v>1</v>
      </c>
      <c r="I1706" s="6" t="n">
        <v>3</v>
      </c>
      <c r="J1706" s="6" t="inlineStr">
        <is>
          <t>van</t>
        </is>
      </c>
      <c r="K1706" s="6">
        <f>IF(AND(H1706&gt;0,I1706&gt;0),"Rendben",IF(AND(H1706=0,I1706=0),"Nincs kép és adat",IF(H1706=0,"Nincs kép","Nincs adat")))</f>
        <v/>
      </c>
      <c r="L1706" s="6" t="inlineStr">
        <is>
          <t>Igen</t>
        </is>
      </c>
      <c r="M1706" s="7" t="inlineStr">
        <is>
          <t>Sand-Profile teljes kínálata (gyártói katalógus / weboldal)</t>
        </is>
      </c>
      <c r="N1706" s="7" t="inlineStr">
        <is>
          <t>Megtalálva: a beszállító teljes kínálatából felvett termék</t>
        </is>
      </c>
      <c r="O1706" s="11" t="inlineStr">
        <is>
          <t>https://www.sandprofile.com/media/gesamtkatalog_en.pdf#page=47</t>
        </is>
      </c>
      <c r="P1706" s="11" t="inlineStr">
        <is>
          <t>https://website-9ib.pages.dev/termek/sp-a1-500/</t>
        </is>
      </c>
      <c r="Q1706" s="12" t="inlineStr"/>
      <c r="R1706" s="13" t="inlineStr"/>
      <c r="S1706" s="6" t="inlineStr">
        <is>
          <t>sp-a1-500</t>
        </is>
      </c>
    </row>
    <row r="1707">
      <c r="A1707" s="6" t="inlineStr">
        <is>
          <t>A1 501</t>
        </is>
      </c>
      <c r="B1707" s="7" t="inlineStr">
        <is>
          <t>Kéderprofil A1 501 – fekete, 1,0–2,5 mm</t>
        </is>
      </c>
      <c r="C1707" s="6" t="inlineStr">
        <is>
          <t>Gumi- és kéderprofilok</t>
        </is>
      </c>
      <c r="D1707" s="6" t="inlineStr">
        <is>
          <t>Kéder- és ablakgumi profilok (Gista)</t>
        </is>
      </c>
      <c r="E1707" s="6" t="inlineStr">
        <is>
          <t>Sand-Profile</t>
        </is>
      </c>
      <c r="F1707" s="6" t="inlineStr">
        <is>
          <t>A1 501</t>
        </is>
      </c>
      <c r="G1707" s="6" t="inlineStr">
        <is>
          <t>Teljes kínálat</t>
        </is>
      </c>
      <c r="H1707" s="6" t="n">
        <v>1</v>
      </c>
      <c r="I1707" s="6" t="n">
        <v>3</v>
      </c>
      <c r="J1707" s="6" t="inlineStr">
        <is>
          <t>van</t>
        </is>
      </c>
      <c r="K1707" s="6">
        <f>IF(AND(H1707&gt;0,I1707&gt;0),"Rendben",IF(AND(H1707=0,I1707=0),"Nincs kép és adat",IF(H1707=0,"Nincs kép","Nincs adat")))</f>
        <v/>
      </c>
      <c r="L1707" s="6" t="inlineStr">
        <is>
          <t>Igen</t>
        </is>
      </c>
      <c r="M1707" s="7" t="inlineStr">
        <is>
          <t>Sand-Profile teljes kínálata (gyártói katalógus / weboldal)</t>
        </is>
      </c>
      <c r="N1707" s="7" t="inlineStr">
        <is>
          <t>Megtalálva: a beszállító teljes kínálatából felvett termék</t>
        </is>
      </c>
      <c r="O1707" s="11" t="inlineStr">
        <is>
          <t>https://www.sandprofile.com/media/gesamtkatalog_en.pdf#page=47</t>
        </is>
      </c>
      <c r="P1707" s="11" t="inlineStr">
        <is>
          <t>https://website-9ib.pages.dev/termek/sp-a1-501/</t>
        </is>
      </c>
      <c r="Q1707" s="12" t="inlineStr"/>
      <c r="R1707" s="13" t="inlineStr"/>
      <c r="S1707" s="6" t="inlineStr">
        <is>
          <t>sp-a1-501</t>
        </is>
      </c>
    </row>
    <row r="1708">
      <c r="A1708" s="6" t="inlineStr">
        <is>
          <t>A1 502</t>
        </is>
      </c>
      <c r="B1708" s="7" t="inlineStr">
        <is>
          <t>Kéderprofil A1 502 – fekete, 1,0-2,0 mm</t>
        </is>
      </c>
      <c r="C1708" s="6" t="inlineStr">
        <is>
          <t>Gumi- és kéderprofilok</t>
        </is>
      </c>
      <c r="D1708" s="6" t="inlineStr">
        <is>
          <t>Kéder- és ablakgumi profilok (Gista)</t>
        </is>
      </c>
      <c r="E1708" s="6" t="inlineStr">
        <is>
          <t>Sand-Profile</t>
        </is>
      </c>
      <c r="F1708" s="6" t="inlineStr">
        <is>
          <t>A1 502</t>
        </is>
      </c>
      <c r="G1708" s="6" t="inlineStr">
        <is>
          <t>Teljes kínálat</t>
        </is>
      </c>
      <c r="H1708" s="6" t="n">
        <v>1</v>
      </c>
      <c r="I1708" s="6" t="n">
        <v>3</v>
      </c>
      <c r="J1708" s="6" t="inlineStr">
        <is>
          <t>van</t>
        </is>
      </c>
      <c r="K1708" s="6">
        <f>IF(AND(H1708&gt;0,I1708&gt;0),"Rendben",IF(AND(H1708=0,I1708=0),"Nincs kép és adat",IF(H1708=0,"Nincs kép","Nincs adat")))</f>
        <v/>
      </c>
      <c r="L1708" s="6" t="inlineStr">
        <is>
          <t>Igen</t>
        </is>
      </c>
      <c r="M1708" s="7" t="inlineStr">
        <is>
          <t>Sand-Profile teljes kínálata (gyártói katalógus / weboldal)</t>
        </is>
      </c>
      <c r="N1708" s="7" t="inlineStr">
        <is>
          <t>Megtalálva: a beszállító teljes kínálatából felvett termék</t>
        </is>
      </c>
      <c r="O1708" s="11" t="inlineStr">
        <is>
          <t>https://www.sandprofile.com/media/gesamtkatalog_en.pdf#page=47</t>
        </is>
      </c>
      <c r="P1708" s="11" t="inlineStr">
        <is>
          <t>https://website-9ib.pages.dev/termek/sp-a1-502/</t>
        </is>
      </c>
      <c r="Q1708" s="12" t="inlineStr"/>
      <c r="R1708" s="13" t="inlineStr"/>
      <c r="S1708" s="6" t="inlineStr">
        <is>
          <t>sp-a1-502</t>
        </is>
      </c>
    </row>
    <row r="1709">
      <c r="A1709" s="6" t="inlineStr">
        <is>
          <t>A1 512</t>
        </is>
      </c>
      <c r="B1709" s="7" t="inlineStr">
        <is>
          <t>Kéderprofil A1 512 – fekete, 1,0-2,5 mm</t>
        </is>
      </c>
      <c r="C1709" s="6" t="inlineStr">
        <is>
          <t>Gumi- és kéderprofilok</t>
        </is>
      </c>
      <c r="D1709" s="6" t="inlineStr">
        <is>
          <t>Kéder- és ablakgumi profilok (Gista)</t>
        </is>
      </c>
      <c r="E1709" s="6" t="inlineStr">
        <is>
          <t>Sand-Profile</t>
        </is>
      </c>
      <c r="F1709" s="6" t="inlineStr">
        <is>
          <t>A1 512</t>
        </is>
      </c>
      <c r="G1709" s="6" t="inlineStr">
        <is>
          <t>Teljes kínálat</t>
        </is>
      </c>
      <c r="H1709" s="6" t="n">
        <v>1</v>
      </c>
      <c r="I1709" s="6" t="n">
        <v>3</v>
      </c>
      <c r="J1709" s="6" t="inlineStr">
        <is>
          <t>van</t>
        </is>
      </c>
      <c r="K1709" s="6">
        <f>IF(AND(H1709&gt;0,I1709&gt;0),"Rendben",IF(AND(H1709=0,I1709=0),"Nincs kép és adat",IF(H1709=0,"Nincs kép","Nincs adat")))</f>
        <v/>
      </c>
      <c r="L1709" s="6" t="inlineStr">
        <is>
          <t>Igen</t>
        </is>
      </c>
      <c r="M1709" s="7" t="inlineStr">
        <is>
          <t>Sand-Profile teljes kínálata (gyártói katalógus / weboldal)</t>
        </is>
      </c>
      <c r="N1709" s="7" t="inlineStr">
        <is>
          <t>Megtalálva: a beszállító teljes kínálatából felvett termék</t>
        </is>
      </c>
      <c r="O1709" s="11" t="inlineStr">
        <is>
          <t>https://www.sandprofile.com/media/gesamtkatalog_en.pdf#page=35</t>
        </is>
      </c>
      <c r="P1709" s="11" t="inlineStr">
        <is>
          <t>https://website-9ib.pages.dev/termek/sp-a1-512/</t>
        </is>
      </c>
      <c r="Q1709" s="12" t="inlineStr"/>
      <c r="R1709" s="13" t="inlineStr"/>
      <c r="S1709" s="6" t="inlineStr">
        <is>
          <t>sp-a1-512</t>
        </is>
      </c>
    </row>
    <row r="1710">
      <c r="A1710" s="6" t="inlineStr">
        <is>
          <t>A1 513</t>
        </is>
      </c>
      <c r="B1710" s="7" t="inlineStr">
        <is>
          <t>Kéderprofil A1 513 – fekete, 1,0–3,0 mm</t>
        </is>
      </c>
      <c r="C1710" s="6" t="inlineStr">
        <is>
          <t>Gumi- és kéderprofilok</t>
        </is>
      </c>
      <c r="D1710" s="6" t="inlineStr">
        <is>
          <t>Kéder- és ablakgumi profilok (Gista)</t>
        </is>
      </c>
      <c r="E1710" s="6" t="inlineStr">
        <is>
          <t>Sand-Profile</t>
        </is>
      </c>
      <c r="F1710" s="6" t="inlineStr">
        <is>
          <t>A1 513</t>
        </is>
      </c>
      <c r="G1710" s="6" t="inlineStr">
        <is>
          <t>Teljes kínálat</t>
        </is>
      </c>
      <c r="H1710" s="6" t="n">
        <v>1</v>
      </c>
      <c r="I1710" s="6" t="n">
        <v>3</v>
      </c>
      <c r="J1710" s="6" t="inlineStr">
        <is>
          <t>van</t>
        </is>
      </c>
      <c r="K1710" s="6">
        <f>IF(AND(H1710&gt;0,I1710&gt;0),"Rendben",IF(AND(H1710=0,I1710=0),"Nincs kép és adat",IF(H1710=0,"Nincs kép","Nincs adat")))</f>
        <v/>
      </c>
      <c r="L1710" s="6" t="inlineStr">
        <is>
          <t>Igen</t>
        </is>
      </c>
      <c r="M1710" s="7" t="inlineStr">
        <is>
          <t>Sand-Profile teljes kínálata (gyártói katalógus / weboldal)</t>
        </is>
      </c>
      <c r="N1710" s="7" t="inlineStr">
        <is>
          <t>Megtalálva: a beszállító teljes kínálatából felvett termék</t>
        </is>
      </c>
      <c r="O1710" s="11" t="inlineStr">
        <is>
          <t>https://www.sandprofile.com/media/gesamtkatalog_en.pdf#page=36</t>
        </is>
      </c>
      <c r="P1710" s="11" t="inlineStr">
        <is>
          <t>https://website-9ib.pages.dev/termek/sp-a1-513/</t>
        </is>
      </c>
      <c r="Q1710" s="12" t="inlineStr"/>
      <c r="R1710" s="13" t="inlineStr"/>
      <c r="S1710" s="6" t="inlineStr">
        <is>
          <t>sp-a1-513</t>
        </is>
      </c>
    </row>
    <row r="1711">
      <c r="A1711" s="6" t="inlineStr">
        <is>
          <t>A1 517</t>
        </is>
      </c>
      <c r="B1711" s="7" t="inlineStr">
        <is>
          <t>Kéderprofil A1 517 – fekete, 1,0–3,0 mm</t>
        </is>
      </c>
      <c r="C1711" s="6" t="inlineStr">
        <is>
          <t>Gumi- és kéderprofilok</t>
        </is>
      </c>
      <c r="D1711" s="6" t="inlineStr">
        <is>
          <t>Kéder- és ablakgumi profilok (Gista)</t>
        </is>
      </c>
      <c r="E1711" s="6" t="inlineStr">
        <is>
          <t>Sand-Profile</t>
        </is>
      </c>
      <c r="F1711" s="6" t="inlineStr">
        <is>
          <t>A1 517</t>
        </is>
      </c>
      <c r="G1711" s="6" t="inlineStr">
        <is>
          <t>Teljes kínálat</t>
        </is>
      </c>
      <c r="H1711" s="6" t="n">
        <v>1</v>
      </c>
      <c r="I1711" s="6" t="n">
        <v>3</v>
      </c>
      <c r="J1711" s="6" t="inlineStr">
        <is>
          <t>van</t>
        </is>
      </c>
      <c r="K1711" s="6">
        <f>IF(AND(H1711&gt;0,I1711&gt;0),"Rendben",IF(AND(H1711=0,I1711=0),"Nincs kép és adat",IF(H1711=0,"Nincs kép","Nincs adat")))</f>
        <v/>
      </c>
      <c r="L1711" s="6" t="inlineStr">
        <is>
          <t>Igen</t>
        </is>
      </c>
      <c r="M1711" s="7" t="inlineStr">
        <is>
          <t>Sand-Profile teljes kínálata (gyártói katalógus / weboldal)</t>
        </is>
      </c>
      <c r="N1711" s="7" t="inlineStr">
        <is>
          <t>Megtalálva: a beszállító teljes kínálatából felvett termék</t>
        </is>
      </c>
      <c r="O1711" s="11" t="inlineStr">
        <is>
          <t>https://www.sandprofile.com/media/gesamtkatalog_en.pdf#page=36</t>
        </is>
      </c>
      <c r="P1711" s="11" t="inlineStr">
        <is>
          <t>https://website-9ib.pages.dev/termek/sp-a1-517/</t>
        </is>
      </c>
      <c r="Q1711" s="12" t="inlineStr"/>
      <c r="R1711" s="13" t="inlineStr"/>
      <c r="S1711" s="6" t="inlineStr">
        <is>
          <t>sp-a1-517</t>
        </is>
      </c>
    </row>
    <row r="1712">
      <c r="A1712" s="6" t="inlineStr">
        <is>
          <t>A1 520</t>
        </is>
      </c>
      <c r="B1712" s="7" t="inlineStr">
        <is>
          <t>Kéderprofil A1 520 – fekete, 1,0-2,5 mm</t>
        </is>
      </c>
      <c r="C1712" s="6" t="inlineStr">
        <is>
          <t>Gumi- és kéderprofilok</t>
        </is>
      </c>
      <c r="D1712" s="6" t="inlineStr">
        <is>
          <t>Kéder- és ablakgumi profilok (Gista)</t>
        </is>
      </c>
      <c r="E1712" s="6" t="inlineStr">
        <is>
          <t>Sand-Profile</t>
        </is>
      </c>
      <c r="F1712" s="6" t="inlineStr">
        <is>
          <t>A1 520</t>
        </is>
      </c>
      <c r="G1712" s="6" t="inlineStr">
        <is>
          <t>Teljes kínálat</t>
        </is>
      </c>
      <c r="H1712" s="6" t="n">
        <v>1</v>
      </c>
      <c r="I1712" s="6" t="n">
        <v>3</v>
      </c>
      <c r="J1712" s="6" t="inlineStr">
        <is>
          <t>van</t>
        </is>
      </c>
      <c r="K1712" s="6">
        <f>IF(AND(H1712&gt;0,I1712&gt;0),"Rendben",IF(AND(H1712=0,I1712=0),"Nincs kép és adat",IF(H1712=0,"Nincs kép","Nincs adat")))</f>
        <v/>
      </c>
      <c r="L1712" s="6" t="inlineStr">
        <is>
          <t>Igen</t>
        </is>
      </c>
      <c r="M1712" s="7" t="inlineStr">
        <is>
          <t>Sand-Profile teljes kínálata (gyártói katalógus / weboldal)</t>
        </is>
      </c>
      <c r="N1712" s="7" t="inlineStr">
        <is>
          <t>Megtalálva: a beszállító teljes kínálatából felvett termék</t>
        </is>
      </c>
      <c r="O1712" s="11" t="inlineStr">
        <is>
          <t>https://www.sandprofile.com/media/gesamtkatalog_en.pdf#page=50</t>
        </is>
      </c>
      <c r="P1712" s="11" t="inlineStr">
        <is>
          <t>https://website-9ib.pages.dev/termek/sp-a1-520/</t>
        </is>
      </c>
      <c r="Q1712" s="12" t="inlineStr"/>
      <c r="R1712" s="13" t="inlineStr"/>
      <c r="S1712" s="6" t="inlineStr">
        <is>
          <t>sp-a1-520</t>
        </is>
      </c>
    </row>
    <row r="1713">
      <c r="A1713" s="6" t="inlineStr">
        <is>
          <t>A1 521</t>
        </is>
      </c>
      <c r="B1713" s="7" t="inlineStr">
        <is>
          <t>Kéderprofil A1 521 – fekete, 1,0–3,0 mm</t>
        </is>
      </c>
      <c r="C1713" s="6" t="inlineStr">
        <is>
          <t>Gumi- és kéderprofilok</t>
        </is>
      </c>
      <c r="D1713" s="6" t="inlineStr">
        <is>
          <t>Kéder- és ablakgumi profilok (Gista)</t>
        </is>
      </c>
      <c r="E1713" s="6" t="inlineStr">
        <is>
          <t>Sand-Profile</t>
        </is>
      </c>
      <c r="F1713" s="6" t="inlineStr">
        <is>
          <t>A1 521</t>
        </is>
      </c>
      <c r="G1713" s="6" t="inlineStr">
        <is>
          <t>Teljes kínálat</t>
        </is>
      </c>
      <c r="H1713" s="6" t="n">
        <v>1</v>
      </c>
      <c r="I1713" s="6" t="n">
        <v>3</v>
      </c>
      <c r="J1713" s="6" t="inlineStr">
        <is>
          <t>van</t>
        </is>
      </c>
      <c r="K1713" s="6">
        <f>IF(AND(H1713&gt;0,I1713&gt;0),"Rendben",IF(AND(H1713=0,I1713=0),"Nincs kép és adat",IF(H1713=0,"Nincs kép","Nincs adat")))</f>
        <v/>
      </c>
      <c r="L1713" s="6" t="inlineStr">
        <is>
          <t>Igen</t>
        </is>
      </c>
      <c r="M1713" s="7" t="inlineStr">
        <is>
          <t>Sand-Profile teljes kínálata (gyártói katalógus / weboldal)</t>
        </is>
      </c>
      <c r="N1713" s="7" t="inlineStr">
        <is>
          <t>Megtalálva: a beszállító teljes kínálatából felvett termék</t>
        </is>
      </c>
      <c r="O1713" s="11" t="inlineStr">
        <is>
          <t>https://www.sandprofile.com/media/gesamtkatalog_en.pdf#page=47</t>
        </is>
      </c>
      <c r="P1713" s="11" t="inlineStr">
        <is>
          <t>https://website-9ib.pages.dev/termek/sp-a1-521/</t>
        </is>
      </c>
      <c r="Q1713" s="12" t="inlineStr"/>
      <c r="R1713" s="13" t="inlineStr"/>
      <c r="S1713" s="6" t="inlineStr">
        <is>
          <t>sp-a1-521</t>
        </is>
      </c>
    </row>
    <row r="1714">
      <c r="A1714" s="6" t="inlineStr">
        <is>
          <t>A1 525</t>
        </is>
      </c>
      <c r="B1714" s="7" t="inlineStr">
        <is>
          <t>Kéderprofil A1 525 – fekete, 1,0-3,0 mm</t>
        </is>
      </c>
      <c r="C1714" s="6" t="inlineStr">
        <is>
          <t>Gumi- és kéderprofilok</t>
        </is>
      </c>
      <c r="D1714" s="6" t="inlineStr">
        <is>
          <t>Kéder- és ablakgumi profilok (Gista)</t>
        </is>
      </c>
      <c r="E1714" s="6" t="inlineStr">
        <is>
          <t>Sand-Profile</t>
        </is>
      </c>
      <c r="F1714" s="6" t="inlineStr">
        <is>
          <t>A1 525</t>
        </is>
      </c>
      <c r="G1714" s="6" t="inlineStr">
        <is>
          <t>Teljes kínálat</t>
        </is>
      </c>
      <c r="H1714" s="6" t="n">
        <v>1</v>
      </c>
      <c r="I1714" s="6" t="n">
        <v>3</v>
      </c>
      <c r="J1714" s="6" t="inlineStr">
        <is>
          <t>van</t>
        </is>
      </c>
      <c r="K1714" s="6">
        <f>IF(AND(H1714&gt;0,I1714&gt;0),"Rendben",IF(AND(H1714=0,I1714=0),"Nincs kép és adat",IF(H1714=0,"Nincs kép","Nincs adat")))</f>
        <v/>
      </c>
      <c r="L1714" s="6" t="inlineStr">
        <is>
          <t>Igen</t>
        </is>
      </c>
      <c r="M1714" s="7" t="inlineStr">
        <is>
          <t>Sand-Profile teljes kínálata (gyártói katalógus / weboldal)</t>
        </is>
      </c>
      <c r="N1714" s="7" t="inlineStr">
        <is>
          <t>Megtalálva: a beszállító teljes kínálatából felvett termék</t>
        </is>
      </c>
      <c r="O1714" s="11" t="inlineStr">
        <is>
          <t>https://www.sandprofile.com/media/gesamtkatalog_en.pdf#page=38</t>
        </is>
      </c>
      <c r="P1714" s="11" t="inlineStr">
        <is>
          <t>https://website-9ib.pages.dev/termek/sp-a1-525/</t>
        </is>
      </c>
      <c r="Q1714" s="12" t="inlineStr"/>
      <c r="R1714" s="13" t="inlineStr"/>
      <c r="S1714" s="6" t="inlineStr">
        <is>
          <t>sp-a1-525</t>
        </is>
      </c>
    </row>
    <row r="1715">
      <c r="A1715" s="6" t="inlineStr">
        <is>
          <t>A1 526</t>
        </is>
      </c>
      <c r="B1715" s="7" t="inlineStr">
        <is>
          <t>Kéderprofil A1 526 – fekete, 1,0-3,5 mm</t>
        </is>
      </c>
      <c r="C1715" s="6" t="inlineStr">
        <is>
          <t>Gumi- és kéderprofilok</t>
        </is>
      </c>
      <c r="D1715" s="6" t="inlineStr">
        <is>
          <t>Kéder- és ablakgumi profilok (Gista)</t>
        </is>
      </c>
      <c r="E1715" s="6" t="inlineStr">
        <is>
          <t>Sand-Profile</t>
        </is>
      </c>
      <c r="F1715" s="6" t="inlineStr">
        <is>
          <t>A1 526</t>
        </is>
      </c>
      <c r="G1715" s="6" t="inlineStr">
        <is>
          <t>Teljes kínálat</t>
        </is>
      </c>
      <c r="H1715" s="6" t="n">
        <v>1</v>
      </c>
      <c r="I1715" s="6" t="n">
        <v>3</v>
      </c>
      <c r="J1715" s="6" t="inlineStr">
        <is>
          <t>van</t>
        </is>
      </c>
      <c r="K1715" s="6">
        <f>IF(AND(H1715&gt;0,I1715&gt;0),"Rendben",IF(AND(H1715=0,I1715=0),"Nincs kép és adat",IF(H1715=0,"Nincs kép","Nincs adat")))</f>
        <v/>
      </c>
      <c r="L1715" s="6" t="inlineStr">
        <is>
          <t>Igen</t>
        </is>
      </c>
      <c r="M1715" s="7" t="inlineStr">
        <is>
          <t>Sand-Profile teljes kínálata (gyártói katalógus / weboldal)</t>
        </is>
      </c>
      <c r="N1715" s="7" t="inlineStr">
        <is>
          <t>Megtalálva: a beszállító teljes kínálatából felvett termék</t>
        </is>
      </c>
      <c r="O1715" s="11" t="inlineStr">
        <is>
          <t>https://www.sandprofile.com/media/gesamtkatalog_en.pdf#page=50</t>
        </is>
      </c>
      <c r="P1715" s="11" t="inlineStr">
        <is>
          <t>https://website-9ib.pages.dev/termek/sp-a1-526/</t>
        </is>
      </c>
      <c r="Q1715" s="12" t="inlineStr"/>
      <c r="R1715" s="13" t="inlineStr"/>
      <c r="S1715" s="6" t="inlineStr">
        <is>
          <t>sp-a1-526</t>
        </is>
      </c>
    </row>
    <row r="1716">
      <c r="A1716" s="6" t="inlineStr">
        <is>
          <t>A1 528</t>
        </is>
      </c>
      <c r="B1716" s="7" t="inlineStr">
        <is>
          <t>Kéderprofil A1 528 – fekete, 1,0-2,5 mm</t>
        </is>
      </c>
      <c r="C1716" s="6" t="inlineStr">
        <is>
          <t>Gumi- és kéderprofilok</t>
        </is>
      </c>
      <c r="D1716" s="6" t="inlineStr">
        <is>
          <t>Kéder- és ablakgumi profilok (Gista)</t>
        </is>
      </c>
      <c r="E1716" s="6" t="inlineStr">
        <is>
          <t>Sand-Profile</t>
        </is>
      </c>
      <c r="F1716" s="6" t="inlineStr">
        <is>
          <t>A1 528</t>
        </is>
      </c>
      <c r="G1716" s="6" t="inlineStr">
        <is>
          <t>Teljes kínálat</t>
        </is>
      </c>
      <c r="H1716" s="6" t="n">
        <v>1</v>
      </c>
      <c r="I1716" s="6" t="n">
        <v>3</v>
      </c>
      <c r="J1716" s="6" t="inlineStr">
        <is>
          <t>van</t>
        </is>
      </c>
      <c r="K1716" s="6">
        <f>IF(AND(H1716&gt;0,I1716&gt;0),"Rendben",IF(AND(H1716=0,I1716=0),"Nincs kép és adat",IF(H1716=0,"Nincs kép","Nincs adat")))</f>
        <v/>
      </c>
      <c r="L1716" s="6" t="inlineStr">
        <is>
          <t>Igen</t>
        </is>
      </c>
      <c r="M1716" s="7" t="inlineStr">
        <is>
          <t>Sand-Profile teljes kínálata (gyártói katalógus / weboldal)</t>
        </is>
      </c>
      <c r="N1716" s="7" t="inlineStr">
        <is>
          <t>Megtalálva: a beszállító teljes kínálatából felvett termék</t>
        </is>
      </c>
      <c r="O1716" s="11" t="inlineStr">
        <is>
          <t>https://www.sandprofile.com/media/gesamtkatalog_en.pdf#page=50</t>
        </is>
      </c>
      <c r="P1716" s="11" t="inlineStr">
        <is>
          <t>https://website-9ib.pages.dev/termek/sp-a1-528/</t>
        </is>
      </c>
      <c r="Q1716" s="12" t="inlineStr"/>
      <c r="R1716" s="13" t="inlineStr"/>
      <c r="S1716" s="6" t="inlineStr">
        <is>
          <t>sp-a1-528</t>
        </is>
      </c>
    </row>
    <row r="1717">
      <c r="A1717" s="6" t="inlineStr">
        <is>
          <t>A1 538</t>
        </is>
      </c>
      <c r="B1717" s="7" t="inlineStr">
        <is>
          <t>Kéderprofil A1 538 – fekete, 1,0-3,5 mm</t>
        </is>
      </c>
      <c r="C1717" s="6" t="inlineStr">
        <is>
          <t>Gumi- és kéderprofilok</t>
        </is>
      </c>
      <c r="D1717" s="6" t="inlineStr">
        <is>
          <t>Kéder- és ablakgumi profilok (Gista)</t>
        </is>
      </c>
      <c r="E1717" s="6" t="inlineStr">
        <is>
          <t>Sand-Profile</t>
        </is>
      </c>
      <c r="F1717" s="6" t="inlineStr">
        <is>
          <t>A1 538</t>
        </is>
      </c>
      <c r="G1717" s="6" t="inlineStr">
        <is>
          <t>Teljes kínálat</t>
        </is>
      </c>
      <c r="H1717" s="6" t="n">
        <v>1</v>
      </c>
      <c r="I1717" s="6" t="n">
        <v>3</v>
      </c>
      <c r="J1717" s="6" t="inlineStr">
        <is>
          <t>van</t>
        </is>
      </c>
      <c r="K1717" s="6">
        <f>IF(AND(H1717&gt;0,I1717&gt;0),"Rendben",IF(AND(H1717=0,I1717=0),"Nincs kép és adat",IF(H1717=0,"Nincs kép","Nincs adat")))</f>
        <v/>
      </c>
      <c r="L1717" s="6" t="inlineStr">
        <is>
          <t>Igen</t>
        </is>
      </c>
      <c r="M1717" s="7" t="inlineStr">
        <is>
          <t>Sand-Profile teljes kínálata (gyártói katalógus / weboldal)</t>
        </is>
      </c>
      <c r="N1717" s="7" t="inlineStr">
        <is>
          <t>Megtalálva: a beszállító teljes kínálatából felvett termék</t>
        </is>
      </c>
      <c r="O1717" s="11" t="inlineStr">
        <is>
          <t>https://www.sandprofile.com/media/gesamtkatalog_en.pdf#page=37</t>
        </is>
      </c>
      <c r="P1717" s="11" t="inlineStr">
        <is>
          <t>https://website-9ib.pages.dev/termek/sp-a1-538/</t>
        </is>
      </c>
      <c r="Q1717" s="12" t="inlineStr"/>
      <c r="R1717" s="13" t="inlineStr"/>
      <c r="S1717" s="6" t="inlineStr">
        <is>
          <t>sp-a1-538</t>
        </is>
      </c>
    </row>
    <row r="1718">
      <c r="A1718" s="6" t="inlineStr">
        <is>
          <t>A1 549EPDM</t>
        </is>
      </c>
      <c r="B1718" s="7" t="inlineStr">
        <is>
          <t>Kéderprofil A1 549EPDM – fekete, 2,0 mm</t>
        </is>
      </c>
      <c r="C1718" s="6" t="inlineStr">
        <is>
          <t>Gumi- és kéderprofilok</t>
        </is>
      </c>
      <c r="D1718" s="6" t="inlineStr">
        <is>
          <t>Kéder- és ablakgumi profilok (Gista)</t>
        </is>
      </c>
      <c r="E1718" s="6" t="inlineStr">
        <is>
          <t>Sand-Profile</t>
        </is>
      </c>
      <c r="F1718" s="6" t="inlineStr">
        <is>
          <t>A1 549EPDM</t>
        </is>
      </c>
      <c r="G1718" s="6" t="inlineStr">
        <is>
          <t>Teljes kínálat</t>
        </is>
      </c>
      <c r="H1718" s="6" t="n">
        <v>1</v>
      </c>
      <c r="I1718" s="6" t="n">
        <v>3</v>
      </c>
      <c r="J1718" s="6" t="inlineStr">
        <is>
          <t>van</t>
        </is>
      </c>
      <c r="K1718" s="6">
        <f>IF(AND(H1718&gt;0,I1718&gt;0),"Rendben",IF(AND(H1718=0,I1718=0),"Nincs kép és adat",IF(H1718=0,"Nincs kép","Nincs adat")))</f>
        <v/>
      </c>
      <c r="L1718" s="6" t="inlineStr">
        <is>
          <t>Igen</t>
        </is>
      </c>
      <c r="M1718" s="7" t="inlineStr">
        <is>
          <t>Sand-Profile teljes kínálata (gyártói katalógus / weboldal)</t>
        </is>
      </c>
      <c r="N1718" s="7" t="inlineStr">
        <is>
          <t>Megtalálva: a beszállító teljes kínálatából felvett termék</t>
        </is>
      </c>
      <c r="O1718" s="11" t="inlineStr">
        <is>
          <t>https://www.sandprofile.com/media/gesamtkatalog_en.pdf#page=40</t>
        </is>
      </c>
      <c r="P1718" s="11" t="inlineStr">
        <is>
          <t>https://website-9ib.pages.dev/termek/sp-a1-549epdm/</t>
        </is>
      </c>
      <c r="Q1718" s="12" t="inlineStr"/>
      <c r="R1718" s="13" t="inlineStr"/>
      <c r="S1718" s="6" t="inlineStr">
        <is>
          <t>sp-a1-549epdm</t>
        </is>
      </c>
    </row>
    <row r="1719">
      <c r="A1719" s="6" t="inlineStr">
        <is>
          <t>A1 550NBR</t>
        </is>
      </c>
      <c r="B1719" s="7" t="inlineStr">
        <is>
          <t>Kéderprofil A1 550NBR – fekete, 2,0 mm</t>
        </is>
      </c>
      <c r="C1719" s="6" t="inlineStr">
        <is>
          <t>Gumi- és kéderprofilok</t>
        </is>
      </c>
      <c r="D1719" s="6" t="inlineStr">
        <is>
          <t>Kéder- és ablakgumi profilok (Gista)</t>
        </is>
      </c>
      <c r="E1719" s="6" t="inlineStr">
        <is>
          <t>Sand-Profile</t>
        </is>
      </c>
      <c r="F1719" s="6" t="inlineStr">
        <is>
          <t>A1 550NBR</t>
        </is>
      </c>
      <c r="G1719" s="6" t="inlineStr">
        <is>
          <t>Teljes kínálat</t>
        </is>
      </c>
      <c r="H1719" s="6" t="n">
        <v>1</v>
      </c>
      <c r="I1719" s="6" t="n">
        <v>3</v>
      </c>
      <c r="J1719" s="6" t="inlineStr">
        <is>
          <t>van</t>
        </is>
      </c>
      <c r="K1719" s="6">
        <f>IF(AND(H1719&gt;0,I1719&gt;0),"Rendben",IF(AND(H1719=0,I1719=0),"Nincs kép és adat",IF(H1719=0,"Nincs kép","Nincs adat")))</f>
        <v/>
      </c>
      <c r="L1719" s="6" t="inlineStr">
        <is>
          <t>Igen</t>
        </is>
      </c>
      <c r="M1719" s="7" t="inlineStr">
        <is>
          <t>Sand-Profile teljes kínálata (gyártói katalógus / weboldal)</t>
        </is>
      </c>
      <c r="N1719" s="7" t="inlineStr">
        <is>
          <t>Megtalálva: a beszállító teljes kínálatából felvett termék</t>
        </is>
      </c>
      <c r="O1719" s="11" t="inlineStr">
        <is>
          <t>https://www.sandprofile.com/media/gesamtkatalog_en.pdf#page=40</t>
        </is>
      </c>
      <c r="P1719" s="11" t="inlineStr">
        <is>
          <t>https://website-9ib.pages.dev/termek/sp-a1-550nbr/</t>
        </is>
      </c>
      <c r="Q1719" s="12" t="inlineStr"/>
      <c r="R1719" s="13" t="inlineStr"/>
      <c r="S1719" s="6" t="inlineStr">
        <is>
          <t>sp-a1-550nbr</t>
        </is>
      </c>
    </row>
    <row r="1720">
      <c r="A1720" s="6" t="inlineStr">
        <is>
          <t>A2 506S</t>
        </is>
      </c>
      <c r="B1720" s="7" t="inlineStr">
        <is>
          <t>Kéderprofil A2 506S – fekete, 2,0 mm</t>
        </is>
      </c>
      <c r="C1720" s="6" t="inlineStr">
        <is>
          <t>Gumi- és kéderprofilok</t>
        </is>
      </c>
      <c r="D1720" s="6" t="inlineStr">
        <is>
          <t>Kéder- és ablakgumi profilok (Gista)</t>
        </is>
      </c>
      <c r="E1720" s="6" t="inlineStr">
        <is>
          <t>Sand-Profile</t>
        </is>
      </c>
      <c r="F1720" s="6" t="inlineStr">
        <is>
          <t>A2 506S</t>
        </is>
      </c>
      <c r="G1720" s="6" t="inlineStr">
        <is>
          <t>Teljes kínálat</t>
        </is>
      </c>
      <c r="H1720" s="6" t="n">
        <v>1</v>
      </c>
      <c r="I1720" s="6" t="n">
        <v>3</v>
      </c>
      <c r="J1720" s="6" t="inlineStr">
        <is>
          <t>van</t>
        </is>
      </c>
      <c r="K1720" s="6">
        <f>IF(AND(H1720&gt;0,I1720&gt;0),"Rendben",IF(AND(H1720=0,I1720=0),"Nincs kép és adat",IF(H1720=0,"Nincs kép","Nincs adat")))</f>
        <v/>
      </c>
      <c r="L1720" s="6" t="inlineStr">
        <is>
          <t>Igen</t>
        </is>
      </c>
      <c r="M1720" s="7" t="inlineStr">
        <is>
          <t>Sand-Profile teljes kínálata (gyártói katalógus / weboldal)</t>
        </is>
      </c>
      <c r="N1720" s="7" t="inlineStr">
        <is>
          <t>Megtalálva: a beszállító teljes kínálatából felvett termék</t>
        </is>
      </c>
      <c r="O1720" s="11" t="inlineStr">
        <is>
          <t>https://www.sandprofile.com/media/gesamtkatalog_en.pdf#page=40</t>
        </is>
      </c>
      <c r="P1720" s="11" t="inlineStr">
        <is>
          <t>https://website-9ib.pages.dev/termek/sp-a2-506s/</t>
        </is>
      </c>
      <c r="Q1720" s="12" t="inlineStr"/>
      <c r="R1720" s="13" t="inlineStr"/>
      <c r="S1720" s="6" t="inlineStr">
        <is>
          <t>sp-a2-506s</t>
        </is>
      </c>
    </row>
    <row r="1721">
      <c r="A1721" s="6" t="inlineStr">
        <is>
          <t>A2 507</t>
        </is>
      </c>
      <c r="B1721" s="7" t="inlineStr">
        <is>
          <t>Kéderprofil A2 507 – fekete, 0,8-2,5 mm</t>
        </is>
      </c>
      <c r="C1721" s="6" t="inlineStr">
        <is>
          <t>Gumi- és kéderprofilok</t>
        </is>
      </c>
      <c r="D1721" s="6" t="inlineStr">
        <is>
          <t>Kéder- és ablakgumi profilok (Gista)</t>
        </is>
      </c>
      <c r="E1721" s="6" t="inlineStr">
        <is>
          <t>Sand-Profile</t>
        </is>
      </c>
      <c r="F1721" s="6" t="inlineStr">
        <is>
          <t>A2 507</t>
        </is>
      </c>
      <c r="G1721" s="6" t="inlineStr">
        <is>
          <t>Teljes kínálat</t>
        </is>
      </c>
      <c r="H1721" s="6" t="n">
        <v>1</v>
      </c>
      <c r="I1721" s="6" t="n">
        <v>3</v>
      </c>
      <c r="J1721" s="6" t="inlineStr">
        <is>
          <t>van</t>
        </is>
      </c>
      <c r="K1721" s="6">
        <f>IF(AND(H1721&gt;0,I1721&gt;0),"Rendben",IF(AND(H1721=0,I1721=0),"Nincs kép és adat",IF(H1721=0,"Nincs kép","Nincs adat")))</f>
        <v/>
      </c>
      <c r="L1721" s="6" t="inlineStr">
        <is>
          <t>Igen</t>
        </is>
      </c>
      <c r="M1721" s="7" t="inlineStr">
        <is>
          <t>Sand-Profile teljes kínálata (gyártói katalógus / weboldal)</t>
        </is>
      </c>
      <c r="N1721" s="7" t="inlineStr">
        <is>
          <t>Megtalálva: a beszállító teljes kínálatából felvett termék</t>
        </is>
      </c>
      <c r="O1721" s="11" t="inlineStr">
        <is>
          <t>https://www.sandprofile.com/media/gesamtkatalog_en.pdf#page=40</t>
        </is>
      </c>
      <c r="P1721" s="11" t="inlineStr">
        <is>
          <t>https://website-9ib.pages.dev/termek/sp-a2-507/</t>
        </is>
      </c>
      <c r="Q1721" s="12" t="inlineStr"/>
      <c r="R1721" s="13" t="inlineStr"/>
      <c r="S1721" s="6" t="inlineStr">
        <is>
          <t>sp-a2-507</t>
        </is>
      </c>
    </row>
    <row r="1722">
      <c r="A1722" s="6" t="inlineStr">
        <is>
          <t>A2 511</t>
        </is>
      </c>
      <c r="B1722" s="7" t="inlineStr">
        <is>
          <t>Kéderprofil A2 511 – fekete, 1,0-3,0 mm</t>
        </is>
      </c>
      <c r="C1722" s="6" t="inlineStr">
        <is>
          <t>Gumi- és kéderprofilok</t>
        </is>
      </c>
      <c r="D1722" s="6" t="inlineStr">
        <is>
          <t>Kéder- és ablakgumi profilok (Gista)</t>
        </is>
      </c>
      <c r="E1722" s="6" t="inlineStr">
        <is>
          <t>Sand-Profile</t>
        </is>
      </c>
      <c r="F1722" s="6" t="inlineStr">
        <is>
          <t>A2 511</t>
        </is>
      </c>
      <c r="G1722" s="6" t="inlineStr">
        <is>
          <t>Teljes kínálat</t>
        </is>
      </c>
      <c r="H1722" s="6" t="n">
        <v>1</v>
      </c>
      <c r="I1722" s="6" t="n">
        <v>3</v>
      </c>
      <c r="J1722" s="6" t="inlineStr">
        <is>
          <t>van</t>
        </is>
      </c>
      <c r="K1722" s="6">
        <f>IF(AND(H1722&gt;0,I1722&gt;0),"Rendben",IF(AND(H1722=0,I1722=0),"Nincs kép és adat",IF(H1722=0,"Nincs kép","Nincs adat")))</f>
        <v/>
      </c>
      <c r="L1722" s="6" t="inlineStr">
        <is>
          <t>Igen</t>
        </is>
      </c>
      <c r="M1722" s="7" t="inlineStr">
        <is>
          <t>Sand-Profile teljes kínálata (gyártói katalógus / weboldal)</t>
        </is>
      </c>
      <c r="N1722" s="7" t="inlineStr">
        <is>
          <t>Megtalálva: a beszállító teljes kínálatából felvett termék</t>
        </is>
      </c>
      <c r="O1722" s="11" t="inlineStr">
        <is>
          <t>https://www.sandprofile.com/media/gesamtkatalog_en.pdf#page=49</t>
        </is>
      </c>
      <c r="P1722" s="11" t="inlineStr">
        <is>
          <t>https://website-9ib.pages.dev/termek/sp-a2-511/</t>
        </is>
      </c>
      <c r="Q1722" s="12" t="inlineStr"/>
      <c r="R1722" s="13" t="inlineStr"/>
      <c r="S1722" s="6" t="inlineStr">
        <is>
          <t>sp-a2-511</t>
        </is>
      </c>
    </row>
    <row r="1723">
      <c r="A1723" s="6" t="inlineStr">
        <is>
          <t>A2 513EPDM</t>
        </is>
      </c>
      <c r="B1723" s="7" t="inlineStr">
        <is>
          <t>Kéderprofil A2 513EPDM – fekete, 1,0–3,0 mm</t>
        </is>
      </c>
      <c r="C1723" s="6" t="inlineStr">
        <is>
          <t>Gumi- és kéderprofilok</t>
        </is>
      </c>
      <c r="D1723" s="6" t="inlineStr">
        <is>
          <t>Kéder- és ablakgumi profilok (Gista)</t>
        </is>
      </c>
      <c r="E1723" s="6" t="inlineStr">
        <is>
          <t>Sand-Profile</t>
        </is>
      </c>
      <c r="F1723" s="6" t="inlineStr">
        <is>
          <t>A2 513EPDM</t>
        </is>
      </c>
      <c r="G1723" s="6" t="inlineStr">
        <is>
          <t>Teljes kínálat</t>
        </is>
      </c>
      <c r="H1723" s="6" t="n">
        <v>1</v>
      </c>
      <c r="I1723" s="6" t="n">
        <v>3</v>
      </c>
      <c r="J1723" s="6" t="inlineStr">
        <is>
          <t>van</t>
        </is>
      </c>
      <c r="K1723" s="6">
        <f>IF(AND(H1723&gt;0,I1723&gt;0),"Rendben",IF(AND(H1723=0,I1723=0),"Nincs kép és adat",IF(H1723=0,"Nincs kép","Nincs adat")))</f>
        <v/>
      </c>
      <c r="L1723" s="6" t="inlineStr">
        <is>
          <t>Igen</t>
        </is>
      </c>
      <c r="M1723" s="7" t="inlineStr">
        <is>
          <t>Sand-Profile teljes kínálata (gyártói katalógus / weboldal)</t>
        </is>
      </c>
      <c r="N1723" s="7" t="inlineStr">
        <is>
          <t>Megtalálva: a beszállító teljes kínálatából felvett termék</t>
        </is>
      </c>
      <c r="O1723" s="11" t="inlineStr">
        <is>
          <t>https://www.sandprofile.com/media/gesamtkatalog_en.pdf#page=36</t>
        </is>
      </c>
      <c r="P1723" s="11" t="inlineStr">
        <is>
          <t>https://website-9ib.pages.dev/termek/sp-a2-513epdm/</t>
        </is>
      </c>
      <c r="Q1723" s="12" t="inlineStr"/>
      <c r="R1723" s="13" t="inlineStr"/>
      <c r="S1723" s="6" t="inlineStr">
        <is>
          <t>sp-a2-513epdm</t>
        </is>
      </c>
    </row>
    <row r="1724">
      <c r="A1724" s="6" t="inlineStr">
        <is>
          <t>A2 513NBR</t>
        </is>
      </c>
      <c r="B1724" s="7" t="inlineStr">
        <is>
          <t>Kéderprofil A2 513NBR – fekete, 1,0–3,0 mm</t>
        </is>
      </c>
      <c r="C1724" s="6" t="inlineStr">
        <is>
          <t>Gumi- és kéderprofilok</t>
        </is>
      </c>
      <c r="D1724" s="6" t="inlineStr">
        <is>
          <t>Kéder- és ablakgumi profilok (Gista)</t>
        </is>
      </c>
      <c r="E1724" s="6" t="inlineStr">
        <is>
          <t>Sand-Profile</t>
        </is>
      </c>
      <c r="F1724" s="6" t="inlineStr">
        <is>
          <t>A2 513NBR</t>
        </is>
      </c>
      <c r="G1724" s="6" t="inlineStr">
        <is>
          <t>Teljes kínálat</t>
        </is>
      </c>
      <c r="H1724" s="6" t="n">
        <v>1</v>
      </c>
      <c r="I1724" s="6" t="n">
        <v>3</v>
      </c>
      <c r="J1724" s="6" t="inlineStr">
        <is>
          <t>van</t>
        </is>
      </c>
      <c r="K1724" s="6">
        <f>IF(AND(H1724&gt;0,I1724&gt;0),"Rendben",IF(AND(H1724=0,I1724=0),"Nincs kép és adat",IF(H1724=0,"Nincs kép","Nincs adat")))</f>
        <v/>
      </c>
      <c r="L1724" s="6" t="inlineStr">
        <is>
          <t>Igen</t>
        </is>
      </c>
      <c r="M1724" s="7" t="inlineStr">
        <is>
          <t>Sand-Profile teljes kínálata (gyártói katalógus / weboldal)</t>
        </is>
      </c>
      <c r="N1724" s="7" t="inlineStr">
        <is>
          <t>Megtalálva: a beszállító teljes kínálatából felvett termék</t>
        </is>
      </c>
      <c r="O1724" s="11" t="inlineStr">
        <is>
          <t>https://www.sandprofile.com/media/gesamtkatalog_en.pdf#page=36</t>
        </is>
      </c>
      <c r="P1724" s="11" t="inlineStr">
        <is>
          <t>https://website-9ib.pages.dev/termek/sp-a2-513nbr/</t>
        </is>
      </c>
      <c r="Q1724" s="12" t="inlineStr"/>
      <c r="R1724" s="13" t="inlineStr"/>
      <c r="S1724" s="6" t="inlineStr">
        <is>
          <t>sp-a2-513nbr</t>
        </is>
      </c>
    </row>
    <row r="1725">
      <c r="A1725" s="6" t="inlineStr">
        <is>
          <t>A2 514</t>
        </is>
      </c>
      <c r="B1725" s="7" t="inlineStr">
        <is>
          <t>Kéderprofil A2 514 – fekete, 1,0-2,5 mm</t>
        </is>
      </c>
      <c r="C1725" s="6" t="inlineStr">
        <is>
          <t>Gumi- és kéderprofilok</t>
        </is>
      </c>
      <c r="D1725" s="6" t="inlineStr">
        <is>
          <t>Kéder- és ablakgumi profilok (Gista)</t>
        </is>
      </c>
      <c r="E1725" s="6" t="inlineStr">
        <is>
          <t>Sand-Profile</t>
        </is>
      </c>
      <c r="F1725" s="6" t="inlineStr">
        <is>
          <t>A2 514</t>
        </is>
      </c>
      <c r="G1725" s="6" t="inlineStr">
        <is>
          <t>Teljes kínálat</t>
        </is>
      </c>
      <c r="H1725" s="6" t="n">
        <v>1</v>
      </c>
      <c r="I1725" s="6" t="n">
        <v>3</v>
      </c>
      <c r="J1725" s="6" t="inlineStr">
        <is>
          <t>van</t>
        </is>
      </c>
      <c r="K1725" s="6">
        <f>IF(AND(H1725&gt;0,I1725&gt;0),"Rendben",IF(AND(H1725=0,I1725=0),"Nincs kép és adat",IF(H1725=0,"Nincs kép","Nincs adat")))</f>
        <v/>
      </c>
      <c r="L1725" s="6" t="inlineStr">
        <is>
          <t>Igen</t>
        </is>
      </c>
      <c r="M1725" s="7" t="inlineStr">
        <is>
          <t>Sand-Profile teljes kínálata (gyártói katalógus / weboldal)</t>
        </is>
      </c>
      <c r="N1725" s="7" t="inlineStr">
        <is>
          <t>Megtalálva: a beszállító teljes kínálatából felvett termék</t>
        </is>
      </c>
      <c r="O1725" s="11" t="inlineStr">
        <is>
          <t>https://www.sandprofile.com/media/gesamtkatalog_en.pdf#page=37</t>
        </is>
      </c>
      <c r="P1725" s="11" t="inlineStr">
        <is>
          <t>https://website-9ib.pages.dev/termek/sp-a2-514/</t>
        </is>
      </c>
      <c r="Q1725" s="12" t="inlineStr"/>
      <c r="R1725" s="13" t="inlineStr"/>
      <c r="S1725" s="6" t="inlineStr">
        <is>
          <t>sp-a2-514</t>
        </is>
      </c>
    </row>
    <row r="1726">
      <c r="A1726" s="6" t="inlineStr">
        <is>
          <t>A2 516/2</t>
        </is>
      </c>
      <c r="B1726" s="7" t="inlineStr">
        <is>
          <t>Kéderprofil A2 516/2 – fekete, 1,0-2,5 mm</t>
        </is>
      </c>
      <c r="C1726" s="6" t="inlineStr">
        <is>
          <t>Gumi- és kéderprofilok</t>
        </is>
      </c>
      <c r="D1726" s="6" t="inlineStr">
        <is>
          <t>Kéder- és ablakgumi profilok (Gista)</t>
        </is>
      </c>
      <c r="E1726" s="6" t="inlineStr">
        <is>
          <t>Sand-Profile</t>
        </is>
      </c>
      <c r="F1726" s="6" t="inlineStr">
        <is>
          <t>A2 516/2</t>
        </is>
      </c>
      <c r="G1726" s="6" t="inlineStr">
        <is>
          <t>Teljes kínálat</t>
        </is>
      </c>
      <c r="H1726" s="6" t="n">
        <v>1</v>
      </c>
      <c r="I1726" s="6" t="n">
        <v>3</v>
      </c>
      <c r="J1726" s="6" t="inlineStr">
        <is>
          <t>van</t>
        </is>
      </c>
      <c r="K1726" s="6">
        <f>IF(AND(H1726&gt;0,I1726&gt;0),"Rendben",IF(AND(H1726=0,I1726=0),"Nincs kép és adat",IF(H1726=0,"Nincs kép","Nincs adat")))</f>
        <v/>
      </c>
      <c r="L1726" s="6" t="inlineStr">
        <is>
          <t>Igen</t>
        </is>
      </c>
      <c r="M1726" s="7" t="inlineStr">
        <is>
          <t>Sand-Profile teljes kínálata (gyártói katalógus / weboldal)</t>
        </is>
      </c>
      <c r="N1726" s="7" t="inlineStr">
        <is>
          <t>Megtalálva: a beszállító teljes kínálatából felvett termék</t>
        </is>
      </c>
      <c r="O1726" s="11" t="inlineStr">
        <is>
          <t>https://www.sandprofile.com/media/gesamtkatalog_en.pdf#page=37</t>
        </is>
      </c>
      <c r="P1726" s="11" t="inlineStr">
        <is>
          <t>https://website-9ib.pages.dev/termek/sp-a2-516-2/</t>
        </is>
      </c>
      <c r="Q1726" s="12" t="inlineStr"/>
      <c r="R1726" s="13" t="inlineStr"/>
      <c r="S1726" s="6" t="inlineStr">
        <is>
          <t>sp-a2-516-2</t>
        </is>
      </c>
    </row>
    <row r="1727">
      <c r="A1727" s="6" t="inlineStr">
        <is>
          <t>A2 516/4</t>
        </is>
      </c>
      <c r="B1727" s="7" t="inlineStr">
        <is>
          <t>Kéderprofil A2 516/4 – fekete, 2,0-4,0 mm</t>
        </is>
      </c>
      <c r="C1727" s="6" t="inlineStr">
        <is>
          <t>Gumi- és kéderprofilok</t>
        </is>
      </c>
      <c r="D1727" s="6" t="inlineStr">
        <is>
          <t>Kéder- és ablakgumi profilok (Gista)</t>
        </is>
      </c>
      <c r="E1727" s="6" t="inlineStr">
        <is>
          <t>Sand-Profile</t>
        </is>
      </c>
      <c r="F1727" s="6" t="inlineStr">
        <is>
          <t>A2 516/4</t>
        </is>
      </c>
      <c r="G1727" s="6" t="inlineStr">
        <is>
          <t>Teljes kínálat</t>
        </is>
      </c>
      <c r="H1727" s="6" t="n">
        <v>1</v>
      </c>
      <c r="I1727" s="6" t="n">
        <v>3</v>
      </c>
      <c r="J1727" s="6" t="inlineStr">
        <is>
          <t>van</t>
        </is>
      </c>
      <c r="K1727" s="6">
        <f>IF(AND(H1727&gt;0,I1727&gt;0),"Rendben",IF(AND(H1727=0,I1727=0),"Nincs kép és adat",IF(H1727=0,"Nincs kép","Nincs adat")))</f>
        <v/>
      </c>
      <c r="L1727" s="6" t="inlineStr">
        <is>
          <t>Igen</t>
        </is>
      </c>
      <c r="M1727" s="7" t="inlineStr">
        <is>
          <t>Sand-Profile teljes kínálata (gyártói katalógus / weboldal)</t>
        </is>
      </c>
      <c r="N1727" s="7" t="inlineStr">
        <is>
          <t>Megtalálva: a beszállító teljes kínálatából felvett termék</t>
        </is>
      </c>
      <c r="O1727" s="11" t="inlineStr">
        <is>
          <t>https://www.sandprofile.com/media/gesamtkatalog_en.pdf#page=37</t>
        </is>
      </c>
      <c r="P1727" s="11" t="inlineStr">
        <is>
          <t>https://website-9ib.pages.dev/termek/sp-a2-516-4/</t>
        </is>
      </c>
      <c r="Q1727" s="12" t="inlineStr"/>
      <c r="R1727" s="13" t="inlineStr"/>
      <c r="S1727" s="6" t="inlineStr">
        <is>
          <t>sp-a2-516-4</t>
        </is>
      </c>
    </row>
    <row r="1728">
      <c r="A1728" s="6" t="inlineStr">
        <is>
          <t>A2 518</t>
        </is>
      </c>
      <c r="B1728" s="7" t="inlineStr">
        <is>
          <t>Kéderprofil A2 518 – fekete, 1,0-2,0 mm</t>
        </is>
      </c>
      <c r="C1728" s="6" t="inlineStr">
        <is>
          <t>Gumi- és kéderprofilok</t>
        </is>
      </c>
      <c r="D1728" s="6" t="inlineStr">
        <is>
          <t>Kéder- és ablakgumi profilok (Gista)</t>
        </is>
      </c>
      <c r="E1728" s="6" t="inlineStr">
        <is>
          <t>Sand-Profile</t>
        </is>
      </c>
      <c r="F1728" s="6" t="inlineStr">
        <is>
          <t>A2 518</t>
        </is>
      </c>
      <c r="G1728" s="6" t="inlineStr">
        <is>
          <t>Teljes kínálat</t>
        </is>
      </c>
      <c r="H1728" s="6" t="n">
        <v>1</v>
      </c>
      <c r="I1728" s="6" t="n">
        <v>3</v>
      </c>
      <c r="J1728" s="6" t="inlineStr">
        <is>
          <t>van</t>
        </is>
      </c>
      <c r="K1728" s="6">
        <f>IF(AND(H1728&gt;0,I1728&gt;0),"Rendben",IF(AND(H1728=0,I1728=0),"Nincs kép és adat",IF(H1728=0,"Nincs kép","Nincs adat")))</f>
        <v/>
      </c>
      <c r="L1728" s="6" t="inlineStr">
        <is>
          <t>Igen</t>
        </is>
      </c>
      <c r="M1728" s="7" t="inlineStr">
        <is>
          <t>Sand-Profile teljes kínálata (gyártói katalógus / weboldal)</t>
        </is>
      </c>
      <c r="N1728" s="7" t="inlineStr">
        <is>
          <t>Megtalálva: a beszállító teljes kínálatából felvett termék</t>
        </is>
      </c>
      <c r="O1728" s="11" t="inlineStr">
        <is>
          <t>https://www.sandprofile.com/media/gesamtkatalog_en.pdf#page=35</t>
        </is>
      </c>
      <c r="P1728" s="11" t="inlineStr">
        <is>
          <t>https://website-9ib.pages.dev/termek/sp-a2-518/</t>
        </is>
      </c>
      <c r="Q1728" s="12" t="inlineStr"/>
      <c r="R1728" s="13" t="inlineStr"/>
      <c r="S1728" s="6" t="inlineStr">
        <is>
          <t>sp-a2-518</t>
        </is>
      </c>
    </row>
    <row r="1729">
      <c r="A1729" s="6" t="inlineStr">
        <is>
          <t>A2 523</t>
        </is>
      </c>
      <c r="B1729" s="7" t="inlineStr">
        <is>
          <t>Kéderprofil A2 523 – fekete, 1,0-2,5 mm</t>
        </is>
      </c>
      <c r="C1729" s="6" t="inlineStr">
        <is>
          <t>Gumi- és kéderprofilok</t>
        </is>
      </c>
      <c r="D1729" s="6" t="inlineStr">
        <is>
          <t>Kéder- és ablakgumi profilok (Gista)</t>
        </is>
      </c>
      <c r="E1729" s="6" t="inlineStr">
        <is>
          <t>Sand-Profile</t>
        </is>
      </c>
      <c r="F1729" s="6" t="inlineStr">
        <is>
          <t>A2 523</t>
        </is>
      </c>
      <c r="G1729" s="6" t="inlineStr">
        <is>
          <t>Teljes kínálat</t>
        </is>
      </c>
      <c r="H1729" s="6" t="n">
        <v>1</v>
      </c>
      <c r="I1729" s="6" t="n">
        <v>3</v>
      </c>
      <c r="J1729" s="6" t="inlineStr">
        <is>
          <t>van</t>
        </is>
      </c>
      <c r="K1729" s="6">
        <f>IF(AND(H1729&gt;0,I1729&gt;0),"Rendben",IF(AND(H1729=0,I1729=0),"Nincs kép és adat",IF(H1729=0,"Nincs kép","Nincs adat")))</f>
        <v/>
      </c>
      <c r="L1729" s="6" t="inlineStr">
        <is>
          <t>Igen</t>
        </is>
      </c>
      <c r="M1729" s="7" t="inlineStr">
        <is>
          <t>Sand-Profile teljes kínálata (gyártói katalógus / weboldal)</t>
        </is>
      </c>
      <c r="N1729" s="7" t="inlineStr">
        <is>
          <t>Megtalálva: a beszállító teljes kínálatából felvett termék</t>
        </is>
      </c>
      <c r="O1729" s="11" t="inlineStr">
        <is>
          <t>https://www.sandprofile.com/media/gesamtkatalog_en.pdf#page=49</t>
        </is>
      </c>
      <c r="P1729" s="11" t="inlineStr">
        <is>
          <t>https://website-9ib.pages.dev/termek/sp-a2-523/</t>
        </is>
      </c>
      <c r="Q1729" s="12" t="inlineStr"/>
      <c r="R1729" s="13" t="inlineStr"/>
      <c r="S1729" s="6" t="inlineStr">
        <is>
          <t>sp-a2-523</t>
        </is>
      </c>
    </row>
    <row r="1730">
      <c r="A1730" s="6" t="inlineStr">
        <is>
          <t>A2 533</t>
        </is>
      </c>
      <c r="B1730" s="7" t="inlineStr">
        <is>
          <t>Kéderprofil A2 533 – fekete, 1,0-2,5 mm</t>
        </is>
      </c>
      <c r="C1730" s="6" t="inlineStr">
        <is>
          <t>Gumi- és kéderprofilok</t>
        </is>
      </c>
      <c r="D1730" s="6" t="inlineStr">
        <is>
          <t>Kéder- és ablakgumi profilok (Gista)</t>
        </is>
      </c>
      <c r="E1730" s="6" t="inlineStr">
        <is>
          <t>Sand-Profile</t>
        </is>
      </c>
      <c r="F1730" s="6" t="inlineStr">
        <is>
          <t>A2 533</t>
        </is>
      </c>
      <c r="G1730" s="6" t="inlineStr">
        <is>
          <t>Teljes kínálat</t>
        </is>
      </c>
      <c r="H1730" s="6" t="n">
        <v>1</v>
      </c>
      <c r="I1730" s="6" t="n">
        <v>3</v>
      </c>
      <c r="J1730" s="6" t="inlineStr">
        <is>
          <t>van</t>
        </is>
      </c>
      <c r="K1730" s="6">
        <f>IF(AND(H1730&gt;0,I1730&gt;0),"Rendben",IF(AND(H1730=0,I1730=0),"Nincs kép és adat",IF(H1730=0,"Nincs kép","Nincs adat")))</f>
        <v/>
      </c>
      <c r="L1730" s="6" t="inlineStr">
        <is>
          <t>Igen</t>
        </is>
      </c>
      <c r="M1730" s="7" t="inlineStr">
        <is>
          <t>Sand-Profile teljes kínálata (gyártói katalógus / weboldal)</t>
        </is>
      </c>
      <c r="N1730" s="7" t="inlineStr">
        <is>
          <t>Megtalálva: a beszállító teljes kínálatából felvett termék</t>
        </is>
      </c>
      <c r="O1730" s="11" t="inlineStr">
        <is>
          <t>https://www.sandprofile.com/media/gesamtkatalog_en.pdf#page=40</t>
        </is>
      </c>
      <c r="P1730" s="11" t="inlineStr">
        <is>
          <t>https://website-9ib.pages.dev/termek/sp-a2-533/</t>
        </is>
      </c>
      <c r="Q1730" s="12" t="inlineStr"/>
      <c r="R1730" s="13" t="inlineStr"/>
      <c r="S1730" s="6" t="inlineStr">
        <is>
          <t>sp-a2-533</t>
        </is>
      </c>
    </row>
    <row r="1731">
      <c r="A1731" s="6" t="inlineStr">
        <is>
          <t>A2 544</t>
        </is>
      </c>
      <c r="B1731" s="7" t="inlineStr">
        <is>
          <t>Kéderprofil A2 544 – fekete, 0,5-1,5 mm</t>
        </is>
      </c>
      <c r="C1731" s="6" t="inlineStr">
        <is>
          <t>Gumi- és kéderprofilok</t>
        </is>
      </c>
      <c r="D1731" s="6" t="inlineStr">
        <is>
          <t>Kéder- és ablakgumi profilok (Gista)</t>
        </is>
      </c>
      <c r="E1731" s="6" t="inlineStr">
        <is>
          <t>Sand-Profile</t>
        </is>
      </c>
      <c r="F1731" s="6" t="inlineStr">
        <is>
          <t>A2 544</t>
        </is>
      </c>
      <c r="G1731" s="6" t="inlineStr">
        <is>
          <t>Teljes kínálat</t>
        </is>
      </c>
      <c r="H1731" s="6" t="n">
        <v>1</v>
      </c>
      <c r="I1731" s="6" t="n">
        <v>3</v>
      </c>
      <c r="J1731" s="6" t="inlineStr">
        <is>
          <t>van</t>
        </is>
      </c>
      <c r="K1731" s="6">
        <f>IF(AND(H1731&gt;0,I1731&gt;0),"Rendben",IF(AND(H1731=0,I1731=0),"Nincs kép és adat",IF(H1731=0,"Nincs kép","Nincs adat")))</f>
        <v/>
      </c>
      <c r="L1731" s="6" t="inlineStr">
        <is>
          <t>Igen</t>
        </is>
      </c>
      <c r="M1731" s="7" t="inlineStr">
        <is>
          <t>Sand-Profile teljes kínálata (gyártói katalógus / weboldal)</t>
        </is>
      </c>
      <c r="N1731" s="7" t="inlineStr">
        <is>
          <t>Megtalálva: a beszállító teljes kínálatából felvett termék</t>
        </is>
      </c>
      <c r="O1731" s="11" t="inlineStr">
        <is>
          <t>https://www.sandprofile.com/media/gesamtkatalog_en.pdf#page=35</t>
        </is>
      </c>
      <c r="P1731" s="11" t="inlineStr">
        <is>
          <t>https://website-9ib.pages.dev/termek/sp-a2-544/</t>
        </is>
      </c>
      <c r="Q1731" s="12" t="inlineStr"/>
      <c r="R1731" s="13" t="inlineStr"/>
      <c r="S1731" s="6" t="inlineStr">
        <is>
          <t>sp-a2-544</t>
        </is>
      </c>
    </row>
    <row r="1732">
      <c r="A1732" s="6" t="inlineStr">
        <is>
          <t>A2 545</t>
        </is>
      </c>
      <c r="B1732" s="7" t="inlineStr">
        <is>
          <t>Kéderprofil A2 545 – fekete, 1,0-2,0 mm</t>
        </is>
      </c>
      <c r="C1732" s="6" t="inlineStr">
        <is>
          <t>Gumi- és kéderprofilok</t>
        </is>
      </c>
      <c r="D1732" s="6" t="inlineStr">
        <is>
          <t>Kéder- és ablakgumi profilok (Gista)</t>
        </is>
      </c>
      <c r="E1732" s="6" t="inlineStr">
        <is>
          <t>Sand-Profile</t>
        </is>
      </c>
      <c r="F1732" s="6" t="inlineStr">
        <is>
          <t>A2 545</t>
        </is>
      </c>
      <c r="G1732" s="6" t="inlineStr">
        <is>
          <t>Teljes kínálat</t>
        </is>
      </c>
      <c r="H1732" s="6" t="n">
        <v>1</v>
      </c>
      <c r="I1732" s="6" t="n">
        <v>3</v>
      </c>
      <c r="J1732" s="6" t="inlineStr">
        <is>
          <t>van</t>
        </is>
      </c>
      <c r="K1732" s="6">
        <f>IF(AND(H1732&gt;0,I1732&gt;0),"Rendben",IF(AND(H1732=0,I1732=0),"Nincs kép és adat",IF(H1732=0,"Nincs kép","Nincs adat")))</f>
        <v/>
      </c>
      <c r="L1732" s="6" t="inlineStr">
        <is>
          <t>Igen</t>
        </is>
      </c>
      <c r="M1732" s="7" t="inlineStr">
        <is>
          <t>Sand-Profile teljes kínálata (gyártói katalógus / weboldal)</t>
        </is>
      </c>
      <c r="N1732" s="7" t="inlineStr">
        <is>
          <t>Megtalálva: a beszállító teljes kínálatából felvett termék</t>
        </is>
      </c>
      <c r="O1732" s="11" t="inlineStr">
        <is>
          <t>https://www.sandprofile.com/media/gesamtkatalog_en.pdf#page=40</t>
        </is>
      </c>
      <c r="P1732" s="11" t="inlineStr">
        <is>
          <t>https://website-9ib.pages.dev/termek/sp-a2-545/</t>
        </is>
      </c>
      <c r="Q1732" s="12" t="inlineStr"/>
      <c r="R1732" s="13" t="inlineStr"/>
      <c r="S1732" s="6" t="inlineStr">
        <is>
          <t>sp-a2-545</t>
        </is>
      </c>
    </row>
    <row r="1733">
      <c r="A1733" s="6" t="inlineStr">
        <is>
          <t>A2 546</t>
        </is>
      </c>
      <c r="B1733" s="7" t="inlineStr">
        <is>
          <t>Kéderprofil A2 546 – fekete, 1,5-3,5 mm</t>
        </is>
      </c>
      <c r="C1733" s="6" t="inlineStr">
        <is>
          <t>Gumi- és kéderprofilok</t>
        </is>
      </c>
      <c r="D1733" s="6" t="inlineStr">
        <is>
          <t>Kéder- és ablakgumi profilok (Gista)</t>
        </is>
      </c>
      <c r="E1733" s="6" t="inlineStr">
        <is>
          <t>Sand-Profile</t>
        </is>
      </c>
      <c r="F1733" s="6" t="inlineStr">
        <is>
          <t>A2 546</t>
        </is>
      </c>
      <c r="G1733" s="6" t="inlineStr">
        <is>
          <t>Teljes kínálat</t>
        </is>
      </c>
      <c r="H1733" s="6" t="n">
        <v>1</v>
      </c>
      <c r="I1733" s="6" t="n">
        <v>3</v>
      </c>
      <c r="J1733" s="6" t="inlineStr">
        <is>
          <t>van</t>
        </is>
      </c>
      <c r="K1733" s="6">
        <f>IF(AND(H1733&gt;0,I1733&gt;0),"Rendben",IF(AND(H1733=0,I1733=0),"Nincs kép és adat",IF(H1733=0,"Nincs kép","Nincs adat")))</f>
        <v/>
      </c>
      <c r="L1733" s="6" t="inlineStr">
        <is>
          <t>Igen</t>
        </is>
      </c>
      <c r="M1733" s="7" t="inlineStr">
        <is>
          <t>Sand-Profile teljes kínálata (gyártói katalógus / weboldal)</t>
        </is>
      </c>
      <c r="N1733" s="7" t="inlineStr">
        <is>
          <t>Megtalálva: a beszállító teljes kínálatából felvett termék</t>
        </is>
      </c>
      <c r="O1733" s="11" t="inlineStr">
        <is>
          <t>https://www.sandprofile.com/media/gesamtkatalog_en.pdf#page=37</t>
        </is>
      </c>
      <c r="P1733" s="11" t="inlineStr">
        <is>
          <t>https://website-9ib.pages.dev/termek/sp-a2-546/</t>
        </is>
      </c>
      <c r="Q1733" s="12" t="inlineStr"/>
      <c r="R1733" s="13" t="inlineStr"/>
      <c r="S1733" s="6" t="inlineStr">
        <is>
          <t>sp-a2-546</t>
        </is>
      </c>
    </row>
    <row r="1734">
      <c r="A1734" s="6" t="inlineStr">
        <is>
          <t>A2 548</t>
        </is>
      </c>
      <c r="B1734" s="7" t="inlineStr">
        <is>
          <t>Kéderprofil A2 548 – fekete, 1,5-3,5 mm</t>
        </is>
      </c>
      <c r="C1734" s="6" t="inlineStr">
        <is>
          <t>Gumi- és kéderprofilok</t>
        </is>
      </c>
      <c r="D1734" s="6" t="inlineStr">
        <is>
          <t>Kéder- és ablakgumi profilok (Gista)</t>
        </is>
      </c>
      <c r="E1734" s="6" t="inlineStr">
        <is>
          <t>Sand-Profile</t>
        </is>
      </c>
      <c r="F1734" s="6" t="inlineStr">
        <is>
          <t>A2 548</t>
        </is>
      </c>
      <c r="G1734" s="6" t="inlineStr">
        <is>
          <t>Teljes kínálat</t>
        </is>
      </c>
      <c r="H1734" s="6" t="n">
        <v>1</v>
      </c>
      <c r="I1734" s="6" t="n">
        <v>3</v>
      </c>
      <c r="J1734" s="6" t="inlineStr">
        <is>
          <t>van</t>
        </is>
      </c>
      <c r="K1734" s="6">
        <f>IF(AND(H1734&gt;0,I1734&gt;0),"Rendben",IF(AND(H1734=0,I1734=0),"Nincs kép és adat",IF(H1734=0,"Nincs kép","Nincs adat")))</f>
        <v/>
      </c>
      <c r="L1734" s="6" t="inlineStr">
        <is>
          <t>Igen</t>
        </is>
      </c>
      <c r="M1734" s="7" t="inlineStr">
        <is>
          <t>Sand-Profile teljes kínálata (gyártói katalógus / weboldal)</t>
        </is>
      </c>
      <c r="N1734" s="7" t="inlineStr">
        <is>
          <t>Megtalálva: a beszállító teljes kínálatából felvett termék</t>
        </is>
      </c>
      <c r="O1734" s="11" t="inlineStr">
        <is>
          <t>https://www.sandprofile.com/media/gesamtkatalog_en.pdf#page=46</t>
        </is>
      </c>
      <c r="P1734" s="11" t="inlineStr">
        <is>
          <t>https://website-9ib.pages.dev/termek/sp-a2-548/</t>
        </is>
      </c>
      <c r="Q1734" s="12" t="inlineStr"/>
      <c r="R1734" s="13" t="inlineStr"/>
      <c r="S1734" s="6" t="inlineStr">
        <is>
          <t>sp-a2-548</t>
        </is>
      </c>
    </row>
    <row r="1735">
      <c r="A1735" s="6" t="inlineStr">
        <is>
          <t>A2 558(CR)</t>
        </is>
      </c>
      <c r="B1735" s="7" t="inlineStr">
        <is>
          <t>Kéderprofil A2 558(CR) – fekete, 1,0-3,5 mm</t>
        </is>
      </c>
      <c r="C1735" s="6" t="inlineStr">
        <is>
          <t>Gumi- és kéderprofilok</t>
        </is>
      </c>
      <c r="D1735" s="6" t="inlineStr">
        <is>
          <t>Kéder- és ablakgumi profilok (Gista)</t>
        </is>
      </c>
      <c r="E1735" s="6" t="inlineStr">
        <is>
          <t>Sand-Profile</t>
        </is>
      </c>
      <c r="F1735" s="6" t="inlineStr">
        <is>
          <t>A2 558(CR)</t>
        </is>
      </c>
      <c r="G1735" s="6" t="inlineStr">
        <is>
          <t>Teljes kínálat</t>
        </is>
      </c>
      <c r="H1735" s="6" t="n">
        <v>1</v>
      </c>
      <c r="I1735" s="6" t="n">
        <v>3</v>
      </c>
      <c r="J1735" s="6" t="inlineStr">
        <is>
          <t>van</t>
        </is>
      </c>
      <c r="K1735" s="6">
        <f>IF(AND(H1735&gt;0,I1735&gt;0),"Rendben",IF(AND(H1735=0,I1735=0),"Nincs kép és adat",IF(H1735=0,"Nincs kép","Nincs adat")))</f>
        <v/>
      </c>
      <c r="L1735" s="6" t="inlineStr">
        <is>
          <t>Igen</t>
        </is>
      </c>
      <c r="M1735" s="7" t="inlineStr">
        <is>
          <t>Sand-Profile teljes kínálata (gyártói katalógus / weboldal)</t>
        </is>
      </c>
      <c r="N1735" s="7" t="inlineStr">
        <is>
          <t>Megtalálva: a beszállító teljes kínálatából felvett termék</t>
        </is>
      </c>
      <c r="O1735" s="11" t="inlineStr">
        <is>
          <t>https://www.sandprofile.com/media/gesamtkatalog_en.pdf#page=44</t>
        </is>
      </c>
      <c r="P1735" s="11" t="inlineStr">
        <is>
          <t>https://website-9ib.pages.dev/termek/sp-a2-558-cr/</t>
        </is>
      </c>
      <c r="Q1735" s="12" t="inlineStr"/>
      <c r="R1735" s="13" t="inlineStr"/>
      <c r="S1735" s="6" t="inlineStr">
        <is>
          <t>sp-a2-558-cr</t>
        </is>
      </c>
    </row>
    <row r="1736">
      <c r="A1736" s="6" t="inlineStr">
        <is>
          <t>A2 612</t>
        </is>
      </c>
      <c r="B1736" s="7" t="inlineStr">
        <is>
          <t>Kéderprofil A2 612 – fekete, 3,0-4,0 mm</t>
        </is>
      </c>
      <c r="C1736" s="6" t="inlineStr">
        <is>
          <t>Gumi- és kéderprofilok</t>
        </is>
      </c>
      <c r="D1736" s="6" t="inlineStr">
        <is>
          <t>Kéder- és ablakgumi profilok (Gista)</t>
        </is>
      </c>
      <c r="E1736" s="6" t="inlineStr">
        <is>
          <t>Sand-Profile</t>
        </is>
      </c>
      <c r="F1736" s="6" t="inlineStr">
        <is>
          <t>A2 612</t>
        </is>
      </c>
      <c r="G1736" s="6" t="inlineStr">
        <is>
          <t>Teljes kínálat</t>
        </is>
      </c>
      <c r="H1736" s="6" t="n">
        <v>1</v>
      </c>
      <c r="I1736" s="6" t="n">
        <v>3</v>
      </c>
      <c r="J1736" s="6" t="inlineStr">
        <is>
          <t>van</t>
        </is>
      </c>
      <c r="K1736" s="6">
        <f>IF(AND(H1736&gt;0,I1736&gt;0),"Rendben",IF(AND(H1736=0,I1736=0),"Nincs kép és adat",IF(H1736=0,"Nincs kép","Nincs adat")))</f>
        <v/>
      </c>
      <c r="L1736" s="6" t="inlineStr">
        <is>
          <t>Igen</t>
        </is>
      </c>
      <c r="M1736" s="7" t="inlineStr">
        <is>
          <t>Sand-Profile teljes kínálata (gyártói katalógus / weboldal)</t>
        </is>
      </c>
      <c r="N1736" s="7" t="inlineStr">
        <is>
          <t>Megtalálva: a beszállító teljes kínálatából felvett termék</t>
        </is>
      </c>
      <c r="O1736" s="11" t="inlineStr">
        <is>
          <t>https://www.sandprofile.com/media/gesamtkatalog_en.pdf#page=48</t>
        </is>
      </c>
      <c r="P1736" s="11" t="inlineStr">
        <is>
          <t>https://website-9ib.pages.dev/termek/sp-a2-612/</t>
        </is>
      </c>
      <c r="Q1736" s="12" t="inlineStr"/>
      <c r="R1736" s="13" t="inlineStr"/>
      <c r="S1736" s="6" t="inlineStr">
        <is>
          <t>sp-a2-612</t>
        </is>
      </c>
    </row>
    <row r="1737">
      <c r="A1737" s="6" t="inlineStr">
        <is>
          <t>A3 074</t>
        </is>
      </c>
      <c r="B1737" s="7" t="inlineStr">
        <is>
          <t>Kéderprofil A3 074 – fekete, 1,0-2,0 mm</t>
        </is>
      </c>
      <c r="C1737" s="6" t="inlineStr">
        <is>
          <t>Gumi- és kéderprofilok</t>
        </is>
      </c>
      <c r="D1737" s="6" t="inlineStr">
        <is>
          <t>Kéder- és ablakgumi profilok (Gista)</t>
        </is>
      </c>
      <c r="E1737" s="6" t="inlineStr">
        <is>
          <t>Sand-Profile</t>
        </is>
      </c>
      <c r="F1737" s="6" t="inlineStr">
        <is>
          <t>A3 074</t>
        </is>
      </c>
      <c r="G1737" s="6" t="inlineStr">
        <is>
          <t>Teljes kínálat</t>
        </is>
      </c>
      <c r="H1737" s="6" t="n">
        <v>1</v>
      </c>
      <c r="I1737" s="6" t="n">
        <v>3</v>
      </c>
      <c r="J1737" s="6" t="inlineStr">
        <is>
          <t>van</t>
        </is>
      </c>
      <c r="K1737" s="6">
        <f>IF(AND(H1737&gt;0,I1737&gt;0),"Rendben",IF(AND(H1737=0,I1737=0),"Nincs kép és adat",IF(H1737=0,"Nincs kép","Nincs adat")))</f>
        <v/>
      </c>
      <c r="L1737" s="6" t="inlineStr">
        <is>
          <t>Igen</t>
        </is>
      </c>
      <c r="M1737" s="7" t="inlineStr">
        <is>
          <t>Sand-Profile teljes kínálata (gyártói katalógus / weboldal)</t>
        </is>
      </c>
      <c r="N1737" s="7" t="inlineStr">
        <is>
          <t>Megtalálva: a beszállító teljes kínálatából felvett termék</t>
        </is>
      </c>
      <c r="O1737" s="11" t="inlineStr">
        <is>
          <t>https://www.sandprofile.com/media/gesamtkatalog_en.pdf#page=49</t>
        </is>
      </c>
      <c r="P1737" s="11" t="inlineStr">
        <is>
          <t>https://website-9ib.pages.dev/termek/sp-a3-074/</t>
        </is>
      </c>
      <c r="Q1737" s="12" t="inlineStr"/>
      <c r="R1737" s="13" t="inlineStr"/>
      <c r="S1737" s="6" t="inlineStr">
        <is>
          <t>sp-a3-074</t>
        </is>
      </c>
    </row>
    <row r="1738">
      <c r="A1738" s="6" t="inlineStr">
        <is>
          <t>A3 104</t>
        </is>
      </c>
      <c r="B1738" s="7" t="inlineStr">
        <is>
          <t>Kéderprofil A3 104 – fekete, 5,0-6,0 mm</t>
        </is>
      </c>
      <c r="C1738" s="6" t="inlineStr">
        <is>
          <t>Gumi- és kéderprofilok</t>
        </is>
      </c>
      <c r="D1738" s="6" t="inlineStr">
        <is>
          <t>Kéder- és ablakgumi profilok (Gista)</t>
        </is>
      </c>
      <c r="E1738" s="6" t="inlineStr">
        <is>
          <t>Sand-Profile</t>
        </is>
      </c>
      <c r="F1738" s="6" t="inlineStr">
        <is>
          <t>A3 104</t>
        </is>
      </c>
      <c r="G1738" s="6" t="inlineStr">
        <is>
          <t>Teljes kínálat</t>
        </is>
      </c>
      <c r="H1738" s="6" t="n">
        <v>1</v>
      </c>
      <c r="I1738" s="6" t="n">
        <v>3</v>
      </c>
      <c r="J1738" s="6" t="inlineStr">
        <is>
          <t>van</t>
        </is>
      </c>
      <c r="K1738" s="6">
        <f>IF(AND(H1738&gt;0,I1738&gt;0),"Rendben",IF(AND(H1738=0,I1738=0),"Nincs kép és adat",IF(H1738=0,"Nincs kép","Nincs adat")))</f>
        <v/>
      </c>
      <c r="L1738" s="6" t="inlineStr">
        <is>
          <t>Igen</t>
        </is>
      </c>
      <c r="M1738" s="7" t="inlineStr">
        <is>
          <t>Sand-Profile teljes kínálata (gyártói katalógus / weboldal)</t>
        </is>
      </c>
      <c r="N1738" s="7" t="inlineStr">
        <is>
          <t>Megtalálva: a beszállító teljes kínálatából felvett termék</t>
        </is>
      </c>
      <c r="O1738" s="11" t="inlineStr">
        <is>
          <t>https://www.sandprofile.com/media/gesamtkatalog_en.pdf#page=45</t>
        </is>
      </c>
      <c r="P1738" s="11" t="inlineStr">
        <is>
          <t>https://website-9ib.pages.dev/termek/sp-a3-104/</t>
        </is>
      </c>
      <c r="Q1738" s="12" t="inlineStr"/>
      <c r="R1738" s="13" t="inlineStr"/>
      <c r="S1738" s="6" t="inlineStr">
        <is>
          <t>sp-a3-104</t>
        </is>
      </c>
    </row>
    <row r="1739">
      <c r="A1739" s="6" t="inlineStr">
        <is>
          <t>A3 114</t>
        </is>
      </c>
      <c r="B1739" s="7" t="inlineStr">
        <is>
          <t>Kéderprofil A3 114 – fekete, 5,0-9,0 mm</t>
        </is>
      </c>
      <c r="C1739" s="6" t="inlineStr">
        <is>
          <t>Gumi- és kéderprofilok</t>
        </is>
      </c>
      <c r="D1739" s="6" t="inlineStr">
        <is>
          <t>Kéder- és ablakgumi profilok (Gista)</t>
        </is>
      </c>
      <c r="E1739" s="6" t="inlineStr">
        <is>
          <t>Sand-Profile</t>
        </is>
      </c>
      <c r="F1739" s="6" t="inlineStr">
        <is>
          <t>A3 114</t>
        </is>
      </c>
      <c r="G1739" s="6" t="inlineStr">
        <is>
          <t>Teljes kínálat</t>
        </is>
      </c>
      <c r="H1739" s="6" t="n">
        <v>1</v>
      </c>
      <c r="I1739" s="6" t="n">
        <v>3</v>
      </c>
      <c r="J1739" s="6" t="inlineStr">
        <is>
          <t>van</t>
        </is>
      </c>
      <c r="K1739" s="6">
        <f>IF(AND(H1739&gt;0,I1739&gt;0),"Rendben",IF(AND(H1739=0,I1739=0),"Nincs kép és adat",IF(H1739=0,"Nincs kép","Nincs adat")))</f>
        <v/>
      </c>
      <c r="L1739" s="6" t="inlineStr">
        <is>
          <t>Igen</t>
        </is>
      </c>
      <c r="M1739" s="7" t="inlineStr">
        <is>
          <t>Sand-Profile teljes kínálata (gyártói katalógus / weboldal)</t>
        </is>
      </c>
      <c r="N1739" s="7" t="inlineStr">
        <is>
          <t>Megtalálva: a beszállító teljes kínálatából felvett termék</t>
        </is>
      </c>
      <c r="O1739" s="11" t="inlineStr">
        <is>
          <t>https://www.sandprofile.com/media/gesamtkatalog_en.pdf#page=43</t>
        </is>
      </c>
      <c r="P1739" s="11" t="inlineStr">
        <is>
          <t>https://website-9ib.pages.dev/termek/sp-a3-114/</t>
        </is>
      </c>
      <c r="Q1739" s="12" t="inlineStr"/>
      <c r="R1739" s="13" t="inlineStr"/>
      <c r="S1739" s="6" t="inlineStr">
        <is>
          <t>sp-a3-114</t>
        </is>
      </c>
    </row>
    <row r="1740">
      <c r="A1740" s="6" t="inlineStr">
        <is>
          <t>A3 145</t>
        </is>
      </c>
      <c r="B1740" s="7" t="inlineStr">
        <is>
          <t>Kéderprofil A3 145 – fekete, 3,0 mm</t>
        </is>
      </c>
      <c r="C1740" s="6" t="inlineStr">
        <is>
          <t>Gumi- és kéderprofilok</t>
        </is>
      </c>
      <c r="D1740" s="6" t="inlineStr">
        <is>
          <t>Kéder- és ablakgumi profilok (Gista)</t>
        </is>
      </c>
      <c r="E1740" s="6" t="inlineStr">
        <is>
          <t>Sand-Profile</t>
        </is>
      </c>
      <c r="F1740" s="6" t="inlineStr">
        <is>
          <t>A3 145</t>
        </is>
      </c>
      <c r="G1740" s="6" t="inlineStr">
        <is>
          <t>Teljes kínálat</t>
        </is>
      </c>
      <c r="H1740" s="6" t="n">
        <v>1</v>
      </c>
      <c r="I1740" s="6" t="n">
        <v>3</v>
      </c>
      <c r="J1740" s="6" t="inlineStr">
        <is>
          <t>van</t>
        </is>
      </c>
      <c r="K1740" s="6">
        <f>IF(AND(H1740&gt;0,I1740&gt;0),"Rendben",IF(AND(H1740=0,I1740=0),"Nincs kép és adat",IF(H1740=0,"Nincs kép","Nincs adat")))</f>
        <v/>
      </c>
      <c r="L1740" s="6" t="inlineStr">
        <is>
          <t>Igen</t>
        </is>
      </c>
      <c r="M1740" s="7" t="inlineStr">
        <is>
          <t>Sand-Profile teljes kínálata (gyártói katalógus / weboldal)</t>
        </is>
      </c>
      <c r="N1740" s="7" t="inlineStr">
        <is>
          <t>Megtalálva: a beszállító teljes kínálatából felvett termék</t>
        </is>
      </c>
      <c r="O1740" s="11" t="inlineStr">
        <is>
          <t>https://www.sandprofile.com/media/gesamtkatalog_en.pdf#page=44</t>
        </is>
      </c>
      <c r="P1740" s="11" t="inlineStr">
        <is>
          <t>https://website-9ib.pages.dev/termek/sp-a3-145/</t>
        </is>
      </c>
      <c r="Q1740" s="12" t="inlineStr"/>
      <c r="R1740" s="13" t="inlineStr"/>
      <c r="S1740" s="6" t="inlineStr">
        <is>
          <t>sp-a3-145</t>
        </is>
      </c>
    </row>
    <row r="1741">
      <c r="A1741" s="6" t="inlineStr">
        <is>
          <t>A3 156</t>
        </is>
      </c>
      <c r="B1741" s="7" t="inlineStr">
        <is>
          <t>Kéderprofil A3 156 – fekete, 3,0 mm</t>
        </is>
      </c>
      <c r="C1741" s="6" t="inlineStr">
        <is>
          <t>Gumi- és kéderprofilok</t>
        </is>
      </c>
      <c r="D1741" s="6" t="inlineStr">
        <is>
          <t>Kéder- és ablakgumi profilok (Gista)</t>
        </is>
      </c>
      <c r="E1741" s="6" t="inlineStr">
        <is>
          <t>Sand-Profile</t>
        </is>
      </c>
      <c r="F1741" s="6" t="inlineStr">
        <is>
          <t>A3 156</t>
        </is>
      </c>
      <c r="G1741" s="6" t="inlineStr">
        <is>
          <t>Teljes kínálat</t>
        </is>
      </c>
      <c r="H1741" s="6" t="n">
        <v>1</v>
      </c>
      <c r="I1741" s="6" t="n">
        <v>3</v>
      </c>
      <c r="J1741" s="6" t="inlineStr">
        <is>
          <t>van</t>
        </is>
      </c>
      <c r="K1741" s="6">
        <f>IF(AND(H1741&gt;0,I1741&gt;0),"Rendben",IF(AND(H1741=0,I1741=0),"Nincs kép és adat",IF(H1741=0,"Nincs kép","Nincs adat")))</f>
        <v/>
      </c>
      <c r="L1741" s="6" t="inlineStr">
        <is>
          <t>Igen</t>
        </is>
      </c>
      <c r="M1741" s="7" t="inlineStr">
        <is>
          <t>Sand-Profile teljes kínálata (gyártói katalógus / weboldal)</t>
        </is>
      </c>
      <c r="N1741" s="7" t="inlineStr">
        <is>
          <t>Megtalálva: a beszállító teljes kínálatából felvett termék</t>
        </is>
      </c>
      <c r="O1741" s="11" t="inlineStr">
        <is>
          <t>https://www.sandprofile.com/media/gesamtkatalog_en.pdf#page=46</t>
        </is>
      </c>
      <c r="P1741" s="11" t="inlineStr">
        <is>
          <t>https://website-9ib.pages.dev/termek/sp-a3-156/</t>
        </is>
      </c>
      <c r="Q1741" s="12" t="inlineStr"/>
      <c r="R1741" s="13" t="inlineStr"/>
      <c r="S1741" s="6" t="inlineStr">
        <is>
          <t>sp-a3-156</t>
        </is>
      </c>
    </row>
    <row r="1742">
      <c r="A1742" s="6" t="inlineStr">
        <is>
          <t>A3 169</t>
        </is>
      </c>
      <c r="B1742" s="7" t="inlineStr">
        <is>
          <t>Kéderprofil A3 169 – fekete, 3,5-5,0 mm</t>
        </is>
      </c>
      <c r="C1742" s="6" t="inlineStr">
        <is>
          <t>Gumi- és kéderprofilok</t>
        </is>
      </c>
      <c r="D1742" s="6" t="inlineStr">
        <is>
          <t>Kéder- és ablakgumi profilok (Gista)</t>
        </is>
      </c>
      <c r="E1742" s="6" t="inlineStr">
        <is>
          <t>Sand-Profile</t>
        </is>
      </c>
      <c r="F1742" s="6" t="inlineStr">
        <is>
          <t>A3 169</t>
        </is>
      </c>
      <c r="G1742" s="6" t="inlineStr">
        <is>
          <t>Teljes kínálat</t>
        </is>
      </c>
      <c r="H1742" s="6" t="n">
        <v>1</v>
      </c>
      <c r="I1742" s="6" t="n">
        <v>3</v>
      </c>
      <c r="J1742" s="6" t="inlineStr">
        <is>
          <t>van</t>
        </is>
      </c>
      <c r="K1742" s="6">
        <f>IF(AND(H1742&gt;0,I1742&gt;0),"Rendben",IF(AND(H1742=0,I1742=0),"Nincs kép és adat",IF(H1742=0,"Nincs kép","Nincs adat")))</f>
        <v/>
      </c>
      <c r="L1742" s="6" t="inlineStr">
        <is>
          <t>Igen</t>
        </is>
      </c>
      <c r="M1742" s="7" t="inlineStr">
        <is>
          <t>Sand-Profile teljes kínálata (gyártói katalógus / weboldal)</t>
        </is>
      </c>
      <c r="N1742" s="7" t="inlineStr">
        <is>
          <t>Megtalálva: a beszállító teljes kínálatából felvett termék</t>
        </is>
      </c>
      <c r="O1742" s="11" t="inlineStr">
        <is>
          <t>https://www.sandprofile.com/media/gesamtkatalog_en.pdf#page=43</t>
        </is>
      </c>
      <c r="P1742" s="11" t="inlineStr">
        <is>
          <t>https://website-9ib.pages.dev/termek/sp-a3-169/</t>
        </is>
      </c>
      <c r="Q1742" s="12" t="inlineStr"/>
      <c r="R1742" s="13" t="inlineStr"/>
      <c r="S1742" s="6" t="inlineStr">
        <is>
          <t>sp-a3-169</t>
        </is>
      </c>
    </row>
    <row r="1743">
      <c r="A1743" s="6" t="inlineStr">
        <is>
          <t>A3 196</t>
        </is>
      </c>
      <c r="B1743" s="7" t="inlineStr">
        <is>
          <t>Kéderprofil A3 196 – fekete, 1,0-2,5 mm</t>
        </is>
      </c>
      <c r="C1743" s="6" t="inlineStr">
        <is>
          <t>Gumi- és kéderprofilok</t>
        </is>
      </c>
      <c r="D1743" s="6" t="inlineStr">
        <is>
          <t>Kéder- és ablakgumi profilok (Gista)</t>
        </is>
      </c>
      <c r="E1743" s="6" t="inlineStr">
        <is>
          <t>Sand-Profile</t>
        </is>
      </c>
      <c r="F1743" s="6" t="inlineStr">
        <is>
          <t>A3 196</t>
        </is>
      </c>
      <c r="G1743" s="6" t="inlineStr">
        <is>
          <t>Teljes kínálat</t>
        </is>
      </c>
      <c r="H1743" s="6" t="n">
        <v>1</v>
      </c>
      <c r="I1743" s="6" t="n">
        <v>3</v>
      </c>
      <c r="J1743" s="6" t="inlineStr">
        <is>
          <t>van</t>
        </is>
      </c>
      <c r="K1743" s="6">
        <f>IF(AND(H1743&gt;0,I1743&gt;0),"Rendben",IF(AND(H1743=0,I1743=0),"Nincs kép és adat",IF(H1743=0,"Nincs kép","Nincs adat")))</f>
        <v/>
      </c>
      <c r="L1743" s="6" t="inlineStr">
        <is>
          <t>Igen</t>
        </is>
      </c>
      <c r="M1743" s="7" t="inlineStr">
        <is>
          <t>Sand-Profile teljes kínálata (gyártói katalógus / weboldal)</t>
        </is>
      </c>
      <c r="N1743" s="7" t="inlineStr">
        <is>
          <t>Megtalálva: a beszállító teljes kínálatából felvett termék</t>
        </is>
      </c>
      <c r="O1743" s="11" t="inlineStr">
        <is>
          <t>https://www.sandprofile.com/media/gesamtkatalog_en.pdf#page=35</t>
        </is>
      </c>
      <c r="P1743" s="11" t="inlineStr">
        <is>
          <t>https://website-9ib.pages.dev/termek/sp-a3-196/</t>
        </is>
      </c>
      <c r="Q1743" s="12" t="inlineStr"/>
      <c r="R1743" s="13" t="inlineStr"/>
      <c r="S1743" s="6" t="inlineStr">
        <is>
          <t>sp-a3-196</t>
        </is>
      </c>
    </row>
    <row r="1744">
      <c r="A1744" s="6" t="inlineStr">
        <is>
          <t>A3 224/2</t>
        </is>
      </c>
      <c r="B1744" s="7" t="inlineStr">
        <is>
          <t>Kéderprofil A3 224/2 – fekete, 1,0–2,5 mm</t>
        </is>
      </c>
      <c r="C1744" s="6" t="inlineStr">
        <is>
          <t>Gumi- és kéderprofilok</t>
        </is>
      </c>
      <c r="D1744" s="6" t="inlineStr">
        <is>
          <t>Kéder- és ablakgumi profilok (Gista)</t>
        </is>
      </c>
      <c r="E1744" s="6" t="inlineStr">
        <is>
          <t>Sand-Profile</t>
        </is>
      </c>
      <c r="F1744" s="6" t="inlineStr">
        <is>
          <t>A3 224/2</t>
        </is>
      </c>
      <c r="G1744" s="6" t="inlineStr">
        <is>
          <t>Teljes kínálat</t>
        </is>
      </c>
      <c r="H1744" s="6" t="n">
        <v>1</v>
      </c>
      <c r="I1744" s="6" t="n">
        <v>3</v>
      </c>
      <c r="J1744" s="6" t="inlineStr">
        <is>
          <t>van</t>
        </is>
      </c>
      <c r="K1744" s="6">
        <f>IF(AND(H1744&gt;0,I1744&gt;0),"Rendben",IF(AND(H1744=0,I1744=0),"Nincs kép és adat",IF(H1744=0,"Nincs kép","Nincs adat")))</f>
        <v/>
      </c>
      <c r="L1744" s="6" t="inlineStr">
        <is>
          <t>Igen</t>
        </is>
      </c>
      <c r="M1744" s="7" t="inlineStr">
        <is>
          <t>Sand-Profile teljes kínálata (gyártói katalógus / weboldal)</t>
        </is>
      </c>
      <c r="N1744" s="7" t="inlineStr">
        <is>
          <t>Megtalálva: a beszállító teljes kínálatából felvett termék</t>
        </is>
      </c>
      <c r="O1744" s="11" t="inlineStr">
        <is>
          <t>https://www.sandprofile.com/media/gesamtkatalog_en.pdf#page=43</t>
        </is>
      </c>
      <c r="P1744" s="11" t="inlineStr">
        <is>
          <t>https://website-9ib.pages.dev/termek/sp-a3-224-2/</t>
        </is>
      </c>
      <c r="Q1744" s="12" t="inlineStr"/>
      <c r="R1744" s="13" t="inlineStr"/>
      <c r="S1744" s="6" t="inlineStr">
        <is>
          <t>sp-a3-224-2</t>
        </is>
      </c>
    </row>
    <row r="1745">
      <c r="A1745" s="6" t="inlineStr">
        <is>
          <t>A3 224/6</t>
        </is>
      </c>
      <c r="B1745" s="7" t="inlineStr">
        <is>
          <t>Kéderprofil A3 224/6 – fekete, 5,0-6,0 mm</t>
        </is>
      </c>
      <c r="C1745" s="6" t="inlineStr">
        <is>
          <t>Gumi- és kéderprofilok</t>
        </is>
      </c>
      <c r="D1745" s="6" t="inlineStr">
        <is>
          <t>Kéder- és ablakgumi profilok (Gista)</t>
        </is>
      </c>
      <c r="E1745" s="6" t="inlineStr">
        <is>
          <t>Sand-Profile</t>
        </is>
      </c>
      <c r="F1745" s="6" t="inlineStr">
        <is>
          <t>A3 224/6</t>
        </is>
      </c>
      <c r="G1745" s="6" t="inlineStr">
        <is>
          <t>Teljes kínálat</t>
        </is>
      </c>
      <c r="H1745" s="6" t="n">
        <v>1</v>
      </c>
      <c r="I1745" s="6" t="n">
        <v>3</v>
      </c>
      <c r="J1745" s="6" t="inlineStr">
        <is>
          <t>van</t>
        </is>
      </c>
      <c r="K1745" s="6">
        <f>IF(AND(H1745&gt;0,I1745&gt;0),"Rendben",IF(AND(H1745=0,I1745=0),"Nincs kép és adat",IF(H1745=0,"Nincs kép","Nincs adat")))</f>
        <v/>
      </c>
      <c r="L1745" s="6" t="inlineStr">
        <is>
          <t>Igen</t>
        </is>
      </c>
      <c r="M1745" s="7" t="inlineStr">
        <is>
          <t>Sand-Profile teljes kínálata (gyártói katalógus / weboldal)</t>
        </is>
      </c>
      <c r="N1745" s="7" t="inlineStr">
        <is>
          <t>Megtalálva: a beszállító teljes kínálatából felvett termék</t>
        </is>
      </c>
      <c r="O1745" s="11" t="inlineStr">
        <is>
          <t>https://www.sandprofile.com/media/gesamtkatalog_en.pdf#page=43</t>
        </is>
      </c>
      <c r="P1745" s="11" t="inlineStr">
        <is>
          <t>https://website-9ib.pages.dev/termek/sp-a3-224-6/</t>
        </is>
      </c>
      <c r="Q1745" s="12" t="inlineStr"/>
      <c r="R1745" s="13" t="inlineStr"/>
      <c r="S1745" s="6" t="inlineStr">
        <is>
          <t>sp-a3-224-6</t>
        </is>
      </c>
    </row>
    <row r="1746">
      <c r="A1746" s="6" t="inlineStr">
        <is>
          <t>A3 228</t>
        </is>
      </c>
      <c r="B1746" s="7" t="inlineStr">
        <is>
          <t>Kéderprofil A3 228 – fekete, 0,5-2,0 mm</t>
        </is>
      </c>
      <c r="C1746" s="6" t="inlineStr">
        <is>
          <t>Gumi- és kéderprofilok</t>
        </is>
      </c>
      <c r="D1746" s="6" t="inlineStr">
        <is>
          <t>Kéder- és ablakgumi profilok (Gista)</t>
        </is>
      </c>
      <c r="E1746" s="6" t="inlineStr">
        <is>
          <t>Sand-Profile</t>
        </is>
      </c>
      <c r="F1746" s="6" t="inlineStr">
        <is>
          <t>A3 228</t>
        </is>
      </c>
      <c r="G1746" s="6" t="inlineStr">
        <is>
          <t>Teljes kínálat</t>
        </is>
      </c>
      <c r="H1746" s="6" t="n">
        <v>1</v>
      </c>
      <c r="I1746" s="6" t="n">
        <v>3</v>
      </c>
      <c r="J1746" s="6" t="inlineStr">
        <is>
          <t>van</t>
        </is>
      </c>
      <c r="K1746" s="6">
        <f>IF(AND(H1746&gt;0,I1746&gt;0),"Rendben",IF(AND(H1746=0,I1746=0),"Nincs kép és adat",IF(H1746=0,"Nincs kép","Nincs adat")))</f>
        <v/>
      </c>
      <c r="L1746" s="6" t="inlineStr">
        <is>
          <t>Igen</t>
        </is>
      </c>
      <c r="M1746" s="7" t="inlineStr">
        <is>
          <t>Sand-Profile teljes kínálata (gyártói katalógus / weboldal)</t>
        </is>
      </c>
      <c r="N1746" s="7" t="inlineStr">
        <is>
          <t>Megtalálva: a beszállító teljes kínálatából felvett termék</t>
        </is>
      </c>
      <c r="O1746" s="11" t="inlineStr">
        <is>
          <t>https://www.sandprofile.com/media/gesamtkatalog_en.pdf#page=49</t>
        </is>
      </c>
      <c r="P1746" s="11" t="inlineStr">
        <is>
          <t>https://website-9ib.pages.dev/termek/sp-a3-228/</t>
        </is>
      </c>
      <c r="Q1746" s="12" t="inlineStr"/>
      <c r="R1746" s="13" t="inlineStr"/>
      <c r="S1746" s="6" t="inlineStr">
        <is>
          <t>sp-a3-228</t>
        </is>
      </c>
    </row>
    <row r="1747">
      <c r="A1747" s="6" t="inlineStr">
        <is>
          <t>A3 229</t>
        </is>
      </c>
      <c r="B1747" s="7" t="inlineStr">
        <is>
          <t>Kéderprofil A3 229 – fekete, 1,0-4,0 mm</t>
        </is>
      </c>
      <c r="C1747" s="6" t="inlineStr">
        <is>
          <t>Gumi- és kéderprofilok</t>
        </is>
      </c>
      <c r="D1747" s="6" t="inlineStr">
        <is>
          <t>Kéder- és ablakgumi profilok (Gista)</t>
        </is>
      </c>
      <c r="E1747" s="6" t="inlineStr">
        <is>
          <t>Sand-Profile</t>
        </is>
      </c>
      <c r="F1747" s="6" t="inlineStr">
        <is>
          <t>A3 229</t>
        </is>
      </c>
      <c r="G1747" s="6" t="inlineStr">
        <is>
          <t>Teljes kínálat</t>
        </is>
      </c>
      <c r="H1747" s="6" t="n">
        <v>1</v>
      </c>
      <c r="I1747" s="6" t="n">
        <v>3</v>
      </c>
      <c r="J1747" s="6" t="inlineStr">
        <is>
          <t>van</t>
        </is>
      </c>
      <c r="K1747" s="6">
        <f>IF(AND(H1747&gt;0,I1747&gt;0),"Rendben",IF(AND(H1747=0,I1747=0),"Nincs kép és adat",IF(H1747=0,"Nincs kép","Nincs adat")))</f>
        <v/>
      </c>
      <c r="L1747" s="6" t="inlineStr">
        <is>
          <t>Igen</t>
        </is>
      </c>
      <c r="M1747" s="7" t="inlineStr">
        <is>
          <t>Sand-Profile teljes kínálata (gyártói katalógus / weboldal)</t>
        </is>
      </c>
      <c r="N1747" s="7" t="inlineStr">
        <is>
          <t>Megtalálva: a beszállító teljes kínálatából felvett termék</t>
        </is>
      </c>
      <c r="O1747" s="11" t="inlineStr">
        <is>
          <t>https://www.sandprofile.com/media/gesamtkatalog_en.pdf#page=42</t>
        </is>
      </c>
      <c r="P1747" s="11" t="inlineStr">
        <is>
          <t>https://website-9ib.pages.dev/termek/sp-a3-229/</t>
        </is>
      </c>
      <c r="Q1747" s="12" t="inlineStr"/>
      <c r="R1747" s="13" t="inlineStr"/>
      <c r="S1747" s="6" t="inlineStr">
        <is>
          <t>sp-a3-229</t>
        </is>
      </c>
    </row>
    <row r="1748">
      <c r="A1748" s="6" t="inlineStr">
        <is>
          <t>A3 276</t>
        </is>
      </c>
      <c r="B1748" s="7" t="inlineStr">
        <is>
          <t>Kéderprofil A3 276 – fekete, 2,0-3,0 mm</t>
        </is>
      </c>
      <c r="C1748" s="6" t="inlineStr">
        <is>
          <t>Gumi- és kéderprofilok</t>
        </is>
      </c>
      <c r="D1748" s="6" t="inlineStr">
        <is>
          <t>Kéder- és ablakgumi profilok (Gista)</t>
        </is>
      </c>
      <c r="E1748" s="6" t="inlineStr">
        <is>
          <t>Sand-Profile</t>
        </is>
      </c>
      <c r="F1748" s="6" t="inlineStr">
        <is>
          <t>A3 276</t>
        </is>
      </c>
      <c r="G1748" s="6" t="inlineStr">
        <is>
          <t>Teljes kínálat</t>
        </is>
      </c>
      <c r="H1748" s="6" t="n">
        <v>1</v>
      </c>
      <c r="I1748" s="6" t="n">
        <v>3</v>
      </c>
      <c r="J1748" s="6" t="inlineStr">
        <is>
          <t>van</t>
        </is>
      </c>
      <c r="K1748" s="6">
        <f>IF(AND(H1748&gt;0,I1748&gt;0),"Rendben",IF(AND(H1748=0,I1748=0),"Nincs kép és adat",IF(H1748=0,"Nincs kép","Nincs adat")))</f>
        <v/>
      </c>
      <c r="L1748" s="6" t="inlineStr">
        <is>
          <t>Igen</t>
        </is>
      </c>
      <c r="M1748" s="7" t="inlineStr">
        <is>
          <t>Sand-Profile teljes kínálata (gyártói katalógus / weboldal)</t>
        </is>
      </c>
      <c r="N1748" s="7" t="inlineStr">
        <is>
          <t>Megtalálva: a beszállító teljes kínálatából felvett termék</t>
        </is>
      </c>
      <c r="O1748" s="11" t="inlineStr">
        <is>
          <t>https://www.sandprofile.com/media/gesamtkatalog_en.pdf#page=50</t>
        </is>
      </c>
      <c r="P1748" s="11" t="inlineStr">
        <is>
          <t>https://website-9ib.pages.dev/termek/sp-a3-276/</t>
        </is>
      </c>
      <c r="Q1748" s="12" t="inlineStr"/>
      <c r="R1748" s="13" t="inlineStr"/>
      <c r="S1748" s="6" t="inlineStr">
        <is>
          <t>sp-a3-276</t>
        </is>
      </c>
    </row>
    <row r="1749">
      <c r="A1749" s="6" t="inlineStr">
        <is>
          <t>A3 280</t>
        </is>
      </c>
      <c r="B1749" s="7" t="inlineStr">
        <is>
          <t>Kéderprofil A3 280 – fekete, 2,5-3,5 mm</t>
        </is>
      </c>
      <c r="C1749" s="6" t="inlineStr">
        <is>
          <t>Gumi- és kéderprofilok</t>
        </is>
      </c>
      <c r="D1749" s="6" t="inlineStr">
        <is>
          <t>Kéder- és ablakgumi profilok (Gista)</t>
        </is>
      </c>
      <c r="E1749" s="6" t="inlineStr">
        <is>
          <t>Sand-Profile</t>
        </is>
      </c>
      <c r="F1749" s="6" t="inlineStr">
        <is>
          <t>A3 280</t>
        </is>
      </c>
      <c r="G1749" s="6" t="inlineStr">
        <is>
          <t>Teljes kínálat</t>
        </is>
      </c>
      <c r="H1749" s="6" t="n">
        <v>1</v>
      </c>
      <c r="I1749" s="6" t="n">
        <v>3</v>
      </c>
      <c r="J1749" s="6" t="inlineStr">
        <is>
          <t>van</t>
        </is>
      </c>
      <c r="K1749" s="6">
        <f>IF(AND(H1749&gt;0,I1749&gt;0),"Rendben",IF(AND(H1749=0,I1749=0),"Nincs kép és adat",IF(H1749=0,"Nincs kép","Nincs adat")))</f>
        <v/>
      </c>
      <c r="L1749" s="6" t="inlineStr">
        <is>
          <t>Igen</t>
        </is>
      </c>
      <c r="M1749" s="7" t="inlineStr">
        <is>
          <t>Sand-Profile teljes kínálata (gyártói katalógus / weboldal)</t>
        </is>
      </c>
      <c r="N1749" s="7" t="inlineStr">
        <is>
          <t>Megtalálva: a beszállító teljes kínálatából felvett termék</t>
        </is>
      </c>
      <c r="O1749" s="11" t="inlineStr">
        <is>
          <t>https://www.sandprofile.com/media/gesamtkatalog_en.pdf#page=36</t>
        </is>
      </c>
      <c r="P1749" s="11" t="inlineStr">
        <is>
          <t>https://website-9ib.pages.dev/termek/sp-a3-280/</t>
        </is>
      </c>
      <c r="Q1749" s="12" t="inlineStr"/>
      <c r="R1749" s="13" t="inlineStr"/>
      <c r="S1749" s="6" t="inlineStr">
        <is>
          <t>sp-a3-280</t>
        </is>
      </c>
    </row>
    <row r="1750">
      <c r="A1750" s="6" t="inlineStr">
        <is>
          <t>A3 289</t>
        </is>
      </c>
      <c r="B1750" s="7" t="inlineStr">
        <is>
          <t>Kéderprofil A3 289 – fekete, 1,0-2,0 mm</t>
        </is>
      </c>
      <c r="C1750" s="6" t="inlineStr">
        <is>
          <t>Gumi- és kéderprofilok</t>
        </is>
      </c>
      <c r="D1750" s="6" t="inlineStr">
        <is>
          <t>Kéder- és ablakgumi profilok (Gista)</t>
        </is>
      </c>
      <c r="E1750" s="6" t="inlineStr">
        <is>
          <t>Sand-Profile</t>
        </is>
      </c>
      <c r="F1750" s="6" t="inlineStr">
        <is>
          <t>A3 289</t>
        </is>
      </c>
      <c r="G1750" s="6" t="inlineStr">
        <is>
          <t>Teljes kínálat</t>
        </is>
      </c>
      <c r="H1750" s="6" t="n">
        <v>1</v>
      </c>
      <c r="I1750" s="6" t="n">
        <v>3</v>
      </c>
      <c r="J1750" s="6" t="inlineStr">
        <is>
          <t>van</t>
        </is>
      </c>
      <c r="K1750" s="6">
        <f>IF(AND(H1750&gt;0,I1750&gt;0),"Rendben",IF(AND(H1750=0,I1750=0),"Nincs kép és adat",IF(H1750=0,"Nincs kép","Nincs adat")))</f>
        <v/>
      </c>
      <c r="L1750" s="6" t="inlineStr">
        <is>
          <t>Igen</t>
        </is>
      </c>
      <c r="M1750" s="7" t="inlineStr">
        <is>
          <t>Sand-Profile teljes kínálata (gyártói katalógus / weboldal)</t>
        </is>
      </c>
      <c r="N1750" s="7" t="inlineStr">
        <is>
          <t>Megtalálva: a beszállító teljes kínálatából felvett termék</t>
        </is>
      </c>
      <c r="O1750" s="11" t="inlineStr">
        <is>
          <t>https://www.sandprofile.com/media/gesamtkatalog_en.pdf#page=38</t>
        </is>
      </c>
      <c r="P1750" s="11" t="inlineStr">
        <is>
          <t>https://website-9ib.pages.dev/termek/sp-a3-289/</t>
        </is>
      </c>
      <c r="Q1750" s="12" t="inlineStr"/>
      <c r="R1750" s="13" t="inlineStr"/>
      <c r="S1750" s="6" t="inlineStr">
        <is>
          <t>sp-a3-289</t>
        </is>
      </c>
    </row>
    <row r="1751">
      <c r="A1751" s="6" t="inlineStr">
        <is>
          <t>A3 297</t>
        </is>
      </c>
      <c r="B1751" s="7" t="inlineStr">
        <is>
          <t>Kéderprofil A3 297 – fekete, 2,0 mm</t>
        </is>
      </c>
      <c r="C1751" s="6" t="inlineStr">
        <is>
          <t>Gumi- és kéderprofilok</t>
        </is>
      </c>
      <c r="D1751" s="6" t="inlineStr">
        <is>
          <t>Kéder- és ablakgumi profilok (Gista)</t>
        </is>
      </c>
      <c r="E1751" s="6" t="inlineStr">
        <is>
          <t>Sand-Profile</t>
        </is>
      </c>
      <c r="F1751" s="6" t="inlineStr">
        <is>
          <t>A3 297</t>
        </is>
      </c>
      <c r="G1751" s="6" t="inlineStr">
        <is>
          <t>Teljes kínálat</t>
        </is>
      </c>
      <c r="H1751" s="6" t="n">
        <v>1</v>
      </c>
      <c r="I1751" s="6" t="n">
        <v>3</v>
      </c>
      <c r="J1751" s="6" t="inlineStr">
        <is>
          <t>van</t>
        </is>
      </c>
      <c r="K1751" s="6">
        <f>IF(AND(H1751&gt;0,I1751&gt;0),"Rendben",IF(AND(H1751=0,I1751=0),"Nincs kép és adat",IF(H1751=0,"Nincs kép","Nincs adat")))</f>
        <v/>
      </c>
      <c r="L1751" s="6" t="inlineStr">
        <is>
          <t>Igen</t>
        </is>
      </c>
      <c r="M1751" s="7" t="inlineStr">
        <is>
          <t>Sand-Profile teljes kínálata (gyártói katalógus / weboldal)</t>
        </is>
      </c>
      <c r="N1751" s="7" t="inlineStr">
        <is>
          <t>Megtalálva: a beszállító teljes kínálatából felvett termék</t>
        </is>
      </c>
      <c r="O1751" s="11" t="inlineStr">
        <is>
          <t>https://www.sandprofile.com/media/gesamtkatalog_en.pdf#page=42</t>
        </is>
      </c>
      <c r="P1751" s="11" t="inlineStr">
        <is>
          <t>https://website-9ib.pages.dev/termek/sp-a3-297/</t>
        </is>
      </c>
      <c r="Q1751" s="12" t="inlineStr"/>
      <c r="R1751" s="13" t="inlineStr"/>
      <c r="S1751" s="6" t="inlineStr">
        <is>
          <t>sp-a3-297</t>
        </is>
      </c>
    </row>
    <row r="1752">
      <c r="A1752" s="6" t="inlineStr">
        <is>
          <t>A3 300</t>
        </is>
      </c>
      <c r="B1752" s="7" t="inlineStr">
        <is>
          <t>Kéderprofil A3 300 – fekete, 4,0-6,0 mm</t>
        </is>
      </c>
      <c r="C1752" s="6" t="inlineStr">
        <is>
          <t>Gumi- és kéderprofilok</t>
        </is>
      </c>
      <c r="D1752" s="6" t="inlineStr">
        <is>
          <t>Kéder- és ablakgumi profilok (Gista)</t>
        </is>
      </c>
      <c r="E1752" s="6" t="inlineStr">
        <is>
          <t>Sand-Profile</t>
        </is>
      </c>
      <c r="F1752" s="6" t="inlineStr">
        <is>
          <t>A3 300</t>
        </is>
      </c>
      <c r="G1752" s="6" t="inlineStr">
        <is>
          <t>Teljes kínálat</t>
        </is>
      </c>
      <c r="H1752" s="6" t="n">
        <v>1</v>
      </c>
      <c r="I1752" s="6" t="n">
        <v>3</v>
      </c>
      <c r="J1752" s="6" t="inlineStr">
        <is>
          <t>van</t>
        </is>
      </c>
      <c r="K1752" s="6">
        <f>IF(AND(H1752&gt;0,I1752&gt;0),"Rendben",IF(AND(H1752=0,I1752=0),"Nincs kép és adat",IF(H1752=0,"Nincs kép","Nincs adat")))</f>
        <v/>
      </c>
      <c r="L1752" s="6" t="inlineStr">
        <is>
          <t>Igen</t>
        </is>
      </c>
      <c r="M1752" s="7" t="inlineStr">
        <is>
          <t>Sand-Profile teljes kínálata (gyártói katalógus / weboldal)</t>
        </is>
      </c>
      <c r="N1752" s="7" t="inlineStr">
        <is>
          <t>Megtalálva: a beszállító teljes kínálatából felvett termék</t>
        </is>
      </c>
      <c r="O1752" s="11" t="inlineStr">
        <is>
          <t>https://www.sandprofile.com/media/gesamtkatalog_en.pdf#page=48</t>
        </is>
      </c>
      <c r="P1752" s="11" t="inlineStr">
        <is>
          <t>https://website-9ib.pages.dev/termek/sp-a3-300/</t>
        </is>
      </c>
      <c r="Q1752" s="12" t="inlineStr"/>
      <c r="R1752" s="13" t="inlineStr"/>
      <c r="S1752" s="6" t="inlineStr">
        <is>
          <t>sp-a3-300</t>
        </is>
      </c>
    </row>
    <row r="1753">
      <c r="A1753" s="6" t="inlineStr">
        <is>
          <t>A3 343</t>
        </is>
      </c>
      <c r="B1753" s="7" t="inlineStr">
        <is>
          <t>Kéderprofil A3 343 – fekete, 2,0 mm</t>
        </is>
      </c>
      <c r="C1753" s="6" t="inlineStr">
        <is>
          <t>Gumi- és kéderprofilok</t>
        </is>
      </c>
      <c r="D1753" s="6" t="inlineStr">
        <is>
          <t>Kéder- és ablakgumi profilok (Gista)</t>
        </is>
      </c>
      <c r="E1753" s="6" t="inlineStr">
        <is>
          <t>Sand-Profile</t>
        </is>
      </c>
      <c r="F1753" s="6" t="inlineStr">
        <is>
          <t>A3 343</t>
        </is>
      </c>
      <c r="G1753" s="6" t="inlineStr">
        <is>
          <t>Teljes kínálat</t>
        </is>
      </c>
      <c r="H1753" s="6" t="n">
        <v>1</v>
      </c>
      <c r="I1753" s="6" t="n">
        <v>3</v>
      </c>
      <c r="J1753" s="6" t="inlineStr">
        <is>
          <t>van</t>
        </is>
      </c>
      <c r="K1753" s="6">
        <f>IF(AND(H1753&gt;0,I1753&gt;0),"Rendben",IF(AND(H1753=0,I1753=0),"Nincs kép és adat",IF(H1753=0,"Nincs kép","Nincs adat")))</f>
        <v/>
      </c>
      <c r="L1753" s="6" t="inlineStr">
        <is>
          <t>Igen</t>
        </is>
      </c>
      <c r="M1753" s="7" t="inlineStr">
        <is>
          <t>Sand-Profile teljes kínálata (gyártói katalógus / weboldal)</t>
        </is>
      </c>
      <c r="N1753" s="7" t="inlineStr">
        <is>
          <t>Megtalálva: a beszállító teljes kínálatából felvett termék</t>
        </is>
      </c>
      <c r="O1753" s="11" t="inlineStr">
        <is>
          <t>https://www.sandprofile.com/media/gesamtkatalog_en.pdf#page=49</t>
        </is>
      </c>
      <c r="P1753" s="11" t="inlineStr">
        <is>
          <t>https://website-9ib.pages.dev/termek/sp-a3-343/</t>
        </is>
      </c>
      <c r="Q1753" s="12" t="inlineStr"/>
      <c r="R1753" s="13" t="inlineStr"/>
      <c r="S1753" s="6" t="inlineStr">
        <is>
          <t>sp-a3-343</t>
        </is>
      </c>
    </row>
    <row r="1754">
      <c r="A1754" s="6" t="inlineStr">
        <is>
          <t>A3 348</t>
        </is>
      </c>
      <c r="B1754" s="7" t="inlineStr">
        <is>
          <t>Kéderprofil A3 348 – fekete, 5,0-6,0 mm</t>
        </is>
      </c>
      <c r="C1754" s="6" t="inlineStr">
        <is>
          <t>Gumi- és kéderprofilok</t>
        </is>
      </c>
      <c r="D1754" s="6" t="inlineStr">
        <is>
          <t>Kéder- és ablakgumi profilok (Gista)</t>
        </is>
      </c>
      <c r="E1754" s="6" t="inlineStr">
        <is>
          <t>Sand-Profile</t>
        </is>
      </c>
      <c r="F1754" s="6" t="inlineStr">
        <is>
          <t>A3 348</t>
        </is>
      </c>
      <c r="G1754" s="6" t="inlineStr">
        <is>
          <t>Teljes kínálat</t>
        </is>
      </c>
      <c r="H1754" s="6" t="n">
        <v>1</v>
      </c>
      <c r="I1754" s="6" t="n">
        <v>3</v>
      </c>
      <c r="J1754" s="6" t="inlineStr">
        <is>
          <t>van</t>
        </is>
      </c>
      <c r="K1754" s="6">
        <f>IF(AND(H1754&gt;0,I1754&gt;0),"Rendben",IF(AND(H1754=0,I1754=0),"Nincs kép és adat",IF(H1754=0,"Nincs kép","Nincs adat")))</f>
        <v/>
      </c>
      <c r="L1754" s="6" t="inlineStr">
        <is>
          <t>Igen</t>
        </is>
      </c>
      <c r="M1754" s="7" t="inlineStr">
        <is>
          <t>Sand-Profile teljes kínálata (gyártói katalógus / weboldal)</t>
        </is>
      </c>
      <c r="N1754" s="7" t="inlineStr">
        <is>
          <t>Megtalálva: a beszállító teljes kínálatából felvett termék</t>
        </is>
      </c>
      <c r="O1754" s="11" t="inlineStr">
        <is>
          <t>https://www.sandprofile.com/media/gesamtkatalog_en.pdf#page=45</t>
        </is>
      </c>
      <c r="P1754" s="11" t="inlineStr">
        <is>
          <t>https://website-9ib.pages.dev/termek/sp-a3-348/</t>
        </is>
      </c>
      <c r="Q1754" s="12" t="inlineStr"/>
      <c r="R1754" s="13" t="inlineStr"/>
      <c r="S1754" s="6" t="inlineStr">
        <is>
          <t>sp-a3-348</t>
        </is>
      </c>
    </row>
    <row r="1755">
      <c r="A1755" s="6" t="inlineStr">
        <is>
          <t>A3 361/4</t>
        </is>
      </c>
      <c r="B1755" s="7" t="inlineStr">
        <is>
          <t>Kéderprofil A3 361/4 – fekete, 2,0-4,0 mm</t>
        </is>
      </c>
      <c r="C1755" s="6" t="inlineStr">
        <is>
          <t>Gumi- és kéderprofilok</t>
        </is>
      </c>
      <c r="D1755" s="6" t="inlineStr">
        <is>
          <t>Kéder- és ablakgumi profilok (Gista)</t>
        </is>
      </c>
      <c r="E1755" s="6" t="inlineStr">
        <is>
          <t>Sand-Profile</t>
        </is>
      </c>
      <c r="F1755" s="6" t="inlineStr">
        <is>
          <t>A3 361/4</t>
        </is>
      </c>
      <c r="G1755" s="6" t="inlineStr">
        <is>
          <t>Teljes kínálat</t>
        </is>
      </c>
      <c r="H1755" s="6" t="n">
        <v>1</v>
      </c>
      <c r="I1755" s="6" t="n">
        <v>3</v>
      </c>
      <c r="J1755" s="6" t="inlineStr">
        <is>
          <t>van</t>
        </is>
      </c>
      <c r="K1755" s="6">
        <f>IF(AND(H1755&gt;0,I1755&gt;0),"Rendben",IF(AND(H1755=0,I1755=0),"Nincs kép és adat",IF(H1755=0,"Nincs kép","Nincs adat")))</f>
        <v/>
      </c>
      <c r="L1755" s="6" t="inlineStr">
        <is>
          <t>Igen</t>
        </is>
      </c>
      <c r="M1755" s="7" t="inlineStr">
        <is>
          <t>Sand-Profile teljes kínálata (gyártói katalógus / weboldal)</t>
        </is>
      </c>
      <c r="N1755" s="7" t="inlineStr">
        <is>
          <t>Megtalálva: a beszállító teljes kínálatából felvett termék</t>
        </is>
      </c>
      <c r="O1755" s="11" t="inlineStr">
        <is>
          <t>https://www.sandprofile.com/media/gesamtkatalog_en.pdf#page=42</t>
        </is>
      </c>
      <c r="P1755" s="11" t="inlineStr">
        <is>
          <t>https://website-9ib.pages.dev/termek/sp-a3-361-4/</t>
        </is>
      </c>
      <c r="Q1755" s="12" t="inlineStr"/>
      <c r="R1755" s="13" t="inlineStr"/>
      <c r="S1755" s="6" t="inlineStr">
        <is>
          <t>sp-a3-361-4</t>
        </is>
      </c>
    </row>
    <row r="1756">
      <c r="A1756" s="6" t="inlineStr">
        <is>
          <t>A3 361/6</t>
        </is>
      </c>
      <c r="B1756" s="7" t="inlineStr">
        <is>
          <t>Kéderprofil A3 361/6 – fekete, 5,0-6,0 mm</t>
        </is>
      </c>
      <c r="C1756" s="6" t="inlineStr">
        <is>
          <t>Gumi- és kéderprofilok</t>
        </is>
      </c>
      <c r="D1756" s="6" t="inlineStr">
        <is>
          <t>Kéder- és ablakgumi profilok (Gista)</t>
        </is>
      </c>
      <c r="E1756" s="6" t="inlineStr">
        <is>
          <t>Sand-Profile</t>
        </is>
      </c>
      <c r="F1756" s="6" t="inlineStr">
        <is>
          <t>A3 361/6</t>
        </is>
      </c>
      <c r="G1756" s="6" t="inlineStr">
        <is>
          <t>Teljes kínálat</t>
        </is>
      </c>
      <c r="H1756" s="6" t="n">
        <v>1</v>
      </c>
      <c r="I1756" s="6" t="n">
        <v>3</v>
      </c>
      <c r="J1756" s="6" t="inlineStr">
        <is>
          <t>van</t>
        </is>
      </c>
      <c r="K1756" s="6">
        <f>IF(AND(H1756&gt;0,I1756&gt;0),"Rendben",IF(AND(H1756=0,I1756=0),"Nincs kép és adat",IF(H1756=0,"Nincs kép","Nincs adat")))</f>
        <v/>
      </c>
      <c r="L1756" s="6" t="inlineStr">
        <is>
          <t>Igen</t>
        </is>
      </c>
      <c r="M1756" s="7" t="inlineStr">
        <is>
          <t>Sand-Profile teljes kínálata (gyártói katalógus / weboldal)</t>
        </is>
      </c>
      <c r="N1756" s="7" t="inlineStr">
        <is>
          <t>Megtalálva: a beszállító teljes kínálatából felvett termék</t>
        </is>
      </c>
      <c r="O1756" s="11" t="inlineStr">
        <is>
          <t>https://www.sandprofile.com/media/gesamtkatalog_en.pdf#page=42</t>
        </is>
      </c>
      <c r="P1756" s="11" t="inlineStr">
        <is>
          <t>https://website-9ib.pages.dev/termek/sp-a3-361-6/</t>
        </is>
      </c>
      <c r="Q1756" s="12" t="inlineStr"/>
      <c r="R1756" s="13" t="inlineStr"/>
      <c r="S1756" s="6" t="inlineStr">
        <is>
          <t>sp-a3-361-6</t>
        </is>
      </c>
    </row>
    <row r="1757">
      <c r="A1757" s="6" t="inlineStr">
        <is>
          <t>A3 379</t>
        </is>
      </c>
      <c r="B1757" s="7" t="inlineStr">
        <is>
          <t>Kéderprofil A3 379 – fekete, 2,0-3,0 mm</t>
        </is>
      </c>
      <c r="C1757" s="6" t="inlineStr">
        <is>
          <t>Gumi- és kéderprofilok</t>
        </is>
      </c>
      <c r="D1757" s="6" t="inlineStr">
        <is>
          <t>Kéder- és ablakgumi profilok (Gista)</t>
        </is>
      </c>
      <c r="E1757" s="6" t="inlineStr">
        <is>
          <t>Sand-Profile</t>
        </is>
      </c>
      <c r="F1757" s="6" t="inlineStr">
        <is>
          <t>A3 379</t>
        </is>
      </c>
      <c r="G1757" s="6" t="inlineStr">
        <is>
          <t>Teljes kínálat</t>
        </is>
      </c>
      <c r="H1757" s="6" t="n">
        <v>1</v>
      </c>
      <c r="I1757" s="6" t="n">
        <v>3</v>
      </c>
      <c r="J1757" s="6" t="inlineStr">
        <is>
          <t>van</t>
        </is>
      </c>
      <c r="K1757" s="6">
        <f>IF(AND(H1757&gt;0,I1757&gt;0),"Rendben",IF(AND(H1757=0,I1757=0),"Nincs kép és adat",IF(H1757=0,"Nincs kép","Nincs adat")))</f>
        <v/>
      </c>
      <c r="L1757" s="6" t="inlineStr">
        <is>
          <t>Igen</t>
        </is>
      </c>
      <c r="M1757" s="7" t="inlineStr">
        <is>
          <t>Sand-Profile teljes kínálata (gyártói katalógus / weboldal)</t>
        </is>
      </c>
      <c r="N1757" s="7" t="inlineStr">
        <is>
          <t>Megtalálva: a beszállító teljes kínálatából felvett termék</t>
        </is>
      </c>
      <c r="O1757" s="11" t="inlineStr">
        <is>
          <t>https://www.sandprofile.com/media/gesamtkatalog_en.pdf#page=41</t>
        </is>
      </c>
      <c r="P1757" s="11" t="inlineStr">
        <is>
          <t>https://website-9ib.pages.dev/termek/sp-a3-379/</t>
        </is>
      </c>
      <c r="Q1757" s="12" t="inlineStr"/>
      <c r="R1757" s="13" t="inlineStr"/>
      <c r="S1757" s="6" t="inlineStr">
        <is>
          <t>sp-a3-379</t>
        </is>
      </c>
    </row>
    <row r="1758">
      <c r="A1758" s="6" t="inlineStr">
        <is>
          <t>A3 432</t>
        </is>
      </c>
      <c r="B1758" s="7" t="inlineStr">
        <is>
          <t>Kéderprofil A3 432 – fekete, 1,0-2,0 mm</t>
        </is>
      </c>
      <c r="C1758" s="6" t="inlineStr">
        <is>
          <t>Gumi- és kéderprofilok</t>
        </is>
      </c>
      <c r="D1758" s="6" t="inlineStr">
        <is>
          <t>Kéder- és ablakgumi profilok (Gista)</t>
        </is>
      </c>
      <c r="E1758" s="6" t="inlineStr">
        <is>
          <t>Sand-Profile</t>
        </is>
      </c>
      <c r="F1758" s="6" t="inlineStr">
        <is>
          <t>A3 432</t>
        </is>
      </c>
      <c r="G1758" s="6" t="inlineStr">
        <is>
          <t>Teljes kínálat</t>
        </is>
      </c>
      <c r="H1758" s="6" t="n">
        <v>1</v>
      </c>
      <c r="I1758" s="6" t="n">
        <v>3</v>
      </c>
      <c r="J1758" s="6" t="inlineStr">
        <is>
          <t>van</t>
        </is>
      </c>
      <c r="K1758" s="6">
        <f>IF(AND(H1758&gt;0,I1758&gt;0),"Rendben",IF(AND(H1758=0,I1758=0),"Nincs kép és adat",IF(H1758=0,"Nincs kép","Nincs adat")))</f>
        <v/>
      </c>
      <c r="L1758" s="6" t="inlineStr">
        <is>
          <t>Igen</t>
        </is>
      </c>
      <c r="M1758" s="7" t="inlineStr">
        <is>
          <t>Sand-Profile teljes kínálata (gyártói katalógus / weboldal)</t>
        </is>
      </c>
      <c r="N1758" s="7" t="inlineStr">
        <is>
          <t>Megtalálva: a beszállító teljes kínálatából felvett termék</t>
        </is>
      </c>
      <c r="O1758" s="11" t="inlineStr">
        <is>
          <t>https://www.sandprofile.com/media/gesamtkatalog_en.pdf#page=35</t>
        </is>
      </c>
      <c r="P1758" s="11" t="inlineStr">
        <is>
          <t>https://website-9ib.pages.dev/termek/sp-a3-432/</t>
        </is>
      </c>
      <c r="Q1758" s="12" t="inlineStr"/>
      <c r="R1758" s="13" t="inlineStr"/>
      <c r="S1758" s="6" t="inlineStr">
        <is>
          <t>sp-a3-432</t>
        </is>
      </c>
    </row>
    <row r="1759">
      <c r="A1759" s="6" t="inlineStr">
        <is>
          <t>A3 467</t>
        </is>
      </c>
      <c r="B1759" s="7" t="inlineStr">
        <is>
          <t>Kéderprofil A3 467 – fekete, 5,0-6,0 mm</t>
        </is>
      </c>
      <c r="C1759" s="6" t="inlineStr">
        <is>
          <t>Gumi- és kéderprofilok</t>
        </is>
      </c>
      <c r="D1759" s="6" t="inlineStr">
        <is>
          <t>Kéder- és ablakgumi profilok (Gista)</t>
        </is>
      </c>
      <c r="E1759" s="6" t="inlineStr">
        <is>
          <t>Sand-Profile</t>
        </is>
      </c>
      <c r="F1759" s="6" t="inlineStr">
        <is>
          <t>A3 467</t>
        </is>
      </c>
      <c r="G1759" s="6" t="inlineStr">
        <is>
          <t>Teljes kínálat</t>
        </is>
      </c>
      <c r="H1759" s="6" t="n">
        <v>1</v>
      </c>
      <c r="I1759" s="6" t="n">
        <v>3</v>
      </c>
      <c r="J1759" s="6" t="inlineStr">
        <is>
          <t>van</t>
        </is>
      </c>
      <c r="K1759" s="6">
        <f>IF(AND(H1759&gt;0,I1759&gt;0),"Rendben",IF(AND(H1759=0,I1759=0),"Nincs kép és adat",IF(H1759=0,"Nincs kép","Nincs adat")))</f>
        <v/>
      </c>
      <c r="L1759" s="6" t="inlineStr">
        <is>
          <t>Igen</t>
        </is>
      </c>
      <c r="M1759" s="7" t="inlineStr">
        <is>
          <t>Sand-Profile teljes kínálata (gyártói katalógus / weboldal)</t>
        </is>
      </c>
      <c r="N1759" s="7" t="inlineStr">
        <is>
          <t>Megtalálva: a beszállító teljes kínálatából felvett termék</t>
        </is>
      </c>
      <c r="O1759" s="11" t="inlineStr">
        <is>
          <t>https://www.sandprofile.com/media/gesamtkatalog_en.pdf#page=45</t>
        </is>
      </c>
      <c r="P1759" s="11" t="inlineStr">
        <is>
          <t>https://website-9ib.pages.dev/termek/sp-a3-467/</t>
        </is>
      </c>
      <c r="Q1759" s="12" t="inlineStr"/>
      <c r="R1759" s="13" t="inlineStr"/>
      <c r="S1759" s="6" t="inlineStr">
        <is>
          <t>sp-a3-467</t>
        </is>
      </c>
    </row>
    <row r="1760">
      <c r="A1760" s="6" t="inlineStr">
        <is>
          <t>A3 467-BU</t>
        </is>
      </c>
      <c r="B1760" s="7" t="inlineStr">
        <is>
          <t>Kéderprofil A3 467-BU – fekete, 5,0-6,0 mm</t>
        </is>
      </c>
      <c r="C1760" s="6" t="inlineStr">
        <is>
          <t>Gumi- és kéderprofilok</t>
        </is>
      </c>
      <c r="D1760" s="6" t="inlineStr">
        <is>
          <t>Kéder- és ablakgumi profilok (Gista)</t>
        </is>
      </c>
      <c r="E1760" s="6" t="inlineStr">
        <is>
          <t>Sand-Profile</t>
        </is>
      </c>
      <c r="F1760" s="6" t="inlineStr">
        <is>
          <t>A3 467-BU</t>
        </is>
      </c>
      <c r="G1760" s="6" t="inlineStr">
        <is>
          <t>Teljes kínálat</t>
        </is>
      </c>
      <c r="H1760" s="6" t="n">
        <v>1</v>
      </c>
      <c r="I1760" s="6" t="n">
        <v>3</v>
      </c>
      <c r="J1760" s="6" t="inlineStr">
        <is>
          <t>van</t>
        </is>
      </c>
      <c r="K1760" s="6">
        <f>IF(AND(H1760&gt;0,I1760&gt;0),"Rendben",IF(AND(H1760=0,I1760=0),"Nincs kép és adat",IF(H1760=0,"Nincs kép","Nincs adat")))</f>
        <v/>
      </c>
      <c r="L1760" s="6" t="inlineStr">
        <is>
          <t>Igen</t>
        </is>
      </c>
      <c r="M1760" s="7" t="inlineStr">
        <is>
          <t>Sand-Profile teljes kínálata (gyártói katalógus / weboldal)</t>
        </is>
      </c>
      <c r="N1760" s="7" t="inlineStr">
        <is>
          <t>Megtalálva: a beszállító teljes kínálatából felvett termék</t>
        </is>
      </c>
      <c r="O1760" s="11" t="inlineStr">
        <is>
          <t>https://www.sandprofile.com/media/gesamtkatalog_en.pdf#page=45</t>
        </is>
      </c>
      <c r="P1760" s="11" t="inlineStr">
        <is>
          <t>https://website-9ib.pages.dev/termek/sp-a3-467-bu/</t>
        </is>
      </c>
      <c r="Q1760" s="12" t="inlineStr"/>
      <c r="R1760" s="13" t="inlineStr"/>
      <c r="S1760" s="6" t="inlineStr">
        <is>
          <t>sp-a3-467-bu</t>
        </is>
      </c>
    </row>
    <row r="1761">
      <c r="A1761" s="6" t="inlineStr">
        <is>
          <t>A3 471</t>
        </is>
      </c>
      <c r="B1761" s="7" t="inlineStr">
        <is>
          <t>Kéderprofil A3 471 – fekete, 1,0-2,0 mm</t>
        </is>
      </c>
      <c r="C1761" s="6" t="inlineStr">
        <is>
          <t>Gumi- és kéderprofilok</t>
        </is>
      </c>
      <c r="D1761" s="6" t="inlineStr">
        <is>
          <t>Kéder- és ablakgumi profilok (Gista)</t>
        </is>
      </c>
      <c r="E1761" s="6" t="inlineStr">
        <is>
          <t>Sand-Profile</t>
        </is>
      </c>
      <c r="F1761" s="6" t="inlineStr">
        <is>
          <t>A3 471</t>
        </is>
      </c>
      <c r="G1761" s="6" t="inlineStr">
        <is>
          <t>Teljes kínálat</t>
        </is>
      </c>
      <c r="H1761" s="6" t="n">
        <v>1</v>
      </c>
      <c r="I1761" s="6" t="n">
        <v>3</v>
      </c>
      <c r="J1761" s="6" t="inlineStr">
        <is>
          <t>van</t>
        </is>
      </c>
      <c r="K1761" s="6">
        <f>IF(AND(H1761&gt;0,I1761&gt;0),"Rendben",IF(AND(H1761=0,I1761=0),"Nincs kép és adat",IF(H1761=0,"Nincs kép","Nincs adat")))</f>
        <v/>
      </c>
      <c r="L1761" s="6" t="inlineStr">
        <is>
          <t>Igen</t>
        </is>
      </c>
      <c r="M1761" s="7" t="inlineStr">
        <is>
          <t>Sand-Profile teljes kínálata (gyártói katalógus / weboldal)</t>
        </is>
      </c>
      <c r="N1761" s="7" t="inlineStr">
        <is>
          <t>Megtalálva: a beszállító teljes kínálatából felvett termék</t>
        </is>
      </c>
      <c r="O1761" s="11" t="inlineStr">
        <is>
          <t>https://www.sandprofile.com/media/gesamtkatalog_en.pdf#page=40</t>
        </is>
      </c>
      <c r="P1761" s="11" t="inlineStr">
        <is>
          <t>https://website-9ib.pages.dev/termek/sp-a3-471/</t>
        </is>
      </c>
      <c r="Q1761" s="12" t="inlineStr"/>
      <c r="R1761" s="13" t="inlineStr"/>
      <c r="S1761" s="6" t="inlineStr">
        <is>
          <t>sp-a3-471</t>
        </is>
      </c>
    </row>
    <row r="1762">
      <c r="A1762" s="6" t="inlineStr">
        <is>
          <t>A3 500</t>
        </is>
      </c>
      <c r="B1762" s="7" t="inlineStr">
        <is>
          <t>Kéderprofil A3 500 – fekete, 1,5-3,5 mm</t>
        </is>
      </c>
      <c r="C1762" s="6" t="inlineStr">
        <is>
          <t>Gumi- és kéderprofilok</t>
        </is>
      </c>
      <c r="D1762" s="6" t="inlineStr">
        <is>
          <t>Kéder- és ablakgumi profilok (Gista)</t>
        </is>
      </c>
      <c r="E1762" s="6" t="inlineStr">
        <is>
          <t>Sand-Profile</t>
        </is>
      </c>
      <c r="F1762" s="6" t="inlineStr">
        <is>
          <t>A3 500</t>
        </is>
      </c>
      <c r="G1762" s="6" t="inlineStr">
        <is>
          <t>Teljes kínálat</t>
        </is>
      </c>
      <c r="H1762" s="6" t="n">
        <v>1</v>
      </c>
      <c r="I1762" s="6" t="n">
        <v>3</v>
      </c>
      <c r="J1762" s="6" t="inlineStr">
        <is>
          <t>van</t>
        </is>
      </c>
      <c r="K1762" s="6">
        <f>IF(AND(H1762&gt;0,I1762&gt;0),"Rendben",IF(AND(H1762=0,I1762=0),"Nincs kép és adat",IF(H1762=0,"Nincs kép","Nincs adat")))</f>
        <v/>
      </c>
      <c r="L1762" s="6" t="inlineStr">
        <is>
          <t>Igen</t>
        </is>
      </c>
      <c r="M1762" s="7" t="inlineStr">
        <is>
          <t>Sand-Profile teljes kínálata (gyártói katalógus / weboldal)</t>
        </is>
      </c>
      <c r="N1762" s="7" t="inlineStr">
        <is>
          <t>Megtalálva: a beszállító teljes kínálatából felvett termék</t>
        </is>
      </c>
      <c r="O1762" s="11" t="inlineStr">
        <is>
          <t>https://www.sandprofile.com/media/gesamtkatalog_en.pdf#page=39</t>
        </is>
      </c>
      <c r="P1762" s="11" t="inlineStr">
        <is>
          <t>https://website-9ib.pages.dev/termek/sp-a3-500/</t>
        </is>
      </c>
      <c r="Q1762" s="12" t="inlineStr"/>
      <c r="R1762" s="13" t="inlineStr"/>
      <c r="S1762" s="6" t="inlineStr">
        <is>
          <t>sp-a3-500</t>
        </is>
      </c>
    </row>
    <row r="1763">
      <c r="A1763" s="6" t="inlineStr">
        <is>
          <t>A3 518</t>
        </is>
      </c>
      <c r="B1763" s="7" t="inlineStr">
        <is>
          <t>Kéderprofil A3 518 – fekete, 1,25-2.,0 mm</t>
        </is>
      </c>
      <c r="C1763" s="6" t="inlineStr">
        <is>
          <t>Gumi- és kéderprofilok</t>
        </is>
      </c>
      <c r="D1763" s="6" t="inlineStr">
        <is>
          <t>Kéder- és ablakgumi profilok (Gista)</t>
        </is>
      </c>
      <c r="E1763" s="6" t="inlineStr">
        <is>
          <t>Sand-Profile</t>
        </is>
      </c>
      <c r="F1763" s="6" t="inlineStr">
        <is>
          <t>A3 518</t>
        </is>
      </c>
      <c r="G1763" s="6" t="inlineStr">
        <is>
          <t>Teljes kínálat</t>
        </is>
      </c>
      <c r="H1763" s="6" t="n">
        <v>1</v>
      </c>
      <c r="I1763" s="6" t="n">
        <v>3</v>
      </c>
      <c r="J1763" s="6" t="inlineStr">
        <is>
          <t>van</t>
        </is>
      </c>
      <c r="K1763" s="6">
        <f>IF(AND(H1763&gt;0,I1763&gt;0),"Rendben",IF(AND(H1763=0,I1763=0),"Nincs kép és adat",IF(H1763=0,"Nincs kép","Nincs adat")))</f>
        <v/>
      </c>
      <c r="L1763" s="6" t="inlineStr">
        <is>
          <t>Igen</t>
        </is>
      </c>
      <c r="M1763" s="7" t="inlineStr">
        <is>
          <t>Sand-Profile teljes kínálata (gyártói katalógus / weboldal)</t>
        </is>
      </c>
      <c r="N1763" s="7" t="inlineStr">
        <is>
          <t>Megtalálva: a beszállító teljes kínálatából felvett termék</t>
        </is>
      </c>
      <c r="O1763" s="11" t="inlineStr">
        <is>
          <t>https://www.sandprofile.com/media/gesamtkatalog_en.pdf#page=50</t>
        </is>
      </c>
      <c r="P1763" s="11" t="inlineStr">
        <is>
          <t>https://website-9ib.pages.dev/termek/sp-a3-518/</t>
        </is>
      </c>
      <c r="Q1763" s="12" t="inlineStr"/>
      <c r="R1763" s="13" t="inlineStr"/>
      <c r="S1763" s="6" t="inlineStr">
        <is>
          <t>sp-a3-518</t>
        </is>
      </c>
    </row>
    <row r="1764">
      <c r="A1764" s="6" t="inlineStr">
        <is>
          <t>A3 547</t>
        </is>
      </c>
      <c r="B1764" s="7" t="inlineStr">
        <is>
          <t>Kéderprofil A3 547 – fekete, 2,0–4,0 mm</t>
        </is>
      </c>
      <c r="C1764" s="6" t="inlineStr">
        <is>
          <t>Gumi- és kéderprofilok</t>
        </is>
      </c>
      <c r="D1764" s="6" t="inlineStr">
        <is>
          <t>Kéder- és ablakgumi profilok (Gista)</t>
        </is>
      </c>
      <c r="E1764" s="6" t="inlineStr">
        <is>
          <t>Sand-Profile</t>
        </is>
      </c>
      <c r="F1764" s="6" t="inlineStr">
        <is>
          <t>A3 547</t>
        </is>
      </c>
      <c r="G1764" s="6" t="inlineStr">
        <is>
          <t>Teljes kínálat</t>
        </is>
      </c>
      <c r="H1764" s="6" t="n">
        <v>1</v>
      </c>
      <c r="I1764" s="6" t="n">
        <v>3</v>
      </c>
      <c r="J1764" s="6" t="inlineStr">
        <is>
          <t>van</t>
        </is>
      </c>
      <c r="K1764" s="6">
        <f>IF(AND(H1764&gt;0,I1764&gt;0),"Rendben",IF(AND(H1764=0,I1764=0),"Nincs kép és adat",IF(H1764=0,"Nincs kép","Nincs adat")))</f>
        <v/>
      </c>
      <c r="L1764" s="6" t="inlineStr">
        <is>
          <t>Igen</t>
        </is>
      </c>
      <c r="M1764" s="7" t="inlineStr">
        <is>
          <t>Sand-Profile teljes kínálata (gyártói katalógus / weboldal)</t>
        </is>
      </c>
      <c r="N1764" s="7" t="inlineStr">
        <is>
          <t>Megtalálva: a beszállító teljes kínálatából felvett termék</t>
        </is>
      </c>
      <c r="O1764" s="11" t="inlineStr">
        <is>
          <t>https://www.sandprofile.com/media/gesamtkatalog_en.pdf#page=43</t>
        </is>
      </c>
      <c r="P1764" s="11" t="inlineStr">
        <is>
          <t>https://website-9ib.pages.dev/termek/sp-a3-547/</t>
        </is>
      </c>
      <c r="Q1764" s="12" t="inlineStr"/>
      <c r="R1764" s="13" t="inlineStr"/>
      <c r="S1764" s="6" t="inlineStr">
        <is>
          <t>sp-a3-547</t>
        </is>
      </c>
    </row>
    <row r="1765">
      <c r="A1765" s="6" t="inlineStr">
        <is>
          <t>A3 549</t>
        </is>
      </c>
      <c r="B1765" s="7" t="inlineStr">
        <is>
          <t>Kéderprofil A3 549 – fekete, 4,0-6,0 mm</t>
        </is>
      </c>
      <c r="C1765" s="6" t="inlineStr">
        <is>
          <t>Gumi- és kéderprofilok</t>
        </is>
      </c>
      <c r="D1765" s="6" t="inlineStr">
        <is>
          <t>Kéder- és ablakgumi profilok (Gista)</t>
        </is>
      </c>
      <c r="E1765" s="6" t="inlineStr">
        <is>
          <t>Sand-Profile</t>
        </is>
      </c>
      <c r="F1765" s="6" t="inlineStr">
        <is>
          <t>A3 549</t>
        </is>
      </c>
      <c r="G1765" s="6" t="inlineStr">
        <is>
          <t>Teljes kínálat</t>
        </is>
      </c>
      <c r="H1765" s="6" t="n">
        <v>1</v>
      </c>
      <c r="I1765" s="6" t="n">
        <v>3</v>
      </c>
      <c r="J1765" s="6" t="inlineStr">
        <is>
          <t>van</t>
        </is>
      </c>
      <c r="K1765" s="6">
        <f>IF(AND(H1765&gt;0,I1765&gt;0),"Rendben",IF(AND(H1765=0,I1765=0),"Nincs kép és adat",IF(H1765=0,"Nincs kép","Nincs adat")))</f>
        <v/>
      </c>
      <c r="L1765" s="6" t="inlineStr">
        <is>
          <t>Igen</t>
        </is>
      </c>
      <c r="M1765" s="7" t="inlineStr">
        <is>
          <t>Sand-Profile teljes kínálata (gyártói katalógus / weboldal)</t>
        </is>
      </c>
      <c r="N1765" s="7" t="inlineStr">
        <is>
          <t>Megtalálva: a beszállító teljes kínálatából felvett termék</t>
        </is>
      </c>
      <c r="O1765" s="11" t="inlineStr">
        <is>
          <t>https://www.sandprofile.com/media/gesamtkatalog_en.pdf#page=44</t>
        </is>
      </c>
      <c r="P1765" s="11" t="inlineStr">
        <is>
          <t>https://website-9ib.pages.dev/termek/sp-a3-549/</t>
        </is>
      </c>
      <c r="Q1765" s="12" t="inlineStr"/>
      <c r="R1765" s="13" t="inlineStr"/>
      <c r="S1765" s="6" t="inlineStr">
        <is>
          <t>sp-a3-549</t>
        </is>
      </c>
    </row>
    <row r="1766">
      <c r="A1766" s="6" t="inlineStr">
        <is>
          <t>A3 560</t>
        </is>
      </c>
      <c r="B1766" s="7" t="inlineStr">
        <is>
          <t>Kéderprofil A3 560 – fekete, 5,0 mm</t>
        </is>
      </c>
      <c r="C1766" s="6" t="inlineStr">
        <is>
          <t>Gumi- és kéderprofilok</t>
        </is>
      </c>
      <c r="D1766" s="6" t="inlineStr">
        <is>
          <t>Kéder- és ablakgumi profilok (Gista)</t>
        </is>
      </c>
      <c r="E1766" s="6" t="inlineStr">
        <is>
          <t>Sand-Profile</t>
        </is>
      </c>
      <c r="F1766" s="6" t="inlineStr">
        <is>
          <t>A3 560</t>
        </is>
      </c>
      <c r="G1766" s="6" t="inlineStr">
        <is>
          <t>Teljes kínálat</t>
        </is>
      </c>
      <c r="H1766" s="6" t="n">
        <v>1</v>
      </c>
      <c r="I1766" s="6" t="n">
        <v>3</v>
      </c>
      <c r="J1766" s="6" t="inlineStr">
        <is>
          <t>van</t>
        </is>
      </c>
      <c r="K1766" s="6">
        <f>IF(AND(H1766&gt;0,I1766&gt;0),"Rendben",IF(AND(H1766=0,I1766=0),"Nincs kép és adat",IF(H1766=0,"Nincs kép","Nincs adat")))</f>
        <v/>
      </c>
      <c r="L1766" s="6" t="inlineStr">
        <is>
          <t>Igen</t>
        </is>
      </c>
      <c r="M1766" s="7" t="inlineStr">
        <is>
          <t>Sand-Profile teljes kínálata (gyártói katalógus / weboldal)</t>
        </is>
      </c>
      <c r="N1766" s="7" t="inlineStr">
        <is>
          <t>Megtalálva: a beszállító teljes kínálatából felvett termék</t>
        </is>
      </c>
      <c r="O1766" s="11" t="inlineStr">
        <is>
          <t>https://www.sandprofile.com/media/gesamtkatalog_en.pdf#page=46</t>
        </is>
      </c>
      <c r="P1766" s="11" t="inlineStr">
        <is>
          <t>https://website-9ib.pages.dev/termek/sp-a3-560/</t>
        </is>
      </c>
      <c r="Q1766" s="12" t="inlineStr"/>
      <c r="R1766" s="13" t="inlineStr"/>
      <c r="S1766" s="6" t="inlineStr">
        <is>
          <t>sp-a3-560</t>
        </is>
      </c>
    </row>
    <row r="1767">
      <c r="A1767" s="6" t="inlineStr">
        <is>
          <t>A3 578</t>
        </is>
      </c>
      <c r="B1767" s="7" t="inlineStr">
        <is>
          <t>Kéderprofil A3 578 – fekete, 5,0-6,0 mm</t>
        </is>
      </c>
      <c r="C1767" s="6" t="inlineStr">
        <is>
          <t>Gumi- és kéderprofilok</t>
        </is>
      </c>
      <c r="D1767" s="6" t="inlineStr">
        <is>
          <t>Kéder- és ablakgumi profilok (Gista)</t>
        </is>
      </c>
      <c r="E1767" s="6" t="inlineStr">
        <is>
          <t>Sand-Profile</t>
        </is>
      </c>
      <c r="F1767" s="6" t="inlineStr">
        <is>
          <t>A3 578</t>
        </is>
      </c>
      <c r="G1767" s="6" t="inlineStr">
        <is>
          <t>Teljes kínálat</t>
        </is>
      </c>
      <c r="H1767" s="6" t="n">
        <v>1</v>
      </c>
      <c r="I1767" s="6" t="n">
        <v>3</v>
      </c>
      <c r="J1767" s="6" t="inlineStr">
        <is>
          <t>van</t>
        </is>
      </c>
      <c r="K1767" s="6">
        <f>IF(AND(H1767&gt;0,I1767&gt;0),"Rendben",IF(AND(H1767=0,I1767=0),"Nincs kép és adat",IF(H1767=0,"Nincs kép","Nincs adat")))</f>
        <v/>
      </c>
      <c r="L1767" s="6" t="inlineStr">
        <is>
          <t>Igen</t>
        </is>
      </c>
      <c r="M1767" s="7" t="inlineStr">
        <is>
          <t>Sand-Profile teljes kínálata (gyártói katalógus / weboldal)</t>
        </is>
      </c>
      <c r="N1767" s="7" t="inlineStr">
        <is>
          <t>Megtalálva: a beszállító teljes kínálatából felvett termék</t>
        </is>
      </c>
      <c r="O1767" s="11" t="inlineStr">
        <is>
          <t>https://www.sandprofile.com/media/gesamtkatalog_en.pdf#page=45</t>
        </is>
      </c>
      <c r="P1767" s="11" t="inlineStr">
        <is>
          <t>https://website-9ib.pages.dev/termek/sp-a3-578/</t>
        </is>
      </c>
      <c r="Q1767" s="12" t="inlineStr"/>
      <c r="R1767" s="13" t="inlineStr"/>
      <c r="S1767" s="6" t="inlineStr">
        <is>
          <t>sp-a3-578</t>
        </is>
      </c>
    </row>
    <row r="1768">
      <c r="A1768" s="6" t="inlineStr">
        <is>
          <t>A3 592</t>
        </is>
      </c>
      <c r="B1768" s="7" t="inlineStr">
        <is>
          <t>Kéderprofil A3 592 – fekete, 2,0-4,0 mm</t>
        </is>
      </c>
      <c r="C1768" s="6" t="inlineStr">
        <is>
          <t>Gumi- és kéderprofilok</t>
        </is>
      </c>
      <c r="D1768" s="6" t="inlineStr">
        <is>
          <t>Kéder- és ablakgumi profilok (Gista)</t>
        </is>
      </c>
      <c r="E1768" s="6" t="inlineStr">
        <is>
          <t>Sand-Profile</t>
        </is>
      </c>
      <c r="F1768" s="6" t="inlineStr">
        <is>
          <t>A3 592</t>
        </is>
      </c>
      <c r="G1768" s="6" t="inlineStr">
        <is>
          <t>Teljes kínálat</t>
        </is>
      </c>
      <c r="H1768" s="6" t="n">
        <v>1</v>
      </c>
      <c r="I1768" s="6" t="n">
        <v>3</v>
      </c>
      <c r="J1768" s="6" t="inlineStr">
        <is>
          <t>van</t>
        </is>
      </c>
      <c r="K1768" s="6">
        <f>IF(AND(H1768&gt;0,I1768&gt;0),"Rendben",IF(AND(H1768=0,I1768=0),"Nincs kép és adat",IF(H1768=0,"Nincs kép","Nincs adat")))</f>
        <v/>
      </c>
      <c r="L1768" s="6" t="inlineStr">
        <is>
          <t>Igen</t>
        </is>
      </c>
      <c r="M1768" s="7" t="inlineStr">
        <is>
          <t>Sand-Profile teljes kínálata (gyártói katalógus / weboldal)</t>
        </is>
      </c>
      <c r="N1768" s="7" t="inlineStr">
        <is>
          <t>Megtalálva: a beszállító teljes kínálatából felvett termék</t>
        </is>
      </c>
      <c r="O1768" s="11" t="inlineStr">
        <is>
          <t>https://www.sandprofile.com/media/gesamtkatalog_en.pdf#page=47</t>
        </is>
      </c>
      <c r="P1768" s="11" t="inlineStr">
        <is>
          <t>https://website-9ib.pages.dev/termek/sp-a3-592/</t>
        </is>
      </c>
      <c r="Q1768" s="12" t="inlineStr"/>
      <c r="R1768" s="13" t="inlineStr"/>
      <c r="S1768" s="6" t="inlineStr">
        <is>
          <t>sp-a3-592</t>
        </is>
      </c>
    </row>
    <row r="1769">
      <c r="A1769" s="6" t="inlineStr">
        <is>
          <t>A3 605</t>
        </is>
      </c>
      <c r="B1769" s="7" t="inlineStr">
        <is>
          <t>Kéderprofil A3 605 – fekete, 2,0-4,0 mm</t>
        </is>
      </c>
      <c r="C1769" s="6" t="inlineStr">
        <is>
          <t>Gumi- és kéderprofilok</t>
        </is>
      </c>
      <c r="D1769" s="6" t="inlineStr">
        <is>
          <t>Kéder- és ablakgumi profilok (Gista)</t>
        </is>
      </c>
      <c r="E1769" s="6" t="inlineStr">
        <is>
          <t>Sand-Profile</t>
        </is>
      </c>
      <c r="F1769" s="6" t="inlineStr">
        <is>
          <t>A3 605</t>
        </is>
      </c>
      <c r="G1769" s="6" t="inlineStr">
        <is>
          <t>Teljes kínálat</t>
        </is>
      </c>
      <c r="H1769" s="6" t="n">
        <v>1</v>
      </c>
      <c r="I1769" s="6" t="n">
        <v>3</v>
      </c>
      <c r="J1769" s="6" t="inlineStr">
        <is>
          <t>van</t>
        </is>
      </c>
      <c r="K1769" s="6">
        <f>IF(AND(H1769&gt;0,I1769&gt;0),"Rendben",IF(AND(H1769=0,I1769=0),"Nincs kép és adat",IF(H1769=0,"Nincs kép","Nincs adat")))</f>
        <v/>
      </c>
      <c r="L1769" s="6" t="inlineStr">
        <is>
          <t>Igen</t>
        </is>
      </c>
      <c r="M1769" s="7" t="inlineStr">
        <is>
          <t>Sand-Profile teljes kínálata (gyártói katalógus / weboldal)</t>
        </is>
      </c>
      <c r="N1769" s="7" t="inlineStr">
        <is>
          <t>Megtalálva: a beszállító teljes kínálatából felvett termék</t>
        </is>
      </c>
      <c r="O1769" s="11" t="inlineStr">
        <is>
          <t>https://www.sandprofile.com/media/gesamtkatalog_en.pdf#page=47</t>
        </is>
      </c>
      <c r="P1769" s="11" t="inlineStr">
        <is>
          <t>https://website-9ib.pages.dev/termek/sp-a3-605/</t>
        </is>
      </c>
      <c r="Q1769" s="12" t="inlineStr"/>
      <c r="R1769" s="13" t="inlineStr"/>
      <c r="S1769" s="6" t="inlineStr">
        <is>
          <t>sp-a3-605</t>
        </is>
      </c>
    </row>
    <row r="1770">
      <c r="A1770" s="6" t="inlineStr">
        <is>
          <t>A3 655</t>
        </is>
      </c>
      <c r="B1770" s="7" t="inlineStr">
        <is>
          <t>Kéderprofil A3 655 – fekete, 2,0-4,0 mm</t>
        </is>
      </c>
      <c r="C1770" s="6" t="inlineStr">
        <is>
          <t>Gumi- és kéderprofilok</t>
        </is>
      </c>
      <c r="D1770" s="6" t="inlineStr">
        <is>
          <t>Kéder- és ablakgumi profilok (Gista)</t>
        </is>
      </c>
      <c r="E1770" s="6" t="inlineStr">
        <is>
          <t>Sand-Profile</t>
        </is>
      </c>
      <c r="F1770" s="6" t="inlineStr">
        <is>
          <t>A3 655</t>
        </is>
      </c>
      <c r="G1770" s="6" t="inlineStr">
        <is>
          <t>Teljes kínálat</t>
        </is>
      </c>
      <c r="H1770" s="6" t="n">
        <v>1</v>
      </c>
      <c r="I1770" s="6" t="n">
        <v>3</v>
      </c>
      <c r="J1770" s="6" t="inlineStr">
        <is>
          <t>van</t>
        </is>
      </c>
      <c r="K1770" s="6">
        <f>IF(AND(H1770&gt;0,I1770&gt;0),"Rendben",IF(AND(H1770=0,I1770=0),"Nincs kép és adat",IF(H1770=0,"Nincs kép","Nincs adat")))</f>
        <v/>
      </c>
      <c r="L1770" s="6" t="inlineStr">
        <is>
          <t>Igen</t>
        </is>
      </c>
      <c r="M1770" s="7" t="inlineStr">
        <is>
          <t>Sand-Profile teljes kínálata (gyártói katalógus / weboldal)</t>
        </is>
      </c>
      <c r="N1770" s="7" t="inlineStr">
        <is>
          <t>Megtalálva: a beszállító teljes kínálatából felvett termék</t>
        </is>
      </c>
      <c r="O1770" s="11" t="inlineStr">
        <is>
          <t>https://www.sandprofile.com/media/gesamtkatalog_en.pdf#page=48</t>
        </is>
      </c>
      <c r="P1770" s="11" t="inlineStr">
        <is>
          <t>https://website-9ib.pages.dev/termek/sp-a3-655/</t>
        </is>
      </c>
      <c r="Q1770" s="12" t="inlineStr"/>
      <c r="R1770" s="13" t="inlineStr"/>
      <c r="S1770" s="6" t="inlineStr">
        <is>
          <t>sp-a3-655</t>
        </is>
      </c>
    </row>
    <row r="1771">
      <c r="A1771" s="6" t="inlineStr">
        <is>
          <t>A3 725</t>
        </is>
      </c>
      <c r="B1771" s="7" t="inlineStr">
        <is>
          <t>Kéderprofil A3 725 – fekete, 5,0-6,0 mm</t>
        </is>
      </c>
      <c r="C1771" s="6" t="inlineStr">
        <is>
          <t>Gumi- és kéderprofilok</t>
        </is>
      </c>
      <c r="D1771" s="6" t="inlineStr">
        <is>
          <t>Kéder- és ablakgumi profilok (Gista)</t>
        </is>
      </c>
      <c r="E1771" s="6" t="inlineStr">
        <is>
          <t>Sand-Profile</t>
        </is>
      </c>
      <c r="F1771" s="6" t="inlineStr">
        <is>
          <t>A3 725</t>
        </is>
      </c>
      <c r="G1771" s="6" t="inlineStr">
        <is>
          <t>Teljes kínálat</t>
        </is>
      </c>
      <c r="H1771" s="6" t="n">
        <v>1</v>
      </c>
      <c r="I1771" s="6" t="n">
        <v>3</v>
      </c>
      <c r="J1771" s="6" t="inlineStr">
        <is>
          <t>van</t>
        </is>
      </c>
      <c r="K1771" s="6">
        <f>IF(AND(H1771&gt;0,I1771&gt;0),"Rendben",IF(AND(H1771=0,I1771=0),"Nincs kép és adat",IF(H1771=0,"Nincs kép","Nincs adat")))</f>
        <v/>
      </c>
      <c r="L1771" s="6" t="inlineStr">
        <is>
          <t>Igen</t>
        </is>
      </c>
      <c r="M1771" s="7" t="inlineStr">
        <is>
          <t>Sand-Profile teljes kínálata (gyártói katalógus / weboldal)</t>
        </is>
      </c>
      <c r="N1771" s="7" t="inlineStr">
        <is>
          <t>Megtalálva: a beszállító teljes kínálatából felvett termék</t>
        </is>
      </c>
      <c r="O1771" s="11" t="inlineStr">
        <is>
          <t>https://www.sandprofile.com/media/gesamtkatalog_en.pdf#page=45</t>
        </is>
      </c>
      <c r="P1771" s="11" t="inlineStr">
        <is>
          <t>https://website-9ib.pages.dev/termek/sp-a3-725/</t>
        </is>
      </c>
      <c r="Q1771" s="12" t="inlineStr"/>
      <c r="R1771" s="13" t="inlineStr"/>
      <c r="S1771" s="6" t="inlineStr">
        <is>
          <t>sp-a3-725</t>
        </is>
      </c>
    </row>
    <row r="1772">
      <c r="A1772" s="6" t="inlineStr">
        <is>
          <t>A3 725-BU</t>
        </is>
      </c>
      <c r="B1772" s="7" t="inlineStr">
        <is>
          <t>Kéderprofil A3 725-BU – fekete, 5,0-6,0 mm</t>
        </is>
      </c>
      <c r="C1772" s="6" t="inlineStr">
        <is>
          <t>Gumi- és kéderprofilok</t>
        </is>
      </c>
      <c r="D1772" s="6" t="inlineStr">
        <is>
          <t>Kéder- és ablakgumi profilok (Gista)</t>
        </is>
      </c>
      <c r="E1772" s="6" t="inlineStr">
        <is>
          <t>Sand-Profile</t>
        </is>
      </c>
      <c r="F1772" s="6" t="inlineStr">
        <is>
          <t>A3 725-BU</t>
        </is>
      </c>
      <c r="G1772" s="6" t="inlineStr">
        <is>
          <t>Teljes kínálat</t>
        </is>
      </c>
      <c r="H1772" s="6" t="n">
        <v>1</v>
      </c>
      <c r="I1772" s="6" t="n">
        <v>3</v>
      </c>
      <c r="J1772" s="6" t="inlineStr">
        <is>
          <t>van</t>
        </is>
      </c>
      <c r="K1772" s="6">
        <f>IF(AND(H1772&gt;0,I1772&gt;0),"Rendben",IF(AND(H1772=0,I1772=0),"Nincs kép és adat",IF(H1772=0,"Nincs kép","Nincs adat")))</f>
        <v/>
      </c>
      <c r="L1772" s="6" t="inlineStr">
        <is>
          <t>Igen</t>
        </is>
      </c>
      <c r="M1772" s="7" t="inlineStr">
        <is>
          <t>Sand-Profile teljes kínálata (gyártói katalógus / weboldal)</t>
        </is>
      </c>
      <c r="N1772" s="7" t="inlineStr">
        <is>
          <t>Megtalálva: a beszállító teljes kínálatából felvett termék</t>
        </is>
      </c>
      <c r="O1772" s="11" t="inlineStr">
        <is>
          <t>https://www.sandprofile.com/media/gesamtkatalog_en.pdf#page=45</t>
        </is>
      </c>
      <c r="P1772" s="11" t="inlineStr">
        <is>
          <t>https://website-9ib.pages.dev/termek/sp-a3-725-bu/</t>
        </is>
      </c>
      <c r="Q1772" s="12" t="inlineStr"/>
      <c r="R1772" s="13" t="inlineStr"/>
      <c r="S1772" s="6" t="inlineStr">
        <is>
          <t>sp-a3-725-bu</t>
        </is>
      </c>
    </row>
    <row r="1773">
      <c r="A1773" s="6" t="inlineStr">
        <is>
          <t>A3 729</t>
        </is>
      </c>
      <c r="B1773" s="7" t="inlineStr">
        <is>
          <t>Kéderprofil A3 729 – fekete, 5,0-6,0 mm</t>
        </is>
      </c>
      <c r="C1773" s="6" t="inlineStr">
        <is>
          <t>Gumi- és kéderprofilok</t>
        </is>
      </c>
      <c r="D1773" s="6" t="inlineStr">
        <is>
          <t>Kéder- és ablakgumi profilok (Gista)</t>
        </is>
      </c>
      <c r="E1773" s="6" t="inlineStr">
        <is>
          <t>Sand-Profile</t>
        </is>
      </c>
      <c r="F1773" s="6" t="inlineStr">
        <is>
          <t>A3 729</t>
        </is>
      </c>
      <c r="G1773" s="6" t="inlineStr">
        <is>
          <t>Teljes kínálat</t>
        </is>
      </c>
      <c r="H1773" s="6" t="n">
        <v>1</v>
      </c>
      <c r="I1773" s="6" t="n">
        <v>3</v>
      </c>
      <c r="J1773" s="6" t="inlineStr">
        <is>
          <t>van</t>
        </is>
      </c>
      <c r="K1773" s="6">
        <f>IF(AND(H1773&gt;0,I1773&gt;0),"Rendben",IF(AND(H1773=0,I1773=0),"Nincs kép és adat",IF(H1773=0,"Nincs kép","Nincs adat")))</f>
        <v/>
      </c>
      <c r="L1773" s="6" t="inlineStr">
        <is>
          <t>Igen</t>
        </is>
      </c>
      <c r="M1773" s="7" t="inlineStr">
        <is>
          <t>Sand-Profile teljes kínálata (gyártói katalógus / weboldal)</t>
        </is>
      </c>
      <c r="N1773" s="7" t="inlineStr">
        <is>
          <t>Megtalálva: a beszállító teljes kínálatából felvett termék</t>
        </is>
      </c>
      <c r="O1773" s="11" t="inlineStr">
        <is>
          <t>https://www.sandprofile.com/media/gesamtkatalog_en.pdf#page=45</t>
        </is>
      </c>
      <c r="P1773" s="11" t="inlineStr">
        <is>
          <t>https://website-9ib.pages.dev/termek/sp-a3-729/</t>
        </is>
      </c>
      <c r="Q1773" s="12" t="inlineStr"/>
      <c r="R1773" s="13" t="inlineStr"/>
      <c r="S1773" s="6" t="inlineStr">
        <is>
          <t>sp-a3-729</t>
        </is>
      </c>
    </row>
    <row r="1774">
      <c r="A1774" s="6" t="inlineStr">
        <is>
          <t>A3 752</t>
        </is>
      </c>
      <c r="B1774" s="7" t="inlineStr">
        <is>
          <t>Kéderprofil A3 752 – fekete, 5,0-6,0 mm</t>
        </is>
      </c>
      <c r="C1774" s="6" t="inlineStr">
        <is>
          <t>Gumi- és kéderprofilok</t>
        </is>
      </c>
      <c r="D1774" s="6" t="inlineStr">
        <is>
          <t>Kéder- és ablakgumi profilok (Gista)</t>
        </is>
      </c>
      <c r="E1774" s="6" t="inlineStr">
        <is>
          <t>Sand-Profile</t>
        </is>
      </c>
      <c r="F1774" s="6" t="inlineStr">
        <is>
          <t>A3 752</t>
        </is>
      </c>
      <c r="G1774" s="6" t="inlineStr">
        <is>
          <t>Teljes kínálat</t>
        </is>
      </c>
      <c r="H1774" s="6" t="n">
        <v>1</v>
      </c>
      <c r="I1774" s="6" t="n">
        <v>3</v>
      </c>
      <c r="J1774" s="6" t="inlineStr">
        <is>
          <t>van</t>
        </is>
      </c>
      <c r="K1774" s="6">
        <f>IF(AND(H1774&gt;0,I1774&gt;0),"Rendben",IF(AND(H1774=0,I1774=0),"Nincs kép és adat",IF(H1774=0,"Nincs kép","Nincs adat")))</f>
        <v/>
      </c>
      <c r="L1774" s="6" t="inlineStr">
        <is>
          <t>Igen</t>
        </is>
      </c>
      <c r="M1774" s="7" t="inlineStr">
        <is>
          <t>Sand-Profile teljes kínálata (gyártói katalógus / weboldal)</t>
        </is>
      </c>
      <c r="N1774" s="7" t="inlineStr">
        <is>
          <t>Megtalálva: a beszállító teljes kínálatából felvett termék</t>
        </is>
      </c>
      <c r="O1774" s="11" t="inlineStr">
        <is>
          <t>https://www.sandprofile.com/media/gesamtkatalog_en.pdf#page=42</t>
        </is>
      </c>
      <c r="P1774" s="11" t="inlineStr">
        <is>
          <t>https://website-9ib.pages.dev/termek/sp-a3-752/</t>
        </is>
      </c>
      <c r="Q1774" s="12" t="inlineStr"/>
      <c r="R1774" s="13" t="inlineStr"/>
      <c r="S1774" s="6" t="inlineStr">
        <is>
          <t>sp-a3-752</t>
        </is>
      </c>
    </row>
    <row r="1775">
      <c r="A1775" s="6" t="inlineStr">
        <is>
          <t>A3 757</t>
        </is>
      </c>
      <c r="B1775" s="7" t="inlineStr">
        <is>
          <t>Kéderprofil A3 757 – fekete, 2,0-4,0 mm</t>
        </is>
      </c>
      <c r="C1775" s="6" t="inlineStr">
        <is>
          <t>Gumi- és kéderprofilok</t>
        </is>
      </c>
      <c r="D1775" s="6" t="inlineStr">
        <is>
          <t>Kéder- és ablakgumi profilok (Gista)</t>
        </is>
      </c>
      <c r="E1775" s="6" t="inlineStr">
        <is>
          <t>Sand-Profile</t>
        </is>
      </c>
      <c r="F1775" s="6" t="inlineStr">
        <is>
          <t>A3 757</t>
        </is>
      </c>
      <c r="G1775" s="6" t="inlineStr">
        <is>
          <t>Teljes kínálat</t>
        </is>
      </c>
      <c r="H1775" s="6" t="n">
        <v>1</v>
      </c>
      <c r="I1775" s="6" t="n">
        <v>3</v>
      </c>
      <c r="J1775" s="6" t="inlineStr">
        <is>
          <t>van</t>
        </is>
      </c>
      <c r="K1775" s="6">
        <f>IF(AND(H1775&gt;0,I1775&gt;0),"Rendben",IF(AND(H1775=0,I1775=0),"Nincs kép és adat",IF(H1775=0,"Nincs kép","Nincs adat")))</f>
        <v/>
      </c>
      <c r="L1775" s="6" t="inlineStr">
        <is>
          <t>Igen</t>
        </is>
      </c>
      <c r="M1775" s="7" t="inlineStr">
        <is>
          <t>Sand-Profile teljes kínálata (gyártói katalógus / weboldal)</t>
        </is>
      </c>
      <c r="N1775" s="7" t="inlineStr">
        <is>
          <t>Megtalálva: a beszállító teljes kínálatából felvett termék</t>
        </is>
      </c>
      <c r="O1775" s="11" t="inlineStr">
        <is>
          <t>https://www.sandprofile.com/media/gesamtkatalog_en.pdf#page=43</t>
        </is>
      </c>
      <c r="P1775" s="11" t="inlineStr">
        <is>
          <t>https://website-9ib.pages.dev/termek/sp-a3-757/</t>
        </is>
      </c>
      <c r="Q1775" s="12" t="inlineStr"/>
      <c r="R1775" s="13" t="inlineStr"/>
      <c r="S1775" s="6" t="inlineStr">
        <is>
          <t>sp-a3-757</t>
        </is>
      </c>
    </row>
    <row r="1776">
      <c r="A1776" s="6" t="inlineStr">
        <is>
          <t>A3 767</t>
        </is>
      </c>
      <c r="B1776" s="7" t="inlineStr">
        <is>
          <t>Kéderprofil A3 767 – fekete, 2,0-4,0 mm</t>
        </is>
      </c>
      <c r="C1776" s="6" t="inlineStr">
        <is>
          <t>Gumi- és kéderprofilok</t>
        </is>
      </c>
      <c r="D1776" s="6" t="inlineStr">
        <is>
          <t>Kéder- és ablakgumi profilok (Gista)</t>
        </is>
      </c>
      <c r="E1776" s="6" t="inlineStr">
        <is>
          <t>Sand-Profile</t>
        </is>
      </c>
      <c r="F1776" s="6" t="inlineStr">
        <is>
          <t>A3 767</t>
        </is>
      </c>
      <c r="G1776" s="6" t="inlineStr">
        <is>
          <t>Teljes kínálat</t>
        </is>
      </c>
      <c r="H1776" s="6" t="n">
        <v>1</v>
      </c>
      <c r="I1776" s="6" t="n">
        <v>3</v>
      </c>
      <c r="J1776" s="6" t="inlineStr">
        <is>
          <t>van</t>
        </is>
      </c>
      <c r="K1776" s="6">
        <f>IF(AND(H1776&gt;0,I1776&gt;0),"Rendben",IF(AND(H1776=0,I1776=0),"Nincs kép és adat",IF(H1776=0,"Nincs kép","Nincs adat")))</f>
        <v/>
      </c>
      <c r="L1776" s="6" t="inlineStr">
        <is>
          <t>Igen</t>
        </is>
      </c>
      <c r="M1776" s="7" t="inlineStr">
        <is>
          <t>Sand-Profile teljes kínálata (gyártói katalógus / weboldal)</t>
        </is>
      </c>
      <c r="N1776" s="7" t="inlineStr">
        <is>
          <t>Megtalálva: a beszállító teljes kínálatából felvett termék</t>
        </is>
      </c>
      <c r="O1776" s="11" t="inlineStr">
        <is>
          <t>https://www.sandprofile.com/media/gesamtkatalog_en.pdf#page=41</t>
        </is>
      </c>
      <c r="P1776" s="11" t="inlineStr">
        <is>
          <t>https://website-9ib.pages.dev/termek/sp-a3-767/</t>
        </is>
      </c>
      <c r="Q1776" s="12" t="inlineStr"/>
      <c r="R1776" s="13" t="inlineStr"/>
      <c r="S1776" s="6" t="inlineStr">
        <is>
          <t>sp-a3-767</t>
        </is>
      </c>
    </row>
    <row r="1777">
      <c r="A1777" s="6" t="inlineStr">
        <is>
          <t>A3 806</t>
        </is>
      </c>
      <c r="B1777" s="7" t="inlineStr">
        <is>
          <t>Kéderprofil A3 806 – fekete, 2,0-3,0 mm</t>
        </is>
      </c>
      <c r="C1777" s="6" t="inlineStr">
        <is>
          <t>Gumi- és kéderprofilok</t>
        </is>
      </c>
      <c r="D1777" s="6" t="inlineStr">
        <is>
          <t>Kéder- és ablakgumi profilok (Gista)</t>
        </is>
      </c>
      <c r="E1777" s="6" t="inlineStr">
        <is>
          <t>Sand-Profile</t>
        </is>
      </c>
      <c r="F1777" s="6" t="inlineStr">
        <is>
          <t>A3 806</t>
        </is>
      </c>
      <c r="G1777" s="6" t="inlineStr">
        <is>
          <t>Teljes kínálat</t>
        </is>
      </c>
      <c r="H1777" s="6" t="n">
        <v>1</v>
      </c>
      <c r="I1777" s="6" t="n">
        <v>3</v>
      </c>
      <c r="J1777" s="6" t="inlineStr">
        <is>
          <t>van</t>
        </is>
      </c>
      <c r="K1777" s="6">
        <f>IF(AND(H1777&gt;0,I1777&gt;0),"Rendben",IF(AND(H1777=0,I1777=0),"Nincs kép és adat",IF(H1777=0,"Nincs kép","Nincs adat")))</f>
        <v/>
      </c>
      <c r="L1777" s="6" t="inlineStr">
        <is>
          <t>Igen</t>
        </is>
      </c>
      <c r="M1777" s="7" t="inlineStr">
        <is>
          <t>Sand-Profile teljes kínálata (gyártói katalógus / weboldal)</t>
        </is>
      </c>
      <c r="N1777" s="7" t="inlineStr">
        <is>
          <t>Megtalálva: a beszállító teljes kínálatából felvett termék</t>
        </is>
      </c>
      <c r="O1777" s="11" t="inlineStr">
        <is>
          <t>https://www.sandprofile.com/media/gesamtkatalog_en.pdf#page=37</t>
        </is>
      </c>
      <c r="P1777" s="11" t="inlineStr">
        <is>
          <t>https://website-9ib.pages.dev/termek/sp-a3-806/</t>
        </is>
      </c>
      <c r="Q1777" s="12" t="inlineStr"/>
      <c r="R1777" s="13" t="inlineStr"/>
      <c r="S1777" s="6" t="inlineStr">
        <is>
          <t>sp-a3-806</t>
        </is>
      </c>
    </row>
    <row r="1778">
      <c r="A1778" s="6" t="inlineStr">
        <is>
          <t>A3 807</t>
        </is>
      </c>
      <c r="B1778" s="7" t="inlineStr">
        <is>
          <t>Kéderprofil A3 807 – fekete, 2,0-3,0 mm</t>
        </is>
      </c>
      <c r="C1778" s="6" t="inlineStr">
        <is>
          <t>Gumi- és kéderprofilok</t>
        </is>
      </c>
      <c r="D1778" s="6" t="inlineStr">
        <is>
          <t>Kéder- és ablakgumi profilok (Gista)</t>
        </is>
      </c>
      <c r="E1778" s="6" t="inlineStr">
        <is>
          <t>Sand-Profile</t>
        </is>
      </c>
      <c r="F1778" s="6" t="inlineStr">
        <is>
          <t>A3 807</t>
        </is>
      </c>
      <c r="G1778" s="6" t="inlineStr">
        <is>
          <t>Teljes kínálat</t>
        </is>
      </c>
      <c r="H1778" s="6" t="n">
        <v>1</v>
      </c>
      <c r="I1778" s="6" t="n">
        <v>3</v>
      </c>
      <c r="J1778" s="6" t="inlineStr">
        <is>
          <t>van</t>
        </is>
      </c>
      <c r="K1778" s="6">
        <f>IF(AND(H1778&gt;0,I1778&gt;0),"Rendben",IF(AND(H1778=0,I1778=0),"Nincs kép és adat",IF(H1778=0,"Nincs kép","Nincs adat")))</f>
        <v/>
      </c>
      <c r="L1778" s="6" t="inlineStr">
        <is>
          <t>Igen</t>
        </is>
      </c>
      <c r="M1778" s="7" t="inlineStr">
        <is>
          <t>Sand-Profile teljes kínálata (gyártói katalógus / weboldal)</t>
        </is>
      </c>
      <c r="N1778" s="7" t="inlineStr">
        <is>
          <t>Megtalálva: a beszállító teljes kínálatából felvett termék</t>
        </is>
      </c>
      <c r="O1778" s="11" t="inlineStr">
        <is>
          <t>https://www.sandprofile.com/media/gesamtkatalog_en.pdf#page=39</t>
        </is>
      </c>
      <c r="P1778" s="11" t="inlineStr">
        <is>
          <t>https://website-9ib.pages.dev/termek/sp-a3-807/</t>
        </is>
      </c>
      <c r="Q1778" s="12" t="inlineStr"/>
      <c r="R1778" s="13" t="inlineStr"/>
      <c r="S1778" s="6" t="inlineStr">
        <is>
          <t>sp-a3-807</t>
        </is>
      </c>
    </row>
    <row r="1779">
      <c r="A1779" s="6" t="inlineStr">
        <is>
          <t>A3 812</t>
        </is>
      </c>
      <c r="B1779" s="7" t="inlineStr">
        <is>
          <t>Kéderprofil A3 812 – fekete, 3,0-4,0 mm</t>
        </is>
      </c>
      <c r="C1779" s="6" t="inlineStr">
        <is>
          <t>Gumi- és kéderprofilok</t>
        </is>
      </c>
      <c r="D1779" s="6" t="inlineStr">
        <is>
          <t>Kéder- és ablakgumi profilok (Gista)</t>
        </is>
      </c>
      <c r="E1779" s="6" t="inlineStr">
        <is>
          <t>Sand-Profile</t>
        </is>
      </c>
      <c r="F1779" s="6" t="inlineStr">
        <is>
          <t>A3 812</t>
        </is>
      </c>
      <c r="G1779" s="6" t="inlineStr">
        <is>
          <t>Teljes kínálat</t>
        </is>
      </c>
      <c r="H1779" s="6" t="n">
        <v>1</v>
      </c>
      <c r="I1779" s="6" t="n">
        <v>3</v>
      </c>
      <c r="J1779" s="6" t="inlineStr">
        <is>
          <t>van</t>
        </is>
      </c>
      <c r="K1779" s="6">
        <f>IF(AND(H1779&gt;0,I1779&gt;0),"Rendben",IF(AND(H1779=0,I1779=0),"Nincs kép és adat",IF(H1779=0,"Nincs kép","Nincs adat")))</f>
        <v/>
      </c>
      <c r="L1779" s="6" t="inlineStr">
        <is>
          <t>Igen</t>
        </is>
      </c>
      <c r="M1779" s="7" t="inlineStr">
        <is>
          <t>Sand-Profile teljes kínálata (gyártói katalógus / weboldal)</t>
        </is>
      </c>
      <c r="N1779" s="7" t="inlineStr">
        <is>
          <t>Megtalálva: a beszállító teljes kínálatából felvett termék</t>
        </is>
      </c>
      <c r="O1779" s="11" t="inlineStr">
        <is>
          <t>https://www.sandprofile.com/media/gesamtkatalog_en.pdf#page=43</t>
        </is>
      </c>
      <c r="P1779" s="11" t="inlineStr">
        <is>
          <t>https://website-9ib.pages.dev/termek/sp-a3-812/</t>
        </is>
      </c>
      <c r="Q1779" s="12" t="inlineStr"/>
      <c r="R1779" s="13" t="inlineStr"/>
      <c r="S1779" s="6" t="inlineStr">
        <is>
          <t>sp-a3-812</t>
        </is>
      </c>
    </row>
    <row r="1780">
      <c r="A1780" s="6" t="inlineStr">
        <is>
          <t>A3 813</t>
        </is>
      </c>
      <c r="B1780" s="7" t="inlineStr">
        <is>
          <t>Kéderprofil A3 813 – fekete, 2,0-4,0 mm</t>
        </is>
      </c>
      <c r="C1780" s="6" t="inlineStr">
        <is>
          <t>Gumi- és kéderprofilok</t>
        </is>
      </c>
      <c r="D1780" s="6" t="inlineStr">
        <is>
          <t>Kéder- és ablakgumi profilok (Gista)</t>
        </is>
      </c>
      <c r="E1780" s="6" t="inlineStr">
        <is>
          <t>Sand-Profile</t>
        </is>
      </c>
      <c r="F1780" s="6" t="inlineStr">
        <is>
          <t>A3 813</t>
        </is>
      </c>
      <c r="G1780" s="6" t="inlineStr">
        <is>
          <t>Teljes kínálat</t>
        </is>
      </c>
      <c r="H1780" s="6" t="n">
        <v>1</v>
      </c>
      <c r="I1780" s="6" t="n">
        <v>3</v>
      </c>
      <c r="J1780" s="6" t="inlineStr">
        <is>
          <t>van</t>
        </is>
      </c>
      <c r="K1780" s="6">
        <f>IF(AND(H1780&gt;0,I1780&gt;0),"Rendben",IF(AND(H1780=0,I1780=0),"Nincs kép és adat",IF(H1780=0,"Nincs kép","Nincs adat")))</f>
        <v/>
      </c>
      <c r="L1780" s="6" t="inlineStr">
        <is>
          <t>Igen</t>
        </is>
      </c>
      <c r="M1780" s="7" t="inlineStr">
        <is>
          <t>Sand-Profile teljes kínálata (gyártói katalógus / weboldal)</t>
        </is>
      </c>
      <c r="N1780" s="7" t="inlineStr">
        <is>
          <t>Megtalálva: a beszállító teljes kínálatából felvett termék</t>
        </is>
      </c>
      <c r="O1780" s="11" t="inlineStr">
        <is>
          <t>https://www.sandprofile.com/media/gesamtkatalog_en.pdf#page=44</t>
        </is>
      </c>
      <c r="P1780" s="11" t="inlineStr">
        <is>
          <t>https://website-9ib.pages.dev/termek/sp-a3-813/</t>
        </is>
      </c>
      <c r="Q1780" s="12" t="inlineStr"/>
      <c r="R1780" s="13" t="inlineStr"/>
      <c r="S1780" s="6" t="inlineStr">
        <is>
          <t>sp-a3-813</t>
        </is>
      </c>
    </row>
    <row r="1781">
      <c r="A1781" s="6" t="inlineStr">
        <is>
          <t>A3 860</t>
        </is>
      </c>
      <c r="B1781" s="7" t="inlineStr">
        <is>
          <t>Kéderprofil A3 860 – fekete, 2,0-3,0 mm</t>
        </is>
      </c>
      <c r="C1781" s="6" t="inlineStr">
        <is>
          <t>Gumi- és kéderprofilok</t>
        </is>
      </c>
      <c r="D1781" s="6" t="inlineStr">
        <is>
          <t>Kéder- és ablakgumi profilok (Gista)</t>
        </is>
      </c>
      <c r="E1781" s="6" t="inlineStr">
        <is>
          <t>Sand-Profile</t>
        </is>
      </c>
      <c r="F1781" s="6" t="inlineStr">
        <is>
          <t>A3 860</t>
        </is>
      </c>
      <c r="G1781" s="6" t="inlineStr">
        <is>
          <t>Teljes kínálat</t>
        </is>
      </c>
      <c r="H1781" s="6" t="n">
        <v>1</v>
      </c>
      <c r="I1781" s="6" t="n">
        <v>3</v>
      </c>
      <c r="J1781" s="6" t="inlineStr">
        <is>
          <t>van</t>
        </is>
      </c>
      <c r="K1781" s="6">
        <f>IF(AND(H1781&gt;0,I1781&gt;0),"Rendben",IF(AND(H1781=0,I1781=0),"Nincs kép és adat",IF(H1781=0,"Nincs kép","Nincs adat")))</f>
        <v/>
      </c>
      <c r="L1781" s="6" t="inlineStr">
        <is>
          <t>Igen</t>
        </is>
      </c>
      <c r="M1781" s="7" t="inlineStr">
        <is>
          <t>Sand-Profile teljes kínálata (gyártói katalógus / weboldal)</t>
        </is>
      </c>
      <c r="N1781" s="7" t="inlineStr">
        <is>
          <t>Megtalálva: a beszállító teljes kínálatából felvett termék</t>
        </is>
      </c>
      <c r="O1781" s="11" t="inlineStr">
        <is>
          <t>https://www.sandprofile.com/media/gesamtkatalog_en.pdf#page=40</t>
        </is>
      </c>
      <c r="P1781" s="11" t="inlineStr">
        <is>
          <t>https://website-9ib.pages.dev/termek/sp-a3-860/</t>
        </is>
      </c>
      <c r="Q1781" s="12" t="inlineStr"/>
      <c r="R1781" s="13" t="inlineStr"/>
      <c r="S1781" s="6" t="inlineStr">
        <is>
          <t>sp-a3-860</t>
        </is>
      </c>
    </row>
    <row r="1782">
      <c r="A1782" s="6" t="inlineStr">
        <is>
          <t>A3 911</t>
        </is>
      </c>
      <c r="B1782" s="7" t="inlineStr">
        <is>
          <t>Kéderprofil A3 911 – fekete, 1,5 mm</t>
        </is>
      </c>
      <c r="C1782" s="6" t="inlineStr">
        <is>
          <t>Gumi- és kéderprofilok</t>
        </is>
      </c>
      <c r="D1782" s="6" t="inlineStr">
        <is>
          <t>Kéder- és ablakgumi profilok (Gista)</t>
        </is>
      </c>
      <c r="E1782" s="6" t="inlineStr">
        <is>
          <t>Sand-Profile</t>
        </is>
      </c>
      <c r="F1782" s="6" t="inlineStr">
        <is>
          <t>A3 911</t>
        </is>
      </c>
      <c r="G1782" s="6" t="inlineStr">
        <is>
          <t>Teljes kínálat</t>
        </is>
      </c>
      <c r="H1782" s="6" t="n">
        <v>1</v>
      </c>
      <c r="I1782" s="6" t="n">
        <v>3</v>
      </c>
      <c r="J1782" s="6" t="inlineStr">
        <is>
          <t>van</t>
        </is>
      </c>
      <c r="K1782" s="6">
        <f>IF(AND(H1782&gt;0,I1782&gt;0),"Rendben",IF(AND(H1782=0,I1782=0),"Nincs kép és adat",IF(H1782=0,"Nincs kép","Nincs adat")))</f>
        <v/>
      </c>
      <c r="L1782" s="6" t="inlineStr">
        <is>
          <t>Igen</t>
        </is>
      </c>
      <c r="M1782" s="7" t="inlineStr">
        <is>
          <t>Sand-Profile teljes kínálata (gyártói katalógus / weboldal)</t>
        </is>
      </c>
      <c r="N1782" s="7" t="inlineStr">
        <is>
          <t>Megtalálva: a beszállító teljes kínálatából felvett termék</t>
        </is>
      </c>
      <c r="O1782" s="11" t="inlineStr">
        <is>
          <t>https://www.sandprofile.com/media/gesamtkatalog_en.pdf#page=41</t>
        </is>
      </c>
      <c r="P1782" s="11" t="inlineStr">
        <is>
          <t>https://website-9ib.pages.dev/termek/sp-a3-911/</t>
        </is>
      </c>
      <c r="Q1782" s="12" t="inlineStr"/>
      <c r="R1782" s="13" t="inlineStr"/>
      <c r="S1782" s="6" t="inlineStr">
        <is>
          <t>sp-a3-911</t>
        </is>
      </c>
    </row>
    <row r="1783">
      <c r="A1783" s="6" t="inlineStr">
        <is>
          <t>A4 322</t>
        </is>
      </c>
      <c r="B1783" s="7" t="inlineStr">
        <is>
          <t>Kéderprofil A4 322 – fekete, 2,0-3,0 mm</t>
        </is>
      </c>
      <c r="C1783" s="6" t="inlineStr">
        <is>
          <t>Gumi- és kéderprofilok</t>
        </is>
      </c>
      <c r="D1783" s="6" t="inlineStr">
        <is>
          <t>Kéder- és ablakgumi profilok (Gista)</t>
        </is>
      </c>
      <c r="E1783" s="6" t="inlineStr">
        <is>
          <t>Sand-Profile</t>
        </is>
      </c>
      <c r="F1783" s="6" t="inlineStr">
        <is>
          <t>A4 322</t>
        </is>
      </c>
      <c r="G1783" s="6" t="inlineStr">
        <is>
          <t>Teljes kínálat</t>
        </is>
      </c>
      <c r="H1783" s="6" t="n">
        <v>1</v>
      </c>
      <c r="I1783" s="6" t="n">
        <v>3</v>
      </c>
      <c r="J1783" s="6" t="inlineStr">
        <is>
          <t>van</t>
        </is>
      </c>
      <c r="K1783" s="6">
        <f>IF(AND(H1783&gt;0,I1783&gt;0),"Rendben",IF(AND(H1783=0,I1783=0),"Nincs kép és adat",IF(H1783=0,"Nincs kép","Nincs adat")))</f>
        <v/>
      </c>
      <c r="L1783" s="6" t="inlineStr">
        <is>
          <t>Igen</t>
        </is>
      </c>
      <c r="M1783" s="7" t="inlineStr">
        <is>
          <t>Sand-Profile teljes kínálata (gyártói katalógus / weboldal)</t>
        </is>
      </c>
      <c r="N1783" s="7" t="inlineStr">
        <is>
          <t>Megtalálva: a beszállító teljes kínálatából felvett termék</t>
        </is>
      </c>
      <c r="O1783" s="11" t="inlineStr">
        <is>
          <t>https://www.sandprofile.com/media/gesamtkatalog_en.pdf#page=47</t>
        </is>
      </c>
      <c r="P1783" s="11" t="inlineStr">
        <is>
          <t>https://website-9ib.pages.dev/termek/sp-a4-322/</t>
        </is>
      </c>
      <c r="Q1783" s="12" t="inlineStr"/>
      <c r="R1783" s="13" t="inlineStr"/>
      <c r="S1783" s="6" t="inlineStr">
        <is>
          <t>sp-a4-322</t>
        </is>
      </c>
    </row>
    <row r="1784">
      <c r="A1784" s="6" t="inlineStr">
        <is>
          <t>A4 421</t>
        </is>
      </c>
      <c r="B1784" s="7" t="inlineStr">
        <is>
          <t>Kéderprofil A4 421 – fekete, 1,5-3,0 mm</t>
        </is>
      </c>
      <c r="C1784" s="6" t="inlineStr">
        <is>
          <t>Gumi- és kéderprofilok</t>
        </is>
      </c>
      <c r="D1784" s="6" t="inlineStr">
        <is>
          <t>Kéder- és ablakgumi profilok (Gista)</t>
        </is>
      </c>
      <c r="E1784" s="6" t="inlineStr">
        <is>
          <t>Sand-Profile</t>
        </is>
      </c>
      <c r="F1784" s="6" t="inlineStr">
        <is>
          <t>A4 421</t>
        </is>
      </c>
      <c r="G1784" s="6" t="inlineStr">
        <is>
          <t>Teljes kínálat</t>
        </is>
      </c>
      <c r="H1784" s="6" t="n">
        <v>1</v>
      </c>
      <c r="I1784" s="6" t="n">
        <v>3</v>
      </c>
      <c r="J1784" s="6" t="inlineStr">
        <is>
          <t>van</t>
        </is>
      </c>
      <c r="K1784" s="6">
        <f>IF(AND(H1784&gt;0,I1784&gt;0),"Rendben",IF(AND(H1784=0,I1784=0),"Nincs kép és adat",IF(H1784=0,"Nincs kép","Nincs adat")))</f>
        <v/>
      </c>
      <c r="L1784" s="6" t="inlineStr">
        <is>
          <t>Igen</t>
        </is>
      </c>
      <c r="M1784" s="7" t="inlineStr">
        <is>
          <t>Sand-Profile teljes kínálata (gyártói katalógus / weboldal)</t>
        </is>
      </c>
      <c r="N1784" s="7" t="inlineStr">
        <is>
          <t>Megtalálva: a beszállító teljes kínálatából felvett termék</t>
        </is>
      </c>
      <c r="O1784" s="11" t="inlineStr">
        <is>
          <t>https://www.sandprofile.com/media/gesamtkatalog_en.pdf#page=38</t>
        </is>
      </c>
      <c r="P1784" s="11" t="inlineStr">
        <is>
          <t>https://website-9ib.pages.dev/termek/sp-a4-421/</t>
        </is>
      </c>
      <c r="Q1784" s="12" t="inlineStr"/>
      <c r="R1784" s="13" t="inlineStr"/>
      <c r="S1784" s="6" t="inlineStr">
        <is>
          <t>sp-a4-421</t>
        </is>
      </c>
    </row>
    <row r="1785">
      <c r="A1785" s="6" t="inlineStr">
        <is>
          <t>A4 422</t>
        </is>
      </c>
      <c r="B1785" s="7" t="inlineStr">
        <is>
          <t>Kéderprofil A4 422 – fekete, 1,5-3,0 mm</t>
        </is>
      </c>
      <c r="C1785" s="6" t="inlineStr">
        <is>
          <t>Gumi- és kéderprofilok</t>
        </is>
      </c>
      <c r="D1785" s="6" t="inlineStr">
        <is>
          <t>Kéder- és ablakgumi profilok (Gista)</t>
        </is>
      </c>
      <c r="E1785" s="6" t="inlineStr">
        <is>
          <t>Sand-Profile</t>
        </is>
      </c>
      <c r="F1785" s="6" t="inlineStr">
        <is>
          <t>A4 422</t>
        </is>
      </c>
      <c r="G1785" s="6" t="inlineStr">
        <is>
          <t>Teljes kínálat</t>
        </is>
      </c>
      <c r="H1785" s="6" t="n">
        <v>1</v>
      </c>
      <c r="I1785" s="6" t="n">
        <v>3</v>
      </c>
      <c r="J1785" s="6" t="inlineStr">
        <is>
          <t>van</t>
        </is>
      </c>
      <c r="K1785" s="6">
        <f>IF(AND(H1785&gt;0,I1785&gt;0),"Rendben",IF(AND(H1785=0,I1785=0),"Nincs kép és adat",IF(H1785=0,"Nincs kép","Nincs adat")))</f>
        <v/>
      </c>
      <c r="L1785" s="6" t="inlineStr">
        <is>
          <t>Igen</t>
        </is>
      </c>
      <c r="M1785" s="7" t="inlineStr">
        <is>
          <t>Sand-Profile teljes kínálata (gyártói katalógus / weboldal)</t>
        </is>
      </c>
      <c r="N1785" s="7" t="inlineStr">
        <is>
          <t>Megtalálva: a beszállító teljes kínálatából felvett termék</t>
        </is>
      </c>
      <c r="O1785" s="11" t="inlineStr">
        <is>
          <t>https://www.sandprofile.com/media/gesamtkatalog_en.pdf#page=38</t>
        </is>
      </c>
      <c r="P1785" s="11" t="inlineStr">
        <is>
          <t>https://website-9ib.pages.dev/termek/sp-a4-422/</t>
        </is>
      </c>
      <c r="Q1785" s="12" t="inlineStr"/>
      <c r="R1785" s="13" t="inlineStr"/>
      <c r="S1785" s="6" t="inlineStr">
        <is>
          <t>sp-a4-422</t>
        </is>
      </c>
    </row>
    <row r="1786">
      <c r="A1786" s="6" t="inlineStr">
        <is>
          <t>A4 423</t>
        </is>
      </c>
      <c r="B1786" s="7" t="inlineStr">
        <is>
          <t>Kéderprofil A4 423 – fekete, 1,0-2,5 mm</t>
        </is>
      </c>
      <c r="C1786" s="6" t="inlineStr">
        <is>
          <t>Gumi- és kéderprofilok</t>
        </is>
      </c>
      <c r="D1786" s="6" t="inlineStr">
        <is>
          <t>Kéder- és ablakgumi profilok (Gista)</t>
        </is>
      </c>
      <c r="E1786" s="6" t="inlineStr">
        <is>
          <t>Sand-Profile</t>
        </is>
      </c>
      <c r="F1786" s="6" t="inlineStr">
        <is>
          <t>A4 423</t>
        </is>
      </c>
      <c r="G1786" s="6" t="inlineStr">
        <is>
          <t>Teljes kínálat</t>
        </is>
      </c>
      <c r="H1786" s="6" t="n">
        <v>1</v>
      </c>
      <c r="I1786" s="6" t="n">
        <v>3</v>
      </c>
      <c r="J1786" s="6" t="inlineStr">
        <is>
          <t>van</t>
        </is>
      </c>
      <c r="K1786" s="6">
        <f>IF(AND(H1786&gt;0,I1786&gt;0),"Rendben",IF(AND(H1786=0,I1786=0),"Nincs kép és adat",IF(H1786=0,"Nincs kép","Nincs adat")))</f>
        <v/>
      </c>
      <c r="L1786" s="6" t="inlineStr">
        <is>
          <t>Igen</t>
        </is>
      </c>
      <c r="M1786" s="7" t="inlineStr">
        <is>
          <t>Sand-Profile teljes kínálata (gyártói katalógus / weboldal)</t>
        </is>
      </c>
      <c r="N1786" s="7" t="inlineStr">
        <is>
          <t>Megtalálva: a beszállító teljes kínálatából felvett termék</t>
        </is>
      </c>
      <c r="O1786" s="11" t="inlineStr">
        <is>
          <t>https://www.sandprofile.com/media/gesamtkatalog_en.pdf#page=39</t>
        </is>
      </c>
      <c r="P1786" s="11" t="inlineStr">
        <is>
          <t>https://website-9ib.pages.dev/termek/sp-a4-423/</t>
        </is>
      </c>
      <c r="Q1786" s="12" t="inlineStr"/>
      <c r="R1786" s="13" t="inlineStr"/>
      <c r="S1786" s="6" t="inlineStr">
        <is>
          <t>sp-a4-423</t>
        </is>
      </c>
    </row>
    <row r="1787">
      <c r="A1787" s="6" t="inlineStr">
        <is>
          <t>A4 466-BU</t>
        </is>
      </c>
      <c r="B1787" s="7" t="inlineStr">
        <is>
          <t>Kéderprofil A4 466-BU – fekete, 2,0-4,0 mm</t>
        </is>
      </c>
      <c r="C1787" s="6" t="inlineStr">
        <is>
          <t>Gumi- és kéderprofilok</t>
        </is>
      </c>
      <c r="D1787" s="6" t="inlineStr">
        <is>
          <t>Kéder- és ablakgumi profilok (Gista)</t>
        </is>
      </c>
      <c r="E1787" s="6" t="inlineStr">
        <is>
          <t>Sand-Profile</t>
        </is>
      </c>
      <c r="F1787" s="6" t="inlineStr">
        <is>
          <t>A4 466-BU</t>
        </is>
      </c>
      <c r="G1787" s="6" t="inlineStr">
        <is>
          <t>Teljes kínálat</t>
        </is>
      </c>
      <c r="H1787" s="6" t="n">
        <v>1</v>
      </c>
      <c r="I1787" s="6" t="n">
        <v>3</v>
      </c>
      <c r="J1787" s="6" t="inlineStr">
        <is>
          <t>van</t>
        </is>
      </c>
      <c r="K1787" s="6">
        <f>IF(AND(H1787&gt;0,I1787&gt;0),"Rendben",IF(AND(H1787=0,I1787=0),"Nincs kép és adat",IF(H1787=0,"Nincs kép","Nincs adat")))</f>
        <v/>
      </c>
      <c r="L1787" s="6" t="inlineStr">
        <is>
          <t>Igen</t>
        </is>
      </c>
      <c r="M1787" s="7" t="inlineStr">
        <is>
          <t>Sand-Profile teljes kínálata (gyártói katalógus / weboldal)</t>
        </is>
      </c>
      <c r="N1787" s="7" t="inlineStr">
        <is>
          <t>Megtalálva: a beszállító teljes kínálatából felvett termék</t>
        </is>
      </c>
      <c r="O1787" s="11" t="inlineStr">
        <is>
          <t>https://www.sandprofile.com/media/gesamtkatalog_en.pdf#page=36</t>
        </is>
      </c>
      <c r="P1787" s="11" t="inlineStr">
        <is>
          <t>https://website-9ib.pages.dev/termek/sp-a4-466-bu/</t>
        </is>
      </c>
      <c r="Q1787" s="12" t="inlineStr"/>
      <c r="R1787" s="13" t="inlineStr"/>
      <c r="S1787" s="6" t="inlineStr">
        <is>
          <t>sp-a4-466-bu</t>
        </is>
      </c>
    </row>
    <row r="1788">
      <c r="A1788" s="6" t="inlineStr">
        <is>
          <t>A4 576</t>
        </is>
      </c>
      <c r="B1788" s="7" t="inlineStr">
        <is>
          <t>Kéderprofil A4 576 – fekete, 5,0-6,0 mm</t>
        </is>
      </c>
      <c r="C1788" s="6" t="inlineStr">
        <is>
          <t>Gumi- és kéderprofilok</t>
        </is>
      </c>
      <c r="D1788" s="6" t="inlineStr">
        <is>
          <t>Kéder- és ablakgumi profilok (Gista)</t>
        </is>
      </c>
      <c r="E1788" s="6" t="inlineStr">
        <is>
          <t>Sand-Profile</t>
        </is>
      </c>
      <c r="F1788" s="6" t="inlineStr">
        <is>
          <t>A4 576</t>
        </is>
      </c>
      <c r="G1788" s="6" t="inlineStr">
        <is>
          <t>Teljes kínálat</t>
        </is>
      </c>
      <c r="H1788" s="6" t="n">
        <v>1</v>
      </c>
      <c r="I1788" s="6" t="n">
        <v>3</v>
      </c>
      <c r="J1788" s="6" t="inlineStr">
        <is>
          <t>van</t>
        </is>
      </c>
      <c r="K1788" s="6">
        <f>IF(AND(H1788&gt;0,I1788&gt;0),"Rendben",IF(AND(H1788=0,I1788=0),"Nincs kép és adat",IF(H1788=0,"Nincs kép","Nincs adat")))</f>
        <v/>
      </c>
      <c r="L1788" s="6" t="inlineStr">
        <is>
          <t>Igen</t>
        </is>
      </c>
      <c r="M1788" s="7" t="inlineStr">
        <is>
          <t>Sand-Profile teljes kínálata (gyártói katalógus / weboldal)</t>
        </is>
      </c>
      <c r="N1788" s="7" t="inlineStr">
        <is>
          <t>Megtalálva: a beszállító teljes kínálatából felvett termék</t>
        </is>
      </c>
      <c r="O1788" s="11" t="inlineStr">
        <is>
          <t>https://www.sandprofile.com/media/gesamtkatalog_en.pdf#page=45</t>
        </is>
      </c>
      <c r="P1788" s="11" t="inlineStr">
        <is>
          <t>https://website-9ib.pages.dev/termek/sp-a4-576/</t>
        </is>
      </c>
      <c r="Q1788" s="12" t="inlineStr"/>
      <c r="R1788" s="13" t="inlineStr"/>
      <c r="S1788" s="6" t="inlineStr">
        <is>
          <t>sp-a4-576</t>
        </is>
      </c>
    </row>
    <row r="1789">
      <c r="A1789" s="6" t="inlineStr">
        <is>
          <t>A4 667-BU</t>
        </is>
      </c>
      <c r="B1789" s="7" t="inlineStr">
        <is>
          <t>Kéderprofil A4 667-BU – fekete, 3,0-4,0 mm</t>
        </is>
      </c>
      <c r="C1789" s="6" t="inlineStr">
        <is>
          <t>Gumi- és kéderprofilok</t>
        </is>
      </c>
      <c r="D1789" s="6" t="inlineStr">
        <is>
          <t>Kéder- és ablakgumi profilok (Gista)</t>
        </is>
      </c>
      <c r="E1789" s="6" t="inlineStr">
        <is>
          <t>Sand-Profile</t>
        </is>
      </c>
      <c r="F1789" s="6" t="inlineStr">
        <is>
          <t>A4 667-BU</t>
        </is>
      </c>
      <c r="G1789" s="6" t="inlineStr">
        <is>
          <t>Teljes kínálat</t>
        </is>
      </c>
      <c r="H1789" s="6" t="n">
        <v>1</v>
      </c>
      <c r="I1789" s="6" t="n">
        <v>3</v>
      </c>
      <c r="J1789" s="6" t="inlineStr">
        <is>
          <t>van</t>
        </is>
      </c>
      <c r="K1789" s="6">
        <f>IF(AND(H1789&gt;0,I1789&gt;0),"Rendben",IF(AND(H1789=0,I1789=0),"Nincs kép és adat",IF(H1789=0,"Nincs kép","Nincs adat")))</f>
        <v/>
      </c>
      <c r="L1789" s="6" t="inlineStr">
        <is>
          <t>Igen</t>
        </is>
      </c>
      <c r="M1789" s="7" t="inlineStr">
        <is>
          <t>Sand-Profile teljes kínálata (gyártói katalógus / weboldal)</t>
        </is>
      </c>
      <c r="N1789" s="7" t="inlineStr">
        <is>
          <t>Megtalálva: a beszállító teljes kínálatából felvett termék</t>
        </is>
      </c>
      <c r="O1789" s="11" t="inlineStr">
        <is>
          <t>https://www.sandprofile.com/media/gesamtkatalog_en.pdf#page=46</t>
        </is>
      </c>
      <c r="P1789" s="11" t="inlineStr">
        <is>
          <t>https://website-9ib.pages.dev/termek/sp-a4-667-bu/</t>
        </is>
      </c>
      <c r="Q1789" s="12" t="inlineStr"/>
      <c r="R1789" s="13" t="inlineStr"/>
      <c r="S1789" s="6" t="inlineStr">
        <is>
          <t>sp-a4-667-bu</t>
        </is>
      </c>
    </row>
    <row r="1790">
      <c r="A1790" s="6" t="inlineStr">
        <is>
          <t>A4 713</t>
        </is>
      </c>
      <c r="B1790" s="7" t="inlineStr">
        <is>
          <t>Kéderprofil A4 713 – fekete, 5,0-6,0 mm</t>
        </is>
      </c>
      <c r="C1790" s="6" t="inlineStr">
        <is>
          <t>Gumi- és kéderprofilok</t>
        </is>
      </c>
      <c r="D1790" s="6" t="inlineStr">
        <is>
          <t>Kéder- és ablakgumi profilok (Gista)</t>
        </is>
      </c>
      <c r="E1790" s="6" t="inlineStr">
        <is>
          <t>Sand-Profile</t>
        </is>
      </c>
      <c r="F1790" s="6" t="inlineStr">
        <is>
          <t>A4 713</t>
        </is>
      </c>
      <c r="G1790" s="6" t="inlineStr">
        <is>
          <t>Teljes kínálat</t>
        </is>
      </c>
      <c r="H1790" s="6" t="n">
        <v>1</v>
      </c>
      <c r="I1790" s="6" t="n">
        <v>3</v>
      </c>
      <c r="J1790" s="6" t="inlineStr">
        <is>
          <t>van</t>
        </is>
      </c>
      <c r="K1790" s="6">
        <f>IF(AND(H1790&gt;0,I1790&gt;0),"Rendben",IF(AND(H1790=0,I1790=0),"Nincs kép és adat",IF(H1790=0,"Nincs kép","Nincs adat")))</f>
        <v/>
      </c>
      <c r="L1790" s="6" t="inlineStr">
        <is>
          <t>Igen</t>
        </is>
      </c>
      <c r="M1790" s="7" t="inlineStr">
        <is>
          <t>Sand-Profile teljes kínálata (gyártói katalógus / weboldal)</t>
        </is>
      </c>
      <c r="N1790" s="7" t="inlineStr">
        <is>
          <t>Megtalálva: a beszállító teljes kínálatából felvett termék</t>
        </is>
      </c>
      <c r="O1790" s="11" t="inlineStr">
        <is>
          <t>https://www.sandprofile.com/media/gesamtkatalog_en.pdf#page=42</t>
        </is>
      </c>
      <c r="P1790" s="11" t="inlineStr">
        <is>
          <t>https://website-9ib.pages.dev/termek/sp-a4-713/</t>
        </is>
      </c>
      <c r="Q1790" s="12" t="inlineStr"/>
      <c r="R1790" s="13" t="inlineStr"/>
      <c r="S1790" s="6" t="inlineStr">
        <is>
          <t>sp-a4-713</t>
        </is>
      </c>
    </row>
    <row r="1791">
      <c r="A1791" s="6" t="inlineStr">
        <is>
          <t>A4 714</t>
        </is>
      </c>
      <c r="B1791" s="7" t="inlineStr">
        <is>
          <t>Kéderprofil A4 714 – fekete, 4,0-5,0 mm</t>
        </is>
      </c>
      <c r="C1791" s="6" t="inlineStr">
        <is>
          <t>Gumi- és kéderprofilok</t>
        </is>
      </c>
      <c r="D1791" s="6" t="inlineStr">
        <is>
          <t>Kéder- és ablakgumi profilok (Gista)</t>
        </is>
      </c>
      <c r="E1791" s="6" t="inlineStr">
        <is>
          <t>Sand-Profile</t>
        </is>
      </c>
      <c r="F1791" s="6" t="inlineStr">
        <is>
          <t>A4 714</t>
        </is>
      </c>
      <c r="G1791" s="6" t="inlineStr">
        <is>
          <t>Teljes kínálat</t>
        </is>
      </c>
      <c r="H1791" s="6" t="n">
        <v>1</v>
      </c>
      <c r="I1791" s="6" t="n">
        <v>3</v>
      </c>
      <c r="J1791" s="6" t="inlineStr">
        <is>
          <t>van</t>
        </is>
      </c>
      <c r="K1791" s="6">
        <f>IF(AND(H1791&gt;0,I1791&gt;0),"Rendben",IF(AND(H1791=0,I1791=0),"Nincs kép és adat",IF(H1791=0,"Nincs kép","Nincs adat")))</f>
        <v/>
      </c>
      <c r="L1791" s="6" t="inlineStr">
        <is>
          <t>Igen</t>
        </is>
      </c>
      <c r="M1791" s="7" t="inlineStr">
        <is>
          <t>Sand-Profile teljes kínálata (gyártói katalógus / weboldal)</t>
        </is>
      </c>
      <c r="N1791" s="7" t="inlineStr">
        <is>
          <t>Megtalálva: a beszállító teljes kínálatából felvett termék</t>
        </is>
      </c>
      <c r="O1791" s="11" t="inlineStr">
        <is>
          <t>https://www.sandprofile.com/media/gesamtkatalog_en.pdf#page=46</t>
        </is>
      </c>
      <c r="P1791" s="11" t="inlineStr">
        <is>
          <t>https://website-9ib.pages.dev/termek/sp-a4-714/</t>
        </is>
      </c>
      <c r="Q1791" s="12" t="inlineStr"/>
      <c r="R1791" s="13" t="inlineStr"/>
      <c r="S1791" s="6" t="inlineStr">
        <is>
          <t>sp-a4-714</t>
        </is>
      </c>
    </row>
    <row r="1792">
      <c r="A1792" s="6" t="inlineStr">
        <is>
          <t>A4 718-BU</t>
        </is>
      </c>
      <c r="B1792" s="7" t="inlineStr">
        <is>
          <t>Kéderprofil A4 718-BU – fekete, 4,0-5,0 mm</t>
        </is>
      </c>
      <c r="C1792" s="6" t="inlineStr">
        <is>
          <t>Gumi- és kéderprofilok</t>
        </is>
      </c>
      <c r="D1792" s="6" t="inlineStr">
        <is>
          <t>Kéder- és ablakgumi profilok (Gista)</t>
        </is>
      </c>
      <c r="E1792" s="6" t="inlineStr">
        <is>
          <t>Sand-Profile</t>
        </is>
      </c>
      <c r="F1792" s="6" t="inlineStr">
        <is>
          <t>A4 718-BU</t>
        </is>
      </c>
      <c r="G1792" s="6" t="inlineStr">
        <is>
          <t>Teljes kínálat</t>
        </is>
      </c>
      <c r="H1792" s="6" t="n">
        <v>1</v>
      </c>
      <c r="I1792" s="6" t="n">
        <v>3</v>
      </c>
      <c r="J1792" s="6" t="inlineStr">
        <is>
          <t>van</t>
        </is>
      </c>
      <c r="K1792" s="6">
        <f>IF(AND(H1792&gt;0,I1792&gt;0),"Rendben",IF(AND(H1792=0,I1792=0),"Nincs kép és adat",IF(H1792=0,"Nincs kép","Nincs adat")))</f>
        <v/>
      </c>
      <c r="L1792" s="6" t="inlineStr">
        <is>
          <t>Igen</t>
        </is>
      </c>
      <c r="M1792" s="7" t="inlineStr">
        <is>
          <t>Sand-Profile teljes kínálata (gyártói katalógus / weboldal)</t>
        </is>
      </c>
      <c r="N1792" s="7" t="inlineStr">
        <is>
          <t>Megtalálva: a beszállító teljes kínálatából felvett termék</t>
        </is>
      </c>
      <c r="O1792" s="11" t="inlineStr">
        <is>
          <t>https://www.sandprofile.com/media/gesamtkatalog_en.pdf#page=46</t>
        </is>
      </c>
      <c r="P1792" s="11" t="inlineStr">
        <is>
          <t>https://website-9ib.pages.dev/termek/sp-a4-718-bu/</t>
        </is>
      </c>
      <c r="Q1792" s="12" t="inlineStr"/>
      <c r="R1792" s="13" t="inlineStr"/>
      <c r="S1792" s="6" t="inlineStr">
        <is>
          <t>sp-a4-718-bu</t>
        </is>
      </c>
    </row>
    <row r="1793">
      <c r="A1793" s="6" t="inlineStr">
        <is>
          <t>A4 803</t>
        </is>
      </c>
      <c r="B1793" s="7" t="inlineStr">
        <is>
          <t>Kéderprofil A4 803 – fekete, 5,0-6,0 mm</t>
        </is>
      </c>
      <c r="C1793" s="6" t="inlineStr">
        <is>
          <t>Gumi- és kéderprofilok</t>
        </is>
      </c>
      <c r="D1793" s="6" t="inlineStr">
        <is>
          <t>Kéder- és ablakgumi profilok (Gista)</t>
        </is>
      </c>
      <c r="E1793" s="6" t="inlineStr">
        <is>
          <t>Sand-Profile</t>
        </is>
      </c>
      <c r="F1793" s="6" t="inlineStr">
        <is>
          <t>A4 803</t>
        </is>
      </c>
      <c r="G1793" s="6" t="inlineStr">
        <is>
          <t>Teljes kínálat</t>
        </is>
      </c>
      <c r="H1793" s="6" t="n">
        <v>1</v>
      </c>
      <c r="I1793" s="6" t="n">
        <v>3</v>
      </c>
      <c r="J1793" s="6" t="inlineStr">
        <is>
          <t>van</t>
        </is>
      </c>
      <c r="K1793" s="6">
        <f>IF(AND(H1793&gt;0,I1793&gt;0),"Rendben",IF(AND(H1793=0,I1793=0),"Nincs kép és adat",IF(H1793=0,"Nincs kép","Nincs adat")))</f>
        <v/>
      </c>
      <c r="L1793" s="6" t="inlineStr">
        <is>
          <t>Igen</t>
        </is>
      </c>
      <c r="M1793" s="7" t="inlineStr">
        <is>
          <t>Sand-Profile teljes kínálata (gyártói katalógus / weboldal)</t>
        </is>
      </c>
      <c r="N1793" s="7" t="inlineStr">
        <is>
          <t>Megtalálva: a beszállító teljes kínálatából felvett termék</t>
        </is>
      </c>
      <c r="O1793" s="11" t="inlineStr">
        <is>
          <t>https://www.sandprofile.com/media/gesamtkatalog_en.pdf#page=42</t>
        </is>
      </c>
      <c r="P1793" s="11" t="inlineStr">
        <is>
          <t>https://website-9ib.pages.dev/termek/sp-a4-803/</t>
        </is>
      </c>
      <c r="Q1793" s="12" t="inlineStr"/>
      <c r="R1793" s="13" t="inlineStr"/>
      <c r="S1793" s="6" t="inlineStr">
        <is>
          <t>sp-a4-803</t>
        </is>
      </c>
    </row>
    <row r="1794">
      <c r="A1794" s="6" t="inlineStr">
        <is>
          <t>A4 807</t>
        </is>
      </c>
      <c r="B1794" s="7" t="inlineStr">
        <is>
          <t>Kéderprofil A4 807 – fekete, 3,0-4,0 mm</t>
        </is>
      </c>
      <c r="C1794" s="6" t="inlineStr">
        <is>
          <t>Gumi- és kéderprofilok</t>
        </is>
      </c>
      <c r="D1794" s="6" t="inlineStr">
        <is>
          <t>Kéder- és ablakgumi profilok (Gista)</t>
        </is>
      </c>
      <c r="E1794" s="6" t="inlineStr">
        <is>
          <t>Sand-Profile</t>
        </is>
      </c>
      <c r="F1794" s="6" t="inlineStr">
        <is>
          <t>A4 807</t>
        </is>
      </c>
      <c r="G1794" s="6" t="inlineStr">
        <is>
          <t>Teljes kínálat</t>
        </is>
      </c>
      <c r="H1794" s="6" t="n">
        <v>1</v>
      </c>
      <c r="I1794" s="6" t="n">
        <v>3</v>
      </c>
      <c r="J1794" s="6" t="inlineStr">
        <is>
          <t>van</t>
        </is>
      </c>
      <c r="K1794" s="6">
        <f>IF(AND(H1794&gt;0,I1794&gt;0),"Rendben",IF(AND(H1794=0,I1794=0),"Nincs kép és adat",IF(H1794=0,"Nincs kép","Nincs adat")))</f>
        <v/>
      </c>
      <c r="L1794" s="6" t="inlineStr">
        <is>
          <t>Igen</t>
        </is>
      </c>
      <c r="M1794" s="7" t="inlineStr">
        <is>
          <t>Sand-Profile teljes kínálata (gyártói katalógus / weboldal)</t>
        </is>
      </c>
      <c r="N1794" s="7" t="inlineStr">
        <is>
          <t>Megtalálva: a beszállító teljes kínálatából felvett termék</t>
        </is>
      </c>
      <c r="O1794" s="11" t="inlineStr">
        <is>
          <t>https://www.sandprofile.com/media/gesamtkatalog_en.pdf#page=39</t>
        </is>
      </c>
      <c r="P1794" s="11" t="inlineStr">
        <is>
          <t>https://website-9ib.pages.dev/termek/sp-a4-807/</t>
        </is>
      </c>
      <c r="Q1794" s="12" t="inlineStr"/>
      <c r="R1794" s="13" t="inlineStr"/>
      <c r="S1794" s="6" t="inlineStr">
        <is>
          <t>sp-a4-807</t>
        </is>
      </c>
    </row>
    <row r="1795">
      <c r="A1795" s="6" t="inlineStr">
        <is>
          <t>A4 844-BU</t>
        </is>
      </c>
      <c r="B1795" s="7" t="inlineStr">
        <is>
          <t>Kéderprofil A4 844-BU – fekete, 5,0 mm</t>
        </is>
      </c>
      <c r="C1795" s="6" t="inlineStr">
        <is>
          <t>Gumi- és kéderprofilok</t>
        </is>
      </c>
      <c r="D1795" s="6" t="inlineStr">
        <is>
          <t>Kéder- és ablakgumi profilok (Gista)</t>
        </is>
      </c>
      <c r="E1795" s="6" t="inlineStr">
        <is>
          <t>Sand-Profile</t>
        </is>
      </c>
      <c r="F1795" s="6" t="inlineStr">
        <is>
          <t>A4 844-BU</t>
        </is>
      </c>
      <c r="G1795" s="6" t="inlineStr">
        <is>
          <t>Teljes kínálat</t>
        </is>
      </c>
      <c r="H1795" s="6" t="n">
        <v>1</v>
      </c>
      <c r="I1795" s="6" t="n">
        <v>3</v>
      </c>
      <c r="J1795" s="6" t="inlineStr">
        <is>
          <t>van</t>
        </is>
      </c>
      <c r="K1795" s="6">
        <f>IF(AND(H1795&gt;0,I1795&gt;0),"Rendben",IF(AND(H1795=0,I1795=0),"Nincs kép és adat",IF(H1795=0,"Nincs kép","Nincs adat")))</f>
        <v/>
      </c>
      <c r="L1795" s="6" t="inlineStr">
        <is>
          <t>Igen</t>
        </is>
      </c>
      <c r="M1795" s="7" t="inlineStr">
        <is>
          <t>Sand-Profile teljes kínálata (gyártói katalógus / weboldal)</t>
        </is>
      </c>
      <c r="N1795" s="7" t="inlineStr">
        <is>
          <t>Megtalálva: a beszállító teljes kínálatából felvett termék</t>
        </is>
      </c>
      <c r="O1795" s="11" t="inlineStr">
        <is>
          <t>https://www.sandprofile.com/media/gesamtkatalog_en.pdf#page=44</t>
        </is>
      </c>
      <c r="P1795" s="11" t="inlineStr">
        <is>
          <t>https://website-9ib.pages.dev/termek/sp-a4-844-bu/</t>
        </is>
      </c>
      <c r="Q1795" s="12" t="inlineStr"/>
      <c r="R1795" s="13" t="inlineStr"/>
      <c r="S1795" s="6" t="inlineStr">
        <is>
          <t>sp-a4-844-bu</t>
        </is>
      </c>
    </row>
    <row r="1796">
      <c r="A1796" s="6" t="inlineStr">
        <is>
          <t>A4 949</t>
        </is>
      </c>
      <c r="B1796" s="7" t="inlineStr">
        <is>
          <t>Kéderprofil A4 949 – fekete, 5,0 mm</t>
        </is>
      </c>
      <c r="C1796" s="6" t="inlineStr">
        <is>
          <t>Gumi- és kéderprofilok</t>
        </is>
      </c>
      <c r="D1796" s="6" t="inlineStr">
        <is>
          <t>Kéder- és ablakgumi profilok (Gista)</t>
        </is>
      </c>
      <c r="E1796" s="6" t="inlineStr">
        <is>
          <t>Sand-Profile</t>
        </is>
      </c>
      <c r="F1796" s="6" t="inlineStr">
        <is>
          <t>A4 949</t>
        </is>
      </c>
      <c r="G1796" s="6" t="inlineStr">
        <is>
          <t>Teljes kínálat</t>
        </is>
      </c>
      <c r="H1796" s="6" t="n">
        <v>1</v>
      </c>
      <c r="I1796" s="6" t="n">
        <v>3</v>
      </c>
      <c r="J1796" s="6" t="inlineStr">
        <is>
          <t>van</t>
        </is>
      </c>
      <c r="K1796" s="6">
        <f>IF(AND(H1796&gt;0,I1796&gt;0),"Rendben",IF(AND(H1796=0,I1796=0),"Nincs kép és adat",IF(H1796=0,"Nincs kép","Nincs adat")))</f>
        <v/>
      </c>
      <c r="L1796" s="6" t="inlineStr">
        <is>
          <t>Igen</t>
        </is>
      </c>
      <c r="M1796" s="7" t="inlineStr">
        <is>
          <t>Sand-Profile teljes kínálata (gyártói katalógus / weboldal)</t>
        </is>
      </c>
      <c r="N1796" s="7" t="inlineStr">
        <is>
          <t>Megtalálva: a beszállító teljes kínálatából felvett termék</t>
        </is>
      </c>
      <c r="O1796" s="11" t="inlineStr">
        <is>
          <t>https://www.sandprofile.com/media/gesamtkatalog_en.pdf#page=46</t>
        </is>
      </c>
      <c r="P1796" s="11" t="inlineStr">
        <is>
          <t>https://website-9ib.pages.dev/termek/sp-a4-949/</t>
        </is>
      </c>
      <c r="Q1796" s="12" t="inlineStr"/>
      <c r="R1796" s="13" t="inlineStr"/>
      <c r="S1796" s="6" t="inlineStr">
        <is>
          <t>sp-a4-949</t>
        </is>
      </c>
    </row>
    <row r="1797">
      <c r="A1797" s="6" t="inlineStr">
        <is>
          <t>B1 102</t>
        </is>
      </c>
      <c r="B1797" s="7" t="inlineStr">
        <is>
          <t>Kéderprofil B1 102</t>
        </is>
      </c>
      <c r="C1797" s="6" t="inlineStr">
        <is>
          <t>Gumi- és kéderprofilok</t>
        </is>
      </c>
      <c r="D1797" s="6" t="inlineStr">
        <is>
          <t>Kéder- és ablakgumi profilok (Gista)</t>
        </is>
      </c>
      <c r="E1797" s="6" t="inlineStr">
        <is>
          <t>Sand-Profile</t>
        </is>
      </c>
      <c r="F1797" s="6" t="inlineStr">
        <is>
          <t>B1 102</t>
        </is>
      </c>
      <c r="G1797" s="6" t="inlineStr">
        <is>
          <t>Teljes kínálat</t>
        </is>
      </c>
      <c r="H1797" s="6" t="n">
        <v>0</v>
      </c>
      <c r="I1797" s="6" t="n">
        <v>1</v>
      </c>
      <c r="J1797" s="6" t="inlineStr">
        <is>
          <t>van</t>
        </is>
      </c>
      <c r="K1797" s="6">
        <f>IF(AND(H1797&gt;0,I1797&gt;0),"Rendben",IF(AND(H1797=0,I1797=0),"Nincs kép és adat",IF(H1797=0,"Nincs kép","Nincs adat")))</f>
        <v/>
      </c>
      <c r="L1797" s="6" t="inlineStr">
        <is>
          <t>Igen</t>
        </is>
      </c>
      <c r="M1797" s="7" t="inlineStr">
        <is>
          <t>Sand-Profile teljes kínálata (gyártói katalógus / weboldal)</t>
        </is>
      </c>
      <c r="N1797" s="7" t="inlineStr">
        <is>
          <t>Megtalálva: a beszállító teljes kínálatából felvett termék</t>
        </is>
      </c>
      <c r="O1797" s="11" t="inlineStr">
        <is>
          <t>https://www.sandprofile.com/media/gesamtkatalog_en.pdf#page=52</t>
        </is>
      </c>
      <c r="P1797" s="11" t="inlineStr">
        <is>
          <t>https://website-9ib.pages.dev/termek/sp-b1-102/</t>
        </is>
      </c>
      <c r="Q1797" s="12" t="inlineStr"/>
      <c r="R1797" s="13" t="inlineStr"/>
      <c r="S1797" s="6" t="inlineStr">
        <is>
          <t>sp-b1-102</t>
        </is>
      </c>
    </row>
    <row r="1798">
      <c r="A1798" s="6" t="inlineStr">
        <is>
          <t>B1 103</t>
        </is>
      </c>
      <c r="B1798" s="7" t="inlineStr">
        <is>
          <t>Kéderprofil B1 103</t>
        </is>
      </c>
      <c r="C1798" s="6" t="inlineStr">
        <is>
          <t>Gumi- és kéderprofilok</t>
        </is>
      </c>
      <c r="D1798" s="6" t="inlineStr">
        <is>
          <t>Kéder- és ablakgumi profilok (Gista)</t>
        </is>
      </c>
      <c r="E1798" s="6" t="inlineStr">
        <is>
          <t>Sand-Profile</t>
        </is>
      </c>
      <c r="F1798" s="6" t="inlineStr">
        <is>
          <t>B1 103</t>
        </is>
      </c>
      <c r="G1798" s="6" t="inlineStr">
        <is>
          <t>Teljes kínálat</t>
        </is>
      </c>
      <c r="H1798" s="6" t="n">
        <v>0</v>
      </c>
      <c r="I1798" s="6" t="n">
        <v>1</v>
      </c>
      <c r="J1798" s="6" t="inlineStr">
        <is>
          <t>van</t>
        </is>
      </c>
      <c r="K1798" s="6">
        <f>IF(AND(H1798&gt;0,I1798&gt;0),"Rendben",IF(AND(H1798=0,I1798=0),"Nincs kép és adat",IF(H1798=0,"Nincs kép","Nincs adat")))</f>
        <v/>
      </c>
      <c r="L1798" s="6" t="inlineStr">
        <is>
          <t>Igen</t>
        </is>
      </c>
      <c r="M1798" s="7" t="inlineStr">
        <is>
          <t>Sand-Profile teljes kínálata (gyártói katalógus / weboldal)</t>
        </is>
      </c>
      <c r="N1798" s="7" t="inlineStr">
        <is>
          <t>Megtalálva: a beszállító teljes kínálatából felvett termék</t>
        </is>
      </c>
      <c r="O1798" s="11" t="inlineStr">
        <is>
          <t>https://www.sandprofile.com/media/gesamtkatalog_en.pdf#page=52</t>
        </is>
      </c>
      <c r="P1798" s="11" t="inlineStr">
        <is>
          <t>https://website-9ib.pages.dev/termek/sp-b1-103/</t>
        </is>
      </c>
      <c r="Q1798" s="12" t="inlineStr"/>
      <c r="R1798" s="13" t="inlineStr"/>
      <c r="S1798" s="6" t="inlineStr">
        <is>
          <t>sp-b1-103</t>
        </is>
      </c>
    </row>
    <row r="1799">
      <c r="A1799" s="6" t="inlineStr">
        <is>
          <t>B1 104</t>
        </is>
      </c>
      <c r="B1799" s="7" t="inlineStr">
        <is>
          <t>Kéderprofil B1 104</t>
        </is>
      </c>
      <c r="C1799" s="6" t="inlineStr">
        <is>
          <t>Gumi- és kéderprofilok</t>
        </is>
      </c>
      <c r="D1799" s="6" t="inlineStr">
        <is>
          <t>Kéder- és ablakgumi profilok (Gista)</t>
        </is>
      </c>
      <c r="E1799" s="6" t="inlineStr">
        <is>
          <t>Sand-Profile</t>
        </is>
      </c>
      <c r="F1799" s="6" t="inlineStr">
        <is>
          <t>B1 104</t>
        </is>
      </c>
      <c r="G1799" s="6" t="inlineStr">
        <is>
          <t>Teljes kínálat</t>
        </is>
      </c>
      <c r="H1799" s="6" t="n">
        <v>0</v>
      </c>
      <c r="I1799" s="6" t="n">
        <v>1</v>
      </c>
      <c r="J1799" s="6" t="inlineStr">
        <is>
          <t>van</t>
        </is>
      </c>
      <c r="K1799" s="6">
        <f>IF(AND(H1799&gt;0,I1799&gt;0),"Rendben",IF(AND(H1799=0,I1799=0),"Nincs kép és adat",IF(H1799=0,"Nincs kép","Nincs adat")))</f>
        <v/>
      </c>
      <c r="L1799" s="6" t="inlineStr">
        <is>
          <t>Igen</t>
        </is>
      </c>
      <c r="M1799" s="7" t="inlineStr">
        <is>
          <t>Sand-Profile teljes kínálata (gyártói katalógus / weboldal)</t>
        </is>
      </c>
      <c r="N1799" s="7" t="inlineStr">
        <is>
          <t>Megtalálva: a beszállító teljes kínálatából felvett termék</t>
        </is>
      </c>
      <c r="O1799" s="11" t="inlineStr">
        <is>
          <t>https://www.sandprofile.com/media/gesamtkatalog_en.pdf#page=52</t>
        </is>
      </c>
      <c r="P1799" s="11" t="inlineStr">
        <is>
          <t>https://website-9ib.pages.dev/termek/sp-b1-104/</t>
        </is>
      </c>
      <c r="Q1799" s="12" t="inlineStr"/>
      <c r="R1799" s="13" t="inlineStr"/>
      <c r="S1799" s="6" t="inlineStr">
        <is>
          <t>sp-b1-104</t>
        </is>
      </c>
    </row>
    <row r="1800">
      <c r="A1800" s="6" t="inlineStr">
        <is>
          <t>B1 106</t>
        </is>
      </c>
      <c r="B1800" s="7" t="inlineStr">
        <is>
          <t>Kéderprofil B1 106</t>
        </is>
      </c>
      <c r="C1800" s="6" t="inlineStr">
        <is>
          <t>Gumi- és kéderprofilok</t>
        </is>
      </c>
      <c r="D1800" s="6" t="inlineStr">
        <is>
          <t>Kéder- és ablakgumi profilok (Gista)</t>
        </is>
      </c>
      <c r="E1800" s="6" t="inlineStr">
        <is>
          <t>Sand-Profile</t>
        </is>
      </c>
      <c r="F1800" s="6" t="inlineStr">
        <is>
          <t>B1 106</t>
        </is>
      </c>
      <c r="G1800" s="6" t="inlineStr">
        <is>
          <t>Teljes kínálat</t>
        </is>
      </c>
      <c r="H1800" s="6" t="n">
        <v>0</v>
      </c>
      <c r="I1800" s="6" t="n">
        <v>1</v>
      </c>
      <c r="J1800" s="6" t="inlineStr">
        <is>
          <t>van</t>
        </is>
      </c>
      <c r="K1800" s="6">
        <f>IF(AND(H1800&gt;0,I1800&gt;0),"Rendben",IF(AND(H1800=0,I1800=0),"Nincs kép és adat",IF(H1800=0,"Nincs kép","Nincs adat")))</f>
        <v/>
      </c>
      <c r="L1800" s="6" t="inlineStr">
        <is>
          <t>Igen</t>
        </is>
      </c>
      <c r="M1800" s="7" t="inlineStr">
        <is>
          <t>Sand-Profile teljes kínálata (gyártói katalógus / weboldal)</t>
        </is>
      </c>
      <c r="N1800" s="7" t="inlineStr">
        <is>
          <t>Megtalálva: a beszállító teljes kínálatából felvett termék</t>
        </is>
      </c>
      <c r="O1800" s="11" t="inlineStr">
        <is>
          <t>https://www.sandprofile.com/media/gesamtkatalog_en.pdf#page=52</t>
        </is>
      </c>
      <c r="P1800" s="11" t="inlineStr">
        <is>
          <t>https://website-9ib.pages.dev/termek/sp-b1-106/</t>
        </is>
      </c>
      <c r="Q1800" s="12" t="inlineStr"/>
      <c r="R1800" s="13" t="inlineStr"/>
      <c r="S1800" s="6" t="inlineStr">
        <is>
          <t>sp-b1-106</t>
        </is>
      </c>
    </row>
    <row r="1801">
      <c r="A1801" s="6" t="inlineStr">
        <is>
          <t>B1 107</t>
        </is>
      </c>
      <c r="B1801" s="7" t="inlineStr">
        <is>
          <t>Kéderprofil B1 107</t>
        </is>
      </c>
      <c r="C1801" s="6" t="inlineStr">
        <is>
          <t>Gumi- és kéderprofilok</t>
        </is>
      </c>
      <c r="D1801" s="6" t="inlineStr">
        <is>
          <t>Kéder- és ablakgumi profilok (Gista)</t>
        </is>
      </c>
      <c r="E1801" s="6" t="inlineStr">
        <is>
          <t>Sand-Profile</t>
        </is>
      </c>
      <c r="F1801" s="6" t="inlineStr">
        <is>
          <t>B1 107</t>
        </is>
      </c>
      <c r="G1801" s="6" t="inlineStr">
        <is>
          <t>Teljes kínálat</t>
        </is>
      </c>
      <c r="H1801" s="6" t="n">
        <v>0</v>
      </c>
      <c r="I1801" s="6" t="n">
        <v>1</v>
      </c>
      <c r="J1801" s="6" t="inlineStr">
        <is>
          <t>van</t>
        </is>
      </c>
      <c r="K1801" s="6">
        <f>IF(AND(H1801&gt;0,I1801&gt;0),"Rendben",IF(AND(H1801=0,I1801=0),"Nincs kép és adat",IF(H1801=0,"Nincs kép","Nincs adat")))</f>
        <v/>
      </c>
      <c r="L1801" s="6" t="inlineStr">
        <is>
          <t>Igen</t>
        </is>
      </c>
      <c r="M1801" s="7" t="inlineStr">
        <is>
          <t>Sand-Profile teljes kínálata (gyártói katalógus / weboldal)</t>
        </is>
      </c>
      <c r="N1801" s="7" t="inlineStr">
        <is>
          <t>Megtalálva: a beszállító teljes kínálatából felvett termék</t>
        </is>
      </c>
      <c r="O1801" s="11" t="inlineStr">
        <is>
          <t>https://www.sandprofile.com/media/gesamtkatalog_en.pdf#page=52</t>
        </is>
      </c>
      <c r="P1801" s="11" t="inlineStr">
        <is>
          <t>https://website-9ib.pages.dev/termek/sp-b1-107/</t>
        </is>
      </c>
      <c r="Q1801" s="12" t="inlineStr"/>
      <c r="R1801" s="13" t="inlineStr"/>
      <c r="S1801" s="6" t="inlineStr">
        <is>
          <t>sp-b1-107</t>
        </is>
      </c>
    </row>
    <row r="1802">
      <c r="A1802" s="6" t="inlineStr">
        <is>
          <t>B1 108</t>
        </is>
      </c>
      <c r="B1802" s="7" t="inlineStr">
        <is>
          <t>Kéderprofil B1 108</t>
        </is>
      </c>
      <c r="C1802" s="6" t="inlineStr">
        <is>
          <t>Gumi- és kéderprofilok</t>
        </is>
      </c>
      <c r="D1802" s="6" t="inlineStr">
        <is>
          <t>Kéder- és ablakgumi profilok (Gista)</t>
        </is>
      </c>
      <c r="E1802" s="6" t="inlineStr">
        <is>
          <t>Sand-Profile</t>
        </is>
      </c>
      <c r="F1802" s="6" t="inlineStr">
        <is>
          <t>B1 108</t>
        </is>
      </c>
      <c r="G1802" s="6" t="inlineStr">
        <is>
          <t>Teljes kínálat</t>
        </is>
      </c>
      <c r="H1802" s="6" t="n">
        <v>0</v>
      </c>
      <c r="I1802" s="6" t="n">
        <v>1</v>
      </c>
      <c r="J1802" s="6" t="inlineStr">
        <is>
          <t>van</t>
        </is>
      </c>
      <c r="K1802" s="6">
        <f>IF(AND(H1802&gt;0,I1802&gt;0),"Rendben",IF(AND(H1802=0,I1802=0),"Nincs kép és adat",IF(H1802=0,"Nincs kép","Nincs adat")))</f>
        <v/>
      </c>
      <c r="L1802" s="6" t="inlineStr">
        <is>
          <t>Igen</t>
        </is>
      </c>
      <c r="M1802" s="7" t="inlineStr">
        <is>
          <t>Sand-Profile teljes kínálata (gyártói katalógus / weboldal)</t>
        </is>
      </c>
      <c r="N1802" s="7" t="inlineStr">
        <is>
          <t>Megtalálva: a beszállító teljes kínálatából felvett termék</t>
        </is>
      </c>
      <c r="O1802" s="11" t="inlineStr">
        <is>
          <t>https://www.sandprofile.com/media/gesamtkatalog_en.pdf#page=52</t>
        </is>
      </c>
      <c r="P1802" s="11" t="inlineStr">
        <is>
          <t>https://website-9ib.pages.dev/termek/sp-b1-108/</t>
        </is>
      </c>
      <c r="Q1802" s="12" t="inlineStr"/>
      <c r="R1802" s="13" t="inlineStr"/>
      <c r="S1802" s="6" t="inlineStr">
        <is>
          <t>sp-b1-108</t>
        </is>
      </c>
    </row>
    <row r="1803">
      <c r="A1803" s="6" t="inlineStr">
        <is>
          <t>B1 110</t>
        </is>
      </c>
      <c r="B1803" s="7" t="inlineStr">
        <is>
          <t>Kéderprofil B1 110</t>
        </is>
      </c>
      <c r="C1803" s="6" t="inlineStr">
        <is>
          <t>Gumi- és kéderprofilok</t>
        </is>
      </c>
      <c r="D1803" s="6" t="inlineStr">
        <is>
          <t>Kéder- és ablakgumi profilok (Gista)</t>
        </is>
      </c>
      <c r="E1803" s="6" t="inlineStr">
        <is>
          <t>Sand-Profile</t>
        </is>
      </c>
      <c r="F1803" s="6" t="inlineStr">
        <is>
          <t>B1 110</t>
        </is>
      </c>
      <c r="G1803" s="6" t="inlineStr">
        <is>
          <t>Teljes kínálat</t>
        </is>
      </c>
      <c r="H1803" s="6" t="n">
        <v>0</v>
      </c>
      <c r="I1803" s="6" t="n">
        <v>1</v>
      </c>
      <c r="J1803" s="6" t="inlineStr">
        <is>
          <t>van</t>
        </is>
      </c>
      <c r="K1803" s="6">
        <f>IF(AND(H1803&gt;0,I1803&gt;0),"Rendben",IF(AND(H1803=0,I1803=0),"Nincs kép és adat",IF(H1803=0,"Nincs kép","Nincs adat")))</f>
        <v/>
      </c>
      <c r="L1803" s="6" t="inlineStr">
        <is>
          <t>Igen</t>
        </is>
      </c>
      <c r="M1803" s="7" t="inlineStr">
        <is>
          <t>Sand-Profile teljes kínálata (gyártói katalógus / weboldal)</t>
        </is>
      </c>
      <c r="N1803" s="7" t="inlineStr">
        <is>
          <t>Megtalálva: a beszállító teljes kínálatából felvett termék</t>
        </is>
      </c>
      <c r="O1803" s="11" t="inlineStr">
        <is>
          <t>https://www.sandprofile.com/media/gesamtkatalog_en.pdf#page=52</t>
        </is>
      </c>
      <c r="P1803" s="11" t="inlineStr">
        <is>
          <t>https://website-9ib.pages.dev/termek/sp-b1-110/</t>
        </is>
      </c>
      <c r="Q1803" s="12" t="inlineStr"/>
      <c r="R1803" s="13" t="inlineStr"/>
      <c r="S1803" s="6" t="inlineStr">
        <is>
          <t>sp-b1-110</t>
        </is>
      </c>
    </row>
    <row r="1804">
      <c r="A1804" s="6" t="inlineStr">
        <is>
          <t>B1 112</t>
        </is>
      </c>
      <c r="B1804" s="7" t="inlineStr">
        <is>
          <t>Kéderprofil B1 112</t>
        </is>
      </c>
      <c r="C1804" s="6" t="inlineStr">
        <is>
          <t>Gumi- és kéderprofilok</t>
        </is>
      </c>
      <c r="D1804" s="6" t="inlineStr">
        <is>
          <t>Kéder- és ablakgumi profilok (Gista)</t>
        </is>
      </c>
      <c r="E1804" s="6" t="inlineStr">
        <is>
          <t>Sand-Profile</t>
        </is>
      </c>
      <c r="F1804" s="6" t="inlineStr">
        <is>
          <t>B1 112</t>
        </is>
      </c>
      <c r="G1804" s="6" t="inlineStr">
        <is>
          <t>Teljes kínálat</t>
        </is>
      </c>
      <c r="H1804" s="6" t="n">
        <v>0</v>
      </c>
      <c r="I1804" s="6" t="n">
        <v>1</v>
      </c>
      <c r="J1804" s="6" t="inlineStr">
        <is>
          <t>van</t>
        </is>
      </c>
      <c r="K1804" s="6">
        <f>IF(AND(H1804&gt;0,I1804&gt;0),"Rendben",IF(AND(H1804=0,I1804=0),"Nincs kép és adat",IF(H1804=0,"Nincs kép","Nincs adat")))</f>
        <v/>
      </c>
      <c r="L1804" s="6" t="inlineStr">
        <is>
          <t>Igen</t>
        </is>
      </c>
      <c r="M1804" s="7" t="inlineStr">
        <is>
          <t>Sand-Profile teljes kínálata (gyártói katalógus / weboldal)</t>
        </is>
      </c>
      <c r="N1804" s="7" t="inlineStr">
        <is>
          <t>Megtalálva: a beszállító teljes kínálatából felvett termék</t>
        </is>
      </c>
      <c r="O1804" s="11" t="inlineStr">
        <is>
          <t>https://www.sandprofile.com/media/gesamtkatalog_en.pdf#page=52</t>
        </is>
      </c>
      <c r="P1804" s="11" t="inlineStr">
        <is>
          <t>https://website-9ib.pages.dev/termek/sp-b1-112/</t>
        </is>
      </c>
      <c r="Q1804" s="12" t="inlineStr"/>
      <c r="R1804" s="13" t="inlineStr"/>
      <c r="S1804" s="6" t="inlineStr">
        <is>
          <t>sp-b1-112</t>
        </is>
      </c>
    </row>
    <row r="1805">
      <c r="A1805" s="6" t="inlineStr">
        <is>
          <t>B1 113</t>
        </is>
      </c>
      <c r="B1805" s="7" t="inlineStr">
        <is>
          <t>Kéderprofil B1 113</t>
        </is>
      </c>
      <c r="C1805" s="6" t="inlineStr">
        <is>
          <t>Gumi- és kéderprofilok</t>
        </is>
      </c>
      <c r="D1805" s="6" t="inlineStr">
        <is>
          <t>Kéder- és ablakgumi profilok (Gista)</t>
        </is>
      </c>
      <c r="E1805" s="6" t="inlineStr">
        <is>
          <t>Sand-Profile</t>
        </is>
      </c>
      <c r="F1805" s="6" t="inlineStr">
        <is>
          <t>B1 113</t>
        </is>
      </c>
      <c r="G1805" s="6" t="inlineStr">
        <is>
          <t>Teljes kínálat</t>
        </is>
      </c>
      <c r="H1805" s="6" t="n">
        <v>0</v>
      </c>
      <c r="I1805" s="6" t="n">
        <v>1</v>
      </c>
      <c r="J1805" s="6" t="inlineStr">
        <is>
          <t>van</t>
        </is>
      </c>
      <c r="K1805" s="6">
        <f>IF(AND(H1805&gt;0,I1805&gt;0),"Rendben",IF(AND(H1805=0,I1805=0),"Nincs kép és adat",IF(H1805=0,"Nincs kép","Nincs adat")))</f>
        <v/>
      </c>
      <c r="L1805" s="6" t="inlineStr">
        <is>
          <t>Igen</t>
        </is>
      </c>
      <c r="M1805" s="7" t="inlineStr">
        <is>
          <t>Sand-Profile teljes kínálata (gyártói katalógus / weboldal)</t>
        </is>
      </c>
      <c r="N1805" s="7" t="inlineStr">
        <is>
          <t>Megtalálva: a beszállító teljes kínálatából felvett termék</t>
        </is>
      </c>
      <c r="O1805" s="11" t="inlineStr">
        <is>
          <t>https://www.sandprofile.com/media/gesamtkatalog_en.pdf#page=52</t>
        </is>
      </c>
      <c r="P1805" s="11" t="inlineStr">
        <is>
          <t>https://website-9ib.pages.dev/termek/sp-b1-113/</t>
        </is>
      </c>
      <c r="Q1805" s="12" t="inlineStr"/>
      <c r="R1805" s="13" t="inlineStr"/>
      <c r="S1805" s="6" t="inlineStr">
        <is>
          <t>sp-b1-113</t>
        </is>
      </c>
    </row>
    <row r="1806">
      <c r="A1806" s="6" t="inlineStr">
        <is>
          <t>B1 114</t>
        </is>
      </c>
      <c r="B1806" s="7" t="inlineStr">
        <is>
          <t>Kéderprofil B1 114</t>
        </is>
      </c>
      <c r="C1806" s="6" t="inlineStr">
        <is>
          <t>Gumi- és kéderprofilok</t>
        </is>
      </c>
      <c r="D1806" s="6" t="inlineStr">
        <is>
          <t>Kéder- és ablakgumi profilok (Gista)</t>
        </is>
      </c>
      <c r="E1806" s="6" t="inlineStr">
        <is>
          <t>Sand-Profile</t>
        </is>
      </c>
      <c r="F1806" s="6" t="inlineStr">
        <is>
          <t>B1 114</t>
        </is>
      </c>
      <c r="G1806" s="6" t="inlineStr">
        <is>
          <t>Teljes kínálat</t>
        </is>
      </c>
      <c r="H1806" s="6" t="n">
        <v>0</v>
      </c>
      <c r="I1806" s="6" t="n">
        <v>1</v>
      </c>
      <c r="J1806" s="6" t="inlineStr">
        <is>
          <t>van</t>
        </is>
      </c>
      <c r="K1806" s="6">
        <f>IF(AND(H1806&gt;0,I1806&gt;0),"Rendben",IF(AND(H1806=0,I1806=0),"Nincs kép és adat",IF(H1806=0,"Nincs kép","Nincs adat")))</f>
        <v/>
      </c>
      <c r="L1806" s="6" t="inlineStr">
        <is>
          <t>Igen</t>
        </is>
      </c>
      <c r="M1806" s="7" t="inlineStr">
        <is>
          <t>Sand-Profile teljes kínálata (gyártói katalógus / weboldal)</t>
        </is>
      </c>
      <c r="N1806" s="7" t="inlineStr">
        <is>
          <t>Megtalálva: a beszállító teljes kínálatából felvett termék</t>
        </is>
      </c>
      <c r="O1806" s="11" t="inlineStr">
        <is>
          <t>https://www.sandprofile.com/media/gesamtkatalog_en.pdf#page=52</t>
        </is>
      </c>
      <c r="P1806" s="11" t="inlineStr">
        <is>
          <t>https://website-9ib.pages.dev/termek/sp-b1-114/</t>
        </is>
      </c>
      <c r="Q1806" s="12" t="inlineStr"/>
      <c r="R1806" s="13" t="inlineStr"/>
      <c r="S1806" s="6" t="inlineStr">
        <is>
          <t>sp-b1-114</t>
        </is>
      </c>
    </row>
    <row r="1807">
      <c r="A1807" s="6" t="inlineStr">
        <is>
          <t>B1 115</t>
        </is>
      </c>
      <c r="B1807" s="7" t="inlineStr">
        <is>
          <t>Kéderprofil B1 115</t>
        </is>
      </c>
      <c r="C1807" s="6" t="inlineStr">
        <is>
          <t>Gumi- és kéderprofilok</t>
        </is>
      </c>
      <c r="D1807" s="6" t="inlineStr">
        <is>
          <t>Kéder- és ablakgumi profilok (Gista)</t>
        </is>
      </c>
      <c r="E1807" s="6" t="inlineStr">
        <is>
          <t>Sand-Profile</t>
        </is>
      </c>
      <c r="F1807" s="6" t="inlineStr">
        <is>
          <t>B1 115</t>
        </is>
      </c>
      <c r="G1807" s="6" t="inlineStr">
        <is>
          <t>Teljes kínálat</t>
        </is>
      </c>
      <c r="H1807" s="6" t="n">
        <v>0</v>
      </c>
      <c r="I1807" s="6" t="n">
        <v>1</v>
      </c>
      <c r="J1807" s="6" t="inlineStr">
        <is>
          <t>van</t>
        </is>
      </c>
      <c r="K1807" s="6">
        <f>IF(AND(H1807&gt;0,I1807&gt;0),"Rendben",IF(AND(H1807=0,I1807=0),"Nincs kép és adat",IF(H1807=0,"Nincs kép","Nincs adat")))</f>
        <v/>
      </c>
      <c r="L1807" s="6" t="inlineStr">
        <is>
          <t>Igen</t>
        </is>
      </c>
      <c r="M1807" s="7" t="inlineStr">
        <is>
          <t>Sand-Profile teljes kínálata (gyártói katalógus / weboldal)</t>
        </is>
      </c>
      <c r="N1807" s="7" t="inlineStr">
        <is>
          <t>Megtalálva: a beszállító teljes kínálatából felvett termék</t>
        </is>
      </c>
      <c r="O1807" s="11" t="inlineStr">
        <is>
          <t>https://www.sandprofile.com/media/gesamtkatalog_en.pdf#page=52</t>
        </is>
      </c>
      <c r="P1807" s="11" t="inlineStr">
        <is>
          <t>https://website-9ib.pages.dev/termek/sp-b1-115/</t>
        </is>
      </c>
      <c r="Q1807" s="12" t="inlineStr"/>
      <c r="R1807" s="13" t="inlineStr"/>
      <c r="S1807" s="6" t="inlineStr">
        <is>
          <t>sp-b1-115</t>
        </is>
      </c>
    </row>
    <row r="1808">
      <c r="A1808" s="6" t="inlineStr">
        <is>
          <t>B1 118</t>
        </is>
      </c>
      <c r="B1808" s="7" t="inlineStr">
        <is>
          <t>Kéderprofil B1 118</t>
        </is>
      </c>
      <c r="C1808" s="6" t="inlineStr">
        <is>
          <t>Gumi- és kéderprofilok</t>
        </is>
      </c>
      <c r="D1808" s="6" t="inlineStr">
        <is>
          <t>Kéder- és ablakgumi profilok (Gista)</t>
        </is>
      </c>
      <c r="E1808" s="6" t="inlineStr">
        <is>
          <t>Sand-Profile</t>
        </is>
      </c>
      <c r="F1808" s="6" t="inlineStr">
        <is>
          <t>B1 118</t>
        </is>
      </c>
      <c r="G1808" s="6" t="inlineStr">
        <is>
          <t>Teljes kínálat</t>
        </is>
      </c>
      <c r="H1808" s="6" t="n">
        <v>0</v>
      </c>
      <c r="I1808" s="6" t="n">
        <v>1</v>
      </c>
      <c r="J1808" s="6" t="inlineStr">
        <is>
          <t>van</t>
        </is>
      </c>
      <c r="K1808" s="6">
        <f>IF(AND(H1808&gt;0,I1808&gt;0),"Rendben",IF(AND(H1808=0,I1808=0),"Nincs kép és adat",IF(H1808=0,"Nincs kép","Nincs adat")))</f>
        <v/>
      </c>
      <c r="L1808" s="6" t="inlineStr">
        <is>
          <t>Igen</t>
        </is>
      </c>
      <c r="M1808" s="7" t="inlineStr">
        <is>
          <t>Sand-Profile teljes kínálata (gyártói katalógus / weboldal)</t>
        </is>
      </c>
      <c r="N1808" s="7" t="inlineStr">
        <is>
          <t>Megtalálva: a beszállító teljes kínálatából felvett termék</t>
        </is>
      </c>
      <c r="O1808" s="11" t="inlineStr">
        <is>
          <t>https://www.sandprofile.com/media/gesamtkatalog_en.pdf#page=52</t>
        </is>
      </c>
      <c r="P1808" s="11" t="inlineStr">
        <is>
          <t>https://website-9ib.pages.dev/termek/sp-b1-118/</t>
        </is>
      </c>
      <c r="Q1808" s="12" t="inlineStr"/>
      <c r="R1808" s="13" t="inlineStr"/>
      <c r="S1808" s="6" t="inlineStr">
        <is>
          <t>sp-b1-118</t>
        </is>
      </c>
    </row>
    <row r="1809">
      <c r="A1809" s="6" t="inlineStr">
        <is>
          <t>B1 119</t>
        </is>
      </c>
      <c r="B1809" s="7" t="inlineStr">
        <is>
          <t>Kéderprofil B1 119</t>
        </is>
      </c>
      <c r="C1809" s="6" t="inlineStr">
        <is>
          <t>Gumi- és kéderprofilok</t>
        </is>
      </c>
      <c r="D1809" s="6" t="inlineStr">
        <is>
          <t>Kéder- és ablakgumi profilok (Gista)</t>
        </is>
      </c>
      <c r="E1809" s="6" t="inlineStr">
        <is>
          <t>Sand-Profile</t>
        </is>
      </c>
      <c r="F1809" s="6" t="inlineStr">
        <is>
          <t>B1 119</t>
        </is>
      </c>
      <c r="G1809" s="6" t="inlineStr">
        <is>
          <t>Teljes kínálat</t>
        </is>
      </c>
      <c r="H1809" s="6" t="n">
        <v>0</v>
      </c>
      <c r="I1809" s="6" t="n">
        <v>1</v>
      </c>
      <c r="J1809" s="6" t="inlineStr">
        <is>
          <t>van</t>
        </is>
      </c>
      <c r="K1809" s="6">
        <f>IF(AND(H1809&gt;0,I1809&gt;0),"Rendben",IF(AND(H1809=0,I1809=0),"Nincs kép és adat",IF(H1809=0,"Nincs kép","Nincs adat")))</f>
        <v/>
      </c>
      <c r="L1809" s="6" t="inlineStr">
        <is>
          <t>Igen</t>
        </is>
      </c>
      <c r="M1809" s="7" t="inlineStr">
        <is>
          <t>Sand-Profile teljes kínálata (gyártói katalógus / weboldal)</t>
        </is>
      </c>
      <c r="N1809" s="7" t="inlineStr">
        <is>
          <t>Megtalálva: a beszállító teljes kínálatából felvett termék</t>
        </is>
      </c>
      <c r="O1809" s="11" t="inlineStr">
        <is>
          <t>https://www.sandprofile.com/media/gesamtkatalog_en.pdf#page=52</t>
        </is>
      </c>
      <c r="P1809" s="11" t="inlineStr">
        <is>
          <t>https://website-9ib.pages.dev/termek/sp-b1-119/</t>
        </is>
      </c>
      <c r="Q1809" s="12" t="inlineStr"/>
      <c r="R1809" s="13" t="inlineStr"/>
      <c r="S1809" s="6" t="inlineStr">
        <is>
          <t>sp-b1-119</t>
        </is>
      </c>
    </row>
    <row r="1810">
      <c r="A1810" s="6" t="inlineStr">
        <is>
          <t>B1 120</t>
        </is>
      </c>
      <c r="B1810" s="7" t="inlineStr">
        <is>
          <t>Kéderprofil B1 120</t>
        </is>
      </c>
      <c r="C1810" s="6" t="inlineStr">
        <is>
          <t>Gumi- és kéderprofilok</t>
        </is>
      </c>
      <c r="D1810" s="6" t="inlineStr">
        <is>
          <t>Kéder- és ablakgumi profilok (Gista)</t>
        </is>
      </c>
      <c r="E1810" s="6" t="inlineStr">
        <is>
          <t>Sand-Profile</t>
        </is>
      </c>
      <c r="F1810" s="6" t="inlineStr">
        <is>
          <t>B1 120</t>
        </is>
      </c>
      <c r="G1810" s="6" t="inlineStr">
        <is>
          <t>Teljes kínálat</t>
        </is>
      </c>
      <c r="H1810" s="6" t="n">
        <v>0</v>
      </c>
      <c r="I1810" s="6" t="n">
        <v>1</v>
      </c>
      <c r="J1810" s="6" t="inlineStr">
        <is>
          <t>van</t>
        </is>
      </c>
      <c r="K1810" s="6">
        <f>IF(AND(H1810&gt;0,I1810&gt;0),"Rendben",IF(AND(H1810=0,I1810=0),"Nincs kép és adat",IF(H1810=0,"Nincs kép","Nincs adat")))</f>
        <v/>
      </c>
      <c r="L1810" s="6" t="inlineStr">
        <is>
          <t>Igen</t>
        </is>
      </c>
      <c r="M1810" s="7" t="inlineStr">
        <is>
          <t>Sand-Profile teljes kínálata (gyártói katalógus / weboldal)</t>
        </is>
      </c>
      <c r="N1810" s="7" t="inlineStr">
        <is>
          <t>Megtalálva: a beszállító teljes kínálatából felvett termék</t>
        </is>
      </c>
      <c r="O1810" s="11" t="inlineStr">
        <is>
          <t>https://www.sandprofile.com/media/gesamtkatalog_en.pdf#page=52</t>
        </is>
      </c>
      <c r="P1810" s="11" t="inlineStr">
        <is>
          <t>https://website-9ib.pages.dev/termek/sp-b1-120/</t>
        </is>
      </c>
      <c r="Q1810" s="12" t="inlineStr"/>
      <c r="R1810" s="13" t="inlineStr"/>
      <c r="S1810" s="6" t="inlineStr">
        <is>
          <t>sp-b1-120</t>
        </is>
      </c>
    </row>
    <row r="1811">
      <c r="A1811" s="6" t="inlineStr">
        <is>
          <t>B1 121</t>
        </is>
      </c>
      <c r="B1811" s="7" t="inlineStr">
        <is>
          <t>Kéderprofil B1 121</t>
        </is>
      </c>
      <c r="C1811" s="6" t="inlineStr">
        <is>
          <t>Gumi- és kéderprofilok</t>
        </is>
      </c>
      <c r="D1811" s="6" t="inlineStr">
        <is>
          <t>Kéder- és ablakgumi profilok (Gista)</t>
        </is>
      </c>
      <c r="E1811" s="6" t="inlineStr">
        <is>
          <t>Sand-Profile</t>
        </is>
      </c>
      <c r="F1811" s="6" t="inlineStr">
        <is>
          <t>B1 121</t>
        </is>
      </c>
      <c r="G1811" s="6" t="inlineStr">
        <is>
          <t>Teljes kínálat</t>
        </is>
      </c>
      <c r="H1811" s="6" t="n">
        <v>0</v>
      </c>
      <c r="I1811" s="6" t="n">
        <v>1</v>
      </c>
      <c r="J1811" s="6" t="inlineStr">
        <is>
          <t>van</t>
        </is>
      </c>
      <c r="K1811" s="6">
        <f>IF(AND(H1811&gt;0,I1811&gt;0),"Rendben",IF(AND(H1811=0,I1811=0),"Nincs kép és adat",IF(H1811=0,"Nincs kép","Nincs adat")))</f>
        <v/>
      </c>
      <c r="L1811" s="6" t="inlineStr">
        <is>
          <t>Igen</t>
        </is>
      </c>
      <c r="M1811" s="7" t="inlineStr">
        <is>
          <t>Sand-Profile teljes kínálata (gyártói katalógus / weboldal)</t>
        </is>
      </c>
      <c r="N1811" s="7" t="inlineStr">
        <is>
          <t>Megtalálva: a beszállító teljes kínálatából felvett termék</t>
        </is>
      </c>
      <c r="O1811" s="11" t="inlineStr">
        <is>
          <t>https://www.sandprofile.com/media/gesamtkatalog_en.pdf#page=52</t>
        </is>
      </c>
      <c r="P1811" s="11" t="inlineStr">
        <is>
          <t>https://website-9ib.pages.dev/termek/sp-b1-121/</t>
        </is>
      </c>
      <c r="Q1811" s="12" t="inlineStr"/>
      <c r="R1811" s="13" t="inlineStr"/>
      <c r="S1811" s="6" t="inlineStr">
        <is>
          <t>sp-b1-121</t>
        </is>
      </c>
    </row>
    <row r="1812">
      <c r="A1812" s="6" t="inlineStr">
        <is>
          <t>B1 122</t>
        </is>
      </c>
      <c r="B1812" s="7" t="inlineStr">
        <is>
          <t>Kéderprofil B1 122</t>
        </is>
      </c>
      <c r="C1812" s="6" t="inlineStr">
        <is>
          <t>Gumi- és kéderprofilok</t>
        </is>
      </c>
      <c r="D1812" s="6" t="inlineStr">
        <is>
          <t>Kéder- és ablakgumi profilok (Gista)</t>
        </is>
      </c>
      <c r="E1812" s="6" t="inlineStr">
        <is>
          <t>Sand-Profile</t>
        </is>
      </c>
      <c r="F1812" s="6" t="inlineStr">
        <is>
          <t>B1 122</t>
        </is>
      </c>
      <c r="G1812" s="6" t="inlineStr">
        <is>
          <t>Teljes kínálat</t>
        </is>
      </c>
      <c r="H1812" s="6" t="n">
        <v>0</v>
      </c>
      <c r="I1812" s="6" t="n">
        <v>1</v>
      </c>
      <c r="J1812" s="6" t="inlineStr">
        <is>
          <t>van</t>
        </is>
      </c>
      <c r="K1812" s="6">
        <f>IF(AND(H1812&gt;0,I1812&gt;0),"Rendben",IF(AND(H1812=0,I1812=0),"Nincs kép és adat",IF(H1812=0,"Nincs kép","Nincs adat")))</f>
        <v/>
      </c>
      <c r="L1812" s="6" t="inlineStr">
        <is>
          <t>Igen</t>
        </is>
      </c>
      <c r="M1812" s="7" t="inlineStr">
        <is>
          <t>Sand-Profile teljes kínálata (gyártói katalógus / weboldal)</t>
        </is>
      </c>
      <c r="N1812" s="7" t="inlineStr">
        <is>
          <t>Megtalálva: a beszállító teljes kínálatából felvett termék</t>
        </is>
      </c>
      <c r="O1812" s="11" t="inlineStr">
        <is>
          <t>https://www.sandprofile.com/media/gesamtkatalog_en.pdf#page=52</t>
        </is>
      </c>
      <c r="P1812" s="11" t="inlineStr">
        <is>
          <t>https://website-9ib.pages.dev/termek/sp-b1-122/</t>
        </is>
      </c>
      <c r="Q1812" s="12" t="inlineStr"/>
      <c r="R1812" s="13" t="inlineStr"/>
      <c r="S1812" s="6" t="inlineStr">
        <is>
          <t>sp-b1-122</t>
        </is>
      </c>
    </row>
    <row r="1813">
      <c r="A1813" s="6" t="inlineStr">
        <is>
          <t>B1 123</t>
        </is>
      </c>
      <c r="B1813" s="7" t="inlineStr">
        <is>
          <t>Kéderprofil B1 123</t>
        </is>
      </c>
      <c r="C1813" s="6" t="inlineStr">
        <is>
          <t>Gumi- és kéderprofilok</t>
        </is>
      </c>
      <c r="D1813" s="6" t="inlineStr">
        <is>
          <t>Kéder- és ablakgumi profilok (Gista)</t>
        </is>
      </c>
      <c r="E1813" s="6" t="inlineStr">
        <is>
          <t>Sand-Profile</t>
        </is>
      </c>
      <c r="F1813" s="6" t="inlineStr">
        <is>
          <t>B1 123</t>
        </is>
      </c>
      <c r="G1813" s="6" t="inlineStr">
        <is>
          <t>Teljes kínálat</t>
        </is>
      </c>
      <c r="H1813" s="6" t="n">
        <v>0</v>
      </c>
      <c r="I1813" s="6" t="n">
        <v>1</v>
      </c>
      <c r="J1813" s="6" t="inlineStr">
        <is>
          <t>van</t>
        </is>
      </c>
      <c r="K1813" s="6">
        <f>IF(AND(H1813&gt;0,I1813&gt;0),"Rendben",IF(AND(H1813=0,I1813=0),"Nincs kép és adat",IF(H1813=0,"Nincs kép","Nincs adat")))</f>
        <v/>
      </c>
      <c r="L1813" s="6" t="inlineStr">
        <is>
          <t>Igen</t>
        </is>
      </c>
      <c r="M1813" s="7" t="inlineStr">
        <is>
          <t>Sand-Profile teljes kínálata (gyártói katalógus / weboldal)</t>
        </is>
      </c>
      <c r="N1813" s="7" t="inlineStr">
        <is>
          <t>Megtalálva: a beszállító teljes kínálatából felvett termék</t>
        </is>
      </c>
      <c r="O1813" s="11" t="inlineStr">
        <is>
          <t>https://www.sandprofile.com/media/gesamtkatalog_en.pdf#page=52</t>
        </is>
      </c>
      <c r="P1813" s="11" t="inlineStr">
        <is>
          <t>https://website-9ib.pages.dev/termek/sp-b1-123/</t>
        </is>
      </c>
      <c r="Q1813" s="12" t="inlineStr"/>
      <c r="R1813" s="13" t="inlineStr"/>
      <c r="S1813" s="6" t="inlineStr">
        <is>
          <t>sp-b1-123</t>
        </is>
      </c>
    </row>
    <row r="1814">
      <c r="A1814" s="6" t="inlineStr">
        <is>
          <t>B1 124</t>
        </is>
      </c>
      <c r="B1814" s="7" t="inlineStr">
        <is>
          <t>Kéderprofil B1 124</t>
        </is>
      </c>
      <c r="C1814" s="6" t="inlineStr">
        <is>
          <t>Gumi- és kéderprofilok</t>
        </is>
      </c>
      <c r="D1814" s="6" t="inlineStr">
        <is>
          <t>Kéder- és ablakgumi profilok (Gista)</t>
        </is>
      </c>
      <c r="E1814" s="6" t="inlineStr">
        <is>
          <t>Sand-Profile</t>
        </is>
      </c>
      <c r="F1814" s="6" t="inlineStr">
        <is>
          <t>B1 124</t>
        </is>
      </c>
      <c r="G1814" s="6" t="inlineStr">
        <is>
          <t>Teljes kínálat</t>
        </is>
      </c>
      <c r="H1814" s="6" t="n">
        <v>0</v>
      </c>
      <c r="I1814" s="6" t="n">
        <v>1</v>
      </c>
      <c r="J1814" s="6" t="inlineStr">
        <is>
          <t>van</t>
        </is>
      </c>
      <c r="K1814" s="6">
        <f>IF(AND(H1814&gt;0,I1814&gt;0),"Rendben",IF(AND(H1814=0,I1814=0),"Nincs kép és adat",IF(H1814=0,"Nincs kép","Nincs adat")))</f>
        <v/>
      </c>
      <c r="L1814" s="6" t="inlineStr">
        <is>
          <t>Igen</t>
        </is>
      </c>
      <c r="M1814" s="7" t="inlineStr">
        <is>
          <t>Sand-Profile teljes kínálata (gyártói katalógus / weboldal)</t>
        </is>
      </c>
      <c r="N1814" s="7" t="inlineStr">
        <is>
          <t>Megtalálva: a beszállító teljes kínálatából felvett termék</t>
        </is>
      </c>
      <c r="O1814" s="11" t="inlineStr">
        <is>
          <t>https://www.sandprofile.com/media/gesamtkatalog_en.pdf#page=52</t>
        </is>
      </c>
      <c r="P1814" s="11" t="inlineStr">
        <is>
          <t>https://website-9ib.pages.dev/termek/sp-b1-124/</t>
        </is>
      </c>
      <c r="Q1814" s="12" t="inlineStr"/>
      <c r="R1814" s="13" t="inlineStr"/>
      <c r="S1814" s="6" t="inlineStr">
        <is>
          <t>sp-b1-124</t>
        </is>
      </c>
    </row>
    <row r="1815">
      <c r="A1815" s="6" t="inlineStr">
        <is>
          <t>B1 125</t>
        </is>
      </c>
      <c r="B1815" s="7" t="inlineStr">
        <is>
          <t>Kéderprofil B1 125</t>
        </is>
      </c>
      <c r="C1815" s="6" t="inlineStr">
        <is>
          <t>Gumi- és kéderprofilok</t>
        </is>
      </c>
      <c r="D1815" s="6" t="inlineStr">
        <is>
          <t>Kéder- és ablakgumi profilok (Gista)</t>
        </is>
      </c>
      <c r="E1815" s="6" t="inlineStr">
        <is>
          <t>Sand-Profile</t>
        </is>
      </c>
      <c r="F1815" s="6" t="inlineStr">
        <is>
          <t>B1 125</t>
        </is>
      </c>
      <c r="G1815" s="6" t="inlineStr">
        <is>
          <t>Teljes kínálat</t>
        </is>
      </c>
      <c r="H1815" s="6" t="n">
        <v>0</v>
      </c>
      <c r="I1815" s="6" t="n">
        <v>1</v>
      </c>
      <c r="J1815" s="6" t="inlineStr">
        <is>
          <t>van</t>
        </is>
      </c>
      <c r="K1815" s="6">
        <f>IF(AND(H1815&gt;0,I1815&gt;0),"Rendben",IF(AND(H1815=0,I1815=0),"Nincs kép és adat",IF(H1815=0,"Nincs kép","Nincs adat")))</f>
        <v/>
      </c>
      <c r="L1815" s="6" t="inlineStr">
        <is>
          <t>Igen</t>
        </is>
      </c>
      <c r="M1815" s="7" t="inlineStr">
        <is>
          <t>Sand-Profile teljes kínálata (gyártói katalógus / weboldal)</t>
        </is>
      </c>
      <c r="N1815" s="7" t="inlineStr">
        <is>
          <t>Megtalálva: a beszállító teljes kínálatából felvett termék</t>
        </is>
      </c>
      <c r="O1815" s="11" t="inlineStr">
        <is>
          <t>https://www.sandprofile.com/media/gesamtkatalog_en.pdf#page=52</t>
        </is>
      </c>
      <c r="P1815" s="11" t="inlineStr">
        <is>
          <t>https://website-9ib.pages.dev/termek/sp-b1-125/</t>
        </is>
      </c>
      <c r="Q1815" s="12" t="inlineStr"/>
      <c r="R1815" s="13" t="inlineStr"/>
      <c r="S1815" s="6" t="inlineStr">
        <is>
          <t>sp-b1-125</t>
        </is>
      </c>
    </row>
    <row r="1816">
      <c r="A1816" s="6" t="inlineStr">
        <is>
          <t>B1 127</t>
        </is>
      </c>
      <c r="B1816" s="7" t="inlineStr">
        <is>
          <t>Kéderprofil B1 127</t>
        </is>
      </c>
      <c r="C1816" s="6" t="inlineStr">
        <is>
          <t>Gumi- és kéderprofilok</t>
        </is>
      </c>
      <c r="D1816" s="6" t="inlineStr">
        <is>
          <t>Kéder- és ablakgumi profilok (Gista)</t>
        </is>
      </c>
      <c r="E1816" s="6" t="inlineStr">
        <is>
          <t>Sand-Profile</t>
        </is>
      </c>
      <c r="F1816" s="6" t="inlineStr">
        <is>
          <t>B1 127</t>
        </is>
      </c>
      <c r="G1816" s="6" t="inlineStr">
        <is>
          <t>Teljes kínálat</t>
        </is>
      </c>
      <c r="H1816" s="6" t="n">
        <v>0</v>
      </c>
      <c r="I1816" s="6" t="n">
        <v>1</v>
      </c>
      <c r="J1816" s="6" t="inlineStr">
        <is>
          <t>van</t>
        </is>
      </c>
      <c r="K1816" s="6">
        <f>IF(AND(H1816&gt;0,I1816&gt;0),"Rendben",IF(AND(H1816=0,I1816=0),"Nincs kép és adat",IF(H1816=0,"Nincs kép","Nincs adat")))</f>
        <v/>
      </c>
      <c r="L1816" s="6" t="inlineStr">
        <is>
          <t>Igen</t>
        </is>
      </c>
      <c r="M1816" s="7" t="inlineStr">
        <is>
          <t>Sand-Profile teljes kínálata (gyártói katalógus / weboldal)</t>
        </is>
      </c>
      <c r="N1816" s="7" t="inlineStr">
        <is>
          <t>Megtalálva: a beszállító teljes kínálatából felvett termék</t>
        </is>
      </c>
      <c r="O1816" s="11" t="inlineStr">
        <is>
          <t>https://www.sandprofile.com/media/gesamtkatalog_en.pdf#page=52</t>
        </is>
      </c>
      <c r="P1816" s="11" t="inlineStr">
        <is>
          <t>https://website-9ib.pages.dev/termek/sp-b1-127/</t>
        </is>
      </c>
      <c r="Q1816" s="12" t="inlineStr"/>
      <c r="R1816" s="13" t="inlineStr"/>
      <c r="S1816" s="6" t="inlineStr">
        <is>
          <t>sp-b1-127</t>
        </is>
      </c>
    </row>
    <row r="1817">
      <c r="A1817" s="6" t="inlineStr">
        <is>
          <t>B1 134</t>
        </is>
      </c>
      <c r="B1817" s="7" t="inlineStr">
        <is>
          <t>Kéderprofil B1 134</t>
        </is>
      </c>
      <c r="C1817" s="6" t="inlineStr">
        <is>
          <t>Gumi- és kéderprofilok</t>
        </is>
      </c>
      <c r="D1817" s="6" t="inlineStr">
        <is>
          <t>Kéder- és ablakgumi profilok (Gista)</t>
        </is>
      </c>
      <c r="E1817" s="6" t="inlineStr">
        <is>
          <t>Sand-Profile</t>
        </is>
      </c>
      <c r="F1817" s="6" t="inlineStr">
        <is>
          <t>B1 134</t>
        </is>
      </c>
      <c r="G1817" s="6" t="inlineStr">
        <is>
          <t>Teljes kínálat</t>
        </is>
      </c>
      <c r="H1817" s="6" t="n">
        <v>1</v>
      </c>
      <c r="I1817" s="6" t="n">
        <v>1</v>
      </c>
      <c r="J1817" s="6" t="inlineStr">
        <is>
          <t>van</t>
        </is>
      </c>
      <c r="K1817" s="6">
        <f>IF(AND(H1817&gt;0,I1817&gt;0),"Rendben",IF(AND(H1817=0,I1817=0),"Nincs kép és adat",IF(H1817=0,"Nincs kép","Nincs adat")))</f>
        <v/>
      </c>
      <c r="L1817" s="6" t="inlineStr">
        <is>
          <t>Igen</t>
        </is>
      </c>
      <c r="M1817" s="7" t="inlineStr">
        <is>
          <t>Sand-Profile teljes kínálata (gyártói katalógus / weboldal)</t>
        </is>
      </c>
      <c r="N1817" s="7" t="inlineStr">
        <is>
          <t>Megtalálva: a beszállító teljes kínálatából felvett termék</t>
        </is>
      </c>
      <c r="O1817" s="11" t="inlineStr">
        <is>
          <t>https://www.sandprofile.com/media/gesamtkatalog_en.pdf#page=52</t>
        </is>
      </c>
      <c r="P1817" s="11" t="inlineStr">
        <is>
          <t>https://website-9ib.pages.dev/termek/sp-b1-134/</t>
        </is>
      </c>
      <c r="Q1817" s="12" t="inlineStr"/>
      <c r="R1817" s="13" t="inlineStr"/>
      <c r="S1817" s="6" t="inlineStr">
        <is>
          <t>sp-b1-134</t>
        </is>
      </c>
    </row>
    <row r="1818">
      <c r="A1818" s="6" t="inlineStr">
        <is>
          <t>B1 139</t>
        </is>
      </c>
      <c r="B1818" s="7" t="inlineStr">
        <is>
          <t>Kéderprofil B1 139</t>
        </is>
      </c>
      <c r="C1818" s="6" t="inlineStr">
        <is>
          <t>Gumi- és kéderprofilok</t>
        </is>
      </c>
      <c r="D1818" s="6" t="inlineStr">
        <is>
          <t>Kéder- és ablakgumi profilok (Gista)</t>
        </is>
      </c>
      <c r="E1818" s="6" t="inlineStr">
        <is>
          <t>Sand-Profile</t>
        </is>
      </c>
      <c r="F1818" s="6" t="inlineStr">
        <is>
          <t>B1 139</t>
        </is>
      </c>
      <c r="G1818" s="6" t="inlineStr">
        <is>
          <t>Teljes kínálat</t>
        </is>
      </c>
      <c r="H1818" s="6" t="n">
        <v>0</v>
      </c>
      <c r="I1818" s="6" t="n">
        <v>1</v>
      </c>
      <c r="J1818" s="6" t="inlineStr">
        <is>
          <t>van</t>
        </is>
      </c>
      <c r="K1818" s="6">
        <f>IF(AND(H1818&gt;0,I1818&gt;0),"Rendben",IF(AND(H1818=0,I1818=0),"Nincs kép és adat",IF(H1818=0,"Nincs kép","Nincs adat")))</f>
        <v/>
      </c>
      <c r="L1818" s="6" t="inlineStr">
        <is>
          <t>Igen</t>
        </is>
      </c>
      <c r="M1818" s="7" t="inlineStr">
        <is>
          <t>Sand-Profile teljes kínálata (gyártói katalógus / weboldal)</t>
        </is>
      </c>
      <c r="N1818" s="7" t="inlineStr">
        <is>
          <t>Megtalálva: a beszállító teljes kínálatából felvett termék</t>
        </is>
      </c>
      <c r="O1818" s="11" t="inlineStr">
        <is>
          <t>https://www.sandprofile.com/media/gesamtkatalog_en.pdf#page=52</t>
        </is>
      </c>
      <c r="P1818" s="11" t="inlineStr">
        <is>
          <t>https://website-9ib.pages.dev/termek/sp-b1-139/</t>
        </is>
      </c>
      <c r="Q1818" s="12" t="inlineStr"/>
      <c r="R1818" s="13" t="inlineStr"/>
      <c r="S1818" s="6" t="inlineStr">
        <is>
          <t>sp-b1-139</t>
        </is>
      </c>
    </row>
    <row r="1819">
      <c r="A1819" s="6" t="inlineStr">
        <is>
          <t>B1 142</t>
        </is>
      </c>
      <c r="B1819" s="7" t="inlineStr">
        <is>
          <t>Kéderprofil B1 142</t>
        </is>
      </c>
      <c r="C1819" s="6" t="inlineStr">
        <is>
          <t>Gumi- és kéderprofilok</t>
        </is>
      </c>
      <c r="D1819" s="6" t="inlineStr">
        <is>
          <t>Kéder- és ablakgumi profilok (Gista)</t>
        </is>
      </c>
      <c r="E1819" s="6" t="inlineStr">
        <is>
          <t>Sand-Profile</t>
        </is>
      </c>
      <c r="F1819" s="6" t="inlineStr">
        <is>
          <t>B1 142</t>
        </is>
      </c>
      <c r="G1819" s="6" t="inlineStr">
        <is>
          <t>Teljes kínálat</t>
        </is>
      </c>
      <c r="H1819" s="6" t="n">
        <v>0</v>
      </c>
      <c r="I1819" s="6" t="n">
        <v>1</v>
      </c>
      <c r="J1819" s="6" t="inlineStr">
        <is>
          <t>van</t>
        </is>
      </c>
      <c r="K1819" s="6">
        <f>IF(AND(H1819&gt;0,I1819&gt;0),"Rendben",IF(AND(H1819=0,I1819=0),"Nincs kép és adat",IF(H1819=0,"Nincs kép","Nincs adat")))</f>
        <v/>
      </c>
      <c r="L1819" s="6" t="inlineStr">
        <is>
          <t>Igen</t>
        </is>
      </c>
      <c r="M1819" s="7" t="inlineStr">
        <is>
          <t>Sand-Profile teljes kínálata (gyártói katalógus / weboldal)</t>
        </is>
      </c>
      <c r="N1819" s="7" t="inlineStr">
        <is>
          <t>Megtalálva: a beszállító teljes kínálatából felvett termék</t>
        </is>
      </c>
      <c r="O1819" s="11" t="inlineStr">
        <is>
          <t>https://www.sandprofile.com/media/gesamtkatalog_en.pdf#page=52</t>
        </is>
      </c>
      <c r="P1819" s="11" t="inlineStr">
        <is>
          <t>https://website-9ib.pages.dev/termek/sp-b1-142/</t>
        </is>
      </c>
      <c r="Q1819" s="12" t="inlineStr"/>
      <c r="R1819" s="13" t="inlineStr"/>
      <c r="S1819" s="6" t="inlineStr">
        <is>
          <t>sp-b1-142</t>
        </is>
      </c>
    </row>
    <row r="1820">
      <c r="A1820" s="6" t="inlineStr">
        <is>
          <t>B1 148</t>
        </is>
      </c>
      <c r="B1820" s="7" t="inlineStr">
        <is>
          <t>Kéderprofil B1 148</t>
        </is>
      </c>
      <c r="C1820" s="6" t="inlineStr">
        <is>
          <t>Gumi- és kéderprofilok</t>
        </is>
      </c>
      <c r="D1820" s="6" t="inlineStr">
        <is>
          <t>Kéder- és ablakgumi profilok (Gista)</t>
        </is>
      </c>
      <c r="E1820" s="6" t="inlineStr">
        <is>
          <t>Sand-Profile</t>
        </is>
      </c>
      <c r="F1820" s="6" t="inlineStr">
        <is>
          <t>B1 148</t>
        </is>
      </c>
      <c r="G1820" s="6" t="inlineStr">
        <is>
          <t>Teljes kínálat</t>
        </is>
      </c>
      <c r="H1820" s="6" t="n">
        <v>0</v>
      </c>
      <c r="I1820" s="6" t="n">
        <v>1</v>
      </c>
      <c r="J1820" s="6" t="inlineStr">
        <is>
          <t>van</t>
        </is>
      </c>
      <c r="K1820" s="6">
        <f>IF(AND(H1820&gt;0,I1820&gt;0),"Rendben",IF(AND(H1820=0,I1820=0),"Nincs kép és adat",IF(H1820=0,"Nincs kép","Nincs adat")))</f>
        <v/>
      </c>
      <c r="L1820" s="6" t="inlineStr">
        <is>
          <t>Igen</t>
        </is>
      </c>
      <c r="M1820" s="7" t="inlineStr">
        <is>
          <t>Sand-Profile teljes kínálata (gyártói katalógus / weboldal)</t>
        </is>
      </c>
      <c r="N1820" s="7" t="inlineStr">
        <is>
          <t>Megtalálva: a beszállító teljes kínálatából felvett termék</t>
        </is>
      </c>
      <c r="O1820" s="11" t="inlineStr">
        <is>
          <t>https://www.sandprofile.com/media/gesamtkatalog_en.pdf#page=52</t>
        </is>
      </c>
      <c r="P1820" s="11" t="inlineStr">
        <is>
          <t>https://website-9ib.pages.dev/termek/sp-b1-148/</t>
        </is>
      </c>
      <c r="Q1820" s="12" t="inlineStr"/>
      <c r="R1820" s="13" t="inlineStr"/>
      <c r="S1820" s="6" t="inlineStr">
        <is>
          <t>sp-b1-148</t>
        </is>
      </c>
    </row>
    <row r="1821">
      <c r="A1821" s="6" t="inlineStr">
        <is>
          <t>B1 159</t>
        </is>
      </c>
      <c r="B1821" s="7" t="inlineStr">
        <is>
          <t>Kéderprofil B1 159</t>
        </is>
      </c>
      <c r="C1821" s="6" t="inlineStr">
        <is>
          <t>Gumi- és kéderprofilok</t>
        </is>
      </c>
      <c r="D1821" s="6" t="inlineStr">
        <is>
          <t>Kéder- és ablakgumi profilok (Gista)</t>
        </is>
      </c>
      <c r="E1821" s="6" t="inlineStr">
        <is>
          <t>Sand-Profile</t>
        </is>
      </c>
      <c r="F1821" s="6" t="inlineStr">
        <is>
          <t>B1 159</t>
        </is>
      </c>
      <c r="G1821" s="6" t="inlineStr">
        <is>
          <t>Teljes kínálat</t>
        </is>
      </c>
      <c r="H1821" s="6" t="n">
        <v>0</v>
      </c>
      <c r="I1821" s="6" t="n">
        <v>1</v>
      </c>
      <c r="J1821" s="6" t="inlineStr">
        <is>
          <t>van</t>
        </is>
      </c>
      <c r="K1821" s="6">
        <f>IF(AND(H1821&gt;0,I1821&gt;0),"Rendben",IF(AND(H1821=0,I1821=0),"Nincs kép és adat",IF(H1821=0,"Nincs kép","Nincs adat")))</f>
        <v/>
      </c>
      <c r="L1821" s="6" t="inlineStr">
        <is>
          <t>Igen</t>
        </is>
      </c>
      <c r="M1821" s="7" t="inlineStr">
        <is>
          <t>Sand-Profile teljes kínálata (gyártói katalógus / weboldal)</t>
        </is>
      </c>
      <c r="N1821" s="7" t="inlineStr">
        <is>
          <t>Megtalálva: a beszállító teljes kínálatából felvett termék</t>
        </is>
      </c>
      <c r="O1821" s="11" t="inlineStr">
        <is>
          <t>https://www.sandprofile.com/media/gesamtkatalog_en.pdf#page=52</t>
        </is>
      </c>
      <c r="P1821" s="11" t="inlineStr">
        <is>
          <t>https://website-9ib.pages.dev/termek/sp-b1-159/</t>
        </is>
      </c>
      <c r="Q1821" s="12" t="inlineStr"/>
      <c r="R1821" s="13" t="inlineStr"/>
      <c r="S1821" s="6" t="inlineStr">
        <is>
          <t>sp-b1-159</t>
        </is>
      </c>
    </row>
    <row r="1822">
      <c r="A1822" s="6" t="inlineStr">
        <is>
          <t>B1 181</t>
        </is>
      </c>
      <c r="B1822" s="7" t="inlineStr">
        <is>
          <t>Kéderprofil B1 181</t>
        </is>
      </c>
      <c r="C1822" s="6" t="inlineStr">
        <is>
          <t>Gumi- és kéderprofilok</t>
        </is>
      </c>
      <c r="D1822" s="6" t="inlineStr">
        <is>
          <t>Kéder- és ablakgumi profilok (Gista)</t>
        </is>
      </c>
      <c r="E1822" s="6" t="inlineStr">
        <is>
          <t>Sand-Profile</t>
        </is>
      </c>
      <c r="F1822" s="6" t="inlineStr">
        <is>
          <t>B1 181</t>
        </is>
      </c>
      <c r="G1822" s="6" t="inlineStr">
        <is>
          <t>Teljes kínálat</t>
        </is>
      </c>
      <c r="H1822" s="6" t="n">
        <v>0</v>
      </c>
      <c r="I1822" s="6" t="n">
        <v>1</v>
      </c>
      <c r="J1822" s="6" t="inlineStr">
        <is>
          <t>van</t>
        </is>
      </c>
      <c r="K1822" s="6">
        <f>IF(AND(H1822&gt;0,I1822&gt;0),"Rendben",IF(AND(H1822=0,I1822=0),"Nincs kép és adat",IF(H1822=0,"Nincs kép","Nincs adat")))</f>
        <v/>
      </c>
      <c r="L1822" s="6" t="inlineStr">
        <is>
          <t>Igen</t>
        </is>
      </c>
      <c r="M1822" s="7" t="inlineStr">
        <is>
          <t>Sand-Profile teljes kínálata (gyártói katalógus / weboldal)</t>
        </is>
      </c>
      <c r="N1822" s="7" t="inlineStr">
        <is>
          <t>Megtalálva: a beszállító teljes kínálatából felvett termék</t>
        </is>
      </c>
      <c r="O1822" s="11" t="inlineStr">
        <is>
          <t>https://www.sandprofile.com/media/gesamtkatalog_en.pdf#page=52</t>
        </is>
      </c>
      <c r="P1822" s="11" t="inlineStr">
        <is>
          <t>https://website-9ib.pages.dev/termek/sp-b1-181/</t>
        </is>
      </c>
      <c r="Q1822" s="12" t="inlineStr"/>
      <c r="R1822" s="13" t="inlineStr"/>
      <c r="S1822" s="6" t="inlineStr">
        <is>
          <t>sp-b1-181</t>
        </is>
      </c>
    </row>
    <row r="1823">
      <c r="A1823" s="6" t="inlineStr">
        <is>
          <t>B2 122(NBR)</t>
        </is>
      </c>
      <c r="B1823" s="7" t="inlineStr">
        <is>
          <t>Kéderprofil B2 122(NBR)</t>
        </is>
      </c>
      <c r="C1823" s="6" t="inlineStr">
        <is>
          <t>Gumi- és kéderprofilok</t>
        </is>
      </c>
      <c r="D1823" s="6" t="inlineStr">
        <is>
          <t>Kéder- és ablakgumi profilok (Gista)</t>
        </is>
      </c>
      <c r="E1823" s="6" t="inlineStr">
        <is>
          <t>Sand-Profile</t>
        </is>
      </c>
      <c r="F1823" s="6" t="inlineStr">
        <is>
          <t>B2 122(NBR)</t>
        </is>
      </c>
      <c r="G1823" s="6" t="inlineStr">
        <is>
          <t>Teljes kínálat</t>
        </is>
      </c>
      <c r="H1823" s="6" t="n">
        <v>0</v>
      </c>
      <c r="I1823" s="6" t="n">
        <v>1</v>
      </c>
      <c r="J1823" s="6" t="inlineStr">
        <is>
          <t>van</t>
        </is>
      </c>
      <c r="K1823" s="6">
        <f>IF(AND(H1823&gt;0,I1823&gt;0),"Rendben",IF(AND(H1823=0,I1823=0),"Nincs kép és adat",IF(H1823=0,"Nincs kép","Nincs adat")))</f>
        <v/>
      </c>
      <c r="L1823" s="6" t="inlineStr">
        <is>
          <t>Igen</t>
        </is>
      </c>
      <c r="M1823" s="7" t="inlineStr">
        <is>
          <t>Sand-Profile teljes kínálata (gyártói katalógus / weboldal)</t>
        </is>
      </c>
      <c r="N1823" s="7" t="inlineStr">
        <is>
          <t>Megtalálva: a beszállító teljes kínálatából felvett termék</t>
        </is>
      </c>
      <c r="O1823" s="11" t="inlineStr">
        <is>
          <t>https://www.sandprofile.com/media/gesamtkatalog_en.pdf#page=52</t>
        </is>
      </c>
      <c r="P1823" s="11" t="inlineStr">
        <is>
          <t>https://website-9ib.pages.dev/termek/sp-b2-122-nbr/</t>
        </is>
      </c>
      <c r="Q1823" s="12" t="inlineStr"/>
      <c r="R1823" s="13" t="inlineStr"/>
      <c r="S1823" s="6" t="inlineStr">
        <is>
          <t>sp-b2-122-nbr</t>
        </is>
      </c>
    </row>
    <row r="1824">
      <c r="A1824" s="6" t="inlineStr">
        <is>
          <t>B2 130</t>
        </is>
      </c>
      <c r="B1824" s="7" t="inlineStr">
        <is>
          <t>Kéderprofil B2 130</t>
        </is>
      </c>
      <c r="C1824" s="6" t="inlineStr">
        <is>
          <t>Gumi- és kéderprofilok</t>
        </is>
      </c>
      <c r="D1824" s="6" t="inlineStr">
        <is>
          <t>Kéder- és ablakgumi profilok (Gista)</t>
        </is>
      </c>
      <c r="E1824" s="6" t="inlineStr">
        <is>
          <t>Sand-Profile</t>
        </is>
      </c>
      <c r="F1824" s="6" t="inlineStr">
        <is>
          <t>B2 130</t>
        </is>
      </c>
      <c r="G1824" s="6" t="inlineStr">
        <is>
          <t>Teljes kínálat</t>
        </is>
      </c>
      <c r="H1824" s="6" t="n">
        <v>0</v>
      </c>
      <c r="I1824" s="6" t="n">
        <v>1</v>
      </c>
      <c r="J1824" s="6" t="inlineStr">
        <is>
          <t>van</t>
        </is>
      </c>
      <c r="K1824" s="6">
        <f>IF(AND(H1824&gt;0,I1824&gt;0),"Rendben",IF(AND(H1824=0,I1824=0),"Nincs kép és adat",IF(H1824=0,"Nincs kép","Nincs adat")))</f>
        <v/>
      </c>
      <c r="L1824" s="6" t="inlineStr">
        <is>
          <t>Igen</t>
        </is>
      </c>
      <c r="M1824" s="7" t="inlineStr">
        <is>
          <t>Sand-Profile teljes kínálata (gyártói katalógus / weboldal)</t>
        </is>
      </c>
      <c r="N1824" s="7" t="inlineStr">
        <is>
          <t>Megtalálva: a beszállító teljes kínálatából felvett termék</t>
        </is>
      </c>
      <c r="O1824" s="11" t="inlineStr">
        <is>
          <t>https://www.sandprofile.com/media/gesamtkatalog_en.pdf#page=52</t>
        </is>
      </c>
      <c r="P1824" s="11" t="inlineStr">
        <is>
          <t>https://website-9ib.pages.dev/termek/sp-b2-130/</t>
        </is>
      </c>
      <c r="Q1824" s="12" t="inlineStr"/>
      <c r="R1824" s="13" t="inlineStr"/>
      <c r="S1824" s="6" t="inlineStr">
        <is>
          <t>sp-b2-130</t>
        </is>
      </c>
    </row>
    <row r="1825">
      <c r="A1825" s="6" t="inlineStr">
        <is>
          <t>B2 133</t>
        </is>
      </c>
      <c r="B1825" s="7" t="inlineStr">
        <is>
          <t>Kéderprofil B2 133</t>
        </is>
      </c>
      <c r="C1825" s="6" t="inlineStr">
        <is>
          <t>Gumi- és kéderprofilok</t>
        </is>
      </c>
      <c r="D1825" s="6" t="inlineStr">
        <is>
          <t>Kéder- és ablakgumi profilok (Gista)</t>
        </is>
      </c>
      <c r="E1825" s="6" t="inlineStr">
        <is>
          <t>Sand-Profile</t>
        </is>
      </c>
      <c r="F1825" s="6" t="inlineStr">
        <is>
          <t>B2 133</t>
        </is>
      </c>
      <c r="G1825" s="6" t="inlineStr">
        <is>
          <t>Teljes kínálat</t>
        </is>
      </c>
      <c r="H1825" s="6" t="n">
        <v>0</v>
      </c>
      <c r="I1825" s="6" t="n">
        <v>1</v>
      </c>
      <c r="J1825" s="6" t="inlineStr">
        <is>
          <t>van</t>
        </is>
      </c>
      <c r="K1825" s="6">
        <f>IF(AND(H1825&gt;0,I1825&gt;0),"Rendben",IF(AND(H1825=0,I1825=0),"Nincs kép és adat",IF(H1825=0,"Nincs kép","Nincs adat")))</f>
        <v/>
      </c>
      <c r="L1825" s="6" t="inlineStr">
        <is>
          <t>Igen</t>
        </is>
      </c>
      <c r="M1825" s="7" t="inlineStr">
        <is>
          <t>Sand-Profile teljes kínálata (gyártói katalógus / weboldal)</t>
        </is>
      </c>
      <c r="N1825" s="7" t="inlineStr">
        <is>
          <t>Megtalálva: a beszállító teljes kínálatából felvett termék</t>
        </is>
      </c>
      <c r="O1825" s="11" t="inlineStr">
        <is>
          <t>https://www.sandprofile.com/media/gesamtkatalog_en.pdf#page=52</t>
        </is>
      </c>
      <c r="P1825" s="11" t="inlineStr">
        <is>
          <t>https://website-9ib.pages.dev/termek/sp-b2-133/</t>
        </is>
      </c>
      <c r="Q1825" s="12" t="inlineStr"/>
      <c r="R1825" s="13" t="inlineStr"/>
      <c r="S1825" s="6" t="inlineStr">
        <is>
          <t>sp-b2-133</t>
        </is>
      </c>
    </row>
    <row r="1826">
      <c r="A1826" s="6" t="inlineStr">
        <is>
          <t>B2 164</t>
        </is>
      </c>
      <c r="B1826" s="7" t="inlineStr">
        <is>
          <t>Kéderprofil B2 164</t>
        </is>
      </c>
      <c r="C1826" s="6" t="inlineStr">
        <is>
          <t>Gumi- és kéderprofilok</t>
        </is>
      </c>
      <c r="D1826" s="6" t="inlineStr">
        <is>
          <t>Kéder- és ablakgumi profilok (Gista)</t>
        </is>
      </c>
      <c r="E1826" s="6" t="inlineStr">
        <is>
          <t>Sand-Profile</t>
        </is>
      </c>
      <c r="F1826" s="6" t="inlineStr">
        <is>
          <t>B2 164</t>
        </is>
      </c>
      <c r="G1826" s="6" t="inlineStr">
        <is>
          <t>Teljes kínálat</t>
        </is>
      </c>
      <c r="H1826" s="6" t="n">
        <v>0</v>
      </c>
      <c r="I1826" s="6" t="n">
        <v>1</v>
      </c>
      <c r="J1826" s="6" t="inlineStr">
        <is>
          <t>van</t>
        </is>
      </c>
      <c r="K1826" s="6">
        <f>IF(AND(H1826&gt;0,I1826&gt;0),"Rendben",IF(AND(H1826=0,I1826=0),"Nincs kép és adat",IF(H1826=0,"Nincs kép","Nincs adat")))</f>
        <v/>
      </c>
      <c r="L1826" s="6" t="inlineStr">
        <is>
          <t>Igen</t>
        </is>
      </c>
      <c r="M1826" s="7" t="inlineStr">
        <is>
          <t>Sand-Profile teljes kínálata (gyártói katalógus / weboldal)</t>
        </is>
      </c>
      <c r="N1826" s="7" t="inlineStr">
        <is>
          <t>Megtalálva: a beszállító teljes kínálatából felvett termék</t>
        </is>
      </c>
      <c r="O1826" s="11" t="inlineStr">
        <is>
          <t>https://www.sandprofile.com/media/gesamtkatalog_en.pdf#page=52</t>
        </is>
      </c>
      <c r="P1826" s="11" t="inlineStr">
        <is>
          <t>https://website-9ib.pages.dev/termek/sp-b2-164/</t>
        </is>
      </c>
      <c r="Q1826" s="12" t="inlineStr"/>
      <c r="R1826" s="13" t="inlineStr"/>
      <c r="S1826" s="6" t="inlineStr">
        <is>
          <t>sp-b2-164</t>
        </is>
      </c>
    </row>
    <row r="1827">
      <c r="A1827" s="6" t="inlineStr">
        <is>
          <t>B2 173</t>
        </is>
      </c>
      <c r="B1827" s="7" t="inlineStr">
        <is>
          <t>Kéderprofil B2 173</t>
        </is>
      </c>
      <c r="C1827" s="6" t="inlineStr">
        <is>
          <t>Gumi- és kéderprofilok</t>
        </is>
      </c>
      <c r="D1827" s="6" t="inlineStr">
        <is>
          <t>Kéder- és ablakgumi profilok (Gista)</t>
        </is>
      </c>
      <c r="E1827" s="6" t="inlineStr">
        <is>
          <t>Sand-Profile</t>
        </is>
      </c>
      <c r="F1827" s="6" t="inlineStr">
        <is>
          <t>B2 173</t>
        </is>
      </c>
      <c r="G1827" s="6" t="inlineStr">
        <is>
          <t>Teljes kínálat</t>
        </is>
      </c>
      <c r="H1827" s="6" t="n">
        <v>0</v>
      </c>
      <c r="I1827" s="6" t="n">
        <v>1</v>
      </c>
      <c r="J1827" s="6" t="inlineStr">
        <is>
          <t>van</t>
        </is>
      </c>
      <c r="K1827" s="6">
        <f>IF(AND(H1827&gt;0,I1827&gt;0),"Rendben",IF(AND(H1827=0,I1827=0),"Nincs kép és adat",IF(H1827=0,"Nincs kép","Nincs adat")))</f>
        <v/>
      </c>
      <c r="L1827" s="6" t="inlineStr">
        <is>
          <t>Igen</t>
        </is>
      </c>
      <c r="M1827" s="7" t="inlineStr">
        <is>
          <t>Sand-Profile teljes kínálata (gyártói katalógus / weboldal)</t>
        </is>
      </c>
      <c r="N1827" s="7" t="inlineStr">
        <is>
          <t>Megtalálva: a beszállító teljes kínálatából felvett termék</t>
        </is>
      </c>
      <c r="O1827" s="11" t="inlineStr">
        <is>
          <t>https://www.sandprofile.com/media/gesamtkatalog_en.pdf#page=52</t>
        </is>
      </c>
      <c r="P1827" s="11" t="inlineStr">
        <is>
          <t>https://website-9ib.pages.dev/termek/sp-b2-173/</t>
        </is>
      </c>
      <c r="Q1827" s="12" t="inlineStr"/>
      <c r="R1827" s="13" t="inlineStr"/>
      <c r="S1827" s="6" t="inlineStr">
        <is>
          <t>sp-b2-173</t>
        </is>
      </c>
    </row>
    <row r="1828">
      <c r="A1828" s="6" t="inlineStr">
        <is>
          <t>BROKENOR</t>
        </is>
      </c>
      <c r="B1828" s="7" t="inlineStr">
        <is>
          <t>Kéderprofil BROKENOR – fekete, 2,0 mm</t>
        </is>
      </c>
      <c r="C1828" s="6" t="inlineStr">
        <is>
          <t>Gumi- és kéderprofilok</t>
        </is>
      </c>
      <c r="D1828" s="6" t="inlineStr">
        <is>
          <t>Kéder- és ablakgumi profilok (Gista)</t>
        </is>
      </c>
      <c r="E1828" s="6" t="inlineStr">
        <is>
          <t>Sand-Profile</t>
        </is>
      </c>
      <c r="F1828" s="6" t="inlineStr">
        <is>
          <t>BROKENOR</t>
        </is>
      </c>
      <c r="G1828" s="6" t="inlineStr">
        <is>
          <t>Teljes kínálat</t>
        </is>
      </c>
      <c r="H1828" s="6" t="n">
        <v>1</v>
      </c>
      <c r="I1828" s="6" t="n">
        <v>3</v>
      </c>
      <c r="J1828" s="6" t="inlineStr">
        <is>
          <t>van</t>
        </is>
      </c>
      <c r="K1828" s="6">
        <f>IF(AND(H1828&gt;0,I1828&gt;0),"Rendben",IF(AND(H1828=0,I1828=0),"Nincs kép és adat",IF(H1828=0,"Nincs kép","Nincs adat")))</f>
        <v/>
      </c>
      <c r="L1828" s="6" t="inlineStr">
        <is>
          <t>Igen</t>
        </is>
      </c>
      <c r="M1828" s="7" t="inlineStr">
        <is>
          <t>Sand-Profile teljes kínálata (gyártói katalógus / weboldal)</t>
        </is>
      </c>
      <c r="N1828" s="7" t="inlineStr">
        <is>
          <t>Megtalálva: a beszállító teljes kínálatából felvett termék</t>
        </is>
      </c>
      <c r="O1828" s="11" t="inlineStr">
        <is>
          <t>https://www.sandprofile.com/media/gesamtkatalog_en.pdf#page=49</t>
        </is>
      </c>
      <c r="P1828" s="11" t="inlineStr">
        <is>
          <t>https://website-9ib.pages.dev/termek/sp-brokenor/</t>
        </is>
      </c>
      <c r="Q1828" s="12" t="inlineStr"/>
      <c r="R1828" s="13" t="inlineStr"/>
      <c r="S1828" s="6" t="inlineStr">
        <is>
          <t>sp-brokenor</t>
        </is>
      </c>
    </row>
    <row r="1829">
      <c r="A1829" s="6" t="inlineStr">
        <is>
          <t>CENTREBAR</t>
        </is>
      </c>
      <c r="B1829" s="7" t="inlineStr">
        <is>
          <t>Kéderprofil CENTREBAR – fekete, 1,0-2,0 mm</t>
        </is>
      </c>
      <c r="C1829" s="6" t="inlineStr">
        <is>
          <t>Gumi- és kéderprofilok</t>
        </is>
      </c>
      <c r="D1829" s="6" t="inlineStr">
        <is>
          <t>Kéder- és ablakgumi profilok (Gista)</t>
        </is>
      </c>
      <c r="E1829" s="6" t="inlineStr">
        <is>
          <t>Sand-Profile</t>
        </is>
      </c>
      <c r="F1829" s="6" t="inlineStr">
        <is>
          <t>CENTREBAR</t>
        </is>
      </c>
      <c r="G1829" s="6" t="inlineStr">
        <is>
          <t>Teljes kínálat</t>
        </is>
      </c>
      <c r="H1829" s="6" t="n">
        <v>1</v>
      </c>
      <c r="I1829" s="6" t="n">
        <v>3</v>
      </c>
      <c r="J1829" s="6" t="inlineStr">
        <is>
          <t>van</t>
        </is>
      </c>
      <c r="K1829" s="6">
        <f>IF(AND(H1829&gt;0,I1829&gt;0),"Rendben",IF(AND(H1829=0,I1829=0),"Nincs kép és adat",IF(H1829=0,"Nincs kép","Nincs adat")))</f>
        <v/>
      </c>
      <c r="L1829" s="6" t="inlineStr">
        <is>
          <t>Igen</t>
        </is>
      </c>
      <c r="M1829" s="7" t="inlineStr">
        <is>
          <t>Sand-Profile teljes kínálata (gyártói katalógus / weboldal)</t>
        </is>
      </c>
      <c r="N1829" s="7" t="inlineStr">
        <is>
          <t>Megtalálva: a beszállító teljes kínálatából felvett termék</t>
        </is>
      </c>
      <c r="O1829" s="11" t="inlineStr">
        <is>
          <t>https://www.sandprofile.com/media/gesamtkatalog_en.pdf#page=35</t>
        </is>
      </c>
      <c r="P1829" s="11" t="inlineStr">
        <is>
          <t>https://website-9ib.pages.dev/termek/sp-centrebar/</t>
        </is>
      </c>
      <c r="Q1829" s="12" t="inlineStr"/>
      <c r="R1829" s="13" t="inlineStr"/>
      <c r="S1829" s="6" t="inlineStr">
        <is>
          <t>sp-centrebar</t>
        </is>
      </c>
    </row>
    <row r="1830">
      <c r="A1830" s="6" t="inlineStr">
        <is>
          <t>COATING</t>
        </is>
      </c>
      <c r="B1830" s="7" t="inlineStr">
        <is>
          <t>Kéderprofil COATING – fekete, 1,0-2,5 mm</t>
        </is>
      </c>
      <c r="C1830" s="6" t="inlineStr">
        <is>
          <t>Gumi- és kéderprofilok</t>
        </is>
      </c>
      <c r="D1830" s="6" t="inlineStr">
        <is>
          <t>Kéder- és ablakgumi profilok (Gista)</t>
        </is>
      </c>
      <c r="E1830" s="6" t="inlineStr">
        <is>
          <t>Sand-Profile</t>
        </is>
      </c>
      <c r="F1830" s="6" t="inlineStr">
        <is>
          <t>COATING</t>
        </is>
      </c>
      <c r="G1830" s="6" t="inlineStr">
        <is>
          <t>Teljes kínálat</t>
        </is>
      </c>
      <c r="H1830" s="6" t="n">
        <v>1</v>
      </c>
      <c r="I1830" s="6" t="n">
        <v>3</v>
      </c>
      <c r="J1830" s="6" t="inlineStr">
        <is>
          <t>van</t>
        </is>
      </c>
      <c r="K1830" s="6">
        <f>IF(AND(H1830&gt;0,I1830&gt;0),"Rendben",IF(AND(H1830=0,I1830=0),"Nincs kép és adat",IF(H1830=0,"Nincs kép","Nincs adat")))</f>
        <v/>
      </c>
      <c r="L1830" s="6" t="inlineStr">
        <is>
          <t>Igen</t>
        </is>
      </c>
      <c r="M1830" s="7" t="inlineStr">
        <is>
          <t>Sand-Profile teljes kínálata (gyártói katalógus / weboldal)</t>
        </is>
      </c>
      <c r="N1830" s="7" t="inlineStr">
        <is>
          <t>Megtalálva: a beszállító teljes kínálatából felvett termék</t>
        </is>
      </c>
      <c r="O1830" s="11" t="inlineStr">
        <is>
          <t>https://www.sandprofile.com/media/gesamtkatalog_en.pdf#page=35</t>
        </is>
      </c>
      <c r="P1830" s="11" t="inlineStr">
        <is>
          <t>https://website-9ib.pages.dev/termek/sp-coating/</t>
        </is>
      </c>
      <c r="Q1830" s="12" t="inlineStr"/>
      <c r="R1830" s="13" t="inlineStr"/>
      <c r="S1830" s="6" t="inlineStr">
        <is>
          <t>sp-coating</t>
        </is>
      </c>
    </row>
    <row r="1831">
      <c r="A1831" s="6" t="inlineStr">
        <is>
          <t>OILRESISTANT</t>
        </is>
      </c>
      <c r="B1831" s="7" t="inlineStr">
        <is>
          <t>Kéderprofil OILRESISTANT – fekete, 1,0–3,0 mm</t>
        </is>
      </c>
      <c r="C1831" s="6" t="inlineStr">
        <is>
          <t>Gumi- és kéderprofilok</t>
        </is>
      </c>
      <c r="D1831" s="6" t="inlineStr">
        <is>
          <t>Kéder- és ablakgumi profilok (Gista)</t>
        </is>
      </c>
      <c r="E1831" s="6" t="inlineStr">
        <is>
          <t>Sand-Profile</t>
        </is>
      </c>
      <c r="F1831" s="6" t="inlineStr">
        <is>
          <t>OILRESISTANT</t>
        </is>
      </c>
      <c r="G1831" s="6" t="inlineStr">
        <is>
          <t>Teljes kínálat</t>
        </is>
      </c>
      <c r="H1831" s="6" t="n">
        <v>1</v>
      </c>
      <c r="I1831" s="6" t="n">
        <v>3</v>
      </c>
      <c r="J1831" s="6" t="inlineStr">
        <is>
          <t>van</t>
        </is>
      </c>
      <c r="K1831" s="6">
        <f>IF(AND(H1831&gt;0,I1831&gt;0),"Rendben",IF(AND(H1831=0,I1831=0),"Nincs kép és adat",IF(H1831=0,"Nincs kép","Nincs adat")))</f>
        <v/>
      </c>
      <c r="L1831" s="6" t="inlineStr">
        <is>
          <t>Igen</t>
        </is>
      </c>
      <c r="M1831" s="7" t="inlineStr">
        <is>
          <t>Sand-Profile teljes kínálata (gyártói katalógus / weboldal)</t>
        </is>
      </c>
      <c r="N1831" s="7" t="inlineStr">
        <is>
          <t>Megtalálva: a beszállító teljes kínálatából felvett termék</t>
        </is>
      </c>
      <c r="O1831" s="11" t="inlineStr">
        <is>
          <t>https://www.sandprofile.com/media/gesamtkatalog_en.pdf#page=36</t>
        </is>
      </c>
      <c r="P1831" s="11" t="inlineStr">
        <is>
          <t>https://website-9ib.pages.dev/termek/sp-oilresistant/</t>
        </is>
      </c>
      <c r="Q1831" s="12" t="inlineStr"/>
      <c r="R1831" s="13" t="inlineStr"/>
      <c r="S1831" s="6" t="inlineStr">
        <is>
          <t>sp-oilresistant</t>
        </is>
      </c>
    </row>
    <row r="1832">
      <c r="A1832" s="6" t="inlineStr">
        <is>
          <t>ONE-SIDEDBROKEN</t>
        </is>
      </c>
      <c r="B1832" s="7" t="inlineStr">
        <is>
          <t>Kéderprofil ONE-SIDEDBROKEN – fekete, 1,25-2.,0 mm</t>
        </is>
      </c>
      <c r="C1832" s="6" t="inlineStr">
        <is>
          <t>Gumi- és kéderprofilok</t>
        </is>
      </c>
      <c r="D1832" s="6" t="inlineStr">
        <is>
          <t>Kéder- és ablakgumi profilok (Gista)</t>
        </is>
      </c>
      <c r="E1832" s="6" t="inlineStr">
        <is>
          <t>Sand-Profile</t>
        </is>
      </c>
      <c r="F1832" s="6" t="inlineStr">
        <is>
          <t>ONE-SIDEDBROKEN</t>
        </is>
      </c>
      <c r="G1832" s="6" t="inlineStr">
        <is>
          <t>Teljes kínálat</t>
        </is>
      </c>
      <c r="H1832" s="6" t="n">
        <v>1</v>
      </c>
      <c r="I1832" s="6" t="n">
        <v>3</v>
      </c>
      <c r="J1832" s="6" t="inlineStr">
        <is>
          <t>van</t>
        </is>
      </c>
      <c r="K1832" s="6">
        <f>IF(AND(H1832&gt;0,I1832&gt;0),"Rendben",IF(AND(H1832=0,I1832=0),"Nincs kép és adat",IF(H1832=0,"Nincs kép","Nincs adat")))</f>
        <v/>
      </c>
      <c r="L1832" s="6" t="inlineStr">
        <is>
          <t>Igen</t>
        </is>
      </c>
      <c r="M1832" s="7" t="inlineStr">
        <is>
          <t>Sand-Profile teljes kínálata (gyártói katalógus / weboldal)</t>
        </is>
      </c>
      <c r="N1832" s="7" t="inlineStr">
        <is>
          <t>Megtalálva: a beszállító teljes kínálatából felvett termék</t>
        </is>
      </c>
      <c r="O1832" s="11" t="inlineStr">
        <is>
          <t>https://www.sandprofile.com/media/gesamtkatalog_en.pdf#page=50</t>
        </is>
      </c>
      <c r="P1832" s="11" t="inlineStr">
        <is>
          <t>https://website-9ib.pages.dev/termek/sp-one-sidedbroken/</t>
        </is>
      </c>
      <c r="Q1832" s="12" t="inlineStr"/>
      <c r="R1832" s="13" t="inlineStr"/>
      <c r="S1832" s="6" t="inlineStr">
        <is>
          <t>sp-one-sidedbroken</t>
        </is>
      </c>
    </row>
    <row r="1833">
      <c r="A1833" s="6" t="inlineStr">
        <is>
          <t>WITHOUTMETAL</t>
        </is>
      </c>
      <c r="B1833" s="7" t="inlineStr">
        <is>
          <t>Kéderprofil WITHOUTMETAL – fekete, 4,0-6,0 mm</t>
        </is>
      </c>
      <c r="C1833" s="6" t="inlineStr">
        <is>
          <t>Gumi- és kéderprofilok</t>
        </is>
      </c>
      <c r="D1833" s="6" t="inlineStr">
        <is>
          <t>Kéder- és ablakgumi profilok (Gista)</t>
        </is>
      </c>
      <c r="E1833" s="6" t="inlineStr">
        <is>
          <t>Sand-Profile</t>
        </is>
      </c>
      <c r="F1833" s="6" t="inlineStr">
        <is>
          <t>WITHOUTMETAL</t>
        </is>
      </c>
      <c r="G1833" s="6" t="inlineStr">
        <is>
          <t>Teljes kínálat</t>
        </is>
      </c>
      <c r="H1833" s="6" t="n">
        <v>1</v>
      </c>
      <c r="I1833" s="6" t="n">
        <v>3</v>
      </c>
      <c r="J1833" s="6" t="inlineStr">
        <is>
          <t>van</t>
        </is>
      </c>
      <c r="K1833" s="6">
        <f>IF(AND(H1833&gt;0,I1833&gt;0),"Rendben",IF(AND(H1833=0,I1833=0),"Nincs kép és adat",IF(H1833=0,"Nincs kép","Nincs adat")))</f>
        <v/>
      </c>
      <c r="L1833" s="6" t="inlineStr">
        <is>
          <t>Igen</t>
        </is>
      </c>
      <c r="M1833" s="7" t="inlineStr">
        <is>
          <t>Sand-Profile teljes kínálata (gyártói katalógus / weboldal)</t>
        </is>
      </c>
      <c r="N1833" s="7" t="inlineStr">
        <is>
          <t>Megtalálva: a beszállító teljes kínálatából felvett termék</t>
        </is>
      </c>
      <c r="O1833" s="11" t="inlineStr">
        <is>
          <t>https://www.sandprofile.com/media/gesamtkatalog_en.pdf#page=48</t>
        </is>
      </c>
      <c r="P1833" s="11" t="inlineStr">
        <is>
          <t>https://website-9ib.pages.dev/termek/sp-withoutmetal/</t>
        </is>
      </c>
      <c r="Q1833" s="12" t="inlineStr"/>
      <c r="R1833" s="13" t="inlineStr"/>
      <c r="S1833" s="6" t="inlineStr">
        <is>
          <t>sp-withoutmetal</t>
        </is>
      </c>
    </row>
    <row r="1834">
      <c r="A1834" s="6" t="inlineStr">
        <is>
          <t>WITHSLIDINGVARNISH</t>
        </is>
      </c>
      <c r="B1834" s="7" t="inlineStr">
        <is>
          <t>Kéderprofil WITHSLIDINGVARNISH – fekete, 1,0-2,5 mm</t>
        </is>
      </c>
      <c r="C1834" s="6" t="inlineStr">
        <is>
          <t>Gumi- és kéderprofilok</t>
        </is>
      </c>
      <c r="D1834" s="6" t="inlineStr">
        <is>
          <t>Kéder- és ablakgumi profilok (Gista)</t>
        </is>
      </c>
      <c r="E1834" s="6" t="inlineStr">
        <is>
          <t>Sand-Profile</t>
        </is>
      </c>
      <c r="F1834" s="6" t="inlineStr">
        <is>
          <t>WITHSLIDINGVARNISH</t>
        </is>
      </c>
      <c r="G1834" s="6" t="inlineStr">
        <is>
          <t>Teljes kínálat</t>
        </is>
      </c>
      <c r="H1834" s="6" t="n">
        <v>1</v>
      </c>
      <c r="I1834" s="6" t="n">
        <v>3</v>
      </c>
      <c r="J1834" s="6" t="inlineStr">
        <is>
          <t>van</t>
        </is>
      </c>
      <c r="K1834" s="6">
        <f>IF(AND(H1834&gt;0,I1834&gt;0),"Rendben",IF(AND(H1834=0,I1834=0),"Nincs kép és adat",IF(H1834=0,"Nincs kép","Nincs adat")))</f>
        <v/>
      </c>
      <c r="L1834" s="6" t="inlineStr">
        <is>
          <t>Igen</t>
        </is>
      </c>
      <c r="M1834" s="7" t="inlineStr">
        <is>
          <t>Sand-Profile teljes kínálata (gyártói katalógus / weboldal)</t>
        </is>
      </c>
      <c r="N1834" s="7" t="inlineStr">
        <is>
          <t>Megtalálva: a beszállító teljes kínálatából felvett termék</t>
        </is>
      </c>
      <c r="O1834" s="11" t="inlineStr">
        <is>
          <t>https://www.sandprofile.com/media/gesamtkatalog_en.pdf#page=35</t>
        </is>
      </c>
      <c r="P1834" s="11" t="inlineStr">
        <is>
          <t>https://website-9ib.pages.dev/termek/sp-withslidingvarnish/</t>
        </is>
      </c>
      <c r="Q1834" s="12" t="inlineStr"/>
      <c r="R1834" s="13" t="inlineStr"/>
      <c r="S1834" s="6" t="inlineStr">
        <is>
          <t>sp-withslidingvarnish</t>
        </is>
      </c>
    </row>
    <row r="1835">
      <c r="A1835" s="6" t="inlineStr">
        <is>
          <t>D2 193</t>
        </is>
      </c>
      <c r="B1835" s="7" t="inlineStr">
        <is>
          <t>Mono profil D2 193 – fekete</t>
        </is>
      </c>
      <c r="C1835" s="6" t="inlineStr">
        <is>
          <t>Gumi- és kéderprofilok</t>
        </is>
      </c>
      <c r="D1835" s="6" t="inlineStr">
        <is>
          <t>Mono tömítőprofilok</t>
        </is>
      </c>
      <c r="E1835" s="6" t="inlineStr">
        <is>
          <t>Sand-Profile</t>
        </is>
      </c>
      <c r="F1835" s="6" t="inlineStr">
        <is>
          <t>D2 193</t>
        </is>
      </c>
      <c r="G1835" s="6" t="inlineStr">
        <is>
          <t>Teljes kínálat</t>
        </is>
      </c>
      <c r="H1835" s="6" t="n">
        <v>1</v>
      </c>
      <c r="I1835" s="6" t="n">
        <v>3</v>
      </c>
      <c r="J1835" s="6" t="inlineStr">
        <is>
          <t>van</t>
        </is>
      </c>
      <c r="K1835" s="6">
        <f>IF(AND(H1835&gt;0,I1835&gt;0),"Rendben",IF(AND(H1835=0,I1835=0),"Nincs kép és adat",IF(H1835=0,"Nincs kép","Nincs adat")))</f>
        <v/>
      </c>
      <c r="L1835" s="6" t="inlineStr">
        <is>
          <t>Igen</t>
        </is>
      </c>
      <c r="M1835" s="7" t="inlineStr">
        <is>
          <t>Sand-Profile teljes kínálata (gyártói katalógus / weboldal)</t>
        </is>
      </c>
      <c r="N1835" s="7" t="inlineStr">
        <is>
          <t>Megtalálva: a beszállító teljes kínálatából felvett termék</t>
        </is>
      </c>
      <c r="O1835" s="11" t="inlineStr">
        <is>
          <t>https://www.sandprofile.com/media/gesamtkatalog_en.pdf#page=65</t>
        </is>
      </c>
      <c r="P1835" s="11" t="inlineStr">
        <is>
          <t>https://website-9ib.pages.dev/termek/sp-d2-193/</t>
        </is>
      </c>
      <c r="Q1835" s="12" t="inlineStr"/>
      <c r="R1835" s="13" t="inlineStr"/>
      <c r="S1835" s="6" t="inlineStr">
        <is>
          <t>sp-d2-193</t>
        </is>
      </c>
    </row>
    <row r="1836">
      <c r="A1836" s="6" t="inlineStr">
        <is>
          <t>E-D2407</t>
        </is>
      </c>
      <c r="B1836" s="7" t="inlineStr">
        <is>
          <t>Mono profil E-D2407 – fekete</t>
        </is>
      </c>
      <c r="C1836" s="6" t="inlineStr">
        <is>
          <t>Gumi- és kéderprofilok</t>
        </is>
      </c>
      <c r="D1836" s="6" t="inlineStr">
        <is>
          <t>Mono tömítőprofilok</t>
        </is>
      </c>
      <c r="E1836" s="6" t="inlineStr">
        <is>
          <t>Sand-Profile</t>
        </is>
      </c>
      <c r="F1836" s="6" t="inlineStr">
        <is>
          <t>E-D2407</t>
        </is>
      </c>
      <c r="G1836" s="6" t="inlineStr">
        <is>
          <t>Teljes kínálat</t>
        </is>
      </c>
      <c r="H1836" s="6" t="n">
        <v>1</v>
      </c>
      <c r="I1836" s="6" t="n">
        <v>3</v>
      </c>
      <c r="J1836" s="6" t="inlineStr">
        <is>
          <t>van</t>
        </is>
      </c>
      <c r="K1836" s="6">
        <f>IF(AND(H1836&gt;0,I1836&gt;0),"Rendben",IF(AND(H1836=0,I1836=0),"Nincs kép és adat",IF(H1836=0,"Nincs kép","Nincs adat")))</f>
        <v/>
      </c>
      <c r="L1836" s="6" t="inlineStr">
        <is>
          <t>Igen</t>
        </is>
      </c>
      <c r="M1836" s="7" t="inlineStr">
        <is>
          <t>Sand-Profile teljes kínálata (gyártói katalógus / weboldal)</t>
        </is>
      </c>
      <c r="N1836" s="7" t="inlineStr">
        <is>
          <t>Megtalálva: a beszállító teljes kínálatából felvett termék</t>
        </is>
      </c>
      <c r="O1836" s="11" t="inlineStr">
        <is>
          <t>https://www.sandprofile.com/media/gesamtkatalog_en.pdf#page=65</t>
        </is>
      </c>
      <c r="P1836" s="11" t="inlineStr">
        <is>
          <t>https://website-9ib.pages.dev/termek/sp-e-d2407/</t>
        </is>
      </c>
      <c r="Q1836" s="12" t="inlineStr"/>
      <c r="R1836" s="13" t="inlineStr"/>
      <c r="S1836" s="6" t="inlineStr">
        <is>
          <t>sp-e-d2407</t>
        </is>
      </c>
    </row>
    <row r="1837">
      <c r="A1837" s="6" t="inlineStr">
        <is>
          <t>E1 500D</t>
        </is>
      </c>
      <c r="B1837" s="7" t="inlineStr">
        <is>
          <t>Moosgumi profil E1 500D</t>
        </is>
      </c>
      <c r="C1837" s="6" t="inlineStr">
        <is>
          <t>Gumi- és kéderprofilok</t>
        </is>
      </c>
      <c r="D1837" s="6" t="inlineStr">
        <is>
          <t>Moosgumi profilok</t>
        </is>
      </c>
      <c r="E1837" s="6" t="inlineStr">
        <is>
          <t>Sand-Profile</t>
        </is>
      </c>
      <c r="F1837" s="6" t="inlineStr">
        <is>
          <t>E1 500D</t>
        </is>
      </c>
      <c r="G1837" s="6" t="inlineStr">
        <is>
          <t>Teljes kínálat</t>
        </is>
      </c>
      <c r="H1837" s="6" t="n">
        <v>1</v>
      </c>
      <c r="I1837" s="6" t="n">
        <v>0</v>
      </c>
      <c r="J1837" s="6" t="inlineStr">
        <is>
          <t>van</t>
        </is>
      </c>
      <c r="K1837" s="6">
        <f>IF(AND(H1837&gt;0,I1837&gt;0),"Rendben",IF(AND(H1837=0,I1837=0),"Nincs kép és adat",IF(H1837=0,"Nincs kép","Nincs adat")))</f>
        <v/>
      </c>
      <c r="L1837" s="6" t="inlineStr">
        <is>
          <t>Igen</t>
        </is>
      </c>
      <c r="M1837" s="7" t="inlineStr">
        <is>
          <t>Sand-Profile teljes kínálata (gyártói katalógus / weboldal)</t>
        </is>
      </c>
      <c r="N1837" s="7" t="inlineStr">
        <is>
          <t>Megtalálva: a beszállító teljes kínálatából felvett termék</t>
        </is>
      </c>
      <c r="O1837" s="11" t="inlineStr">
        <is>
          <t>https://www.sandprofile.com/media/gesamtkatalog_en.pdf#page=76</t>
        </is>
      </c>
      <c r="P1837" s="11" t="inlineStr">
        <is>
          <t>https://website-9ib.pages.dev/termek/sp-e1-500d/</t>
        </is>
      </c>
      <c r="Q1837" s="12" t="inlineStr"/>
      <c r="R1837" s="13" t="inlineStr"/>
      <c r="S1837" s="6" t="inlineStr">
        <is>
          <t>sp-e1-500d</t>
        </is>
      </c>
    </row>
    <row r="1838">
      <c r="A1838" s="6" t="inlineStr">
        <is>
          <t>E1 501D</t>
        </is>
      </c>
      <c r="B1838" s="7" t="inlineStr">
        <is>
          <t>Moosgumi profil E1 501D</t>
        </is>
      </c>
      <c r="C1838" s="6" t="inlineStr">
        <is>
          <t>Gumi- és kéderprofilok</t>
        </is>
      </c>
      <c r="D1838" s="6" t="inlineStr">
        <is>
          <t>Moosgumi profilok</t>
        </is>
      </c>
      <c r="E1838" s="6" t="inlineStr">
        <is>
          <t>Sand-Profile</t>
        </is>
      </c>
      <c r="F1838" s="6" t="inlineStr">
        <is>
          <t>E1 501D</t>
        </is>
      </c>
      <c r="G1838" s="6" t="inlineStr">
        <is>
          <t>Teljes kínálat</t>
        </is>
      </c>
      <c r="H1838" s="6" t="n">
        <v>1</v>
      </c>
      <c r="I1838" s="6" t="n">
        <v>0</v>
      </c>
      <c r="J1838" s="6" t="inlineStr">
        <is>
          <t>van</t>
        </is>
      </c>
      <c r="K1838" s="6">
        <f>IF(AND(H1838&gt;0,I1838&gt;0),"Rendben",IF(AND(H1838=0,I1838=0),"Nincs kép és adat",IF(H1838=0,"Nincs kép","Nincs adat")))</f>
        <v/>
      </c>
      <c r="L1838" s="6" t="inlineStr">
        <is>
          <t>Igen</t>
        </is>
      </c>
      <c r="M1838" s="7" t="inlineStr">
        <is>
          <t>Sand-Profile teljes kínálata (gyártói katalógus / weboldal)</t>
        </is>
      </c>
      <c r="N1838" s="7" t="inlineStr">
        <is>
          <t>Megtalálva: a beszállító teljes kínálatából felvett termék</t>
        </is>
      </c>
      <c r="O1838" s="11" t="inlineStr">
        <is>
          <t>https://www.sandprofile.com/media/gesamtkatalog_en.pdf#page=76</t>
        </is>
      </c>
      <c r="P1838" s="11" t="inlineStr">
        <is>
          <t>https://website-9ib.pages.dev/termek/sp-e1-501d/</t>
        </is>
      </c>
      <c r="Q1838" s="12" t="inlineStr"/>
      <c r="R1838" s="13" t="inlineStr"/>
      <c r="S1838" s="6" t="inlineStr">
        <is>
          <t>sp-e1-501d</t>
        </is>
      </c>
    </row>
    <row r="1839">
      <c r="A1839" s="6" t="inlineStr">
        <is>
          <t>E1 503D</t>
        </is>
      </c>
      <c r="B1839" s="7" t="inlineStr">
        <is>
          <t>Moosgumi profil E1 503D</t>
        </is>
      </c>
      <c r="C1839" s="6" t="inlineStr">
        <is>
          <t>Gumi- és kéderprofilok</t>
        </is>
      </c>
      <c r="D1839" s="6" t="inlineStr">
        <is>
          <t>Moosgumi profilok</t>
        </is>
      </c>
      <c r="E1839" s="6" t="inlineStr">
        <is>
          <t>Sand-Profile</t>
        </is>
      </c>
      <c r="F1839" s="6" t="inlineStr">
        <is>
          <t>E1 503D</t>
        </is>
      </c>
      <c r="G1839" s="6" t="inlineStr">
        <is>
          <t>Teljes kínálat</t>
        </is>
      </c>
      <c r="H1839" s="6" t="n">
        <v>1</v>
      </c>
      <c r="I1839" s="6" t="n">
        <v>0</v>
      </c>
      <c r="J1839" s="6" t="inlineStr">
        <is>
          <t>van</t>
        </is>
      </c>
      <c r="K1839" s="6">
        <f>IF(AND(H1839&gt;0,I1839&gt;0),"Rendben",IF(AND(H1839=0,I1839=0),"Nincs kép és adat",IF(H1839=0,"Nincs kép","Nincs adat")))</f>
        <v/>
      </c>
      <c r="L1839" s="6" t="inlineStr">
        <is>
          <t>Igen</t>
        </is>
      </c>
      <c r="M1839" s="7" t="inlineStr">
        <is>
          <t>Sand-Profile teljes kínálata (gyártói katalógus / weboldal)</t>
        </is>
      </c>
      <c r="N1839" s="7" t="inlineStr">
        <is>
          <t>Megtalálva: a beszállító teljes kínálatából felvett termék</t>
        </is>
      </c>
      <c r="O1839" s="11" t="inlineStr">
        <is>
          <t>https://www.sandprofile.com/media/gesamtkatalog_en.pdf#page=76</t>
        </is>
      </c>
      <c r="P1839" s="11" t="inlineStr">
        <is>
          <t>https://website-9ib.pages.dev/termek/sp-e1-503d/</t>
        </is>
      </c>
      <c r="Q1839" s="12" t="inlineStr"/>
      <c r="R1839" s="13" t="inlineStr"/>
      <c r="S1839" s="6" t="inlineStr">
        <is>
          <t>sp-e1-503d</t>
        </is>
      </c>
    </row>
    <row r="1840">
      <c r="A1840" s="6" t="inlineStr">
        <is>
          <t>E1 504D</t>
        </is>
      </c>
      <c r="B1840" s="7" t="inlineStr">
        <is>
          <t>Moosgumi profil E1 504D</t>
        </is>
      </c>
      <c r="C1840" s="6" t="inlineStr">
        <is>
          <t>Gumi- és kéderprofilok</t>
        </is>
      </c>
      <c r="D1840" s="6" t="inlineStr">
        <is>
          <t>Moosgumi profilok</t>
        </is>
      </c>
      <c r="E1840" s="6" t="inlineStr">
        <is>
          <t>Sand-Profile</t>
        </is>
      </c>
      <c r="F1840" s="6" t="inlineStr">
        <is>
          <t>E1 504D</t>
        </is>
      </c>
      <c r="G1840" s="6" t="inlineStr">
        <is>
          <t>Teljes kínálat</t>
        </is>
      </c>
      <c r="H1840" s="6" t="n">
        <v>1</v>
      </c>
      <c r="I1840" s="6" t="n">
        <v>0</v>
      </c>
      <c r="J1840" s="6" t="inlineStr">
        <is>
          <t>van</t>
        </is>
      </c>
      <c r="K1840" s="6">
        <f>IF(AND(H1840&gt;0,I1840&gt;0),"Rendben",IF(AND(H1840=0,I1840=0),"Nincs kép és adat",IF(H1840=0,"Nincs kép","Nincs adat")))</f>
        <v/>
      </c>
      <c r="L1840" s="6" t="inlineStr">
        <is>
          <t>Igen</t>
        </is>
      </c>
      <c r="M1840" s="7" t="inlineStr">
        <is>
          <t>Sand-Profile teljes kínálata (gyártói katalógus / weboldal)</t>
        </is>
      </c>
      <c r="N1840" s="7" t="inlineStr">
        <is>
          <t>Megtalálva: a beszállító teljes kínálatából felvett termék</t>
        </is>
      </c>
      <c r="O1840" s="11" t="inlineStr">
        <is>
          <t>https://www.sandprofile.com/media/gesamtkatalog_en.pdf#page=76</t>
        </is>
      </c>
      <c r="P1840" s="11" t="inlineStr">
        <is>
          <t>https://website-9ib.pages.dev/termek/sp-e1-504d/</t>
        </is>
      </c>
      <c r="Q1840" s="12" t="inlineStr"/>
      <c r="R1840" s="13" t="inlineStr"/>
      <c r="S1840" s="6" t="inlineStr">
        <is>
          <t>sp-e1-504d</t>
        </is>
      </c>
    </row>
    <row r="1841">
      <c r="A1841" s="6" t="inlineStr">
        <is>
          <t>E1 506D</t>
        </is>
      </c>
      <c r="B1841" s="7" t="inlineStr">
        <is>
          <t>Moosgumi profil E1 506D</t>
        </is>
      </c>
      <c r="C1841" s="6" t="inlineStr">
        <is>
          <t>Gumi- és kéderprofilok</t>
        </is>
      </c>
      <c r="D1841" s="6" t="inlineStr">
        <is>
          <t>Moosgumi profilok</t>
        </is>
      </c>
      <c r="E1841" s="6" t="inlineStr">
        <is>
          <t>Sand-Profile</t>
        </is>
      </c>
      <c r="F1841" s="6" t="inlineStr">
        <is>
          <t>E1 506D</t>
        </is>
      </c>
      <c r="G1841" s="6" t="inlineStr">
        <is>
          <t>Teljes kínálat</t>
        </is>
      </c>
      <c r="H1841" s="6" t="n">
        <v>1</v>
      </c>
      <c r="I1841" s="6" t="n">
        <v>0</v>
      </c>
      <c r="J1841" s="6" t="inlineStr">
        <is>
          <t>van</t>
        </is>
      </c>
      <c r="K1841" s="6">
        <f>IF(AND(H1841&gt;0,I1841&gt;0),"Rendben",IF(AND(H1841=0,I1841=0),"Nincs kép és adat",IF(H1841=0,"Nincs kép","Nincs adat")))</f>
        <v/>
      </c>
      <c r="L1841" s="6" t="inlineStr">
        <is>
          <t>Igen</t>
        </is>
      </c>
      <c r="M1841" s="7" t="inlineStr">
        <is>
          <t>Sand-Profile teljes kínálata (gyártói katalógus / weboldal)</t>
        </is>
      </c>
      <c r="N1841" s="7" t="inlineStr">
        <is>
          <t>Megtalálva: a beszállító teljes kínálatából felvett termék</t>
        </is>
      </c>
      <c r="O1841" s="11" t="inlineStr">
        <is>
          <t>https://www.sandprofile.com/media/gesamtkatalog_en.pdf#page=76</t>
        </is>
      </c>
      <c r="P1841" s="11" t="inlineStr">
        <is>
          <t>https://website-9ib.pages.dev/termek/sp-e1-506d/</t>
        </is>
      </c>
      <c r="Q1841" s="12" t="inlineStr"/>
      <c r="R1841" s="13" t="inlineStr"/>
      <c r="S1841" s="6" t="inlineStr">
        <is>
          <t>sp-e1-506d</t>
        </is>
      </c>
    </row>
    <row r="1842">
      <c r="A1842" s="6" t="inlineStr">
        <is>
          <t>E1 509D</t>
        </is>
      </c>
      <c r="B1842" s="7" t="inlineStr">
        <is>
          <t>Moosgumi profil E1 509D</t>
        </is>
      </c>
      <c r="C1842" s="6" t="inlineStr">
        <is>
          <t>Gumi- és kéderprofilok</t>
        </is>
      </c>
      <c r="D1842" s="6" t="inlineStr">
        <is>
          <t>Moosgumi profilok</t>
        </is>
      </c>
      <c r="E1842" s="6" t="inlineStr">
        <is>
          <t>Sand-Profile</t>
        </is>
      </c>
      <c r="F1842" s="6" t="inlineStr">
        <is>
          <t>E1 509D</t>
        </is>
      </c>
      <c r="G1842" s="6" t="inlineStr">
        <is>
          <t>Teljes kínálat</t>
        </is>
      </c>
      <c r="H1842" s="6" t="n">
        <v>1</v>
      </c>
      <c r="I1842" s="6" t="n">
        <v>0</v>
      </c>
      <c r="J1842" s="6" t="inlineStr">
        <is>
          <t>van</t>
        </is>
      </c>
      <c r="K1842" s="6">
        <f>IF(AND(H1842&gt;0,I1842&gt;0),"Rendben",IF(AND(H1842=0,I1842=0),"Nincs kép és adat",IF(H1842=0,"Nincs kép","Nincs adat")))</f>
        <v/>
      </c>
      <c r="L1842" s="6" t="inlineStr">
        <is>
          <t>Igen</t>
        </is>
      </c>
      <c r="M1842" s="7" t="inlineStr">
        <is>
          <t>Sand-Profile teljes kínálata (gyártói katalógus / weboldal)</t>
        </is>
      </c>
      <c r="N1842" s="7" t="inlineStr">
        <is>
          <t>Megtalálva: a beszállító teljes kínálatából felvett termék</t>
        </is>
      </c>
      <c r="O1842" s="11" t="inlineStr">
        <is>
          <t>https://www.sandprofile.com/media/gesamtkatalog_en.pdf#page=76</t>
        </is>
      </c>
      <c r="P1842" s="11" t="inlineStr">
        <is>
          <t>https://website-9ib.pages.dev/termek/sp-e1-509d/</t>
        </is>
      </c>
      <c r="Q1842" s="12" t="inlineStr"/>
      <c r="R1842" s="13" t="inlineStr"/>
      <c r="S1842" s="6" t="inlineStr">
        <is>
          <t>sp-e1-509d</t>
        </is>
      </c>
    </row>
    <row r="1843">
      <c r="A1843" s="6" t="inlineStr">
        <is>
          <t>E1 510D</t>
        </is>
      </c>
      <c r="B1843" s="7" t="inlineStr">
        <is>
          <t>Moosgumi profil E1 510D</t>
        </is>
      </c>
      <c r="C1843" s="6" t="inlineStr">
        <is>
          <t>Gumi- és kéderprofilok</t>
        </is>
      </c>
      <c r="D1843" s="6" t="inlineStr">
        <is>
          <t>Moosgumi profilok</t>
        </is>
      </c>
      <c r="E1843" s="6" t="inlineStr">
        <is>
          <t>Sand-Profile</t>
        </is>
      </c>
      <c r="F1843" s="6" t="inlineStr">
        <is>
          <t>E1 510D</t>
        </is>
      </c>
      <c r="G1843" s="6" t="inlineStr">
        <is>
          <t>Teljes kínálat</t>
        </is>
      </c>
      <c r="H1843" s="6" t="n">
        <v>1</v>
      </c>
      <c r="I1843" s="6" t="n">
        <v>0</v>
      </c>
      <c r="J1843" s="6" t="inlineStr">
        <is>
          <t>van</t>
        </is>
      </c>
      <c r="K1843" s="6">
        <f>IF(AND(H1843&gt;0,I1843&gt;0),"Rendben",IF(AND(H1843=0,I1843=0),"Nincs kép és adat",IF(H1843=0,"Nincs kép","Nincs adat")))</f>
        <v/>
      </c>
      <c r="L1843" s="6" t="inlineStr">
        <is>
          <t>Igen</t>
        </is>
      </c>
      <c r="M1843" s="7" t="inlineStr">
        <is>
          <t>Sand-Profile teljes kínálata (gyártói katalógus / weboldal)</t>
        </is>
      </c>
      <c r="N1843" s="7" t="inlineStr">
        <is>
          <t>Megtalálva: a beszállító teljes kínálatából felvett termék</t>
        </is>
      </c>
      <c r="O1843" s="11" t="inlineStr">
        <is>
          <t>https://www.sandprofile.com/media/gesamtkatalog_en.pdf#page=76</t>
        </is>
      </c>
      <c r="P1843" s="11" t="inlineStr">
        <is>
          <t>https://website-9ib.pages.dev/termek/sp-e1-510d/</t>
        </is>
      </c>
      <c r="Q1843" s="12" t="inlineStr"/>
      <c r="R1843" s="13" t="inlineStr"/>
      <c r="S1843" s="6" t="inlineStr">
        <is>
          <t>sp-e1-510d</t>
        </is>
      </c>
    </row>
    <row r="1844">
      <c r="A1844" s="6" t="inlineStr">
        <is>
          <t>E1 511D</t>
        </is>
      </c>
      <c r="B1844" s="7" t="inlineStr">
        <is>
          <t>Moosgumi profil E1 511D</t>
        </is>
      </c>
      <c r="C1844" s="6" t="inlineStr">
        <is>
          <t>Gumi- és kéderprofilok</t>
        </is>
      </c>
      <c r="D1844" s="6" t="inlineStr">
        <is>
          <t>Moosgumi profilok</t>
        </is>
      </c>
      <c r="E1844" s="6" t="inlineStr">
        <is>
          <t>Sand-Profile</t>
        </is>
      </c>
      <c r="F1844" s="6" t="inlineStr">
        <is>
          <t>E1 511D</t>
        </is>
      </c>
      <c r="G1844" s="6" t="inlineStr">
        <is>
          <t>Teljes kínálat</t>
        </is>
      </c>
      <c r="H1844" s="6" t="n">
        <v>1</v>
      </c>
      <c r="I1844" s="6" t="n">
        <v>0</v>
      </c>
      <c r="J1844" s="6" t="inlineStr">
        <is>
          <t>van</t>
        </is>
      </c>
      <c r="K1844" s="6">
        <f>IF(AND(H1844&gt;0,I1844&gt;0),"Rendben",IF(AND(H1844=0,I1844=0),"Nincs kép és adat",IF(H1844=0,"Nincs kép","Nincs adat")))</f>
        <v/>
      </c>
      <c r="L1844" s="6" t="inlineStr">
        <is>
          <t>Igen</t>
        </is>
      </c>
      <c r="M1844" s="7" t="inlineStr">
        <is>
          <t>Sand-Profile teljes kínálata (gyártói katalógus / weboldal)</t>
        </is>
      </c>
      <c r="N1844" s="7" t="inlineStr">
        <is>
          <t>Megtalálva: a beszállító teljes kínálatából felvett termék</t>
        </is>
      </c>
      <c r="O1844" s="11" t="inlineStr">
        <is>
          <t>https://www.sandprofile.com/media/gesamtkatalog_en.pdf#page=76</t>
        </is>
      </c>
      <c r="P1844" s="11" t="inlineStr">
        <is>
          <t>https://website-9ib.pages.dev/termek/sp-e1-511d/</t>
        </is>
      </c>
      <c r="Q1844" s="12" t="inlineStr"/>
      <c r="R1844" s="13" t="inlineStr"/>
      <c r="S1844" s="6" t="inlineStr">
        <is>
          <t>sp-e1-511d</t>
        </is>
      </c>
    </row>
    <row r="1845">
      <c r="A1845" s="6" t="inlineStr">
        <is>
          <t>E1 512D</t>
        </is>
      </c>
      <c r="B1845" s="7" t="inlineStr">
        <is>
          <t>Moosgumi profil E1 512D</t>
        </is>
      </c>
      <c r="C1845" s="6" t="inlineStr">
        <is>
          <t>Gumi- és kéderprofilok</t>
        </is>
      </c>
      <c r="D1845" s="6" t="inlineStr">
        <is>
          <t>Moosgumi profilok</t>
        </is>
      </c>
      <c r="E1845" s="6" t="inlineStr">
        <is>
          <t>Sand-Profile</t>
        </is>
      </c>
      <c r="F1845" s="6" t="inlineStr">
        <is>
          <t>E1 512D</t>
        </is>
      </c>
      <c r="G1845" s="6" t="inlineStr">
        <is>
          <t>Teljes kínálat</t>
        </is>
      </c>
      <c r="H1845" s="6" t="n">
        <v>1</v>
      </c>
      <c r="I1845" s="6" t="n">
        <v>0</v>
      </c>
      <c r="J1845" s="6" t="inlineStr">
        <is>
          <t>van</t>
        </is>
      </c>
      <c r="K1845" s="6">
        <f>IF(AND(H1845&gt;0,I1845&gt;0),"Rendben",IF(AND(H1845=0,I1845=0),"Nincs kép és adat",IF(H1845=0,"Nincs kép","Nincs adat")))</f>
        <v/>
      </c>
      <c r="L1845" s="6" t="inlineStr">
        <is>
          <t>Igen</t>
        </is>
      </c>
      <c r="M1845" s="7" t="inlineStr">
        <is>
          <t>Sand-Profile teljes kínálata (gyártói katalógus / weboldal)</t>
        </is>
      </c>
      <c r="N1845" s="7" t="inlineStr">
        <is>
          <t>Megtalálva: a beszállító teljes kínálatából felvett termék</t>
        </is>
      </c>
      <c r="O1845" s="11" t="inlineStr">
        <is>
          <t>https://www.sandprofile.com/media/gesamtkatalog_en.pdf#page=76</t>
        </is>
      </c>
      <c r="P1845" s="11" t="inlineStr">
        <is>
          <t>https://website-9ib.pages.dev/termek/sp-e1-512d/</t>
        </is>
      </c>
      <c r="Q1845" s="12" t="inlineStr"/>
      <c r="R1845" s="13" t="inlineStr"/>
      <c r="S1845" s="6" t="inlineStr">
        <is>
          <t>sp-e1-512d</t>
        </is>
      </c>
    </row>
    <row r="1846">
      <c r="A1846" s="6" t="inlineStr">
        <is>
          <t>E1 514D</t>
        </is>
      </c>
      <c r="B1846" s="7" t="inlineStr">
        <is>
          <t>Moosgumi profil E1 514D</t>
        </is>
      </c>
      <c r="C1846" s="6" t="inlineStr">
        <is>
          <t>Gumi- és kéderprofilok</t>
        </is>
      </c>
      <c r="D1846" s="6" t="inlineStr">
        <is>
          <t>Moosgumi profilok</t>
        </is>
      </c>
      <c r="E1846" s="6" t="inlineStr">
        <is>
          <t>Sand-Profile</t>
        </is>
      </c>
      <c r="F1846" s="6" t="inlineStr">
        <is>
          <t>E1 514D</t>
        </is>
      </c>
      <c r="G1846" s="6" t="inlineStr">
        <is>
          <t>Teljes kínálat</t>
        </is>
      </c>
      <c r="H1846" s="6" t="n">
        <v>1</v>
      </c>
      <c r="I1846" s="6" t="n">
        <v>0</v>
      </c>
      <c r="J1846" s="6" t="inlineStr">
        <is>
          <t>van</t>
        </is>
      </c>
      <c r="K1846" s="6">
        <f>IF(AND(H1846&gt;0,I1846&gt;0),"Rendben",IF(AND(H1846=0,I1846=0),"Nincs kép és adat",IF(H1846=0,"Nincs kép","Nincs adat")))</f>
        <v/>
      </c>
      <c r="L1846" s="6" t="inlineStr">
        <is>
          <t>Igen</t>
        </is>
      </c>
      <c r="M1846" s="7" t="inlineStr">
        <is>
          <t>Sand-Profile teljes kínálata (gyártói katalógus / weboldal)</t>
        </is>
      </c>
      <c r="N1846" s="7" t="inlineStr">
        <is>
          <t>Megtalálva: a beszállító teljes kínálatából felvett termék</t>
        </is>
      </c>
      <c r="O1846" s="11" t="inlineStr">
        <is>
          <t>https://www.sandprofile.com/media/gesamtkatalog_en.pdf#page=76</t>
        </is>
      </c>
      <c r="P1846" s="11" t="inlineStr">
        <is>
          <t>https://website-9ib.pages.dev/termek/sp-e1-514d/</t>
        </is>
      </c>
      <c r="Q1846" s="12" t="inlineStr"/>
      <c r="R1846" s="13" t="inlineStr"/>
      <c r="S1846" s="6" t="inlineStr">
        <is>
          <t>sp-e1-514d</t>
        </is>
      </c>
    </row>
    <row r="1847">
      <c r="A1847" s="6" t="inlineStr">
        <is>
          <t>E1 515D</t>
        </is>
      </c>
      <c r="B1847" s="7" t="inlineStr">
        <is>
          <t>Moosgumi profil E1 515D</t>
        </is>
      </c>
      <c r="C1847" s="6" t="inlineStr">
        <is>
          <t>Gumi- és kéderprofilok</t>
        </is>
      </c>
      <c r="D1847" s="6" t="inlineStr">
        <is>
          <t>Moosgumi profilok</t>
        </is>
      </c>
      <c r="E1847" s="6" t="inlineStr">
        <is>
          <t>Sand-Profile</t>
        </is>
      </c>
      <c r="F1847" s="6" t="inlineStr">
        <is>
          <t>E1 515D</t>
        </is>
      </c>
      <c r="G1847" s="6" t="inlineStr">
        <is>
          <t>Teljes kínálat</t>
        </is>
      </c>
      <c r="H1847" s="6" t="n">
        <v>1</v>
      </c>
      <c r="I1847" s="6" t="n">
        <v>0</v>
      </c>
      <c r="J1847" s="6" t="inlineStr">
        <is>
          <t>van</t>
        </is>
      </c>
      <c r="K1847" s="6">
        <f>IF(AND(H1847&gt;0,I1847&gt;0),"Rendben",IF(AND(H1847=0,I1847=0),"Nincs kép és adat",IF(H1847=0,"Nincs kép","Nincs adat")))</f>
        <v/>
      </c>
      <c r="L1847" s="6" t="inlineStr">
        <is>
          <t>Igen</t>
        </is>
      </c>
      <c r="M1847" s="7" t="inlineStr">
        <is>
          <t>Sand-Profile teljes kínálata (gyártói katalógus / weboldal)</t>
        </is>
      </c>
      <c r="N1847" s="7" t="inlineStr">
        <is>
          <t>Megtalálva: a beszállító teljes kínálatából felvett termék</t>
        </is>
      </c>
      <c r="O1847" s="11" t="inlineStr">
        <is>
          <t>https://www.sandprofile.com/media/gesamtkatalog_en.pdf#page=76</t>
        </is>
      </c>
      <c r="P1847" s="11" t="inlineStr">
        <is>
          <t>https://website-9ib.pages.dev/termek/sp-e1-515d/</t>
        </is>
      </c>
      <c r="Q1847" s="12" t="inlineStr"/>
      <c r="R1847" s="13" t="inlineStr"/>
      <c r="S1847" s="6" t="inlineStr">
        <is>
          <t>sp-e1-515d</t>
        </is>
      </c>
    </row>
    <row r="1848">
      <c r="A1848" s="6" t="inlineStr">
        <is>
          <t>E1 516D</t>
        </is>
      </c>
      <c r="B1848" s="7" t="inlineStr">
        <is>
          <t>Moosgumi profil E1 516D</t>
        </is>
      </c>
      <c r="C1848" s="6" t="inlineStr">
        <is>
          <t>Gumi- és kéderprofilok</t>
        </is>
      </c>
      <c r="D1848" s="6" t="inlineStr">
        <is>
          <t>Moosgumi profilok</t>
        </is>
      </c>
      <c r="E1848" s="6" t="inlineStr">
        <is>
          <t>Sand-Profile</t>
        </is>
      </c>
      <c r="F1848" s="6" t="inlineStr">
        <is>
          <t>E1 516D</t>
        </is>
      </c>
      <c r="G1848" s="6" t="inlineStr">
        <is>
          <t>Teljes kínálat</t>
        </is>
      </c>
      <c r="H1848" s="6" t="n">
        <v>1</v>
      </c>
      <c r="I1848" s="6" t="n">
        <v>0</v>
      </c>
      <c r="J1848" s="6" t="inlineStr">
        <is>
          <t>van</t>
        </is>
      </c>
      <c r="K1848" s="6">
        <f>IF(AND(H1848&gt;0,I1848&gt;0),"Rendben",IF(AND(H1848=0,I1848=0),"Nincs kép és adat",IF(H1848=0,"Nincs kép","Nincs adat")))</f>
        <v/>
      </c>
      <c r="L1848" s="6" t="inlineStr">
        <is>
          <t>Igen</t>
        </is>
      </c>
      <c r="M1848" s="7" t="inlineStr">
        <is>
          <t>Sand-Profile teljes kínálata (gyártói katalógus / weboldal)</t>
        </is>
      </c>
      <c r="N1848" s="7" t="inlineStr">
        <is>
          <t>Megtalálva: a beszállító teljes kínálatából felvett termék</t>
        </is>
      </c>
      <c r="O1848" s="11" t="inlineStr">
        <is>
          <t>https://www.sandprofile.com/media/gesamtkatalog_en.pdf#page=76</t>
        </is>
      </c>
      <c r="P1848" s="11" t="inlineStr">
        <is>
          <t>https://website-9ib.pages.dev/termek/sp-e1-516d/</t>
        </is>
      </c>
      <c r="Q1848" s="12" t="inlineStr"/>
      <c r="R1848" s="13" t="inlineStr"/>
      <c r="S1848" s="6" t="inlineStr">
        <is>
          <t>sp-e1-516d</t>
        </is>
      </c>
    </row>
    <row r="1849">
      <c r="A1849" s="6" t="inlineStr">
        <is>
          <t>E1 517D</t>
        </is>
      </c>
      <c r="B1849" s="7" t="inlineStr">
        <is>
          <t>Moosgumi profil E1 517D</t>
        </is>
      </c>
      <c r="C1849" s="6" t="inlineStr">
        <is>
          <t>Gumi- és kéderprofilok</t>
        </is>
      </c>
      <c r="D1849" s="6" t="inlineStr">
        <is>
          <t>Moosgumi profilok</t>
        </is>
      </c>
      <c r="E1849" s="6" t="inlineStr">
        <is>
          <t>Sand-Profile</t>
        </is>
      </c>
      <c r="F1849" s="6" t="inlineStr">
        <is>
          <t>E1 517D</t>
        </is>
      </c>
      <c r="G1849" s="6" t="inlineStr">
        <is>
          <t>Teljes kínálat</t>
        </is>
      </c>
      <c r="H1849" s="6" t="n">
        <v>1</v>
      </c>
      <c r="I1849" s="6" t="n">
        <v>0</v>
      </c>
      <c r="J1849" s="6" t="inlineStr">
        <is>
          <t>van</t>
        </is>
      </c>
      <c r="K1849" s="6">
        <f>IF(AND(H1849&gt;0,I1849&gt;0),"Rendben",IF(AND(H1849=0,I1849=0),"Nincs kép és adat",IF(H1849=0,"Nincs kép","Nincs adat")))</f>
        <v/>
      </c>
      <c r="L1849" s="6" t="inlineStr">
        <is>
          <t>Igen</t>
        </is>
      </c>
      <c r="M1849" s="7" t="inlineStr">
        <is>
          <t>Sand-Profile teljes kínálata (gyártói katalógus / weboldal)</t>
        </is>
      </c>
      <c r="N1849" s="7" t="inlineStr">
        <is>
          <t>Megtalálva: a beszállító teljes kínálatából felvett termék</t>
        </is>
      </c>
      <c r="O1849" s="11" t="inlineStr">
        <is>
          <t>https://www.sandprofile.com/media/gesamtkatalog_en.pdf#page=76</t>
        </is>
      </c>
      <c r="P1849" s="11" t="inlineStr">
        <is>
          <t>https://website-9ib.pages.dev/termek/sp-e1-517d/</t>
        </is>
      </c>
      <c r="Q1849" s="12" t="inlineStr"/>
      <c r="R1849" s="13" t="inlineStr"/>
      <c r="S1849" s="6" t="inlineStr">
        <is>
          <t>sp-e1-517d</t>
        </is>
      </c>
    </row>
    <row r="1850">
      <c r="A1850" s="6" t="inlineStr">
        <is>
          <t>E1 519D</t>
        </is>
      </c>
      <c r="B1850" s="7" t="inlineStr">
        <is>
          <t>Moosgumi profil E1 519D</t>
        </is>
      </c>
      <c r="C1850" s="6" t="inlineStr">
        <is>
          <t>Gumi- és kéderprofilok</t>
        </is>
      </c>
      <c r="D1850" s="6" t="inlineStr">
        <is>
          <t>Moosgumi profilok</t>
        </is>
      </c>
      <c r="E1850" s="6" t="inlineStr">
        <is>
          <t>Sand-Profile</t>
        </is>
      </c>
      <c r="F1850" s="6" t="inlineStr">
        <is>
          <t>E1 519D</t>
        </is>
      </c>
      <c r="G1850" s="6" t="inlineStr">
        <is>
          <t>Teljes kínálat</t>
        </is>
      </c>
      <c r="H1850" s="6" t="n">
        <v>1</v>
      </c>
      <c r="I1850" s="6" t="n">
        <v>0</v>
      </c>
      <c r="J1850" s="6" t="inlineStr">
        <is>
          <t>van</t>
        </is>
      </c>
      <c r="K1850" s="6">
        <f>IF(AND(H1850&gt;0,I1850&gt;0),"Rendben",IF(AND(H1850=0,I1850=0),"Nincs kép és adat",IF(H1850=0,"Nincs kép","Nincs adat")))</f>
        <v/>
      </c>
      <c r="L1850" s="6" t="inlineStr">
        <is>
          <t>Igen</t>
        </is>
      </c>
      <c r="M1850" s="7" t="inlineStr">
        <is>
          <t>Sand-Profile teljes kínálata (gyártói katalógus / weboldal)</t>
        </is>
      </c>
      <c r="N1850" s="7" t="inlineStr">
        <is>
          <t>Megtalálva: a beszállító teljes kínálatából felvett termék</t>
        </is>
      </c>
      <c r="O1850" s="11" t="inlineStr">
        <is>
          <t>https://www.sandprofile.com/media/gesamtkatalog_en.pdf#page=76</t>
        </is>
      </c>
      <c r="P1850" s="11" t="inlineStr">
        <is>
          <t>https://website-9ib.pages.dev/termek/sp-e1-519d/</t>
        </is>
      </c>
      <c r="Q1850" s="12" t="inlineStr"/>
      <c r="R1850" s="13" t="inlineStr"/>
      <c r="S1850" s="6" t="inlineStr">
        <is>
          <t>sp-e1-519d</t>
        </is>
      </c>
    </row>
    <row r="1851">
      <c r="A1851" s="6" t="inlineStr">
        <is>
          <t>E1 520D</t>
        </is>
      </c>
      <c r="B1851" s="7" t="inlineStr">
        <is>
          <t>Moosgumi profil E1 520D</t>
        </is>
      </c>
      <c r="C1851" s="6" t="inlineStr">
        <is>
          <t>Gumi- és kéderprofilok</t>
        </is>
      </c>
      <c r="D1851" s="6" t="inlineStr">
        <is>
          <t>Moosgumi profilok</t>
        </is>
      </c>
      <c r="E1851" s="6" t="inlineStr">
        <is>
          <t>Sand-Profile</t>
        </is>
      </c>
      <c r="F1851" s="6" t="inlineStr">
        <is>
          <t>E1 520D</t>
        </is>
      </c>
      <c r="G1851" s="6" t="inlineStr">
        <is>
          <t>Teljes kínálat</t>
        </is>
      </c>
      <c r="H1851" s="6" t="n">
        <v>1</v>
      </c>
      <c r="I1851" s="6" t="n">
        <v>0</v>
      </c>
      <c r="J1851" s="6" t="inlineStr">
        <is>
          <t>van</t>
        </is>
      </c>
      <c r="K1851" s="6">
        <f>IF(AND(H1851&gt;0,I1851&gt;0),"Rendben",IF(AND(H1851=0,I1851=0),"Nincs kép és adat",IF(H1851=0,"Nincs kép","Nincs adat")))</f>
        <v/>
      </c>
      <c r="L1851" s="6" t="inlineStr">
        <is>
          <t>Igen</t>
        </is>
      </c>
      <c r="M1851" s="7" t="inlineStr">
        <is>
          <t>Sand-Profile teljes kínálata (gyártói katalógus / weboldal)</t>
        </is>
      </c>
      <c r="N1851" s="7" t="inlineStr">
        <is>
          <t>Megtalálva: a beszállító teljes kínálatából felvett termék</t>
        </is>
      </c>
      <c r="O1851" s="11" t="inlineStr">
        <is>
          <t>https://www.sandprofile.com/media/gesamtkatalog_en.pdf#page=76</t>
        </is>
      </c>
      <c r="P1851" s="11" t="inlineStr">
        <is>
          <t>https://website-9ib.pages.dev/termek/sp-e1-520d/</t>
        </is>
      </c>
      <c r="Q1851" s="12" t="inlineStr"/>
      <c r="R1851" s="13" t="inlineStr"/>
      <c r="S1851" s="6" t="inlineStr">
        <is>
          <t>sp-e1-520d</t>
        </is>
      </c>
    </row>
    <row r="1852">
      <c r="A1852" s="6" t="inlineStr">
        <is>
          <t>E1 521D</t>
        </is>
      </c>
      <c r="B1852" s="7" t="inlineStr">
        <is>
          <t>Moosgumi profil E1 521D</t>
        </is>
      </c>
      <c r="C1852" s="6" t="inlineStr">
        <is>
          <t>Gumi- és kéderprofilok</t>
        </is>
      </c>
      <c r="D1852" s="6" t="inlineStr">
        <is>
          <t>Moosgumi profilok</t>
        </is>
      </c>
      <c r="E1852" s="6" t="inlineStr">
        <is>
          <t>Sand-Profile</t>
        </is>
      </c>
      <c r="F1852" s="6" t="inlineStr">
        <is>
          <t>E1 521D</t>
        </is>
      </c>
      <c r="G1852" s="6" t="inlineStr">
        <is>
          <t>Teljes kínálat</t>
        </is>
      </c>
      <c r="H1852" s="6" t="n">
        <v>1</v>
      </c>
      <c r="I1852" s="6" t="n">
        <v>0</v>
      </c>
      <c r="J1852" s="6" t="inlineStr">
        <is>
          <t>van</t>
        </is>
      </c>
      <c r="K1852" s="6">
        <f>IF(AND(H1852&gt;0,I1852&gt;0),"Rendben",IF(AND(H1852=0,I1852=0),"Nincs kép és adat",IF(H1852=0,"Nincs kép","Nincs adat")))</f>
        <v/>
      </c>
      <c r="L1852" s="6" t="inlineStr">
        <is>
          <t>Igen</t>
        </is>
      </c>
      <c r="M1852" s="7" t="inlineStr">
        <is>
          <t>Sand-Profile teljes kínálata (gyártói katalógus / weboldal)</t>
        </is>
      </c>
      <c r="N1852" s="7" t="inlineStr">
        <is>
          <t>Megtalálva: a beszállító teljes kínálatából felvett termék</t>
        </is>
      </c>
      <c r="O1852" s="11" t="inlineStr">
        <is>
          <t>https://www.sandprofile.com/media/gesamtkatalog_en.pdf#page=76</t>
        </is>
      </c>
      <c r="P1852" s="11" t="inlineStr">
        <is>
          <t>https://website-9ib.pages.dev/termek/sp-e1-521d/</t>
        </is>
      </c>
      <c r="Q1852" s="12" t="inlineStr"/>
      <c r="R1852" s="13" t="inlineStr"/>
      <c r="S1852" s="6" t="inlineStr">
        <is>
          <t>sp-e1-521d</t>
        </is>
      </c>
    </row>
    <row r="1853">
      <c r="A1853" s="6" t="inlineStr">
        <is>
          <t>E1 522D</t>
        </is>
      </c>
      <c r="B1853" s="7" t="inlineStr">
        <is>
          <t>Moosgumi profil E1 522D</t>
        </is>
      </c>
      <c r="C1853" s="6" t="inlineStr">
        <is>
          <t>Gumi- és kéderprofilok</t>
        </is>
      </c>
      <c r="D1853" s="6" t="inlineStr">
        <is>
          <t>Moosgumi profilok</t>
        </is>
      </c>
      <c r="E1853" s="6" t="inlineStr">
        <is>
          <t>Sand-Profile</t>
        </is>
      </c>
      <c r="F1853" s="6" t="inlineStr">
        <is>
          <t>E1 522D</t>
        </is>
      </c>
      <c r="G1853" s="6" t="inlineStr">
        <is>
          <t>Teljes kínálat</t>
        </is>
      </c>
      <c r="H1853" s="6" t="n">
        <v>1</v>
      </c>
      <c r="I1853" s="6" t="n">
        <v>0</v>
      </c>
      <c r="J1853" s="6" t="inlineStr">
        <is>
          <t>van</t>
        </is>
      </c>
      <c r="K1853" s="6">
        <f>IF(AND(H1853&gt;0,I1853&gt;0),"Rendben",IF(AND(H1853=0,I1853=0),"Nincs kép és adat",IF(H1853=0,"Nincs kép","Nincs adat")))</f>
        <v/>
      </c>
      <c r="L1853" s="6" t="inlineStr">
        <is>
          <t>Igen</t>
        </is>
      </c>
      <c r="M1853" s="7" t="inlineStr">
        <is>
          <t>Sand-Profile teljes kínálata (gyártói katalógus / weboldal)</t>
        </is>
      </c>
      <c r="N1853" s="7" t="inlineStr">
        <is>
          <t>Megtalálva: a beszállító teljes kínálatából felvett termék</t>
        </is>
      </c>
      <c r="O1853" s="11" t="inlineStr">
        <is>
          <t>https://www.sandprofile.com/media/gesamtkatalog_en.pdf#page=76</t>
        </is>
      </c>
      <c r="P1853" s="11" t="inlineStr">
        <is>
          <t>https://website-9ib.pages.dev/termek/sp-e1-522d/</t>
        </is>
      </c>
      <c r="Q1853" s="12" t="inlineStr"/>
      <c r="R1853" s="13" t="inlineStr"/>
      <c r="S1853" s="6" t="inlineStr">
        <is>
          <t>sp-e1-522d</t>
        </is>
      </c>
    </row>
    <row r="1854">
      <c r="A1854" s="6" t="inlineStr">
        <is>
          <t>E1 523D</t>
        </is>
      </c>
      <c r="B1854" s="7" t="inlineStr">
        <is>
          <t>Moosgumi profil E1 523D</t>
        </is>
      </c>
      <c r="C1854" s="6" t="inlineStr">
        <is>
          <t>Gumi- és kéderprofilok</t>
        </is>
      </c>
      <c r="D1854" s="6" t="inlineStr">
        <is>
          <t>Moosgumi profilok</t>
        </is>
      </c>
      <c r="E1854" s="6" t="inlineStr">
        <is>
          <t>Sand-Profile</t>
        </is>
      </c>
      <c r="F1854" s="6" t="inlineStr">
        <is>
          <t>E1 523D</t>
        </is>
      </c>
      <c r="G1854" s="6" t="inlineStr">
        <is>
          <t>Teljes kínálat</t>
        </is>
      </c>
      <c r="H1854" s="6" t="n">
        <v>1</v>
      </c>
      <c r="I1854" s="6" t="n">
        <v>0</v>
      </c>
      <c r="J1854" s="6" t="inlineStr">
        <is>
          <t>van</t>
        </is>
      </c>
      <c r="K1854" s="6">
        <f>IF(AND(H1854&gt;0,I1854&gt;0),"Rendben",IF(AND(H1854=0,I1854=0),"Nincs kép és adat",IF(H1854=0,"Nincs kép","Nincs adat")))</f>
        <v/>
      </c>
      <c r="L1854" s="6" t="inlineStr">
        <is>
          <t>Igen</t>
        </is>
      </c>
      <c r="M1854" s="7" t="inlineStr">
        <is>
          <t>Sand-Profile teljes kínálata (gyártói katalógus / weboldal)</t>
        </is>
      </c>
      <c r="N1854" s="7" t="inlineStr">
        <is>
          <t>Megtalálva: a beszállító teljes kínálatából felvett termék</t>
        </is>
      </c>
      <c r="O1854" s="11" t="inlineStr">
        <is>
          <t>https://www.sandprofile.com/media/gesamtkatalog_en.pdf#page=76</t>
        </is>
      </c>
      <c r="P1854" s="11" t="inlineStr">
        <is>
          <t>https://website-9ib.pages.dev/termek/sp-e1-523d/</t>
        </is>
      </c>
      <c r="Q1854" s="12" t="inlineStr"/>
      <c r="R1854" s="13" t="inlineStr"/>
      <c r="S1854" s="6" t="inlineStr">
        <is>
          <t>sp-e1-523d</t>
        </is>
      </c>
    </row>
    <row r="1855">
      <c r="A1855" s="6" t="inlineStr">
        <is>
          <t>E1 524D</t>
        </is>
      </c>
      <c r="B1855" s="7" t="inlineStr">
        <is>
          <t>Moosgumi profil E1 524D</t>
        </is>
      </c>
      <c r="C1855" s="6" t="inlineStr">
        <is>
          <t>Gumi- és kéderprofilok</t>
        </is>
      </c>
      <c r="D1855" s="6" t="inlineStr">
        <is>
          <t>Moosgumi profilok</t>
        </is>
      </c>
      <c r="E1855" s="6" t="inlineStr">
        <is>
          <t>Sand-Profile</t>
        </is>
      </c>
      <c r="F1855" s="6" t="inlineStr">
        <is>
          <t>E1 524D</t>
        </is>
      </c>
      <c r="G1855" s="6" t="inlineStr">
        <is>
          <t>Teljes kínálat</t>
        </is>
      </c>
      <c r="H1855" s="6" t="n">
        <v>1</v>
      </c>
      <c r="I1855" s="6" t="n">
        <v>0</v>
      </c>
      <c r="J1855" s="6" t="inlineStr">
        <is>
          <t>van</t>
        </is>
      </c>
      <c r="K1855" s="6">
        <f>IF(AND(H1855&gt;0,I1855&gt;0),"Rendben",IF(AND(H1855=0,I1855=0),"Nincs kép és adat",IF(H1855=0,"Nincs kép","Nincs adat")))</f>
        <v/>
      </c>
      <c r="L1855" s="6" t="inlineStr">
        <is>
          <t>Igen</t>
        </is>
      </c>
      <c r="M1855" s="7" t="inlineStr">
        <is>
          <t>Sand-Profile teljes kínálata (gyártói katalógus / weboldal)</t>
        </is>
      </c>
      <c r="N1855" s="7" t="inlineStr">
        <is>
          <t>Megtalálva: a beszállító teljes kínálatából felvett termék</t>
        </is>
      </c>
      <c r="O1855" s="11" t="inlineStr">
        <is>
          <t>https://www.sandprofile.com/media/gesamtkatalog_en.pdf#page=76</t>
        </is>
      </c>
      <c r="P1855" s="11" t="inlineStr">
        <is>
          <t>https://website-9ib.pages.dev/termek/sp-e1-524d/</t>
        </is>
      </c>
      <c r="Q1855" s="12" t="inlineStr"/>
      <c r="R1855" s="13" t="inlineStr"/>
      <c r="S1855" s="6" t="inlineStr">
        <is>
          <t>sp-e1-524d</t>
        </is>
      </c>
    </row>
    <row r="1856">
      <c r="A1856" s="6" t="inlineStr">
        <is>
          <t>E1 525D</t>
        </is>
      </c>
      <c r="B1856" s="7" t="inlineStr">
        <is>
          <t>Moosgumi profil E1 525D</t>
        </is>
      </c>
      <c r="C1856" s="6" t="inlineStr">
        <is>
          <t>Gumi- és kéderprofilok</t>
        </is>
      </c>
      <c r="D1856" s="6" t="inlineStr">
        <is>
          <t>Moosgumi profilok</t>
        </is>
      </c>
      <c r="E1856" s="6" t="inlineStr">
        <is>
          <t>Sand-Profile</t>
        </is>
      </c>
      <c r="F1856" s="6" t="inlineStr">
        <is>
          <t>E1 525D</t>
        </is>
      </c>
      <c r="G1856" s="6" t="inlineStr">
        <is>
          <t>Teljes kínálat</t>
        </is>
      </c>
      <c r="H1856" s="6" t="n">
        <v>1</v>
      </c>
      <c r="I1856" s="6" t="n">
        <v>0</v>
      </c>
      <c r="J1856" s="6" t="inlineStr">
        <is>
          <t>van</t>
        </is>
      </c>
      <c r="K1856" s="6">
        <f>IF(AND(H1856&gt;0,I1856&gt;0),"Rendben",IF(AND(H1856=0,I1856=0),"Nincs kép és adat",IF(H1856=0,"Nincs kép","Nincs adat")))</f>
        <v/>
      </c>
      <c r="L1856" s="6" t="inlineStr">
        <is>
          <t>Igen</t>
        </is>
      </c>
      <c r="M1856" s="7" t="inlineStr">
        <is>
          <t>Sand-Profile teljes kínálata (gyártói katalógus / weboldal)</t>
        </is>
      </c>
      <c r="N1856" s="7" t="inlineStr">
        <is>
          <t>Megtalálva: a beszállító teljes kínálatából felvett termék</t>
        </is>
      </c>
      <c r="O1856" s="11" t="inlineStr">
        <is>
          <t>https://www.sandprofile.com/media/gesamtkatalog_en.pdf#page=76</t>
        </is>
      </c>
      <c r="P1856" s="11" t="inlineStr">
        <is>
          <t>https://website-9ib.pages.dev/termek/sp-e1-525d/</t>
        </is>
      </c>
      <c r="Q1856" s="12" t="inlineStr"/>
      <c r="R1856" s="13" t="inlineStr"/>
      <c r="S1856" s="6" t="inlineStr">
        <is>
          <t>sp-e1-525d</t>
        </is>
      </c>
    </row>
    <row r="1857">
      <c r="A1857" s="6" t="inlineStr">
        <is>
          <t>E1 526D</t>
        </is>
      </c>
      <c r="B1857" s="7" t="inlineStr">
        <is>
          <t>Moosgumi profil E1 526D</t>
        </is>
      </c>
      <c r="C1857" s="6" t="inlineStr">
        <is>
          <t>Gumi- és kéderprofilok</t>
        </is>
      </c>
      <c r="D1857" s="6" t="inlineStr">
        <is>
          <t>Moosgumi profilok</t>
        </is>
      </c>
      <c r="E1857" s="6" t="inlineStr">
        <is>
          <t>Sand-Profile</t>
        </is>
      </c>
      <c r="F1857" s="6" t="inlineStr">
        <is>
          <t>E1 526D</t>
        </is>
      </c>
      <c r="G1857" s="6" t="inlineStr">
        <is>
          <t>Teljes kínálat</t>
        </is>
      </c>
      <c r="H1857" s="6" t="n">
        <v>1</v>
      </c>
      <c r="I1857" s="6" t="n">
        <v>0</v>
      </c>
      <c r="J1857" s="6" t="inlineStr">
        <is>
          <t>van</t>
        </is>
      </c>
      <c r="K1857" s="6">
        <f>IF(AND(H1857&gt;0,I1857&gt;0),"Rendben",IF(AND(H1857=0,I1857=0),"Nincs kép és adat",IF(H1857=0,"Nincs kép","Nincs adat")))</f>
        <v/>
      </c>
      <c r="L1857" s="6" t="inlineStr">
        <is>
          <t>Igen</t>
        </is>
      </c>
      <c r="M1857" s="7" t="inlineStr">
        <is>
          <t>Sand-Profile teljes kínálata (gyártói katalógus / weboldal)</t>
        </is>
      </c>
      <c r="N1857" s="7" t="inlineStr">
        <is>
          <t>Megtalálva: a beszállító teljes kínálatából felvett termék</t>
        </is>
      </c>
      <c r="O1857" s="11" t="inlineStr">
        <is>
          <t>https://www.sandprofile.com/media/gesamtkatalog_en.pdf#page=76</t>
        </is>
      </c>
      <c r="P1857" s="11" t="inlineStr">
        <is>
          <t>https://website-9ib.pages.dev/termek/sp-e1-526d/</t>
        </is>
      </c>
      <c r="Q1857" s="12" t="inlineStr"/>
      <c r="R1857" s="13" t="inlineStr"/>
      <c r="S1857" s="6" t="inlineStr">
        <is>
          <t>sp-e1-526d</t>
        </is>
      </c>
    </row>
    <row r="1858">
      <c r="A1858" s="6" t="inlineStr">
        <is>
          <t>E1 530D</t>
        </is>
      </c>
      <c r="B1858" s="7" t="inlineStr">
        <is>
          <t>Moosgumi profil E1 530D</t>
        </is>
      </c>
      <c r="C1858" s="6" t="inlineStr">
        <is>
          <t>Gumi- és kéderprofilok</t>
        </is>
      </c>
      <c r="D1858" s="6" t="inlineStr">
        <is>
          <t>Moosgumi profilok</t>
        </is>
      </c>
      <c r="E1858" s="6" t="inlineStr">
        <is>
          <t>Sand-Profile</t>
        </is>
      </c>
      <c r="F1858" s="6" t="inlineStr">
        <is>
          <t>E1 530D</t>
        </is>
      </c>
      <c r="G1858" s="6" t="inlineStr">
        <is>
          <t>Teljes kínálat</t>
        </is>
      </c>
      <c r="H1858" s="6" t="n">
        <v>1</v>
      </c>
      <c r="I1858" s="6" t="n">
        <v>0</v>
      </c>
      <c r="J1858" s="6" t="inlineStr">
        <is>
          <t>van</t>
        </is>
      </c>
      <c r="K1858" s="6">
        <f>IF(AND(H1858&gt;0,I1858&gt;0),"Rendben",IF(AND(H1858=0,I1858=0),"Nincs kép és adat",IF(H1858=0,"Nincs kép","Nincs adat")))</f>
        <v/>
      </c>
      <c r="L1858" s="6" t="inlineStr">
        <is>
          <t>Igen</t>
        </is>
      </c>
      <c r="M1858" s="7" t="inlineStr">
        <is>
          <t>Sand-Profile teljes kínálata (gyártói katalógus / weboldal)</t>
        </is>
      </c>
      <c r="N1858" s="7" t="inlineStr">
        <is>
          <t>Megtalálva: a beszállító teljes kínálatából felvett termék</t>
        </is>
      </c>
      <c r="O1858" s="11" t="inlineStr">
        <is>
          <t>https://www.sandprofile.com/media/gesamtkatalog_en.pdf#page=76</t>
        </is>
      </c>
      <c r="P1858" s="11" t="inlineStr">
        <is>
          <t>https://website-9ib.pages.dev/termek/sp-e1-530d/</t>
        </is>
      </c>
      <c r="Q1858" s="12" t="inlineStr"/>
      <c r="R1858" s="13" t="inlineStr"/>
      <c r="S1858" s="6" t="inlineStr">
        <is>
          <t>sp-e1-530d</t>
        </is>
      </c>
    </row>
    <row r="1859">
      <c r="A1859" s="6" t="inlineStr">
        <is>
          <t>D1 135</t>
        </is>
      </c>
      <c r="B1859" s="7" t="inlineStr">
        <is>
          <t>Ujjvédő profil D1 135 – fekete</t>
        </is>
      </c>
      <c r="C1859" s="6" t="inlineStr">
        <is>
          <t>Gumi- és kéderprofilok</t>
        </is>
      </c>
      <c r="D1859" s="6" t="inlineStr">
        <is>
          <t>Ujjvédő profilok</t>
        </is>
      </c>
      <c r="E1859" s="6" t="inlineStr">
        <is>
          <t>Sand-Profile</t>
        </is>
      </c>
      <c r="F1859" s="6" t="inlineStr">
        <is>
          <t>D1 135</t>
        </is>
      </c>
      <c r="G1859" s="6" t="inlineStr">
        <is>
          <t>Teljes kínálat</t>
        </is>
      </c>
      <c r="H1859" s="6" t="n">
        <v>1</v>
      </c>
      <c r="I1859" s="6" t="n">
        <v>3</v>
      </c>
      <c r="J1859" s="6" t="inlineStr">
        <is>
          <t>van</t>
        </is>
      </c>
      <c r="K1859" s="6">
        <f>IF(AND(H1859&gt;0,I1859&gt;0),"Rendben",IF(AND(H1859=0,I1859=0),"Nincs kép és adat",IF(H1859=0,"Nincs kép","Nincs adat")))</f>
        <v/>
      </c>
      <c r="L1859" s="6" t="inlineStr">
        <is>
          <t>Igen</t>
        </is>
      </c>
      <c r="M1859" s="7" t="inlineStr">
        <is>
          <t>Sand-Profile teljes kínálata (gyártói katalógus / weboldal)</t>
        </is>
      </c>
      <c r="N1859" s="7" t="inlineStr">
        <is>
          <t>Megtalálva: a beszállító teljes kínálatából felvett termék</t>
        </is>
      </c>
      <c r="O1859" s="11" t="inlineStr">
        <is>
          <t>https://www.sandprofile.com/media/gesamtkatalog_en.pdf#page=66</t>
        </is>
      </c>
      <c r="P1859" s="11" t="inlineStr">
        <is>
          <t>https://website-9ib.pages.dev/termek/sp-d1-135/</t>
        </is>
      </c>
      <c r="Q1859" s="12" t="inlineStr"/>
      <c r="R1859" s="13" t="inlineStr"/>
      <c r="S1859" s="6" t="inlineStr">
        <is>
          <t>sp-d1-135</t>
        </is>
      </c>
    </row>
    <row r="1860">
      <c r="A1860" s="6" t="inlineStr">
        <is>
          <t>M1 001</t>
        </is>
      </c>
      <c r="B1860" s="7" t="inlineStr">
        <is>
          <t>Ujjvédő profil M1 001 – -</t>
        </is>
      </c>
      <c r="C1860" s="6" t="inlineStr">
        <is>
          <t>Gumi- és kéderprofilok</t>
        </is>
      </c>
      <c r="D1860" s="6" t="inlineStr">
        <is>
          <t>Ujjvédő profilok</t>
        </is>
      </c>
      <c r="E1860" s="6" t="inlineStr">
        <is>
          <t>Sand-Profile</t>
        </is>
      </c>
      <c r="F1860" s="6" t="inlineStr">
        <is>
          <t>M1 001</t>
        </is>
      </c>
      <c r="G1860" s="6" t="inlineStr">
        <is>
          <t>Teljes kínálat</t>
        </is>
      </c>
      <c r="H1860" s="6" t="n">
        <v>1</v>
      </c>
      <c r="I1860" s="6" t="n">
        <v>3</v>
      </c>
      <c r="J1860" s="6" t="inlineStr">
        <is>
          <t>van</t>
        </is>
      </c>
      <c r="K1860" s="6">
        <f>IF(AND(H1860&gt;0,I1860&gt;0),"Rendben",IF(AND(H1860=0,I1860=0),"Nincs kép és adat",IF(H1860=0,"Nincs kép","Nincs adat")))</f>
        <v/>
      </c>
      <c r="L1860" s="6" t="inlineStr">
        <is>
          <t>Igen</t>
        </is>
      </c>
      <c r="M1860" s="7" t="inlineStr">
        <is>
          <t>Sand-Profile teljes kínálata (gyártói katalógus / weboldal)</t>
        </is>
      </c>
      <c r="N1860" s="7" t="inlineStr">
        <is>
          <t>Megtalálva: a beszállító teljes kínálatából felvett termék</t>
        </is>
      </c>
      <c r="O1860" s="11" t="inlineStr">
        <is>
          <t>https://www.sandprofile.com/media/gesamtkatalog_en.pdf#page=66</t>
        </is>
      </c>
      <c r="P1860" s="11" t="inlineStr">
        <is>
          <t>https://website-9ib.pages.dev/termek/sp-m1-001/</t>
        </is>
      </c>
      <c r="Q1860" s="12" t="inlineStr"/>
      <c r="R1860" s="13" t="inlineStr"/>
      <c r="S1860" s="6" t="inlineStr">
        <is>
          <t>sp-m1-001</t>
        </is>
      </c>
    </row>
    <row r="1861">
      <c r="A1861" s="6" t="inlineStr">
        <is>
          <t>(FIRESAFETYSTANDARD</t>
        </is>
      </c>
      <c r="B1861" s="7" t="inlineStr">
        <is>
          <t>Élvédő profil (FIRESAFETYSTANDARD – schwarz, 1,0-2,0 mm</t>
        </is>
      </c>
      <c r="C1861" s="6" t="inlineStr">
        <is>
          <t>Gumi- és kéderprofilok</t>
        </is>
      </c>
      <c r="D1861" s="6" t="inlineStr">
        <is>
          <t>Élvédő profilok</t>
        </is>
      </c>
      <c r="E1861" s="6" t="inlineStr">
        <is>
          <t>Sand-Profile</t>
        </is>
      </c>
      <c r="F1861" s="6" t="inlineStr">
        <is>
          <t>(FIRESAFETYSTANDARD</t>
        </is>
      </c>
      <c r="G1861" s="6" t="inlineStr">
        <is>
          <t>Teljes kínálat</t>
        </is>
      </c>
      <c r="H1861" s="6" t="n">
        <v>1</v>
      </c>
      <c r="I1861" s="6" t="n">
        <v>3</v>
      </c>
      <c r="J1861" s="6" t="inlineStr">
        <is>
          <t>van</t>
        </is>
      </c>
      <c r="K1861" s="6">
        <f>IF(AND(H1861&gt;0,I1861&gt;0),"Rendben",IF(AND(H1861=0,I1861=0),"Nincs kép és adat",IF(H1861=0,"Nincs kép","Nincs adat")))</f>
        <v/>
      </c>
      <c r="L1861" s="6" t="inlineStr">
        <is>
          <t>Igen</t>
        </is>
      </c>
      <c r="M1861" s="7" t="inlineStr">
        <is>
          <t>Sand-Profile teljes kínálata (gyártói katalógus / weboldal)</t>
        </is>
      </c>
      <c r="N1861" s="7" t="inlineStr">
        <is>
          <t>Megtalálva: a beszállító teljes kínálatából felvett termék</t>
        </is>
      </c>
      <c r="O1861" s="11" t="inlineStr">
        <is>
          <t>https://www.sandprofile.com/media/gesamtkatalog_en.pdf#page=23</t>
        </is>
      </c>
      <c r="P1861" s="11" t="inlineStr">
        <is>
          <t>https://website-9ib.pages.dev/termek/sp-firesafetystandard/</t>
        </is>
      </c>
      <c r="Q1861" s="12" t="inlineStr"/>
      <c r="R1861" s="13" t="inlineStr"/>
      <c r="S1861" s="6" t="inlineStr">
        <is>
          <t>sp-firesafetystandard</t>
        </is>
      </c>
    </row>
    <row r="1862">
      <c r="A1862" s="6" t="inlineStr">
        <is>
          <t>(TPE)</t>
        </is>
      </c>
      <c r="B1862" s="7" t="inlineStr">
        <is>
          <t>Élvédő profil (TPE) – fehér, 1,0-2,5 mm</t>
        </is>
      </c>
      <c r="C1862" s="6" t="inlineStr">
        <is>
          <t>Gumi- és kéderprofilok</t>
        </is>
      </c>
      <c r="D1862" s="6" t="inlineStr">
        <is>
          <t>Élvédő profilok</t>
        </is>
      </c>
      <c r="E1862" s="6" t="inlineStr">
        <is>
          <t>Sand-Profile</t>
        </is>
      </c>
      <c r="F1862" s="6" t="inlineStr">
        <is>
          <t>(TPE)</t>
        </is>
      </c>
      <c r="G1862" s="6" t="inlineStr">
        <is>
          <t>Teljes kínálat</t>
        </is>
      </c>
      <c r="H1862" s="6" t="n">
        <v>1</v>
      </c>
      <c r="I1862" s="6" t="n">
        <v>3</v>
      </c>
      <c r="J1862" s="6" t="inlineStr">
        <is>
          <t>van</t>
        </is>
      </c>
      <c r="K1862" s="6">
        <f>IF(AND(H1862&gt;0,I1862&gt;0),"Rendben",IF(AND(H1862=0,I1862=0),"Nincs kép és adat",IF(H1862=0,"Nincs kép","Nincs adat")))</f>
        <v/>
      </c>
      <c r="L1862" s="6" t="inlineStr">
        <is>
          <t>Igen</t>
        </is>
      </c>
      <c r="M1862" s="7" t="inlineStr">
        <is>
          <t>Sand-Profile teljes kínálata (gyártói katalógus / weboldal)</t>
        </is>
      </c>
      <c r="N1862" s="7" t="inlineStr">
        <is>
          <t>Megtalálva: a beszállító teljes kínálatából felvett termék</t>
        </is>
      </c>
      <c r="O1862" s="11" t="inlineStr">
        <is>
          <t>https://www.sandprofile.com/media/gesamtkatalog_en.pdf#page=22</t>
        </is>
      </c>
      <c r="P1862" s="11" t="inlineStr">
        <is>
          <t>https://website-9ib.pages.dev/termek/sp-tpe/</t>
        </is>
      </c>
      <c r="Q1862" s="12" t="inlineStr"/>
      <c r="R1862" s="13" t="inlineStr"/>
      <c r="S1862" s="6" t="inlineStr">
        <is>
          <t>sp-tpe</t>
        </is>
      </c>
    </row>
    <row r="1863">
      <c r="A1863" s="6" t="inlineStr">
        <is>
          <t>A1 009</t>
        </is>
      </c>
      <c r="B1863" s="7" t="inlineStr">
        <is>
          <t>Élvédő profil A1 009 – fekete, 0,8-1,5 mm</t>
        </is>
      </c>
      <c r="C1863" s="6" t="inlineStr">
        <is>
          <t>Gumi- és kéderprofilok</t>
        </is>
      </c>
      <c r="D1863" s="6" t="inlineStr">
        <is>
          <t>Élvédő profilok</t>
        </is>
      </c>
      <c r="E1863" s="6" t="inlineStr">
        <is>
          <t>Sand-Profile</t>
        </is>
      </c>
      <c r="F1863" s="6" t="inlineStr">
        <is>
          <t>A1 009</t>
        </is>
      </c>
      <c r="G1863" s="6" t="inlineStr">
        <is>
          <t>Teljes kínálat</t>
        </is>
      </c>
      <c r="H1863" s="6" t="n">
        <v>1</v>
      </c>
      <c r="I1863" s="6" t="n">
        <v>3</v>
      </c>
      <c r="J1863" s="6" t="inlineStr">
        <is>
          <t>van</t>
        </is>
      </c>
      <c r="K1863" s="6">
        <f>IF(AND(H1863&gt;0,I1863&gt;0),"Rendben",IF(AND(H1863=0,I1863=0),"Nincs kép és adat",IF(H1863=0,"Nincs kép","Nincs adat")))</f>
        <v/>
      </c>
      <c r="L1863" s="6" t="inlineStr">
        <is>
          <t>Igen</t>
        </is>
      </c>
      <c r="M1863" s="7" t="inlineStr">
        <is>
          <t>Sand-Profile teljes kínálata (gyártói katalógus / weboldal)</t>
        </is>
      </c>
      <c r="N1863" s="7" t="inlineStr">
        <is>
          <t>Megtalálva: a beszállító teljes kínálatából felvett termék</t>
        </is>
      </c>
      <c r="O1863" s="11" t="inlineStr">
        <is>
          <t>https://www.sandprofile.com/media/gesamtkatalog_en.pdf#page=18</t>
        </is>
      </c>
      <c r="P1863" s="11" t="inlineStr">
        <is>
          <t>https://website-9ib.pages.dev/termek/sp-a1-009/</t>
        </is>
      </c>
      <c r="Q1863" s="12" t="inlineStr"/>
      <c r="R1863" s="13" t="inlineStr"/>
      <c r="S1863" s="6" t="inlineStr">
        <is>
          <t>sp-a1-009</t>
        </is>
      </c>
    </row>
    <row r="1864">
      <c r="A1864" s="6" t="inlineStr">
        <is>
          <t>A1 010</t>
        </is>
      </c>
      <c r="B1864" s="7" t="inlineStr">
        <is>
          <t>Élvédő profil A1 010 – fekete, 1,0-2,0 mm</t>
        </is>
      </c>
      <c r="C1864" s="6" t="inlineStr">
        <is>
          <t>Gumi- és kéderprofilok</t>
        </is>
      </c>
      <c r="D1864" s="6" t="inlineStr">
        <is>
          <t>Élvédő profilok</t>
        </is>
      </c>
      <c r="E1864" s="6" t="inlineStr">
        <is>
          <t>Sand-Profile</t>
        </is>
      </c>
      <c r="F1864" s="6" t="inlineStr">
        <is>
          <t>A1 010</t>
        </is>
      </c>
      <c r="G1864" s="6" t="inlineStr">
        <is>
          <t>Teljes kínálat</t>
        </is>
      </c>
      <c r="H1864" s="6" t="n">
        <v>1</v>
      </c>
      <c r="I1864" s="6" t="n">
        <v>3</v>
      </c>
      <c r="J1864" s="6" t="inlineStr">
        <is>
          <t>van</t>
        </is>
      </c>
      <c r="K1864" s="6">
        <f>IF(AND(H1864&gt;0,I1864&gt;0),"Rendben",IF(AND(H1864=0,I1864=0),"Nincs kép és adat",IF(H1864=0,"Nincs kép","Nincs adat")))</f>
        <v/>
      </c>
      <c r="L1864" s="6" t="inlineStr">
        <is>
          <t>Igen</t>
        </is>
      </c>
      <c r="M1864" s="7" t="inlineStr">
        <is>
          <t>Sand-Profile teljes kínálata (gyártói katalógus / weboldal)</t>
        </is>
      </c>
      <c r="N1864" s="7" t="inlineStr">
        <is>
          <t>Megtalálva: a beszállító teljes kínálatából felvett termék</t>
        </is>
      </c>
      <c r="O1864" s="11" t="inlineStr">
        <is>
          <t>https://www.sandprofile.com/media/gesamtkatalog_en.pdf#page=18</t>
        </is>
      </c>
      <c r="P1864" s="11" t="inlineStr">
        <is>
          <t>https://website-9ib.pages.dev/termek/sp-a1-010/</t>
        </is>
      </c>
      <c r="Q1864" s="12" t="inlineStr"/>
      <c r="R1864" s="13" t="inlineStr"/>
      <c r="S1864" s="6" t="inlineStr">
        <is>
          <t>sp-a1-010</t>
        </is>
      </c>
    </row>
    <row r="1865">
      <c r="A1865" s="6" t="inlineStr">
        <is>
          <t>A1 011</t>
        </is>
      </c>
      <c r="B1865" s="7" t="inlineStr">
        <is>
          <t>Élvédő profil A1 011 – fehér, 1,0-2,0 mm</t>
        </is>
      </c>
      <c r="C1865" s="6" t="inlineStr">
        <is>
          <t>Gumi- és kéderprofilok</t>
        </is>
      </c>
      <c r="D1865" s="6" t="inlineStr">
        <is>
          <t>Élvédő profilok</t>
        </is>
      </c>
      <c r="E1865" s="6" t="inlineStr">
        <is>
          <t>Sand-Profile</t>
        </is>
      </c>
      <c r="F1865" s="6" t="inlineStr">
        <is>
          <t>A1 011</t>
        </is>
      </c>
      <c r="G1865" s="6" t="inlineStr">
        <is>
          <t>Teljes kínálat</t>
        </is>
      </c>
      <c r="H1865" s="6" t="n">
        <v>1</v>
      </c>
      <c r="I1865" s="6" t="n">
        <v>3</v>
      </c>
      <c r="J1865" s="6" t="inlineStr">
        <is>
          <t>van</t>
        </is>
      </c>
      <c r="K1865" s="6">
        <f>IF(AND(H1865&gt;0,I1865&gt;0),"Rendben",IF(AND(H1865=0,I1865=0),"Nincs kép és adat",IF(H1865=0,"Nincs kép","Nincs adat")))</f>
        <v/>
      </c>
      <c r="L1865" s="6" t="inlineStr">
        <is>
          <t>Igen</t>
        </is>
      </c>
      <c r="M1865" s="7" t="inlineStr">
        <is>
          <t>Sand-Profile teljes kínálata (gyártói katalógus / weboldal)</t>
        </is>
      </c>
      <c r="N1865" s="7" t="inlineStr">
        <is>
          <t>Megtalálva: a beszállító teljes kínálatából felvett termék</t>
        </is>
      </c>
      <c r="O1865" s="11" t="inlineStr">
        <is>
          <t>https://www.sandprofile.com/media/gesamtkatalog_en.pdf#page=18</t>
        </is>
      </c>
      <c r="P1865" s="11" t="inlineStr">
        <is>
          <t>https://website-9ib.pages.dev/termek/sp-a1-011/</t>
        </is>
      </c>
      <c r="Q1865" s="12" t="inlineStr"/>
      <c r="R1865" s="13" t="inlineStr"/>
      <c r="S1865" s="6" t="inlineStr">
        <is>
          <t>sp-a1-011</t>
        </is>
      </c>
    </row>
    <row r="1866">
      <c r="A1866" s="6" t="inlineStr">
        <is>
          <t>A1 012</t>
        </is>
      </c>
      <c r="B1866" s="7" t="inlineStr">
        <is>
          <t>Élvédő profil A1 012 – szürke, 1,0-2,0 mm</t>
        </is>
      </c>
      <c r="C1866" s="6" t="inlineStr">
        <is>
          <t>Gumi- és kéderprofilok</t>
        </is>
      </c>
      <c r="D1866" s="6" t="inlineStr">
        <is>
          <t>Élvédő profilok</t>
        </is>
      </c>
      <c r="E1866" s="6" t="inlineStr">
        <is>
          <t>Sand-Profile</t>
        </is>
      </c>
      <c r="F1866" s="6" t="inlineStr">
        <is>
          <t>A1 012</t>
        </is>
      </c>
      <c r="G1866" s="6" t="inlineStr">
        <is>
          <t>Teljes kínálat</t>
        </is>
      </c>
      <c r="H1866" s="6" t="n">
        <v>1</v>
      </c>
      <c r="I1866" s="6" t="n">
        <v>3</v>
      </c>
      <c r="J1866" s="6" t="inlineStr">
        <is>
          <t>van</t>
        </is>
      </c>
      <c r="K1866" s="6">
        <f>IF(AND(H1866&gt;0,I1866&gt;0),"Rendben",IF(AND(H1866=0,I1866=0),"Nincs kép és adat",IF(H1866=0,"Nincs kép","Nincs adat")))</f>
        <v/>
      </c>
      <c r="L1866" s="6" t="inlineStr">
        <is>
          <t>Igen</t>
        </is>
      </c>
      <c r="M1866" s="7" t="inlineStr">
        <is>
          <t>Sand-Profile teljes kínálata (gyártói katalógus / weboldal)</t>
        </is>
      </c>
      <c r="N1866" s="7" t="inlineStr">
        <is>
          <t>Megtalálva: a beszállító teljes kínálatából felvett termék</t>
        </is>
      </c>
      <c r="O1866" s="11" t="inlineStr">
        <is>
          <t>https://www.sandprofile.com/media/gesamtkatalog_en.pdf#page=18</t>
        </is>
      </c>
      <c r="P1866" s="11" t="inlineStr">
        <is>
          <t>https://website-9ib.pages.dev/termek/sp-a1-012/</t>
        </is>
      </c>
      <c r="Q1866" s="12" t="inlineStr"/>
      <c r="R1866" s="13" t="inlineStr"/>
      <c r="S1866" s="6" t="inlineStr">
        <is>
          <t>sp-a1-012</t>
        </is>
      </c>
    </row>
    <row r="1867">
      <c r="A1867" s="6" t="inlineStr">
        <is>
          <t>A1 014</t>
        </is>
      </c>
      <c r="B1867" s="7" t="inlineStr">
        <is>
          <t>Élvédő profil A1 014 – fehér, 1,0-2,0 mm</t>
        </is>
      </c>
      <c r="C1867" s="6" t="inlineStr">
        <is>
          <t>Gumi- és kéderprofilok</t>
        </is>
      </c>
      <c r="D1867" s="6" t="inlineStr">
        <is>
          <t>Élvédő profilok</t>
        </is>
      </c>
      <c r="E1867" s="6" t="inlineStr">
        <is>
          <t>Sand-Profile</t>
        </is>
      </c>
      <c r="F1867" s="6" t="inlineStr">
        <is>
          <t>A1 014</t>
        </is>
      </c>
      <c r="G1867" s="6" t="inlineStr">
        <is>
          <t>Teljes kínálat</t>
        </is>
      </c>
      <c r="H1867" s="6" t="n">
        <v>1</v>
      </c>
      <c r="I1867" s="6" t="n">
        <v>3</v>
      </c>
      <c r="J1867" s="6" t="inlineStr">
        <is>
          <t>van</t>
        </is>
      </c>
      <c r="K1867" s="6">
        <f>IF(AND(H1867&gt;0,I1867&gt;0),"Rendben",IF(AND(H1867=0,I1867=0),"Nincs kép és adat",IF(H1867=0,"Nincs kép","Nincs adat")))</f>
        <v/>
      </c>
      <c r="L1867" s="6" t="inlineStr">
        <is>
          <t>Igen</t>
        </is>
      </c>
      <c r="M1867" s="7" t="inlineStr">
        <is>
          <t>Sand-Profile teljes kínálata (gyártói katalógus / weboldal)</t>
        </is>
      </c>
      <c r="N1867" s="7" t="inlineStr">
        <is>
          <t>Megtalálva: a beszállító teljes kínálatából felvett termék</t>
        </is>
      </c>
      <c r="O1867" s="11" t="inlineStr">
        <is>
          <t>https://www.sandprofile.com/media/gesamtkatalog_en.pdf#page=18</t>
        </is>
      </c>
      <c r="P1867" s="11" t="inlineStr">
        <is>
          <t>https://website-9ib.pages.dev/termek/sp-a1-014/</t>
        </is>
      </c>
      <c r="Q1867" s="12" t="inlineStr"/>
      <c r="R1867" s="13" t="inlineStr"/>
      <c r="S1867" s="6" t="inlineStr">
        <is>
          <t>sp-a1-014</t>
        </is>
      </c>
    </row>
    <row r="1868">
      <c r="A1868" s="6" t="inlineStr">
        <is>
          <t>A1 016</t>
        </is>
      </c>
      <c r="B1868" s="7" t="inlineStr">
        <is>
          <t>Élvédő profil A1 016 – anthrazit, 1,0-4,0 mm</t>
        </is>
      </c>
      <c r="C1868" s="6" t="inlineStr">
        <is>
          <t>Gumi- és kéderprofilok</t>
        </is>
      </c>
      <c r="D1868" s="6" t="inlineStr">
        <is>
          <t>Élvédő profilok</t>
        </is>
      </c>
      <c r="E1868" s="6" t="inlineStr">
        <is>
          <t>Sand-Profile</t>
        </is>
      </c>
      <c r="F1868" s="6" t="inlineStr">
        <is>
          <t>A1 016</t>
        </is>
      </c>
      <c r="G1868" s="6" t="inlineStr">
        <is>
          <t>Teljes kínálat</t>
        </is>
      </c>
      <c r="H1868" s="6" t="n">
        <v>1</v>
      </c>
      <c r="I1868" s="6" t="n">
        <v>3</v>
      </c>
      <c r="J1868" s="6" t="inlineStr">
        <is>
          <t>van</t>
        </is>
      </c>
      <c r="K1868" s="6">
        <f>IF(AND(H1868&gt;0,I1868&gt;0),"Rendben",IF(AND(H1868=0,I1868=0),"Nincs kép és adat",IF(H1868=0,"Nincs kép","Nincs adat")))</f>
        <v/>
      </c>
      <c r="L1868" s="6" t="inlineStr">
        <is>
          <t>Igen</t>
        </is>
      </c>
      <c r="M1868" s="7" t="inlineStr">
        <is>
          <t>Sand-Profile teljes kínálata (gyártói katalógus / weboldal)</t>
        </is>
      </c>
      <c r="N1868" s="7" t="inlineStr">
        <is>
          <t>Megtalálva: a beszállító teljes kínálatából felvett termék</t>
        </is>
      </c>
      <c r="O1868" s="11" t="inlineStr">
        <is>
          <t>https://www.sandprofile.com/media/gesamtkatalog_en.pdf#page=19</t>
        </is>
      </c>
      <c r="P1868" s="11" t="inlineStr">
        <is>
          <t>https://website-9ib.pages.dev/termek/sp-a1-016/</t>
        </is>
      </c>
      <c r="Q1868" s="12" t="inlineStr"/>
      <c r="R1868" s="13" t="inlineStr"/>
      <c r="S1868" s="6" t="inlineStr">
        <is>
          <t>sp-a1-016</t>
        </is>
      </c>
    </row>
    <row r="1869">
      <c r="A1869" s="6" t="inlineStr">
        <is>
          <t>A1 017</t>
        </is>
      </c>
      <c r="B1869" s="7" t="inlineStr">
        <is>
          <t>Élvédő profil A1 017 – light grey, 1,0-4,0 mm</t>
        </is>
      </c>
      <c r="C1869" s="6" t="inlineStr">
        <is>
          <t>Gumi- és kéderprofilok</t>
        </is>
      </c>
      <c r="D1869" s="6" t="inlineStr">
        <is>
          <t>Élvédő profilok</t>
        </is>
      </c>
      <c r="E1869" s="6" t="inlineStr">
        <is>
          <t>Sand-Profile</t>
        </is>
      </c>
      <c r="F1869" s="6" t="inlineStr">
        <is>
          <t>A1 017</t>
        </is>
      </c>
      <c r="G1869" s="6" t="inlineStr">
        <is>
          <t>Teljes kínálat</t>
        </is>
      </c>
      <c r="H1869" s="6" t="n">
        <v>1</v>
      </c>
      <c r="I1869" s="6" t="n">
        <v>3</v>
      </c>
      <c r="J1869" s="6" t="inlineStr">
        <is>
          <t>van</t>
        </is>
      </c>
      <c r="K1869" s="6">
        <f>IF(AND(H1869&gt;0,I1869&gt;0),"Rendben",IF(AND(H1869=0,I1869=0),"Nincs kép és adat",IF(H1869=0,"Nincs kép","Nincs adat")))</f>
        <v/>
      </c>
      <c r="L1869" s="6" t="inlineStr">
        <is>
          <t>Igen</t>
        </is>
      </c>
      <c r="M1869" s="7" t="inlineStr">
        <is>
          <t>Sand-Profile teljes kínálata (gyártói katalógus / weboldal)</t>
        </is>
      </c>
      <c r="N1869" s="7" t="inlineStr">
        <is>
          <t>Megtalálva: a beszállító teljes kínálatából felvett termék</t>
        </is>
      </c>
      <c r="O1869" s="11" t="inlineStr">
        <is>
          <t>https://www.sandprofile.com/media/gesamtkatalog_en.pdf#page=19</t>
        </is>
      </c>
      <c r="P1869" s="11" t="inlineStr">
        <is>
          <t>https://website-9ib.pages.dev/termek/sp-a1-017/</t>
        </is>
      </c>
      <c r="Q1869" s="12" t="inlineStr"/>
      <c r="R1869" s="13" t="inlineStr"/>
      <c r="S1869" s="6" t="inlineStr">
        <is>
          <t>sp-a1-017</t>
        </is>
      </c>
    </row>
    <row r="1870">
      <c r="A1870" s="6" t="inlineStr">
        <is>
          <t>A1 018</t>
        </is>
      </c>
      <c r="B1870" s="7" t="inlineStr">
        <is>
          <t>Élvédő profil A1 018 – fekete, 1,0-4,0 mm</t>
        </is>
      </c>
      <c r="C1870" s="6" t="inlineStr">
        <is>
          <t>Gumi- és kéderprofilok</t>
        </is>
      </c>
      <c r="D1870" s="6" t="inlineStr">
        <is>
          <t>Élvédő profilok</t>
        </is>
      </c>
      <c r="E1870" s="6" t="inlineStr">
        <is>
          <t>Sand-Profile</t>
        </is>
      </c>
      <c r="F1870" s="6" t="inlineStr">
        <is>
          <t>A1 018</t>
        </is>
      </c>
      <c r="G1870" s="6" t="inlineStr">
        <is>
          <t>Teljes kínálat</t>
        </is>
      </c>
      <c r="H1870" s="6" t="n">
        <v>1</v>
      </c>
      <c r="I1870" s="6" t="n">
        <v>3</v>
      </c>
      <c r="J1870" s="6" t="inlineStr">
        <is>
          <t>van</t>
        </is>
      </c>
      <c r="K1870" s="6">
        <f>IF(AND(H1870&gt;0,I1870&gt;0),"Rendben",IF(AND(H1870=0,I1870=0),"Nincs kép és adat",IF(H1870=0,"Nincs kép","Nincs adat")))</f>
        <v/>
      </c>
      <c r="L1870" s="6" t="inlineStr">
        <is>
          <t>Igen</t>
        </is>
      </c>
      <c r="M1870" s="7" t="inlineStr">
        <is>
          <t>Sand-Profile teljes kínálata (gyártói katalógus / weboldal)</t>
        </is>
      </c>
      <c r="N1870" s="7" t="inlineStr">
        <is>
          <t>Megtalálva: a beszállító teljes kínálatából felvett termék</t>
        </is>
      </c>
      <c r="O1870" s="11" t="inlineStr">
        <is>
          <t>https://www.sandprofile.com/media/gesamtkatalog_en.pdf#page=20</t>
        </is>
      </c>
      <c r="P1870" s="11" t="inlineStr">
        <is>
          <t>https://website-9ib.pages.dev/termek/sp-a1-018/</t>
        </is>
      </c>
      <c r="Q1870" s="12" t="inlineStr"/>
      <c r="R1870" s="13" t="inlineStr"/>
      <c r="S1870" s="6" t="inlineStr">
        <is>
          <t>sp-a1-018</t>
        </is>
      </c>
    </row>
    <row r="1871">
      <c r="A1871" s="6" t="inlineStr">
        <is>
          <t>A1 019/10</t>
        </is>
      </c>
      <c r="B1871" s="7" t="inlineStr">
        <is>
          <t>Élvédő profil A1 019/10 – fekete, 8,0-10,0 mm</t>
        </is>
      </c>
      <c r="C1871" s="6" t="inlineStr">
        <is>
          <t>Gumi- és kéderprofilok</t>
        </is>
      </c>
      <c r="D1871" s="6" t="inlineStr">
        <is>
          <t>Élvédő profilok</t>
        </is>
      </c>
      <c r="E1871" s="6" t="inlineStr">
        <is>
          <t>Sand-Profile</t>
        </is>
      </c>
      <c r="F1871" s="6" t="inlineStr">
        <is>
          <t>A1 019/10</t>
        </is>
      </c>
      <c r="G1871" s="6" t="inlineStr">
        <is>
          <t>Teljes kínálat</t>
        </is>
      </c>
      <c r="H1871" s="6" t="n">
        <v>1</v>
      </c>
      <c r="I1871" s="6" t="n">
        <v>3</v>
      </c>
      <c r="J1871" s="6" t="inlineStr">
        <is>
          <t>van</t>
        </is>
      </c>
      <c r="K1871" s="6">
        <f>IF(AND(H1871&gt;0,I1871&gt;0),"Rendben",IF(AND(H1871=0,I1871=0),"Nincs kép és adat",IF(H1871=0,"Nincs kép","Nincs adat")))</f>
        <v/>
      </c>
      <c r="L1871" s="6" t="inlineStr">
        <is>
          <t>Igen</t>
        </is>
      </c>
      <c r="M1871" s="7" t="inlineStr">
        <is>
          <t>Sand-Profile teljes kínálata (gyártói katalógus / weboldal)</t>
        </is>
      </c>
      <c r="N1871" s="7" t="inlineStr">
        <is>
          <t>Megtalálva: a beszállító teljes kínálatából felvett termék</t>
        </is>
      </c>
      <c r="O1871" s="11" t="inlineStr">
        <is>
          <t>https://www.sandprofile.com/media/gesamtkatalog_en.pdf#page=19</t>
        </is>
      </c>
      <c r="P1871" s="11" t="inlineStr">
        <is>
          <t>https://website-9ib.pages.dev/termek/sp-a1-019-10/</t>
        </is>
      </c>
      <c r="Q1871" s="12" t="inlineStr"/>
      <c r="R1871" s="13" t="inlineStr"/>
      <c r="S1871" s="6" t="inlineStr">
        <is>
          <t>sp-a1-019-10</t>
        </is>
      </c>
    </row>
    <row r="1872">
      <c r="A1872" s="6" t="inlineStr">
        <is>
          <t>A1 019/8</t>
        </is>
      </c>
      <c r="B1872" s="7" t="inlineStr">
        <is>
          <t>Élvédő profil A1 019/8 – fekete, 6,0-8,0 mm</t>
        </is>
      </c>
      <c r="C1872" s="6" t="inlineStr">
        <is>
          <t>Gumi- és kéderprofilok</t>
        </is>
      </c>
      <c r="D1872" s="6" t="inlineStr">
        <is>
          <t>Élvédő profilok</t>
        </is>
      </c>
      <c r="E1872" s="6" t="inlineStr">
        <is>
          <t>Sand-Profile</t>
        </is>
      </c>
      <c r="F1872" s="6" t="inlineStr">
        <is>
          <t>A1 019/8</t>
        </is>
      </c>
      <c r="G1872" s="6" t="inlineStr">
        <is>
          <t>Teljes kínálat</t>
        </is>
      </c>
      <c r="H1872" s="6" t="n">
        <v>1</v>
      </c>
      <c r="I1872" s="6" t="n">
        <v>3</v>
      </c>
      <c r="J1872" s="6" t="inlineStr">
        <is>
          <t>van</t>
        </is>
      </c>
      <c r="K1872" s="6">
        <f>IF(AND(H1872&gt;0,I1872&gt;0),"Rendben",IF(AND(H1872=0,I1872=0),"Nincs kép és adat",IF(H1872=0,"Nincs kép","Nincs adat")))</f>
        <v/>
      </c>
      <c r="L1872" s="6" t="inlineStr">
        <is>
          <t>Igen</t>
        </is>
      </c>
      <c r="M1872" s="7" t="inlineStr">
        <is>
          <t>Sand-Profile teljes kínálata (gyártói katalógus / weboldal)</t>
        </is>
      </c>
      <c r="N1872" s="7" t="inlineStr">
        <is>
          <t>Megtalálva: a beszállító teljes kínálatából felvett termék</t>
        </is>
      </c>
      <c r="O1872" s="11" t="inlineStr">
        <is>
          <t>https://www.sandprofile.com/media/gesamtkatalog_en.pdf#page=19</t>
        </is>
      </c>
      <c r="P1872" s="11" t="inlineStr">
        <is>
          <t>https://website-9ib.pages.dev/termek/sp-a1-019-8/</t>
        </is>
      </c>
      <c r="Q1872" s="12" t="inlineStr"/>
      <c r="R1872" s="13" t="inlineStr"/>
      <c r="S1872" s="6" t="inlineStr">
        <is>
          <t>sp-a1-019-8</t>
        </is>
      </c>
    </row>
    <row r="1873">
      <c r="A1873" s="6" t="inlineStr">
        <is>
          <t>A1 020/10</t>
        </is>
      </c>
      <c r="B1873" s="7" t="inlineStr">
        <is>
          <t>Élvédő profil A1 020/10 – light grey, 8,0-10,0 mm</t>
        </is>
      </c>
      <c r="C1873" s="6" t="inlineStr">
        <is>
          <t>Gumi- és kéderprofilok</t>
        </is>
      </c>
      <c r="D1873" s="6" t="inlineStr">
        <is>
          <t>Élvédő profilok</t>
        </is>
      </c>
      <c r="E1873" s="6" t="inlineStr">
        <is>
          <t>Sand-Profile</t>
        </is>
      </c>
      <c r="F1873" s="6" t="inlineStr">
        <is>
          <t>A1 020/10</t>
        </is>
      </c>
      <c r="G1873" s="6" t="inlineStr">
        <is>
          <t>Teljes kínálat</t>
        </is>
      </c>
      <c r="H1873" s="6" t="n">
        <v>1</v>
      </c>
      <c r="I1873" s="6" t="n">
        <v>3</v>
      </c>
      <c r="J1873" s="6" t="inlineStr">
        <is>
          <t>van</t>
        </is>
      </c>
      <c r="K1873" s="6">
        <f>IF(AND(H1873&gt;0,I1873&gt;0),"Rendben",IF(AND(H1873=0,I1873=0),"Nincs kép és adat",IF(H1873=0,"Nincs kép","Nincs adat")))</f>
        <v/>
      </c>
      <c r="L1873" s="6" t="inlineStr">
        <is>
          <t>Igen</t>
        </is>
      </c>
      <c r="M1873" s="7" t="inlineStr">
        <is>
          <t>Sand-Profile teljes kínálata (gyártói katalógus / weboldal)</t>
        </is>
      </c>
      <c r="N1873" s="7" t="inlineStr">
        <is>
          <t>Megtalálva: a beszállító teljes kínálatából felvett termék</t>
        </is>
      </c>
      <c r="O1873" s="11" t="inlineStr">
        <is>
          <t>https://www.sandprofile.com/media/gesamtkatalog_en.pdf#page=19</t>
        </is>
      </c>
      <c r="P1873" s="11" t="inlineStr">
        <is>
          <t>https://website-9ib.pages.dev/termek/sp-a1-020-10/</t>
        </is>
      </c>
      <c r="Q1873" s="12" t="inlineStr"/>
      <c r="R1873" s="13" t="inlineStr"/>
      <c r="S1873" s="6" t="inlineStr">
        <is>
          <t>sp-a1-020-10</t>
        </is>
      </c>
    </row>
    <row r="1874">
      <c r="A1874" s="6" t="inlineStr">
        <is>
          <t>A1 020/8</t>
        </is>
      </c>
      <c r="B1874" s="7" t="inlineStr">
        <is>
          <t>Élvédő profil A1 020/8 – light grey, 6,0-8,0 mm</t>
        </is>
      </c>
      <c r="C1874" s="6" t="inlineStr">
        <is>
          <t>Gumi- és kéderprofilok</t>
        </is>
      </c>
      <c r="D1874" s="6" t="inlineStr">
        <is>
          <t>Élvédő profilok</t>
        </is>
      </c>
      <c r="E1874" s="6" t="inlineStr">
        <is>
          <t>Sand-Profile</t>
        </is>
      </c>
      <c r="F1874" s="6" t="inlineStr">
        <is>
          <t>A1 020/8</t>
        </is>
      </c>
      <c r="G1874" s="6" t="inlineStr">
        <is>
          <t>Teljes kínálat</t>
        </is>
      </c>
      <c r="H1874" s="6" t="n">
        <v>1</v>
      </c>
      <c r="I1874" s="6" t="n">
        <v>3</v>
      </c>
      <c r="J1874" s="6" t="inlineStr">
        <is>
          <t>van</t>
        </is>
      </c>
      <c r="K1874" s="6">
        <f>IF(AND(H1874&gt;0,I1874&gt;0),"Rendben",IF(AND(H1874=0,I1874=0),"Nincs kép és adat",IF(H1874=0,"Nincs kép","Nincs adat")))</f>
        <v/>
      </c>
      <c r="L1874" s="6" t="inlineStr">
        <is>
          <t>Igen</t>
        </is>
      </c>
      <c r="M1874" s="7" t="inlineStr">
        <is>
          <t>Sand-Profile teljes kínálata (gyártói katalógus / weboldal)</t>
        </is>
      </c>
      <c r="N1874" s="7" t="inlineStr">
        <is>
          <t>Megtalálva: a beszállító teljes kínálatából felvett termék</t>
        </is>
      </c>
      <c r="O1874" s="11" t="inlineStr">
        <is>
          <t>https://www.sandprofile.com/media/gesamtkatalog_en.pdf#page=19</t>
        </is>
      </c>
      <c r="P1874" s="11" t="inlineStr">
        <is>
          <t>https://website-9ib.pages.dev/termek/sp-a1-020-8/</t>
        </is>
      </c>
      <c r="Q1874" s="12" t="inlineStr"/>
      <c r="R1874" s="13" t="inlineStr"/>
      <c r="S1874" s="6" t="inlineStr">
        <is>
          <t>sp-a1-020-8</t>
        </is>
      </c>
    </row>
    <row r="1875">
      <c r="A1875" s="6" t="inlineStr">
        <is>
          <t>A1 021</t>
        </is>
      </c>
      <c r="B1875" s="7" t="inlineStr">
        <is>
          <t>Élvédő profil A1 021 – fekete, 2,0-5,0 mm</t>
        </is>
      </c>
      <c r="C1875" s="6" t="inlineStr">
        <is>
          <t>Gumi- és kéderprofilok</t>
        </is>
      </c>
      <c r="D1875" s="6" t="inlineStr">
        <is>
          <t>Élvédő profilok</t>
        </is>
      </c>
      <c r="E1875" s="6" t="inlineStr">
        <is>
          <t>Sand-Profile</t>
        </is>
      </c>
      <c r="F1875" s="6" t="inlineStr">
        <is>
          <t>A1 021</t>
        </is>
      </c>
      <c r="G1875" s="6" t="inlineStr">
        <is>
          <t>Teljes kínálat</t>
        </is>
      </c>
      <c r="H1875" s="6" t="n">
        <v>1</v>
      </c>
      <c r="I1875" s="6" t="n">
        <v>3</v>
      </c>
      <c r="J1875" s="6" t="inlineStr">
        <is>
          <t>van</t>
        </is>
      </c>
      <c r="K1875" s="6">
        <f>IF(AND(H1875&gt;0,I1875&gt;0),"Rendben",IF(AND(H1875=0,I1875=0),"Nincs kép és adat",IF(H1875=0,"Nincs kép","Nincs adat")))</f>
        <v/>
      </c>
      <c r="L1875" s="6" t="inlineStr">
        <is>
          <t>Igen</t>
        </is>
      </c>
      <c r="M1875" s="7" t="inlineStr">
        <is>
          <t>Sand-Profile teljes kínálata (gyártói katalógus / weboldal)</t>
        </is>
      </c>
      <c r="N1875" s="7" t="inlineStr">
        <is>
          <t>Megtalálva: a beszállító teljes kínálatából felvett termék</t>
        </is>
      </c>
      <c r="O1875" s="11" t="inlineStr">
        <is>
          <t>https://www.sandprofile.com/media/gesamtkatalog_en.pdf#page=19</t>
        </is>
      </c>
      <c r="P1875" s="11" t="inlineStr">
        <is>
          <t>https://website-9ib.pages.dev/termek/sp-a1-021/</t>
        </is>
      </c>
      <c r="Q1875" s="12" t="inlineStr"/>
      <c r="R1875" s="13" t="inlineStr"/>
      <c r="S1875" s="6" t="inlineStr">
        <is>
          <t>sp-a1-021</t>
        </is>
      </c>
    </row>
    <row r="1876">
      <c r="A1876" s="6" t="inlineStr">
        <is>
          <t>A1 022</t>
        </is>
      </c>
      <c r="B1876" s="7" t="inlineStr">
        <is>
          <t>Élvédő profil A1 022 – white grey, 1,0-4,0 mm</t>
        </is>
      </c>
      <c r="C1876" s="6" t="inlineStr">
        <is>
          <t>Gumi- és kéderprofilok</t>
        </is>
      </c>
      <c r="D1876" s="6" t="inlineStr">
        <is>
          <t>Élvédő profilok</t>
        </is>
      </c>
      <c r="E1876" s="6" t="inlineStr">
        <is>
          <t>Sand-Profile</t>
        </is>
      </c>
      <c r="F1876" s="6" t="inlineStr">
        <is>
          <t>A1 022</t>
        </is>
      </c>
      <c r="G1876" s="6" t="inlineStr">
        <is>
          <t>Teljes kínálat</t>
        </is>
      </c>
      <c r="H1876" s="6" t="n">
        <v>1</v>
      </c>
      <c r="I1876" s="6" t="n">
        <v>3</v>
      </c>
      <c r="J1876" s="6" t="inlineStr">
        <is>
          <t>van</t>
        </is>
      </c>
      <c r="K1876" s="6">
        <f>IF(AND(H1876&gt;0,I1876&gt;0),"Rendben",IF(AND(H1876=0,I1876=0),"Nincs kép és adat",IF(H1876=0,"Nincs kép","Nincs adat")))</f>
        <v/>
      </c>
      <c r="L1876" s="6" t="inlineStr">
        <is>
          <t>Igen</t>
        </is>
      </c>
      <c r="M1876" s="7" t="inlineStr">
        <is>
          <t>Sand-Profile teljes kínálata (gyártói katalógus / weboldal)</t>
        </is>
      </c>
      <c r="N1876" s="7" t="inlineStr">
        <is>
          <t>Megtalálva: a beszállító teljes kínálatából felvett termék</t>
        </is>
      </c>
      <c r="O1876" s="11" t="inlineStr">
        <is>
          <t>https://www.sandprofile.com/media/gesamtkatalog_en.pdf#page=19</t>
        </is>
      </c>
      <c r="P1876" s="11" t="inlineStr">
        <is>
          <t>https://website-9ib.pages.dev/termek/sp-a1-022/</t>
        </is>
      </c>
      <c r="Q1876" s="12" t="inlineStr"/>
      <c r="R1876" s="13" t="inlineStr"/>
      <c r="S1876" s="6" t="inlineStr">
        <is>
          <t>sp-a1-022</t>
        </is>
      </c>
    </row>
    <row r="1877">
      <c r="A1877" s="6" t="inlineStr">
        <is>
          <t>A1 023/2</t>
        </is>
      </c>
      <c r="B1877" s="7" t="inlineStr">
        <is>
          <t>Élvédő profil A1 023/2 – fekete, 1,0-2,5 mm</t>
        </is>
      </c>
      <c r="C1877" s="6" t="inlineStr">
        <is>
          <t>Gumi- és kéderprofilok</t>
        </is>
      </c>
      <c r="D1877" s="6" t="inlineStr">
        <is>
          <t>Élvédő profilok</t>
        </is>
      </c>
      <c r="E1877" s="6" t="inlineStr">
        <is>
          <t>Sand-Profile</t>
        </is>
      </c>
      <c r="F1877" s="6" t="inlineStr">
        <is>
          <t>A1 023/2</t>
        </is>
      </c>
      <c r="G1877" s="6" t="inlineStr">
        <is>
          <t>Teljes kínálat</t>
        </is>
      </c>
      <c r="H1877" s="6" t="n">
        <v>1</v>
      </c>
      <c r="I1877" s="6" t="n">
        <v>3</v>
      </c>
      <c r="J1877" s="6" t="inlineStr">
        <is>
          <t>van</t>
        </is>
      </c>
      <c r="K1877" s="6">
        <f>IF(AND(H1877&gt;0,I1877&gt;0),"Rendben",IF(AND(H1877=0,I1877=0),"Nincs kép és adat",IF(H1877=0,"Nincs kép","Nincs adat")))</f>
        <v/>
      </c>
      <c r="L1877" s="6" t="inlineStr">
        <is>
          <t>Igen</t>
        </is>
      </c>
      <c r="M1877" s="7" t="inlineStr">
        <is>
          <t>Sand-Profile teljes kínálata (gyártói katalógus / weboldal)</t>
        </is>
      </c>
      <c r="N1877" s="7" t="inlineStr">
        <is>
          <t>Megtalálva: a beszállító teljes kínálatából felvett termék</t>
        </is>
      </c>
      <c r="O1877" s="11" t="inlineStr">
        <is>
          <t>https://www.sandprofile.com/media/gesamtkatalog_en.pdf#page=18</t>
        </is>
      </c>
      <c r="P1877" s="11" t="inlineStr">
        <is>
          <t>https://website-9ib.pages.dev/termek/sp-a1-023-2/</t>
        </is>
      </c>
      <c r="Q1877" s="12" t="inlineStr"/>
      <c r="R1877" s="13" t="inlineStr"/>
      <c r="S1877" s="6" t="inlineStr">
        <is>
          <t>sp-a1-023-2</t>
        </is>
      </c>
    </row>
    <row r="1878">
      <c r="A1878" s="6" t="inlineStr">
        <is>
          <t>A1 023/4</t>
        </is>
      </c>
      <c r="B1878" s="7" t="inlineStr">
        <is>
          <t>Élvédő profil A1 023/4 – fekete, 2,0-4,0 mm</t>
        </is>
      </c>
      <c r="C1878" s="6" t="inlineStr">
        <is>
          <t>Gumi- és kéderprofilok</t>
        </is>
      </c>
      <c r="D1878" s="6" t="inlineStr">
        <is>
          <t>Élvédő profilok</t>
        </is>
      </c>
      <c r="E1878" s="6" t="inlineStr">
        <is>
          <t>Sand-Profile</t>
        </is>
      </c>
      <c r="F1878" s="6" t="inlineStr">
        <is>
          <t>A1 023/4</t>
        </is>
      </c>
      <c r="G1878" s="6" t="inlineStr">
        <is>
          <t>Teljes kínálat</t>
        </is>
      </c>
      <c r="H1878" s="6" t="n">
        <v>1</v>
      </c>
      <c r="I1878" s="6" t="n">
        <v>3</v>
      </c>
      <c r="J1878" s="6" t="inlineStr">
        <is>
          <t>van</t>
        </is>
      </c>
      <c r="K1878" s="6">
        <f>IF(AND(H1878&gt;0,I1878&gt;0),"Rendben",IF(AND(H1878=0,I1878=0),"Nincs kép és adat",IF(H1878=0,"Nincs kép","Nincs adat")))</f>
        <v/>
      </c>
      <c r="L1878" s="6" t="inlineStr">
        <is>
          <t>Igen</t>
        </is>
      </c>
      <c r="M1878" s="7" t="inlineStr">
        <is>
          <t>Sand-Profile teljes kínálata (gyártói katalógus / weboldal)</t>
        </is>
      </c>
      <c r="N1878" s="7" t="inlineStr">
        <is>
          <t>Megtalálva: a beszállító teljes kínálatából felvett termék</t>
        </is>
      </c>
      <c r="O1878" s="11" t="inlineStr">
        <is>
          <t>https://www.sandprofile.com/media/gesamtkatalog_en.pdf#page=18</t>
        </is>
      </c>
      <c r="P1878" s="11" t="inlineStr">
        <is>
          <t>https://website-9ib.pages.dev/termek/sp-a1-023-4/</t>
        </is>
      </c>
      <c r="Q1878" s="12" t="inlineStr"/>
      <c r="R1878" s="13" t="inlineStr"/>
      <c r="S1878" s="6" t="inlineStr">
        <is>
          <t>sp-a1-023-4</t>
        </is>
      </c>
    </row>
    <row r="1879">
      <c r="A1879" s="6" t="inlineStr">
        <is>
          <t>A1 024/2</t>
        </is>
      </c>
      <c r="B1879" s="7" t="inlineStr">
        <is>
          <t>Élvédő profil A1 024/2 – fekete, 1,0-2,5 mm</t>
        </is>
      </c>
      <c r="C1879" s="6" t="inlineStr">
        <is>
          <t>Gumi- és kéderprofilok</t>
        </is>
      </c>
      <c r="D1879" s="6" t="inlineStr">
        <is>
          <t>Élvédő profilok</t>
        </is>
      </c>
      <c r="E1879" s="6" t="inlineStr">
        <is>
          <t>Sand-Profile</t>
        </is>
      </c>
      <c r="F1879" s="6" t="inlineStr">
        <is>
          <t>A1 024/2</t>
        </is>
      </c>
      <c r="G1879" s="6" t="inlineStr">
        <is>
          <t>Teljes kínálat</t>
        </is>
      </c>
      <c r="H1879" s="6" t="n">
        <v>1</v>
      </c>
      <c r="I1879" s="6" t="n">
        <v>3</v>
      </c>
      <c r="J1879" s="6" t="inlineStr">
        <is>
          <t>van</t>
        </is>
      </c>
      <c r="K1879" s="6">
        <f>IF(AND(H1879&gt;0,I1879&gt;0),"Rendben",IF(AND(H1879=0,I1879=0),"Nincs kép és adat",IF(H1879=0,"Nincs kép","Nincs adat")))</f>
        <v/>
      </c>
      <c r="L1879" s="6" t="inlineStr">
        <is>
          <t>Igen</t>
        </is>
      </c>
      <c r="M1879" s="7" t="inlineStr">
        <is>
          <t>Sand-Profile teljes kínálata (gyártói katalógus / weboldal)</t>
        </is>
      </c>
      <c r="N1879" s="7" t="inlineStr">
        <is>
          <t>Megtalálva: a beszállító teljes kínálatából felvett termék</t>
        </is>
      </c>
      <c r="O1879" s="11" t="inlineStr">
        <is>
          <t>https://www.sandprofile.com/media/gesamtkatalog_en.pdf#page=20</t>
        </is>
      </c>
      <c r="P1879" s="11" t="inlineStr">
        <is>
          <t>https://website-9ib.pages.dev/termek/sp-a1-024-2/</t>
        </is>
      </c>
      <c r="Q1879" s="12" t="inlineStr"/>
      <c r="R1879" s="13" t="inlineStr"/>
      <c r="S1879" s="6" t="inlineStr">
        <is>
          <t>sp-a1-024-2</t>
        </is>
      </c>
    </row>
    <row r="1880">
      <c r="A1880" s="6" t="inlineStr">
        <is>
          <t>A1 024/4</t>
        </is>
      </c>
      <c r="B1880" s="7" t="inlineStr">
        <is>
          <t>Élvédő profil A1 024/4 – fekete, 2,0-4,0 mm</t>
        </is>
      </c>
      <c r="C1880" s="6" t="inlineStr">
        <is>
          <t>Gumi- és kéderprofilok</t>
        </is>
      </c>
      <c r="D1880" s="6" t="inlineStr">
        <is>
          <t>Élvédő profilok</t>
        </is>
      </c>
      <c r="E1880" s="6" t="inlineStr">
        <is>
          <t>Sand-Profile</t>
        </is>
      </c>
      <c r="F1880" s="6" t="inlineStr">
        <is>
          <t>A1 024/4</t>
        </is>
      </c>
      <c r="G1880" s="6" t="inlineStr">
        <is>
          <t>Teljes kínálat</t>
        </is>
      </c>
      <c r="H1880" s="6" t="n">
        <v>1</v>
      </c>
      <c r="I1880" s="6" t="n">
        <v>3</v>
      </c>
      <c r="J1880" s="6" t="inlineStr">
        <is>
          <t>van</t>
        </is>
      </c>
      <c r="K1880" s="6">
        <f>IF(AND(H1880&gt;0,I1880&gt;0),"Rendben",IF(AND(H1880=0,I1880=0),"Nincs kép és adat",IF(H1880=0,"Nincs kép","Nincs adat")))</f>
        <v/>
      </c>
      <c r="L1880" s="6" t="inlineStr">
        <is>
          <t>Igen</t>
        </is>
      </c>
      <c r="M1880" s="7" t="inlineStr">
        <is>
          <t>Sand-Profile teljes kínálata (gyártói katalógus / weboldal)</t>
        </is>
      </c>
      <c r="N1880" s="7" t="inlineStr">
        <is>
          <t>Megtalálva: a beszállító teljes kínálatából felvett termék</t>
        </is>
      </c>
      <c r="O1880" s="11" t="inlineStr">
        <is>
          <t>https://www.sandprofile.com/media/gesamtkatalog_en.pdf#page=20</t>
        </is>
      </c>
      <c r="P1880" s="11" t="inlineStr">
        <is>
          <t>https://website-9ib.pages.dev/termek/sp-a1-024-4/</t>
        </is>
      </c>
      <c r="Q1880" s="12" t="inlineStr"/>
      <c r="R1880" s="13" t="inlineStr"/>
      <c r="S1880" s="6" t="inlineStr">
        <is>
          <t>sp-a1-024-4</t>
        </is>
      </c>
    </row>
    <row r="1881">
      <c r="A1881" s="6" t="inlineStr">
        <is>
          <t>A1 024/6</t>
        </is>
      </c>
      <c r="B1881" s="7" t="inlineStr">
        <is>
          <t>Élvédő profil A1 024/6 – fekete, 4,0-6,0 mm</t>
        </is>
      </c>
      <c r="C1881" s="6" t="inlineStr">
        <is>
          <t>Gumi- és kéderprofilok</t>
        </is>
      </c>
      <c r="D1881" s="6" t="inlineStr">
        <is>
          <t>Élvédő profilok</t>
        </is>
      </c>
      <c r="E1881" s="6" t="inlineStr">
        <is>
          <t>Sand-Profile</t>
        </is>
      </c>
      <c r="F1881" s="6" t="inlineStr">
        <is>
          <t>A1 024/6</t>
        </is>
      </c>
      <c r="G1881" s="6" t="inlineStr">
        <is>
          <t>Teljes kínálat</t>
        </is>
      </c>
      <c r="H1881" s="6" t="n">
        <v>1</v>
      </c>
      <c r="I1881" s="6" t="n">
        <v>3</v>
      </c>
      <c r="J1881" s="6" t="inlineStr">
        <is>
          <t>van</t>
        </is>
      </c>
      <c r="K1881" s="6">
        <f>IF(AND(H1881&gt;0,I1881&gt;0),"Rendben",IF(AND(H1881=0,I1881=0),"Nincs kép és adat",IF(H1881=0,"Nincs kép","Nincs adat")))</f>
        <v/>
      </c>
      <c r="L1881" s="6" t="inlineStr">
        <is>
          <t>Igen</t>
        </is>
      </c>
      <c r="M1881" s="7" t="inlineStr">
        <is>
          <t>Sand-Profile teljes kínálata (gyártói katalógus / weboldal)</t>
        </is>
      </c>
      <c r="N1881" s="7" t="inlineStr">
        <is>
          <t>Megtalálva: a beszállító teljes kínálatából felvett termék</t>
        </is>
      </c>
      <c r="O1881" s="11" t="inlineStr">
        <is>
          <t>https://www.sandprofile.com/media/gesamtkatalog_en.pdf#page=20</t>
        </is>
      </c>
      <c r="P1881" s="11" t="inlineStr">
        <is>
          <t>https://website-9ib.pages.dev/termek/sp-a1-024-6/</t>
        </is>
      </c>
      <c r="Q1881" s="12" t="inlineStr"/>
      <c r="R1881" s="13" t="inlineStr"/>
      <c r="S1881" s="6" t="inlineStr">
        <is>
          <t>sp-a1-024-6</t>
        </is>
      </c>
    </row>
    <row r="1882">
      <c r="A1882" s="6" t="inlineStr">
        <is>
          <t>A1 030</t>
        </is>
      </c>
      <c r="B1882" s="7" t="inlineStr">
        <is>
          <t>Élvédő profil A1 030 – fekete, 4,0-6,0 mm</t>
        </is>
      </c>
      <c r="C1882" s="6" t="inlineStr">
        <is>
          <t>Gumi- és kéderprofilok</t>
        </is>
      </c>
      <c r="D1882" s="6" t="inlineStr">
        <is>
          <t>Élvédő profilok</t>
        </is>
      </c>
      <c r="E1882" s="6" t="inlineStr">
        <is>
          <t>Sand-Profile</t>
        </is>
      </c>
      <c r="F1882" s="6" t="inlineStr">
        <is>
          <t>A1 030</t>
        </is>
      </c>
      <c r="G1882" s="6" t="inlineStr">
        <is>
          <t>Teljes kínálat</t>
        </is>
      </c>
      <c r="H1882" s="6" t="n">
        <v>1</v>
      </c>
      <c r="I1882" s="6" t="n">
        <v>3</v>
      </c>
      <c r="J1882" s="6" t="inlineStr">
        <is>
          <t>van</t>
        </is>
      </c>
      <c r="K1882" s="6">
        <f>IF(AND(H1882&gt;0,I1882&gt;0),"Rendben",IF(AND(H1882=0,I1882=0),"Nincs kép és adat",IF(H1882=0,"Nincs kép","Nincs adat")))</f>
        <v/>
      </c>
      <c r="L1882" s="6" t="inlineStr">
        <is>
          <t>Igen</t>
        </is>
      </c>
      <c r="M1882" s="7" t="inlineStr">
        <is>
          <t>Sand-Profile teljes kínálata (gyártói katalógus / weboldal)</t>
        </is>
      </c>
      <c r="N1882" s="7" t="inlineStr">
        <is>
          <t>Megtalálva: a beszállító teljes kínálatából felvett termék</t>
        </is>
      </c>
      <c r="O1882" s="11" t="inlineStr">
        <is>
          <t>https://www.sandprofile.com/media/gesamtkatalog_en.pdf#page=20</t>
        </is>
      </c>
      <c r="P1882" s="11" t="inlineStr">
        <is>
          <t>https://website-9ib.pages.dev/termek/sp-a1-030/</t>
        </is>
      </c>
      <c r="Q1882" s="12" t="inlineStr"/>
      <c r="R1882" s="13" t="inlineStr"/>
      <c r="S1882" s="6" t="inlineStr">
        <is>
          <t>sp-a1-030</t>
        </is>
      </c>
    </row>
    <row r="1883">
      <c r="A1883" s="6" t="inlineStr">
        <is>
          <t>A1 032</t>
        </is>
      </c>
      <c r="B1883" s="7" t="inlineStr">
        <is>
          <t>Élvédő profil A1 032 – fekete, 1,0-2,5 mm</t>
        </is>
      </c>
      <c r="C1883" s="6" t="inlineStr">
        <is>
          <t>Gumi- és kéderprofilok</t>
        </is>
      </c>
      <c r="D1883" s="6" t="inlineStr">
        <is>
          <t>Élvédő profilok</t>
        </is>
      </c>
      <c r="E1883" s="6" t="inlineStr">
        <is>
          <t>Sand-Profile</t>
        </is>
      </c>
      <c r="F1883" s="6" t="inlineStr">
        <is>
          <t>A1 032</t>
        </is>
      </c>
      <c r="G1883" s="6" t="inlineStr">
        <is>
          <t>Teljes kínálat</t>
        </is>
      </c>
      <c r="H1883" s="6" t="n">
        <v>1</v>
      </c>
      <c r="I1883" s="6" t="n">
        <v>3</v>
      </c>
      <c r="J1883" s="6" t="inlineStr">
        <is>
          <t>van</t>
        </is>
      </c>
      <c r="K1883" s="6">
        <f>IF(AND(H1883&gt;0,I1883&gt;0),"Rendben",IF(AND(H1883=0,I1883=0),"Nincs kép és adat",IF(H1883=0,"Nincs kép","Nincs adat")))</f>
        <v/>
      </c>
      <c r="L1883" s="6" t="inlineStr">
        <is>
          <t>Igen</t>
        </is>
      </c>
      <c r="M1883" s="7" t="inlineStr">
        <is>
          <t>Sand-Profile teljes kínálata (gyártói katalógus / weboldal)</t>
        </is>
      </c>
      <c r="N1883" s="7" t="inlineStr">
        <is>
          <t>Megtalálva: a beszállító teljes kínálatából felvett termék</t>
        </is>
      </c>
      <c r="O1883" s="11" t="inlineStr">
        <is>
          <t>https://www.sandprofile.com/media/gesamtkatalog_en.pdf#page=18</t>
        </is>
      </c>
      <c r="P1883" s="11" t="inlineStr">
        <is>
          <t>https://website-9ib.pages.dev/termek/sp-a1-032/</t>
        </is>
      </c>
      <c r="Q1883" s="12" t="inlineStr"/>
      <c r="R1883" s="13" t="inlineStr"/>
      <c r="S1883" s="6" t="inlineStr">
        <is>
          <t>sp-a1-032</t>
        </is>
      </c>
    </row>
    <row r="1884">
      <c r="A1884" s="6" t="inlineStr">
        <is>
          <t>A1 034</t>
        </is>
      </c>
      <c r="B1884" s="7" t="inlineStr">
        <is>
          <t>Élvédő profil A1 034 – ezüst, 1,0-2,0 mm</t>
        </is>
      </c>
      <c r="C1884" s="6" t="inlineStr">
        <is>
          <t>Gumi- és kéderprofilok</t>
        </is>
      </c>
      <c r="D1884" s="6" t="inlineStr">
        <is>
          <t>Élvédő profilok</t>
        </is>
      </c>
      <c r="E1884" s="6" t="inlineStr">
        <is>
          <t>Sand-Profile</t>
        </is>
      </c>
      <c r="F1884" s="6" t="inlineStr">
        <is>
          <t>A1 034</t>
        </is>
      </c>
      <c r="G1884" s="6" t="inlineStr">
        <is>
          <t>Teljes kínálat</t>
        </is>
      </c>
      <c r="H1884" s="6" t="n">
        <v>1</v>
      </c>
      <c r="I1884" s="6" t="n">
        <v>3</v>
      </c>
      <c r="J1884" s="6" t="inlineStr">
        <is>
          <t>van</t>
        </is>
      </c>
      <c r="K1884" s="6">
        <f>IF(AND(H1884&gt;0,I1884&gt;0),"Rendben",IF(AND(H1884=0,I1884=0),"Nincs kép és adat",IF(H1884=0,"Nincs kép","Nincs adat")))</f>
        <v/>
      </c>
      <c r="L1884" s="6" t="inlineStr">
        <is>
          <t>Igen</t>
        </is>
      </c>
      <c r="M1884" s="7" t="inlineStr">
        <is>
          <t>Sand-Profile teljes kínálata (gyártói katalógus / weboldal)</t>
        </is>
      </c>
      <c r="N1884" s="7" t="inlineStr">
        <is>
          <t>Megtalálva: a beszállító teljes kínálatából felvett termék</t>
        </is>
      </c>
      <c r="O1884" s="11" t="inlineStr">
        <is>
          <t>https://www.sandprofile.com/media/gesamtkatalog_en.pdf#page=18</t>
        </is>
      </c>
      <c r="P1884" s="11" t="inlineStr">
        <is>
          <t>https://website-9ib.pages.dev/termek/sp-a1-034/</t>
        </is>
      </c>
      <c r="Q1884" s="12" t="inlineStr"/>
      <c r="R1884" s="13" t="inlineStr"/>
      <c r="S1884" s="6" t="inlineStr">
        <is>
          <t>sp-a1-034</t>
        </is>
      </c>
    </row>
    <row r="1885">
      <c r="A1885" s="6" t="inlineStr">
        <is>
          <t>A1 037</t>
        </is>
      </c>
      <c r="B1885" s="7" t="inlineStr">
        <is>
          <t>Élvédő profil A1 037 – fekete, 1,0-4,0 mm</t>
        </is>
      </c>
      <c r="C1885" s="6" t="inlineStr">
        <is>
          <t>Gumi- és kéderprofilok</t>
        </is>
      </c>
      <c r="D1885" s="6" t="inlineStr">
        <is>
          <t>Élvédő profilok</t>
        </is>
      </c>
      <c r="E1885" s="6" t="inlineStr">
        <is>
          <t>Sand-Profile</t>
        </is>
      </c>
      <c r="F1885" s="6" t="inlineStr">
        <is>
          <t>A1 037</t>
        </is>
      </c>
      <c r="G1885" s="6" t="inlineStr">
        <is>
          <t>Teljes kínálat</t>
        </is>
      </c>
      <c r="H1885" s="6" t="n">
        <v>1</v>
      </c>
      <c r="I1885" s="6" t="n">
        <v>3</v>
      </c>
      <c r="J1885" s="6" t="inlineStr">
        <is>
          <t>van</t>
        </is>
      </c>
      <c r="K1885" s="6">
        <f>IF(AND(H1885&gt;0,I1885&gt;0),"Rendben",IF(AND(H1885=0,I1885=0),"Nincs kép és adat",IF(H1885=0,"Nincs kép","Nincs adat")))</f>
        <v/>
      </c>
      <c r="L1885" s="6" t="inlineStr">
        <is>
          <t>Igen</t>
        </is>
      </c>
      <c r="M1885" s="7" t="inlineStr">
        <is>
          <t>Sand-Profile teljes kínálata (gyártói katalógus / weboldal)</t>
        </is>
      </c>
      <c r="N1885" s="7" t="inlineStr">
        <is>
          <t>Megtalálva: a beszállító teljes kínálatából felvett termék</t>
        </is>
      </c>
      <c r="O1885" s="11" t="inlineStr">
        <is>
          <t>https://www.sandprofile.com/media/gesamtkatalog_en.pdf#page=20</t>
        </is>
      </c>
      <c r="P1885" s="11" t="inlineStr">
        <is>
          <t>https://website-9ib.pages.dev/termek/sp-a1-037/</t>
        </is>
      </c>
      <c r="Q1885" s="12" t="inlineStr"/>
      <c r="R1885" s="13" t="inlineStr"/>
      <c r="S1885" s="6" t="inlineStr">
        <is>
          <t>sp-a1-037</t>
        </is>
      </c>
    </row>
    <row r="1886">
      <c r="A1886" s="6" t="inlineStr">
        <is>
          <t>A1 044</t>
        </is>
      </c>
      <c r="B1886" s="7" t="inlineStr">
        <is>
          <t>Élvédő profil A1 044 – fekete, 2,0-5,0 mm</t>
        </is>
      </c>
      <c r="C1886" s="6" t="inlineStr">
        <is>
          <t>Gumi- és kéderprofilok</t>
        </is>
      </c>
      <c r="D1886" s="6" t="inlineStr">
        <is>
          <t>Élvédő profilok</t>
        </is>
      </c>
      <c r="E1886" s="6" t="inlineStr">
        <is>
          <t>Sand-Profile</t>
        </is>
      </c>
      <c r="F1886" s="6" t="inlineStr">
        <is>
          <t>A1 044</t>
        </is>
      </c>
      <c r="G1886" s="6" t="inlineStr">
        <is>
          <t>Teljes kínálat</t>
        </is>
      </c>
      <c r="H1886" s="6" t="n">
        <v>1</v>
      </c>
      <c r="I1886" s="6" t="n">
        <v>3</v>
      </c>
      <c r="J1886" s="6" t="inlineStr">
        <is>
          <t>van</t>
        </is>
      </c>
      <c r="K1886" s="6">
        <f>IF(AND(H1886&gt;0,I1886&gt;0),"Rendben",IF(AND(H1886=0,I1886=0),"Nincs kép és adat",IF(H1886=0,"Nincs kép","Nincs adat")))</f>
        <v/>
      </c>
      <c r="L1886" s="6" t="inlineStr">
        <is>
          <t>Igen</t>
        </is>
      </c>
      <c r="M1886" s="7" t="inlineStr">
        <is>
          <t>Sand-Profile teljes kínálata (gyártói katalógus / weboldal)</t>
        </is>
      </c>
      <c r="N1886" s="7" t="inlineStr">
        <is>
          <t>Megtalálva: a beszállító teljes kínálatából felvett termék</t>
        </is>
      </c>
      <c r="O1886" s="11" t="inlineStr">
        <is>
          <t>https://www.sandprofile.com/media/gesamtkatalog_en.pdf#page=19</t>
        </is>
      </c>
      <c r="P1886" s="11" t="inlineStr">
        <is>
          <t>https://website-9ib.pages.dev/termek/sp-a1-044/</t>
        </is>
      </c>
      <c r="Q1886" s="12" t="inlineStr"/>
      <c r="R1886" s="13" t="inlineStr"/>
      <c r="S1886" s="6" t="inlineStr">
        <is>
          <t>sp-a1-044</t>
        </is>
      </c>
    </row>
    <row r="1887">
      <c r="A1887" s="6" t="inlineStr">
        <is>
          <t>A1 075</t>
        </is>
      </c>
      <c r="B1887" s="7" t="inlineStr">
        <is>
          <t>Élvédő profil A1 075 – fekete, 1,0–2,5 mm</t>
        </is>
      </c>
      <c r="C1887" s="6" t="inlineStr">
        <is>
          <t>Gumi- és kéderprofilok</t>
        </is>
      </c>
      <c r="D1887" s="6" t="inlineStr">
        <is>
          <t>Élvédő profilok</t>
        </is>
      </c>
      <c r="E1887" s="6" t="inlineStr">
        <is>
          <t>Sand-Profile</t>
        </is>
      </c>
      <c r="F1887" s="6" t="inlineStr">
        <is>
          <t>A1 075</t>
        </is>
      </c>
      <c r="G1887" s="6" t="inlineStr">
        <is>
          <t>Teljes kínálat</t>
        </is>
      </c>
      <c r="H1887" s="6" t="n">
        <v>1</v>
      </c>
      <c r="I1887" s="6" t="n">
        <v>3</v>
      </c>
      <c r="J1887" s="6" t="inlineStr">
        <is>
          <t>van</t>
        </is>
      </c>
      <c r="K1887" s="6">
        <f>IF(AND(H1887&gt;0,I1887&gt;0),"Rendben",IF(AND(H1887=0,I1887=0),"Nincs kép és adat",IF(H1887=0,"Nincs kép","Nincs adat")))</f>
        <v/>
      </c>
      <c r="L1887" s="6" t="inlineStr">
        <is>
          <t>Igen</t>
        </is>
      </c>
      <c r="M1887" s="7" t="inlineStr">
        <is>
          <t>Sand-Profile teljes kínálata (gyártói katalógus / weboldal)</t>
        </is>
      </c>
      <c r="N1887" s="7" t="inlineStr">
        <is>
          <t>Megtalálva: a beszállító teljes kínálatából felvett termék</t>
        </is>
      </c>
      <c r="O1887" s="11" t="inlineStr">
        <is>
          <t>https://www.sandprofile.com/media/gesamtkatalog_en.pdf#page=21</t>
        </is>
      </c>
      <c r="P1887" s="11" t="inlineStr">
        <is>
          <t>https://website-9ib.pages.dev/termek/sp-a1-075/</t>
        </is>
      </c>
      <c r="Q1887" s="12" t="inlineStr"/>
      <c r="R1887" s="13" t="inlineStr"/>
      <c r="S1887" s="6" t="inlineStr">
        <is>
          <t>sp-a1-075</t>
        </is>
      </c>
    </row>
    <row r="1888">
      <c r="A1888" s="6" t="inlineStr">
        <is>
          <t>A1 077</t>
        </is>
      </c>
      <c r="B1888" s="7" t="inlineStr">
        <is>
          <t>Élvédő profil A1 077 – fekete, 0,5-3,0 mm</t>
        </is>
      </c>
      <c r="C1888" s="6" t="inlineStr">
        <is>
          <t>Gumi- és kéderprofilok</t>
        </is>
      </c>
      <c r="D1888" s="6" t="inlineStr">
        <is>
          <t>Élvédő profilok</t>
        </is>
      </c>
      <c r="E1888" s="6" t="inlineStr">
        <is>
          <t>Sand-Profile</t>
        </is>
      </c>
      <c r="F1888" s="6" t="inlineStr">
        <is>
          <t>A1 077</t>
        </is>
      </c>
      <c r="G1888" s="6" t="inlineStr">
        <is>
          <t>Teljes kínálat</t>
        </is>
      </c>
      <c r="H1888" s="6" t="n">
        <v>1</v>
      </c>
      <c r="I1888" s="6" t="n">
        <v>3</v>
      </c>
      <c r="J1888" s="6" t="inlineStr">
        <is>
          <t>van</t>
        </is>
      </c>
      <c r="K1888" s="6">
        <f>IF(AND(H1888&gt;0,I1888&gt;0),"Rendben",IF(AND(H1888=0,I1888=0),"Nincs kép és adat",IF(H1888=0,"Nincs kép","Nincs adat")))</f>
        <v/>
      </c>
      <c r="L1888" s="6" t="inlineStr">
        <is>
          <t>Igen</t>
        </is>
      </c>
      <c r="M1888" s="7" t="inlineStr">
        <is>
          <t>Sand-Profile teljes kínálata (gyártói katalógus / weboldal)</t>
        </is>
      </c>
      <c r="N1888" s="7" t="inlineStr">
        <is>
          <t>Megtalálva: a beszállító teljes kínálatából felvett termék</t>
        </is>
      </c>
      <c r="O1888" s="11" t="inlineStr">
        <is>
          <t>https://www.sandprofile.com/media/gesamtkatalog_en.pdf#page=21</t>
        </is>
      </c>
      <c r="P1888" s="11" t="inlineStr">
        <is>
          <t>https://website-9ib.pages.dev/termek/sp-a1-077/</t>
        </is>
      </c>
      <c r="Q1888" s="12" t="inlineStr"/>
      <c r="R1888" s="13" t="inlineStr"/>
      <c r="S1888" s="6" t="inlineStr">
        <is>
          <t>sp-a1-077</t>
        </is>
      </c>
    </row>
    <row r="1889">
      <c r="A1889" s="6" t="inlineStr">
        <is>
          <t>A2 051</t>
        </is>
      </c>
      <c r="B1889" s="7" t="inlineStr">
        <is>
          <t>Élvédő profil A2 051 – fekete, 1,0–3,0 mm</t>
        </is>
      </c>
      <c r="C1889" s="6" t="inlineStr">
        <is>
          <t>Gumi- és kéderprofilok</t>
        </is>
      </c>
      <c r="D1889" s="6" t="inlineStr">
        <is>
          <t>Élvédő profilok</t>
        </is>
      </c>
      <c r="E1889" s="6" t="inlineStr">
        <is>
          <t>Sand-Profile</t>
        </is>
      </c>
      <c r="F1889" s="6" t="inlineStr">
        <is>
          <t>A2 051</t>
        </is>
      </c>
      <c r="G1889" s="6" t="inlineStr">
        <is>
          <t>Teljes kínálat</t>
        </is>
      </c>
      <c r="H1889" s="6" t="n">
        <v>1</v>
      </c>
      <c r="I1889" s="6" t="n">
        <v>3</v>
      </c>
      <c r="J1889" s="6" t="inlineStr">
        <is>
          <t>van</t>
        </is>
      </c>
      <c r="K1889" s="6">
        <f>IF(AND(H1889&gt;0,I1889&gt;0),"Rendben",IF(AND(H1889=0,I1889=0),"Nincs kép és adat",IF(H1889=0,"Nincs kép","Nincs adat")))</f>
        <v/>
      </c>
      <c r="L1889" s="6" t="inlineStr">
        <is>
          <t>Igen</t>
        </is>
      </c>
      <c r="M1889" s="7" t="inlineStr">
        <is>
          <t>Sand-Profile teljes kínálata (gyártói katalógus / weboldal)</t>
        </is>
      </c>
      <c r="N1889" s="7" t="inlineStr">
        <is>
          <t>Megtalálva: a beszállító teljes kínálatából felvett termék</t>
        </is>
      </c>
      <c r="O1889" s="11" t="inlineStr">
        <is>
          <t>https://www.sandprofile.com/media/gesamtkatalog_en.pdf#page=18</t>
        </is>
      </c>
      <c r="P1889" s="11" t="inlineStr">
        <is>
          <t>https://website-9ib.pages.dev/termek/sp-a2-051/</t>
        </is>
      </c>
      <c r="Q1889" s="12" t="inlineStr"/>
      <c r="R1889" s="13" t="inlineStr"/>
      <c r="S1889" s="6" t="inlineStr">
        <is>
          <t>sp-a2-051</t>
        </is>
      </c>
    </row>
    <row r="1890">
      <c r="A1890" s="6" t="inlineStr">
        <is>
          <t>A2 078</t>
        </is>
      </c>
      <c r="B1890" s="7" t="inlineStr">
        <is>
          <t>Élvédő profil A2 078 – fekete, 10,0-12,0 mm</t>
        </is>
      </c>
      <c r="C1890" s="6" t="inlineStr">
        <is>
          <t>Gumi- és kéderprofilok</t>
        </is>
      </c>
      <c r="D1890" s="6" t="inlineStr">
        <is>
          <t>Élvédő profilok</t>
        </is>
      </c>
      <c r="E1890" s="6" t="inlineStr">
        <is>
          <t>Sand-Profile</t>
        </is>
      </c>
      <c r="F1890" s="6" t="inlineStr">
        <is>
          <t>A2 078</t>
        </is>
      </c>
      <c r="G1890" s="6" t="inlineStr">
        <is>
          <t>Teljes kínálat</t>
        </is>
      </c>
      <c r="H1890" s="6" t="n">
        <v>1</v>
      </c>
      <c r="I1890" s="6" t="n">
        <v>3</v>
      </c>
      <c r="J1890" s="6" t="inlineStr">
        <is>
          <t>van</t>
        </is>
      </c>
      <c r="K1890" s="6">
        <f>IF(AND(H1890&gt;0,I1890&gt;0),"Rendben",IF(AND(H1890=0,I1890=0),"Nincs kép és adat",IF(H1890=0,"Nincs kép","Nincs adat")))</f>
        <v/>
      </c>
      <c r="L1890" s="6" t="inlineStr">
        <is>
          <t>Igen</t>
        </is>
      </c>
      <c r="M1890" s="7" t="inlineStr">
        <is>
          <t>Sand-Profile teljes kínálata (gyártói katalógus / weboldal)</t>
        </is>
      </c>
      <c r="N1890" s="7" t="inlineStr">
        <is>
          <t>Megtalálva: a beszállító teljes kínálatából felvett termék</t>
        </is>
      </c>
      <c r="O1890" s="11" t="inlineStr">
        <is>
          <t>https://www.sandprofile.com/media/gesamtkatalog_en.pdf#page=19</t>
        </is>
      </c>
      <c r="P1890" s="11" t="inlineStr">
        <is>
          <t>https://website-9ib.pages.dev/termek/sp-a2-078/</t>
        </is>
      </c>
      <c r="Q1890" s="12" t="inlineStr"/>
      <c r="R1890" s="13" t="inlineStr"/>
      <c r="S1890" s="6" t="inlineStr">
        <is>
          <t>sp-a2-078</t>
        </is>
      </c>
    </row>
    <row r="1891">
      <c r="A1891" s="6" t="inlineStr">
        <is>
          <t>A2 257</t>
        </is>
      </c>
      <c r="B1891" s="7" t="inlineStr">
        <is>
          <t>Élvédő profil A2 257 – pearl-, 1,0-2,5 mm</t>
        </is>
      </c>
      <c r="C1891" s="6" t="inlineStr">
        <is>
          <t>Gumi- és kéderprofilok</t>
        </is>
      </c>
      <c r="D1891" s="6" t="inlineStr">
        <is>
          <t>Élvédő profilok</t>
        </is>
      </c>
      <c r="E1891" s="6" t="inlineStr">
        <is>
          <t>Sand-Profile</t>
        </is>
      </c>
      <c r="F1891" s="6" t="inlineStr">
        <is>
          <t>A2 257</t>
        </is>
      </c>
      <c r="G1891" s="6" t="inlineStr">
        <is>
          <t>Teljes kínálat</t>
        </is>
      </c>
      <c r="H1891" s="6" t="n">
        <v>1</v>
      </c>
      <c r="I1891" s="6" t="n">
        <v>3</v>
      </c>
      <c r="J1891" s="6" t="inlineStr">
        <is>
          <t>van</t>
        </is>
      </c>
      <c r="K1891" s="6">
        <f>IF(AND(H1891&gt;0,I1891&gt;0),"Rendben",IF(AND(H1891=0,I1891=0),"Nincs kép és adat",IF(H1891=0,"Nincs kép","Nincs adat")))</f>
        <v/>
      </c>
      <c r="L1891" s="6" t="inlineStr">
        <is>
          <t>Igen</t>
        </is>
      </c>
      <c r="M1891" s="7" t="inlineStr">
        <is>
          <t>Sand-Profile teljes kínálata (gyártói katalógus / weboldal)</t>
        </is>
      </c>
      <c r="N1891" s="7" t="inlineStr">
        <is>
          <t>Megtalálva: a beszállító teljes kínálatából felvett termék</t>
        </is>
      </c>
      <c r="O1891" s="11" t="inlineStr">
        <is>
          <t>https://www.sandprofile.com/media/gesamtkatalog_en.pdf#page=22</t>
        </is>
      </c>
      <c r="P1891" s="11" t="inlineStr">
        <is>
          <t>https://website-9ib.pages.dev/termek/sp-a2-257/</t>
        </is>
      </c>
      <c r="Q1891" s="12" t="inlineStr"/>
      <c r="R1891" s="13" t="inlineStr"/>
      <c r="S1891" s="6" t="inlineStr">
        <is>
          <t>sp-a2-257</t>
        </is>
      </c>
    </row>
    <row r="1892">
      <c r="A1892" s="6" t="inlineStr">
        <is>
          <t>A2 613</t>
        </is>
      </c>
      <c r="B1892" s="7" t="inlineStr">
        <is>
          <t>Élvédő profil A2 613 – fekete, 1,0–3,0 mm</t>
        </is>
      </c>
      <c r="C1892" s="6" t="inlineStr">
        <is>
          <t>Gumi- és kéderprofilok</t>
        </is>
      </c>
      <c r="D1892" s="6" t="inlineStr">
        <is>
          <t>Élvédő profilok</t>
        </is>
      </c>
      <c r="E1892" s="6" t="inlineStr">
        <is>
          <t>Sand-Profile</t>
        </is>
      </c>
      <c r="F1892" s="6" t="inlineStr">
        <is>
          <t>A2 613</t>
        </is>
      </c>
      <c r="G1892" s="6" t="inlineStr">
        <is>
          <t>Teljes kínálat</t>
        </is>
      </c>
      <c r="H1892" s="6" t="n">
        <v>1</v>
      </c>
      <c r="I1892" s="6" t="n">
        <v>3</v>
      </c>
      <c r="J1892" s="6" t="inlineStr">
        <is>
          <t>van</t>
        </is>
      </c>
      <c r="K1892" s="6">
        <f>IF(AND(H1892&gt;0,I1892&gt;0),"Rendben",IF(AND(H1892=0,I1892=0),"Nincs kép és adat",IF(H1892=0,"Nincs kép","Nincs adat")))</f>
        <v/>
      </c>
      <c r="L1892" s="6" t="inlineStr">
        <is>
          <t>Igen</t>
        </is>
      </c>
      <c r="M1892" s="7" t="inlineStr">
        <is>
          <t>Sand-Profile teljes kínálata (gyártói katalógus / weboldal)</t>
        </is>
      </c>
      <c r="N1892" s="7" t="inlineStr">
        <is>
          <t>Megtalálva: a beszállító teljes kínálatából felvett termék</t>
        </is>
      </c>
      <c r="O1892" s="11" t="inlineStr">
        <is>
          <t>https://www.sandprofile.com/media/gesamtkatalog_en.pdf#page=23</t>
        </is>
      </c>
      <c r="P1892" s="11" t="inlineStr">
        <is>
          <t>https://website-9ib.pages.dev/termek/sp-a2-613/</t>
        </is>
      </c>
      <c r="Q1892" s="12" t="inlineStr"/>
      <c r="R1892" s="13" t="inlineStr"/>
      <c r="S1892" s="6" t="inlineStr">
        <is>
          <t>sp-a2-613</t>
        </is>
      </c>
    </row>
    <row r="1893">
      <c r="A1893" s="6" t="inlineStr">
        <is>
          <t>A2 813</t>
        </is>
      </c>
      <c r="B1893" s="7" t="inlineStr">
        <is>
          <t>Élvédő profil A2 813 – fekete, 0,5-3,0 mm</t>
        </is>
      </c>
      <c r="C1893" s="6" t="inlineStr">
        <is>
          <t>Gumi- és kéderprofilok</t>
        </is>
      </c>
      <c r="D1893" s="6" t="inlineStr">
        <is>
          <t>Élvédő profilok</t>
        </is>
      </c>
      <c r="E1893" s="6" t="inlineStr">
        <is>
          <t>Sand-Profile</t>
        </is>
      </c>
      <c r="F1893" s="6" t="inlineStr">
        <is>
          <t>A2 813</t>
        </is>
      </c>
      <c r="G1893" s="6" t="inlineStr">
        <is>
          <t>Teljes kínálat</t>
        </is>
      </c>
      <c r="H1893" s="6" t="n">
        <v>1</v>
      </c>
      <c r="I1893" s="6" t="n">
        <v>3</v>
      </c>
      <c r="J1893" s="6" t="inlineStr">
        <is>
          <t>van</t>
        </is>
      </c>
      <c r="K1893" s="6">
        <f>IF(AND(H1893&gt;0,I1893&gt;0),"Rendben",IF(AND(H1893=0,I1893=0),"Nincs kép és adat",IF(H1893=0,"Nincs kép","Nincs adat")))</f>
        <v/>
      </c>
      <c r="L1893" s="6" t="inlineStr">
        <is>
          <t>Igen</t>
        </is>
      </c>
      <c r="M1893" s="7" t="inlineStr">
        <is>
          <t>Sand-Profile teljes kínálata (gyártói katalógus / weboldal)</t>
        </is>
      </c>
      <c r="N1893" s="7" t="inlineStr">
        <is>
          <t>Megtalálva: a beszállító teljes kínálatából felvett termék</t>
        </is>
      </c>
      <c r="O1893" s="11" t="inlineStr">
        <is>
          <t>https://www.sandprofile.com/media/gesamtkatalog_en.pdf#page=21</t>
        </is>
      </c>
      <c r="P1893" s="11" t="inlineStr">
        <is>
          <t>https://website-9ib.pages.dev/termek/sp-a2-813/</t>
        </is>
      </c>
      <c r="Q1893" s="12" t="inlineStr"/>
      <c r="R1893" s="13" t="inlineStr"/>
      <c r="S1893" s="6" t="inlineStr">
        <is>
          <t>sp-a2-813</t>
        </is>
      </c>
    </row>
    <row r="1894">
      <c r="A1894" s="6" t="inlineStr">
        <is>
          <t>A3 046</t>
        </is>
      </c>
      <c r="B1894" s="7" t="inlineStr">
        <is>
          <t>Élvédő profil A3 046 – fekete, 0,8-1,0 mm</t>
        </is>
      </c>
      <c r="C1894" s="6" t="inlineStr">
        <is>
          <t>Gumi- és kéderprofilok</t>
        </is>
      </c>
      <c r="D1894" s="6" t="inlineStr">
        <is>
          <t>Élvédő profilok</t>
        </is>
      </c>
      <c r="E1894" s="6" t="inlineStr">
        <is>
          <t>Sand-Profile</t>
        </is>
      </c>
      <c r="F1894" s="6" t="inlineStr">
        <is>
          <t>A3 046</t>
        </is>
      </c>
      <c r="G1894" s="6" t="inlineStr">
        <is>
          <t>Teljes kínálat</t>
        </is>
      </c>
      <c r="H1894" s="6" t="n">
        <v>1</v>
      </c>
      <c r="I1894" s="6" t="n">
        <v>3</v>
      </c>
      <c r="J1894" s="6" t="inlineStr">
        <is>
          <t>van</t>
        </is>
      </c>
      <c r="K1894" s="6">
        <f>IF(AND(H1894&gt;0,I1894&gt;0),"Rendben",IF(AND(H1894=0,I1894=0),"Nincs kép és adat",IF(H1894=0,"Nincs kép","Nincs adat")))</f>
        <v/>
      </c>
      <c r="L1894" s="6" t="inlineStr">
        <is>
          <t>Igen</t>
        </is>
      </c>
      <c r="M1894" s="7" t="inlineStr">
        <is>
          <t>Sand-Profile teljes kínálata (gyártói katalógus / weboldal)</t>
        </is>
      </c>
      <c r="N1894" s="7" t="inlineStr">
        <is>
          <t>Megtalálva: a beszállító teljes kínálatából felvett termék</t>
        </is>
      </c>
      <c r="O1894" s="11" t="inlineStr">
        <is>
          <t>https://www.sandprofile.com/media/gesamtkatalog_en.pdf#page=21</t>
        </is>
      </c>
      <c r="P1894" s="11" t="inlineStr">
        <is>
          <t>https://website-9ib.pages.dev/termek/sp-a3-046/</t>
        </is>
      </c>
      <c r="Q1894" s="12" t="inlineStr"/>
      <c r="R1894" s="13" t="inlineStr"/>
      <c r="S1894" s="6" t="inlineStr">
        <is>
          <t>sp-a3-046</t>
        </is>
      </c>
    </row>
    <row r="1895">
      <c r="A1895" s="6" t="inlineStr">
        <is>
          <t>A3 087</t>
        </is>
      </c>
      <c r="B1895" s="7" t="inlineStr">
        <is>
          <t>Élvédő profil A3 087 – fehér, 2,0 mm</t>
        </is>
      </c>
      <c r="C1895" s="6" t="inlineStr">
        <is>
          <t>Gumi- és kéderprofilok</t>
        </is>
      </c>
      <c r="D1895" s="6" t="inlineStr">
        <is>
          <t>Élvédő profilok</t>
        </is>
      </c>
      <c r="E1895" s="6" t="inlineStr">
        <is>
          <t>Sand-Profile</t>
        </is>
      </c>
      <c r="F1895" s="6" t="inlineStr">
        <is>
          <t>A3 087</t>
        </is>
      </c>
      <c r="G1895" s="6" t="inlineStr">
        <is>
          <t>Teljes kínálat</t>
        </is>
      </c>
      <c r="H1895" s="6" t="n">
        <v>1</v>
      </c>
      <c r="I1895" s="6" t="n">
        <v>3</v>
      </c>
      <c r="J1895" s="6" t="inlineStr">
        <is>
          <t>van</t>
        </is>
      </c>
      <c r="K1895" s="6">
        <f>IF(AND(H1895&gt;0,I1895&gt;0),"Rendben",IF(AND(H1895=0,I1895=0),"Nincs kép és adat",IF(H1895=0,"Nincs kép","Nincs adat")))</f>
        <v/>
      </c>
      <c r="L1895" s="6" t="inlineStr">
        <is>
          <t>Igen</t>
        </is>
      </c>
      <c r="M1895" s="7" t="inlineStr">
        <is>
          <t>Sand-Profile teljes kínálata (gyártói katalógus / weboldal)</t>
        </is>
      </c>
      <c r="N1895" s="7" t="inlineStr">
        <is>
          <t>Megtalálva: a beszállító teljes kínálatából felvett termék</t>
        </is>
      </c>
      <c r="O1895" s="11" t="inlineStr">
        <is>
          <t>https://www.sandprofile.com/media/gesamtkatalog_en.pdf#page=21</t>
        </is>
      </c>
      <c r="P1895" s="11" t="inlineStr">
        <is>
          <t>https://website-9ib.pages.dev/termek/sp-a3-087/</t>
        </is>
      </c>
      <c r="Q1895" s="12" t="inlineStr"/>
      <c r="R1895" s="13" t="inlineStr"/>
      <c r="S1895" s="6" t="inlineStr">
        <is>
          <t>sp-a3-087</t>
        </is>
      </c>
    </row>
    <row r="1896">
      <c r="A1896" s="6" t="inlineStr">
        <is>
          <t>A3 362-BU</t>
        </is>
      </c>
      <c r="B1896" s="7" t="inlineStr">
        <is>
          <t>Élvédő profil A3 362-BU – light-, 2,0 mm</t>
        </is>
      </c>
      <c r="C1896" s="6" t="inlineStr">
        <is>
          <t>Gumi- és kéderprofilok</t>
        </is>
      </c>
      <c r="D1896" s="6" t="inlineStr">
        <is>
          <t>Élvédő profilok</t>
        </is>
      </c>
      <c r="E1896" s="6" t="inlineStr">
        <is>
          <t>Sand-Profile</t>
        </is>
      </c>
      <c r="F1896" s="6" t="inlineStr">
        <is>
          <t>A3 362-BU</t>
        </is>
      </c>
      <c r="G1896" s="6" t="inlineStr">
        <is>
          <t>Teljes kínálat</t>
        </is>
      </c>
      <c r="H1896" s="6" t="n">
        <v>1</v>
      </c>
      <c r="I1896" s="6" t="n">
        <v>3</v>
      </c>
      <c r="J1896" s="6" t="inlineStr">
        <is>
          <t>van</t>
        </is>
      </c>
      <c r="K1896" s="6">
        <f>IF(AND(H1896&gt;0,I1896&gt;0),"Rendben",IF(AND(H1896=0,I1896=0),"Nincs kép és adat",IF(H1896=0,"Nincs kép","Nincs adat")))</f>
        <v/>
      </c>
      <c r="L1896" s="6" t="inlineStr">
        <is>
          <t>Igen</t>
        </is>
      </c>
      <c r="M1896" s="7" t="inlineStr">
        <is>
          <t>Sand-Profile teljes kínálata (gyártói katalógus / weboldal)</t>
        </is>
      </c>
      <c r="N1896" s="7" t="inlineStr">
        <is>
          <t>Megtalálva: a beszállító teljes kínálatából felvett termék</t>
        </is>
      </c>
      <c r="O1896" s="11" t="inlineStr">
        <is>
          <t>https://www.sandprofile.com/media/gesamtkatalog_en.pdf#page=21</t>
        </is>
      </c>
      <c r="P1896" s="11" t="inlineStr">
        <is>
          <t>https://website-9ib.pages.dev/termek/sp-a3-362-bu/</t>
        </is>
      </c>
      <c r="Q1896" s="12" t="inlineStr"/>
      <c r="R1896" s="13" t="inlineStr"/>
      <c r="S1896" s="6" t="inlineStr">
        <is>
          <t>sp-a3-362-bu</t>
        </is>
      </c>
    </row>
    <row r="1897">
      <c r="A1897" s="6" t="inlineStr">
        <is>
          <t>A3 444</t>
        </is>
      </c>
      <c r="B1897" s="7" t="inlineStr">
        <is>
          <t>Élvédő profil A3 444 – fekete, 5,0-6,0 mm</t>
        </is>
      </c>
      <c r="C1897" s="6" t="inlineStr">
        <is>
          <t>Gumi- és kéderprofilok</t>
        </is>
      </c>
      <c r="D1897" s="6" t="inlineStr">
        <is>
          <t>Élvédő profilok</t>
        </is>
      </c>
      <c r="E1897" s="6" t="inlineStr">
        <is>
          <t>Sand-Profile</t>
        </is>
      </c>
      <c r="F1897" s="6" t="inlineStr">
        <is>
          <t>A3 444</t>
        </is>
      </c>
      <c r="G1897" s="6" t="inlineStr">
        <is>
          <t>Teljes kínálat</t>
        </is>
      </c>
      <c r="H1897" s="6" t="n">
        <v>1</v>
      </c>
      <c r="I1897" s="6" t="n">
        <v>3</v>
      </c>
      <c r="J1897" s="6" t="inlineStr">
        <is>
          <t>van</t>
        </is>
      </c>
      <c r="K1897" s="6">
        <f>IF(AND(H1897&gt;0,I1897&gt;0),"Rendben",IF(AND(H1897=0,I1897=0),"Nincs kép és adat",IF(H1897=0,"Nincs kép","Nincs adat")))</f>
        <v/>
      </c>
      <c r="L1897" s="6" t="inlineStr">
        <is>
          <t>Igen</t>
        </is>
      </c>
      <c r="M1897" s="7" t="inlineStr">
        <is>
          <t>Sand-Profile teljes kínálata (gyártói katalógus / weboldal)</t>
        </is>
      </c>
      <c r="N1897" s="7" t="inlineStr">
        <is>
          <t>Megtalálva: a beszállító teljes kínálatából felvett termék</t>
        </is>
      </c>
      <c r="O1897" s="11" t="inlineStr">
        <is>
          <t>https://www.sandprofile.com/media/gesamtkatalog_en.pdf#page=23</t>
        </is>
      </c>
      <c r="P1897" s="11" t="inlineStr">
        <is>
          <t>https://website-9ib.pages.dev/termek/sp-a3-444/</t>
        </is>
      </c>
      <c r="Q1897" s="12" t="inlineStr"/>
      <c r="R1897" s="13" t="inlineStr"/>
      <c r="S1897" s="6" t="inlineStr">
        <is>
          <t>sp-a3-444</t>
        </is>
      </c>
    </row>
    <row r="1898">
      <c r="A1898" s="6" t="inlineStr">
        <is>
          <t>A3 490</t>
        </is>
      </c>
      <c r="B1898" s="7" t="inlineStr">
        <is>
          <t>Élvédő profil A3 490 – creamy-, 2,0 mm</t>
        </is>
      </c>
      <c r="C1898" s="6" t="inlineStr">
        <is>
          <t>Gumi- és kéderprofilok</t>
        </is>
      </c>
      <c r="D1898" s="6" t="inlineStr">
        <is>
          <t>Élvédő profilok</t>
        </is>
      </c>
      <c r="E1898" s="6" t="inlineStr">
        <is>
          <t>Sand-Profile</t>
        </is>
      </c>
      <c r="F1898" s="6" t="inlineStr">
        <is>
          <t>A3 490</t>
        </is>
      </c>
      <c r="G1898" s="6" t="inlineStr">
        <is>
          <t>Teljes kínálat</t>
        </is>
      </c>
      <c r="H1898" s="6" t="n">
        <v>1</v>
      </c>
      <c r="I1898" s="6" t="n">
        <v>3</v>
      </c>
      <c r="J1898" s="6" t="inlineStr">
        <is>
          <t>van</t>
        </is>
      </c>
      <c r="K1898" s="6">
        <f>IF(AND(H1898&gt;0,I1898&gt;0),"Rendben",IF(AND(H1898=0,I1898=0),"Nincs kép és adat",IF(H1898=0,"Nincs kép","Nincs adat")))</f>
        <v/>
      </c>
      <c r="L1898" s="6" t="inlineStr">
        <is>
          <t>Igen</t>
        </is>
      </c>
      <c r="M1898" s="7" t="inlineStr">
        <is>
          <t>Sand-Profile teljes kínálata (gyártói katalógus / weboldal)</t>
        </is>
      </c>
      <c r="N1898" s="7" t="inlineStr">
        <is>
          <t>Megtalálva: a beszállító teljes kínálatából felvett termék</t>
        </is>
      </c>
      <c r="O1898" s="11" t="inlineStr">
        <is>
          <t>https://www.sandprofile.com/media/gesamtkatalog_en.pdf#page=21</t>
        </is>
      </c>
      <c r="P1898" s="11" t="inlineStr">
        <is>
          <t>https://website-9ib.pages.dev/termek/sp-a3-490/</t>
        </is>
      </c>
      <c r="Q1898" s="12" t="inlineStr"/>
      <c r="R1898" s="13" t="inlineStr"/>
      <c r="S1898" s="6" t="inlineStr">
        <is>
          <t>sp-a3-490</t>
        </is>
      </c>
    </row>
    <row r="1899">
      <c r="A1899" s="6" t="inlineStr">
        <is>
          <t>A3 521</t>
        </is>
      </c>
      <c r="B1899" s="7" t="inlineStr">
        <is>
          <t>Élvédő profil A3 521 – fekete, 1,0-2,0 mm</t>
        </is>
      </c>
      <c r="C1899" s="6" t="inlineStr">
        <is>
          <t>Gumi- és kéderprofilok</t>
        </is>
      </c>
      <c r="D1899" s="6" t="inlineStr">
        <is>
          <t>Élvédő profilok</t>
        </is>
      </c>
      <c r="E1899" s="6" t="inlineStr">
        <is>
          <t>Sand-Profile</t>
        </is>
      </c>
      <c r="F1899" s="6" t="inlineStr">
        <is>
          <t>A3 521</t>
        </is>
      </c>
      <c r="G1899" s="6" t="inlineStr">
        <is>
          <t>Teljes kínálat</t>
        </is>
      </c>
      <c r="H1899" s="6" t="n">
        <v>1</v>
      </c>
      <c r="I1899" s="6" t="n">
        <v>3</v>
      </c>
      <c r="J1899" s="6" t="inlineStr">
        <is>
          <t>van</t>
        </is>
      </c>
      <c r="K1899" s="6">
        <f>IF(AND(H1899&gt;0,I1899&gt;0),"Rendben",IF(AND(H1899=0,I1899=0),"Nincs kép és adat",IF(H1899=0,"Nincs kép","Nincs adat")))</f>
        <v/>
      </c>
      <c r="L1899" s="6" t="inlineStr">
        <is>
          <t>Igen</t>
        </is>
      </c>
      <c r="M1899" s="7" t="inlineStr">
        <is>
          <t>Sand-Profile teljes kínálata (gyártói katalógus / weboldal)</t>
        </is>
      </c>
      <c r="N1899" s="7" t="inlineStr">
        <is>
          <t>Megtalálva: a beszállító teljes kínálatából felvett termék</t>
        </is>
      </c>
      <c r="O1899" s="11" t="inlineStr">
        <is>
          <t>https://www.sandprofile.com/media/gesamtkatalog_en.pdf#page=23</t>
        </is>
      </c>
      <c r="P1899" s="11" t="inlineStr">
        <is>
          <t>https://website-9ib.pages.dev/termek/sp-a3-521/</t>
        </is>
      </c>
      <c r="Q1899" s="12" t="inlineStr"/>
      <c r="R1899" s="13" t="inlineStr"/>
      <c r="S1899" s="6" t="inlineStr">
        <is>
          <t>sp-a3-521</t>
        </is>
      </c>
    </row>
    <row r="1900">
      <c r="A1900" s="6" t="inlineStr">
        <is>
          <t>A3 550</t>
        </is>
      </c>
      <c r="B1900" s="7" t="inlineStr">
        <is>
          <t>Élvédő profil A3 550 – fekete, 5,0–8,0 mm</t>
        </is>
      </c>
      <c r="C1900" s="6" t="inlineStr">
        <is>
          <t>Gumi- és kéderprofilok</t>
        </is>
      </c>
      <c r="D1900" s="6" t="inlineStr">
        <is>
          <t>Élvédő profilok</t>
        </is>
      </c>
      <c r="E1900" s="6" t="inlineStr">
        <is>
          <t>Sand-Profile</t>
        </is>
      </c>
      <c r="F1900" s="6" t="inlineStr">
        <is>
          <t>A3 550</t>
        </is>
      </c>
      <c r="G1900" s="6" t="inlineStr">
        <is>
          <t>Teljes kínálat</t>
        </is>
      </c>
      <c r="H1900" s="6" t="n">
        <v>1</v>
      </c>
      <c r="I1900" s="6" t="n">
        <v>3</v>
      </c>
      <c r="J1900" s="6" t="inlineStr">
        <is>
          <t>van</t>
        </is>
      </c>
      <c r="K1900" s="6">
        <f>IF(AND(H1900&gt;0,I1900&gt;0),"Rendben",IF(AND(H1900=0,I1900=0),"Nincs kép és adat",IF(H1900=0,"Nincs kép","Nincs adat")))</f>
        <v/>
      </c>
      <c r="L1900" s="6" t="inlineStr">
        <is>
          <t>Igen</t>
        </is>
      </c>
      <c r="M1900" s="7" t="inlineStr">
        <is>
          <t>Sand-Profile teljes kínálata (gyártói katalógus / weboldal)</t>
        </is>
      </c>
      <c r="N1900" s="7" t="inlineStr">
        <is>
          <t>Megtalálva: a beszállító teljes kínálatából felvett termék</t>
        </is>
      </c>
      <c r="O1900" s="11" t="inlineStr">
        <is>
          <t>https://www.sandprofile.com/media/gesamtkatalog_en.pdf#page=23</t>
        </is>
      </c>
      <c r="P1900" s="11" t="inlineStr">
        <is>
          <t>https://website-9ib.pages.dev/termek/sp-a3-550/</t>
        </is>
      </c>
      <c r="Q1900" s="12" t="inlineStr"/>
      <c r="R1900" s="13" t="inlineStr"/>
      <c r="S1900" s="6" t="inlineStr">
        <is>
          <t>sp-a3-550</t>
        </is>
      </c>
    </row>
    <row r="1901">
      <c r="A1901" s="6" t="inlineStr">
        <is>
          <t>A3 634</t>
        </is>
      </c>
      <c r="B1901" s="7" t="inlineStr">
        <is>
          <t>Élvédő profil A3 634 – szürke, 2,0-5,0 mm</t>
        </is>
      </c>
      <c r="C1901" s="6" t="inlineStr">
        <is>
          <t>Gumi- és kéderprofilok</t>
        </is>
      </c>
      <c r="D1901" s="6" t="inlineStr">
        <is>
          <t>Élvédő profilok</t>
        </is>
      </c>
      <c r="E1901" s="6" t="inlineStr">
        <is>
          <t>Sand-Profile</t>
        </is>
      </c>
      <c r="F1901" s="6" t="inlineStr">
        <is>
          <t>A3 634</t>
        </is>
      </c>
      <c r="G1901" s="6" t="inlineStr">
        <is>
          <t>Teljes kínálat</t>
        </is>
      </c>
      <c r="H1901" s="6" t="n">
        <v>1</v>
      </c>
      <c r="I1901" s="6" t="n">
        <v>3</v>
      </c>
      <c r="J1901" s="6" t="inlineStr">
        <is>
          <t>van</t>
        </is>
      </c>
      <c r="K1901" s="6">
        <f>IF(AND(H1901&gt;0,I1901&gt;0),"Rendben",IF(AND(H1901=0,I1901=0),"Nincs kép és adat",IF(H1901=0,"Nincs kép","Nincs adat")))</f>
        <v/>
      </c>
      <c r="L1901" s="6" t="inlineStr">
        <is>
          <t>Igen</t>
        </is>
      </c>
      <c r="M1901" s="7" t="inlineStr">
        <is>
          <t>Sand-Profile teljes kínálata (gyártói katalógus / weboldal)</t>
        </is>
      </c>
      <c r="N1901" s="7" t="inlineStr">
        <is>
          <t>Megtalálva: a beszállító teljes kínálatából felvett termék</t>
        </is>
      </c>
      <c r="O1901" s="11" t="inlineStr">
        <is>
          <t>https://www.sandprofile.com/media/gesamtkatalog_en.pdf#page=19</t>
        </is>
      </c>
      <c r="P1901" s="11" t="inlineStr">
        <is>
          <t>https://website-9ib.pages.dev/termek/sp-a3-634/</t>
        </is>
      </c>
      <c r="Q1901" s="12" t="inlineStr"/>
      <c r="R1901" s="13" t="inlineStr"/>
      <c r="S1901" s="6" t="inlineStr">
        <is>
          <t>sp-a3-634</t>
        </is>
      </c>
    </row>
    <row r="1902">
      <c r="A1902" s="6" t="inlineStr">
        <is>
          <t>A4 253-BU</t>
        </is>
      </c>
      <c r="B1902" s="7" t="inlineStr">
        <is>
          <t>Élvédő profil A4 253-BU – fehér, 2,0 mm</t>
        </is>
      </c>
      <c r="C1902" s="6" t="inlineStr">
        <is>
          <t>Gumi- és kéderprofilok</t>
        </is>
      </c>
      <c r="D1902" s="6" t="inlineStr">
        <is>
          <t>Élvédő profilok</t>
        </is>
      </c>
      <c r="E1902" s="6" t="inlineStr">
        <is>
          <t>Sand-Profile</t>
        </is>
      </c>
      <c r="F1902" s="6" t="inlineStr">
        <is>
          <t>A4 253-BU</t>
        </is>
      </c>
      <c r="G1902" s="6" t="inlineStr">
        <is>
          <t>Teljes kínálat</t>
        </is>
      </c>
      <c r="H1902" s="6" t="n">
        <v>1</v>
      </c>
      <c r="I1902" s="6" t="n">
        <v>3</v>
      </c>
      <c r="J1902" s="6" t="inlineStr">
        <is>
          <t>van</t>
        </is>
      </c>
      <c r="K1902" s="6">
        <f>IF(AND(H1902&gt;0,I1902&gt;0),"Rendben",IF(AND(H1902=0,I1902=0),"Nincs kép és adat",IF(H1902=0,"Nincs kép","Nincs adat")))</f>
        <v/>
      </c>
      <c r="L1902" s="6" t="inlineStr">
        <is>
          <t>Igen</t>
        </is>
      </c>
      <c r="M1902" s="7" t="inlineStr">
        <is>
          <t>Sand-Profile teljes kínálata (gyártói katalógus / weboldal)</t>
        </is>
      </c>
      <c r="N1902" s="7" t="inlineStr">
        <is>
          <t>Megtalálva: a beszállító teljes kínálatából felvett termék</t>
        </is>
      </c>
      <c r="O1902" s="11" t="inlineStr">
        <is>
          <t>https://www.sandprofile.com/media/gesamtkatalog_en.pdf#page=22</t>
        </is>
      </c>
      <c r="P1902" s="11" t="inlineStr">
        <is>
          <t>https://website-9ib.pages.dev/termek/sp-a4-253-bu/</t>
        </is>
      </c>
      <c r="Q1902" s="12" t="inlineStr"/>
      <c r="R1902" s="13" t="inlineStr"/>
      <c r="S1902" s="6" t="inlineStr">
        <is>
          <t>sp-a4-253-bu</t>
        </is>
      </c>
    </row>
    <row r="1903">
      <c r="A1903" s="6" t="inlineStr">
        <is>
          <t>A4 782</t>
        </is>
      </c>
      <c r="B1903" s="7" t="inlineStr">
        <is>
          <t>Élvédő profil A4 782 – schwarz, 1,0-2,0 mm</t>
        </is>
      </c>
      <c r="C1903" s="6" t="inlineStr">
        <is>
          <t>Gumi- és kéderprofilok</t>
        </is>
      </c>
      <c r="D1903" s="6" t="inlineStr">
        <is>
          <t>Élvédő profilok</t>
        </is>
      </c>
      <c r="E1903" s="6" t="inlineStr">
        <is>
          <t>Sand-Profile</t>
        </is>
      </c>
      <c r="F1903" s="6" t="inlineStr">
        <is>
          <t>A4 782</t>
        </is>
      </c>
      <c r="G1903" s="6" t="inlineStr">
        <is>
          <t>Teljes kínálat</t>
        </is>
      </c>
      <c r="H1903" s="6" t="n">
        <v>1</v>
      </c>
      <c r="I1903" s="6" t="n">
        <v>3</v>
      </c>
      <c r="J1903" s="6" t="inlineStr">
        <is>
          <t>van</t>
        </is>
      </c>
      <c r="K1903" s="6">
        <f>IF(AND(H1903&gt;0,I1903&gt;0),"Rendben",IF(AND(H1903=0,I1903=0),"Nincs kép és adat",IF(H1903=0,"Nincs kép","Nincs adat")))</f>
        <v/>
      </c>
      <c r="L1903" s="6" t="inlineStr">
        <is>
          <t>Igen</t>
        </is>
      </c>
      <c r="M1903" s="7" t="inlineStr">
        <is>
          <t>Sand-Profile teljes kínálata (gyártói katalógus / weboldal)</t>
        </is>
      </c>
      <c r="N1903" s="7" t="inlineStr">
        <is>
          <t>Megtalálva: a beszállító teljes kínálatából felvett termék</t>
        </is>
      </c>
      <c r="O1903" s="11" t="inlineStr">
        <is>
          <t>https://www.sandprofile.com/media/gesamtkatalog_en.pdf#page=23</t>
        </is>
      </c>
      <c r="P1903" s="11" t="inlineStr">
        <is>
          <t>https://website-9ib.pages.dev/termek/sp-a4-782/</t>
        </is>
      </c>
      <c r="Q1903" s="12" t="inlineStr"/>
      <c r="R1903" s="13" t="inlineStr"/>
      <c r="S1903" s="6" t="inlineStr">
        <is>
          <t>sp-a4-782</t>
        </is>
      </c>
    </row>
    <row r="1904">
      <c r="A1904" s="6" t="inlineStr">
        <is>
          <t>A4 808-BU</t>
        </is>
      </c>
      <c r="B1904" s="7" t="inlineStr">
        <is>
          <t>Élvédő profil A4 808-BU – fekete, 4,0-6,0 mm</t>
        </is>
      </c>
      <c r="C1904" s="6" t="inlineStr">
        <is>
          <t>Gumi- és kéderprofilok</t>
        </is>
      </c>
      <c r="D1904" s="6" t="inlineStr">
        <is>
          <t>Élvédő profilok</t>
        </is>
      </c>
      <c r="E1904" s="6" t="inlineStr">
        <is>
          <t>Sand-Profile</t>
        </is>
      </c>
      <c r="F1904" s="6" t="inlineStr">
        <is>
          <t>A4 808-BU</t>
        </is>
      </c>
      <c r="G1904" s="6" t="inlineStr">
        <is>
          <t>Teljes kínálat</t>
        </is>
      </c>
      <c r="H1904" s="6" t="n">
        <v>1</v>
      </c>
      <c r="I1904" s="6" t="n">
        <v>3</v>
      </c>
      <c r="J1904" s="6" t="inlineStr">
        <is>
          <t>van</t>
        </is>
      </c>
      <c r="K1904" s="6">
        <f>IF(AND(H1904&gt;0,I1904&gt;0),"Rendben",IF(AND(H1904=0,I1904=0),"Nincs kép és adat",IF(H1904=0,"Nincs kép","Nincs adat")))</f>
        <v/>
      </c>
      <c r="L1904" s="6" t="inlineStr">
        <is>
          <t>Igen</t>
        </is>
      </c>
      <c r="M1904" s="7" t="inlineStr">
        <is>
          <t>Sand-Profile teljes kínálata (gyártói katalógus / weboldal)</t>
        </is>
      </c>
      <c r="N1904" s="7" t="inlineStr">
        <is>
          <t>Megtalálva: a beszállító teljes kínálatából felvett termék</t>
        </is>
      </c>
      <c r="O1904" s="11" t="inlineStr">
        <is>
          <t>https://www.sandprofile.com/media/gesamtkatalog_en.pdf#page=23</t>
        </is>
      </c>
      <c r="P1904" s="11" t="inlineStr">
        <is>
          <t>https://website-9ib.pages.dev/termek/sp-a4-808-bu/</t>
        </is>
      </c>
      <c r="Q1904" s="12" t="inlineStr"/>
      <c r="R1904" s="13" t="inlineStr"/>
      <c r="S1904" s="6" t="inlineStr">
        <is>
          <t>sp-a4-808-bu</t>
        </is>
      </c>
    </row>
    <row r="1905">
      <c r="A1905" s="6" t="inlineStr">
        <is>
          <t>BROKEN</t>
        </is>
      </c>
      <c r="B1905" s="7" t="inlineStr">
        <is>
          <t>Élvédő profil BROKEN – fekete, 5,0–8,0 mm</t>
        </is>
      </c>
      <c r="C1905" s="6" t="inlineStr">
        <is>
          <t>Gumi- és kéderprofilok</t>
        </is>
      </c>
      <c r="D1905" s="6" t="inlineStr">
        <is>
          <t>Élvédő profilok</t>
        </is>
      </c>
      <c r="E1905" s="6" t="inlineStr">
        <is>
          <t>Sand-Profile</t>
        </is>
      </c>
      <c r="F1905" s="6" t="inlineStr">
        <is>
          <t>BROKEN</t>
        </is>
      </c>
      <c r="G1905" s="6" t="inlineStr">
        <is>
          <t>Teljes kínálat</t>
        </is>
      </c>
      <c r="H1905" s="6" t="n">
        <v>1</v>
      </c>
      <c r="I1905" s="6" t="n">
        <v>3</v>
      </c>
      <c r="J1905" s="6" t="inlineStr">
        <is>
          <t>van</t>
        </is>
      </c>
      <c r="K1905" s="6">
        <f>IF(AND(H1905&gt;0,I1905&gt;0),"Rendben",IF(AND(H1905=0,I1905=0),"Nincs kép és adat",IF(H1905=0,"Nincs kép","Nincs adat")))</f>
        <v/>
      </c>
      <c r="L1905" s="6" t="inlineStr">
        <is>
          <t>Igen</t>
        </is>
      </c>
      <c r="M1905" s="7" t="inlineStr">
        <is>
          <t>Sand-Profile teljes kínálata (gyártói katalógus / weboldal)</t>
        </is>
      </c>
      <c r="N1905" s="7" t="inlineStr">
        <is>
          <t>Megtalálva: a beszállító teljes kínálatából felvett termék</t>
        </is>
      </c>
      <c r="O1905" s="11" t="inlineStr">
        <is>
          <t>https://www.sandprofile.com/media/gesamtkatalog_en.pdf#page=23</t>
        </is>
      </c>
      <c r="P1905" s="11" t="inlineStr">
        <is>
          <t>https://website-9ib.pages.dev/termek/sp-broken/</t>
        </is>
      </c>
      <c r="Q1905" s="12" t="inlineStr"/>
      <c r="R1905" s="13" t="inlineStr"/>
      <c r="S1905" s="6" t="inlineStr">
        <is>
          <t>sp-broken</t>
        </is>
      </c>
    </row>
    <row r="1906">
      <c r="A1906" s="6" t="inlineStr">
        <is>
          <t>CARRIER</t>
        </is>
      </c>
      <c r="B1906" s="7" t="inlineStr">
        <is>
          <t>Élvédő profil CARRIER – pearl-, 1,0-2,5 mm</t>
        </is>
      </c>
      <c r="C1906" s="6" t="inlineStr">
        <is>
          <t>Gumi- és kéderprofilok</t>
        </is>
      </c>
      <c r="D1906" s="6" t="inlineStr">
        <is>
          <t>Élvédő profilok</t>
        </is>
      </c>
      <c r="E1906" s="6" t="inlineStr">
        <is>
          <t>Sand-Profile</t>
        </is>
      </c>
      <c r="F1906" s="6" t="inlineStr">
        <is>
          <t>CARRIER</t>
        </is>
      </c>
      <c r="G1906" s="6" t="inlineStr">
        <is>
          <t>Teljes kínálat</t>
        </is>
      </c>
      <c r="H1906" s="6" t="n">
        <v>1</v>
      </c>
      <c r="I1906" s="6" t="n">
        <v>3</v>
      </c>
      <c r="J1906" s="6" t="inlineStr">
        <is>
          <t>van</t>
        </is>
      </c>
      <c r="K1906" s="6">
        <f>IF(AND(H1906&gt;0,I1906&gt;0),"Rendben",IF(AND(H1906=0,I1906=0),"Nincs kép és adat",IF(H1906=0,"Nincs kép","Nincs adat")))</f>
        <v/>
      </c>
      <c r="L1906" s="6" t="inlineStr">
        <is>
          <t>Igen</t>
        </is>
      </c>
      <c r="M1906" s="7" t="inlineStr">
        <is>
          <t>Sand-Profile teljes kínálata (gyártói katalógus / weboldal)</t>
        </is>
      </c>
      <c r="N1906" s="7" t="inlineStr">
        <is>
          <t>Megtalálva: a beszállító teljes kínálatából felvett termék</t>
        </is>
      </c>
      <c r="O1906" s="11" t="inlineStr">
        <is>
          <t>https://www.sandprofile.com/media/gesamtkatalog_en.pdf#page=22</t>
        </is>
      </c>
      <c r="P1906" s="11" t="inlineStr">
        <is>
          <t>https://website-9ib.pages.dev/termek/sp-carrier/</t>
        </is>
      </c>
      <c r="Q1906" s="12" t="inlineStr"/>
      <c r="R1906" s="13" t="inlineStr"/>
      <c r="S1906" s="6" t="inlineStr">
        <is>
          <t>sp-carrier</t>
        </is>
      </c>
    </row>
    <row r="1907">
      <c r="A1907" s="6" t="inlineStr">
        <is>
          <t>CENTERBAR</t>
        </is>
      </c>
      <c r="B1907" s="7" t="inlineStr">
        <is>
          <t>Élvédő profil CENTERBAR – fekete, 1,0-2,0 mm</t>
        </is>
      </c>
      <c r="C1907" s="6" t="inlineStr">
        <is>
          <t>Gumi- és kéderprofilok</t>
        </is>
      </c>
      <c r="D1907" s="6" t="inlineStr">
        <is>
          <t>Élvédő profilok</t>
        </is>
      </c>
      <c r="E1907" s="6" t="inlineStr">
        <is>
          <t>Sand-Profile</t>
        </is>
      </c>
      <c r="F1907" s="6" t="inlineStr">
        <is>
          <t>CENTERBAR</t>
        </is>
      </c>
      <c r="G1907" s="6" t="inlineStr">
        <is>
          <t>Teljes kínálat</t>
        </is>
      </c>
      <c r="H1907" s="6" t="n">
        <v>1</v>
      </c>
      <c r="I1907" s="6" t="n">
        <v>3</v>
      </c>
      <c r="J1907" s="6" t="inlineStr">
        <is>
          <t>van</t>
        </is>
      </c>
      <c r="K1907" s="6">
        <f>IF(AND(H1907&gt;0,I1907&gt;0),"Rendben",IF(AND(H1907=0,I1907=0),"Nincs kép és adat",IF(H1907=0,"Nincs kép","Nincs adat")))</f>
        <v/>
      </c>
      <c r="L1907" s="6" t="inlineStr">
        <is>
          <t>Igen</t>
        </is>
      </c>
      <c r="M1907" s="7" t="inlineStr">
        <is>
          <t>Sand-Profile teljes kínálata (gyártói katalógus / weboldal)</t>
        </is>
      </c>
      <c r="N1907" s="7" t="inlineStr">
        <is>
          <t>Megtalálva: a beszállító teljes kínálatából felvett termék</t>
        </is>
      </c>
      <c r="O1907" s="11" t="inlineStr">
        <is>
          <t>https://www.sandprofile.com/media/gesamtkatalog_en.pdf#page=23</t>
        </is>
      </c>
      <c r="P1907" s="11" t="inlineStr">
        <is>
          <t>https://website-9ib.pages.dev/termek/sp-centerbar/</t>
        </is>
      </c>
      <c r="Q1907" s="12" t="inlineStr"/>
      <c r="R1907" s="13" t="inlineStr"/>
      <c r="S1907" s="6" t="inlineStr">
        <is>
          <t>sp-centerbar</t>
        </is>
      </c>
    </row>
    <row r="1908">
      <c r="A1908" s="6" t="inlineStr">
        <is>
          <t>NFF16-101)</t>
        </is>
      </c>
      <c r="B1908" s="7" t="inlineStr">
        <is>
          <t>Élvédő profil NFF16-101) – schwarz, 1,0-2,0 mm</t>
        </is>
      </c>
      <c r="C1908" s="6" t="inlineStr">
        <is>
          <t>Gumi- és kéderprofilok</t>
        </is>
      </c>
      <c r="D1908" s="6" t="inlineStr">
        <is>
          <t>Élvédő profilok</t>
        </is>
      </c>
      <c r="E1908" s="6" t="inlineStr">
        <is>
          <t>Sand-Profile</t>
        </is>
      </c>
      <c r="F1908" s="6" t="inlineStr">
        <is>
          <t>NFF16-101)</t>
        </is>
      </c>
      <c r="G1908" s="6" t="inlineStr">
        <is>
          <t>Teljes kínálat</t>
        </is>
      </c>
      <c r="H1908" s="6" t="n">
        <v>1</v>
      </c>
      <c r="I1908" s="6" t="n">
        <v>3</v>
      </c>
      <c r="J1908" s="6" t="inlineStr">
        <is>
          <t>van</t>
        </is>
      </c>
      <c r="K1908" s="6">
        <f>IF(AND(H1908&gt;0,I1908&gt;0),"Rendben",IF(AND(H1908=0,I1908=0),"Nincs kép és adat",IF(H1908=0,"Nincs kép","Nincs adat")))</f>
        <v/>
      </c>
      <c r="L1908" s="6" t="inlineStr">
        <is>
          <t>Igen</t>
        </is>
      </c>
      <c r="M1908" s="7" t="inlineStr">
        <is>
          <t>Sand-Profile teljes kínálata (gyártói katalógus / weboldal)</t>
        </is>
      </c>
      <c r="N1908" s="7" t="inlineStr">
        <is>
          <t>Megtalálva: a beszállító teljes kínálatából felvett termék</t>
        </is>
      </c>
      <c r="O1908" s="11" t="inlineStr">
        <is>
          <t>https://www.sandprofile.com/media/gesamtkatalog_en.pdf#page=23</t>
        </is>
      </c>
      <c r="P1908" s="11" t="inlineStr">
        <is>
          <t>https://website-9ib.pages.dev/termek/sp-nff16-101/</t>
        </is>
      </c>
      <c r="Q1908" s="12" t="inlineStr"/>
      <c r="R1908" s="13" t="inlineStr"/>
      <c r="S1908" s="6" t="inlineStr">
        <is>
          <t>sp-nff16-101</t>
        </is>
      </c>
    </row>
    <row r="1909">
      <c r="A1909" s="6" t="inlineStr">
        <is>
          <t>STAINLESSSTEALWIRE</t>
        </is>
      </c>
      <c r="B1909" s="7" t="inlineStr">
        <is>
          <t>Élvédő profil STAINLESSSTEALWIRE – pearl-, 1,0-2,5 mm</t>
        </is>
      </c>
      <c r="C1909" s="6" t="inlineStr">
        <is>
          <t>Gumi- és kéderprofilok</t>
        </is>
      </c>
      <c r="D1909" s="6" t="inlineStr">
        <is>
          <t>Élvédő profilok</t>
        </is>
      </c>
      <c r="E1909" s="6" t="inlineStr">
        <is>
          <t>Sand-Profile</t>
        </is>
      </c>
      <c r="F1909" s="6" t="inlineStr">
        <is>
          <t>STAINLESSSTEALWIRE</t>
        </is>
      </c>
      <c r="G1909" s="6" t="inlineStr">
        <is>
          <t>Teljes kínálat</t>
        </is>
      </c>
      <c r="H1909" s="6" t="n">
        <v>1</v>
      </c>
      <c r="I1909" s="6" t="n">
        <v>3</v>
      </c>
      <c r="J1909" s="6" t="inlineStr">
        <is>
          <t>van</t>
        </is>
      </c>
      <c r="K1909" s="6">
        <f>IF(AND(H1909&gt;0,I1909&gt;0),"Rendben",IF(AND(H1909=0,I1909=0),"Nincs kép és adat",IF(H1909=0,"Nincs kép","Nincs adat")))</f>
        <v/>
      </c>
      <c r="L1909" s="6" t="inlineStr">
        <is>
          <t>Igen</t>
        </is>
      </c>
      <c r="M1909" s="7" t="inlineStr">
        <is>
          <t>Sand-Profile teljes kínálata (gyártói katalógus / weboldal)</t>
        </is>
      </c>
      <c r="N1909" s="7" t="inlineStr">
        <is>
          <t>Megtalálva: a beszállító teljes kínálatából felvett termék</t>
        </is>
      </c>
      <c r="O1909" s="11" t="inlineStr">
        <is>
          <t>https://www.sandprofile.com/media/gesamtkatalog_en.pdf#page=22</t>
        </is>
      </c>
      <c r="P1909" s="11" t="inlineStr">
        <is>
          <t>https://website-9ib.pages.dev/termek/sp-stainlessstealwire/</t>
        </is>
      </c>
      <c r="Q1909" s="12" t="inlineStr"/>
      <c r="R1909" s="13" t="inlineStr"/>
      <c r="S1909" s="6" t="inlineStr">
        <is>
          <t>sp-stainlessstealwire</t>
        </is>
      </c>
    </row>
    <row r="1910">
      <c r="A1910" s="6" t="inlineStr">
        <is>
          <t>STEELCARRIER</t>
        </is>
      </c>
      <c r="B1910" s="7" t="inlineStr">
        <is>
          <t>Élvédő profil STEELCARRIER – fehér, 2,0 mm</t>
        </is>
      </c>
      <c r="C1910" s="6" t="inlineStr">
        <is>
          <t>Gumi- és kéderprofilok</t>
        </is>
      </c>
      <c r="D1910" s="6" t="inlineStr">
        <is>
          <t>Élvédő profilok</t>
        </is>
      </c>
      <c r="E1910" s="6" t="inlineStr">
        <is>
          <t>Sand-Profile</t>
        </is>
      </c>
      <c r="F1910" s="6" t="inlineStr">
        <is>
          <t>STEELCARRIER</t>
        </is>
      </c>
      <c r="G1910" s="6" t="inlineStr">
        <is>
          <t>Teljes kínálat</t>
        </is>
      </c>
      <c r="H1910" s="6" t="n">
        <v>1</v>
      </c>
      <c r="I1910" s="6" t="n">
        <v>3</v>
      </c>
      <c r="J1910" s="6" t="inlineStr">
        <is>
          <t>van</t>
        </is>
      </c>
      <c r="K1910" s="6">
        <f>IF(AND(H1910&gt;0,I1910&gt;0),"Rendben",IF(AND(H1910=0,I1910=0),"Nincs kép és adat",IF(H1910=0,"Nincs kép","Nincs adat")))</f>
        <v/>
      </c>
      <c r="L1910" s="6" t="inlineStr">
        <is>
          <t>Igen</t>
        </is>
      </c>
      <c r="M1910" s="7" t="inlineStr">
        <is>
          <t>Sand-Profile teljes kínálata (gyártói katalógus / weboldal)</t>
        </is>
      </c>
      <c r="N1910" s="7" t="inlineStr">
        <is>
          <t>Megtalálva: a beszállító teljes kínálatából felvett termék</t>
        </is>
      </c>
      <c r="O1910" s="11" t="inlineStr">
        <is>
          <t>https://www.sandprofile.com/media/gesamtkatalog_en.pdf#page=22</t>
        </is>
      </c>
      <c r="P1910" s="11" t="inlineStr">
        <is>
          <t>https://website-9ib.pages.dev/termek/sp-steelcarrier/</t>
        </is>
      </c>
      <c r="Q1910" s="12" t="inlineStr"/>
      <c r="R1910" s="13" t="inlineStr"/>
      <c r="S1910" s="6" t="inlineStr">
        <is>
          <t>sp-steelcarrier</t>
        </is>
      </c>
    </row>
    <row r="1911">
      <c r="A1911" s="6" t="inlineStr">
        <is>
          <t>UNBROKEN</t>
        </is>
      </c>
      <c r="B1911" s="7" t="inlineStr">
        <is>
          <t>Élvédő profil UNBROKEN – fehér, 2,0 mm</t>
        </is>
      </c>
      <c r="C1911" s="6" t="inlineStr">
        <is>
          <t>Gumi- és kéderprofilok</t>
        </is>
      </c>
      <c r="D1911" s="6" t="inlineStr">
        <is>
          <t>Élvédő profilok</t>
        </is>
      </c>
      <c r="E1911" s="6" t="inlineStr">
        <is>
          <t>Sand-Profile</t>
        </is>
      </c>
      <c r="F1911" s="6" t="inlineStr">
        <is>
          <t>UNBROKEN</t>
        </is>
      </c>
      <c r="G1911" s="6" t="inlineStr">
        <is>
          <t>Teljes kínálat</t>
        </is>
      </c>
      <c r="H1911" s="6" t="n">
        <v>1</v>
      </c>
      <c r="I1911" s="6" t="n">
        <v>3</v>
      </c>
      <c r="J1911" s="6" t="inlineStr">
        <is>
          <t>van</t>
        </is>
      </c>
      <c r="K1911" s="6">
        <f>IF(AND(H1911&gt;0,I1911&gt;0),"Rendben",IF(AND(H1911=0,I1911=0),"Nincs kép és adat",IF(H1911=0,"Nincs kép","Nincs adat")))</f>
        <v/>
      </c>
      <c r="L1911" s="6" t="inlineStr">
        <is>
          <t>Igen</t>
        </is>
      </c>
      <c r="M1911" s="7" t="inlineStr">
        <is>
          <t>Sand-Profile teljes kínálata (gyártói katalógus / weboldal)</t>
        </is>
      </c>
      <c r="N1911" s="7" t="inlineStr">
        <is>
          <t>Megtalálva: a beszállító teljes kínálatából felvett termék</t>
        </is>
      </c>
      <c r="O1911" s="11" t="inlineStr">
        <is>
          <t>https://www.sandprofile.com/media/gesamtkatalog_en.pdf#page=22</t>
        </is>
      </c>
      <c r="P1911" s="11" t="inlineStr">
        <is>
          <t>https://website-9ib.pages.dev/termek/sp-unbroken/</t>
        </is>
      </c>
      <c r="Q1911" s="12" t="inlineStr"/>
      <c r="R1911" s="13" t="inlineStr"/>
      <c r="S1911" s="6" t="inlineStr">
        <is>
          <t>sp-unbroken</t>
        </is>
      </c>
    </row>
    <row r="1912">
      <c r="A1912" s="6" t="inlineStr">
        <is>
          <t>WIRECARRIER</t>
        </is>
      </c>
      <c r="B1912" s="7" t="inlineStr">
        <is>
          <t>Élvédő profil WIRECARRIER – fekete, 5,0-6,0 mm</t>
        </is>
      </c>
      <c r="C1912" s="6" t="inlineStr">
        <is>
          <t>Gumi- és kéderprofilok</t>
        </is>
      </c>
      <c r="D1912" s="6" t="inlineStr">
        <is>
          <t>Élvédő profilok</t>
        </is>
      </c>
      <c r="E1912" s="6" t="inlineStr">
        <is>
          <t>Sand-Profile</t>
        </is>
      </c>
      <c r="F1912" s="6" t="inlineStr">
        <is>
          <t>WIRECARRIER</t>
        </is>
      </c>
      <c r="G1912" s="6" t="inlineStr">
        <is>
          <t>Teljes kínálat</t>
        </is>
      </c>
      <c r="H1912" s="6" t="n">
        <v>1</v>
      </c>
      <c r="I1912" s="6" t="n">
        <v>3</v>
      </c>
      <c r="J1912" s="6" t="inlineStr">
        <is>
          <t>van</t>
        </is>
      </c>
      <c r="K1912" s="6">
        <f>IF(AND(H1912&gt;0,I1912&gt;0),"Rendben",IF(AND(H1912=0,I1912=0),"Nincs kép és adat",IF(H1912=0,"Nincs kép","Nincs adat")))</f>
        <v/>
      </c>
      <c r="L1912" s="6" t="inlineStr">
        <is>
          <t>Igen</t>
        </is>
      </c>
      <c r="M1912" s="7" t="inlineStr">
        <is>
          <t>Sand-Profile teljes kínálata (gyártói katalógus / weboldal)</t>
        </is>
      </c>
      <c r="N1912" s="7" t="inlineStr">
        <is>
          <t>Megtalálva: a beszállító teljes kínálatából felvett termék</t>
        </is>
      </c>
      <c r="O1912" s="11" t="inlineStr">
        <is>
          <t>https://www.sandprofile.com/media/gesamtkatalog_en.pdf#page=23</t>
        </is>
      </c>
      <c r="P1912" s="11" t="inlineStr">
        <is>
          <t>https://website-9ib.pages.dev/termek/sp-wirecarrier/</t>
        </is>
      </c>
      <c r="Q1912" s="12" t="inlineStr"/>
      <c r="R1912" s="13" t="inlineStr"/>
      <c r="S1912" s="6" t="inlineStr">
        <is>
          <t>sp-wirecarrier</t>
        </is>
      </c>
    </row>
    <row r="1913">
      <c r="A1913" s="6" t="inlineStr">
        <is>
          <t>WITHBUTYL</t>
        </is>
      </c>
      <c r="B1913" s="7" t="inlineStr">
        <is>
          <t>Élvédő profil WITHBUTYL – ivory, 2,0 mm</t>
        </is>
      </c>
      <c r="C1913" s="6" t="inlineStr">
        <is>
          <t>Gumi- és kéderprofilok</t>
        </is>
      </c>
      <c r="D1913" s="6" t="inlineStr">
        <is>
          <t>Élvédő profilok</t>
        </is>
      </c>
      <c r="E1913" s="6" t="inlineStr">
        <is>
          <t>Sand-Profile</t>
        </is>
      </c>
      <c r="F1913" s="6" t="inlineStr">
        <is>
          <t>WITHBUTYL</t>
        </is>
      </c>
      <c r="G1913" s="6" t="inlineStr">
        <is>
          <t>Teljes kínálat</t>
        </is>
      </c>
      <c r="H1913" s="6" t="n">
        <v>1</v>
      </c>
      <c r="I1913" s="6" t="n">
        <v>3</v>
      </c>
      <c r="J1913" s="6" t="inlineStr">
        <is>
          <t>van</t>
        </is>
      </c>
      <c r="K1913" s="6">
        <f>IF(AND(H1913&gt;0,I1913&gt;0),"Rendben",IF(AND(H1913=0,I1913=0),"Nincs kép és adat",IF(H1913=0,"Nincs kép","Nincs adat")))</f>
        <v/>
      </c>
      <c r="L1913" s="6" t="inlineStr">
        <is>
          <t>Igen</t>
        </is>
      </c>
      <c r="M1913" s="7" t="inlineStr">
        <is>
          <t>Sand-Profile teljes kínálata (gyártói katalógus / weboldal)</t>
        </is>
      </c>
      <c r="N1913" s="7" t="inlineStr">
        <is>
          <t>Megtalálva: a beszállító teljes kínálatából felvett termék</t>
        </is>
      </c>
      <c r="O1913" s="11" t="inlineStr">
        <is>
          <t>https://www.sandprofile.com/media/gesamtkatalog_en.pdf#page=21</t>
        </is>
      </c>
      <c r="P1913" s="11" t="inlineStr">
        <is>
          <t>https://website-9ib.pages.dev/termek/sp-withbutyl/</t>
        </is>
      </c>
      <c r="Q1913" s="12" t="inlineStr"/>
      <c r="R1913" s="13" t="inlineStr"/>
      <c r="S1913" s="6" t="inlineStr">
        <is>
          <t>sp-withbutyl</t>
        </is>
      </c>
    </row>
    <row r="1914">
      <c r="A1914" s="6" t="inlineStr">
        <is>
          <t>A1 100</t>
        </is>
      </c>
      <c r="B1914" s="7" t="inlineStr">
        <is>
          <t>Élvédő tömítőprofil A1 100 – fekete, 1,0–4,0 mm</t>
        </is>
      </c>
      <c r="C1914" s="6" t="inlineStr">
        <is>
          <t>Gumi- és kéderprofilok</t>
        </is>
      </c>
      <c r="D1914" s="6" t="inlineStr">
        <is>
          <t>Élvédő tömítőprofilok</t>
        </is>
      </c>
      <c r="E1914" s="6" t="inlineStr">
        <is>
          <t>Sand-Profile</t>
        </is>
      </c>
      <c r="F1914" s="6" t="inlineStr">
        <is>
          <t>A1 100</t>
        </is>
      </c>
      <c r="G1914" s="6" t="inlineStr">
        <is>
          <t>Teljes kínálat</t>
        </is>
      </c>
      <c r="H1914" s="6" t="n">
        <v>1</v>
      </c>
      <c r="I1914" s="6" t="n">
        <v>3</v>
      </c>
      <c r="J1914" s="6" t="inlineStr">
        <is>
          <t>van</t>
        </is>
      </c>
      <c r="K1914" s="6">
        <f>IF(AND(H1914&gt;0,I1914&gt;0),"Rendben",IF(AND(H1914=0,I1914=0),"Nincs kép és adat",IF(H1914=0,"Nincs kép","Nincs adat")))</f>
        <v/>
      </c>
      <c r="L1914" s="6" t="inlineStr">
        <is>
          <t>Igen</t>
        </is>
      </c>
      <c r="M1914" s="7" t="inlineStr">
        <is>
          <t>Sand-Profile teljes kínálata (gyártói katalógus / weboldal)</t>
        </is>
      </c>
      <c r="N1914" s="7" t="inlineStr">
        <is>
          <t>Megtalálva: a beszállító teljes kínálatából felvett termék</t>
        </is>
      </c>
      <c r="O1914" s="11" t="inlineStr">
        <is>
          <t>https://www.sandprofile.com/media/gesamtkatalog_en.pdf#page=31</t>
        </is>
      </c>
      <c r="P1914" s="11" t="inlineStr">
        <is>
          <t>https://website-9ib.pages.dev/termek/sp-a1-100/</t>
        </is>
      </c>
      <c r="Q1914" s="12" t="inlineStr"/>
      <c r="R1914" s="13" t="inlineStr"/>
      <c r="S1914" s="6" t="inlineStr">
        <is>
          <t>sp-a1-100</t>
        </is>
      </c>
    </row>
    <row r="1915">
      <c r="A1915" s="6" t="inlineStr">
        <is>
          <t>A1 101</t>
        </is>
      </c>
      <c r="B1915" s="7" t="inlineStr">
        <is>
          <t>Élvédő tömítőprofil A1 101 – fekete, 1,0–2,0 mm</t>
        </is>
      </c>
      <c r="C1915" s="6" t="inlineStr">
        <is>
          <t>Gumi- és kéderprofilok</t>
        </is>
      </c>
      <c r="D1915" s="6" t="inlineStr">
        <is>
          <t>Élvédő tömítőprofilok</t>
        </is>
      </c>
      <c r="E1915" s="6" t="inlineStr">
        <is>
          <t>Sand-Profile</t>
        </is>
      </c>
      <c r="F1915" s="6" t="inlineStr">
        <is>
          <t>A1 101</t>
        </is>
      </c>
      <c r="G1915" s="6" t="inlineStr">
        <is>
          <t>Teljes kínálat</t>
        </is>
      </c>
      <c r="H1915" s="6" t="n">
        <v>1</v>
      </c>
      <c r="I1915" s="6" t="n">
        <v>3</v>
      </c>
      <c r="J1915" s="6" t="inlineStr">
        <is>
          <t>van</t>
        </is>
      </c>
      <c r="K1915" s="6">
        <f>IF(AND(H1915&gt;0,I1915&gt;0),"Rendben",IF(AND(H1915=0,I1915=0),"Nincs kép és adat",IF(H1915=0,"Nincs kép","Nincs adat")))</f>
        <v/>
      </c>
      <c r="L1915" s="6" t="inlineStr">
        <is>
          <t>Igen</t>
        </is>
      </c>
      <c r="M1915" s="7" t="inlineStr">
        <is>
          <t>Sand-Profile teljes kínálata (gyártói katalógus / weboldal)</t>
        </is>
      </c>
      <c r="N1915" s="7" t="inlineStr">
        <is>
          <t>Megtalálva: a beszállító teljes kínálatából felvett termék</t>
        </is>
      </c>
      <c r="O1915" s="11" t="inlineStr">
        <is>
          <t>https://www.sandprofile.com/media/gesamtkatalog_en.pdf#page=31</t>
        </is>
      </c>
      <c r="P1915" s="11" t="inlineStr">
        <is>
          <t>https://website-9ib.pages.dev/termek/sp-a1-101/</t>
        </is>
      </c>
      <c r="Q1915" s="12" t="inlineStr"/>
      <c r="R1915" s="13" t="inlineStr"/>
      <c r="S1915" s="6" t="inlineStr">
        <is>
          <t>sp-a1-101</t>
        </is>
      </c>
    </row>
    <row r="1916">
      <c r="A1916" s="6" t="inlineStr">
        <is>
          <t>A1 102</t>
        </is>
      </c>
      <c r="B1916" s="7" t="inlineStr">
        <is>
          <t>Élvédő tömítőprofil A1 102 – fekete, 1,0-4,0 mm</t>
        </is>
      </c>
      <c r="C1916" s="6" t="inlineStr">
        <is>
          <t>Gumi- és kéderprofilok</t>
        </is>
      </c>
      <c r="D1916" s="6" t="inlineStr">
        <is>
          <t>Élvédő tömítőprofilok</t>
        </is>
      </c>
      <c r="E1916" s="6" t="inlineStr">
        <is>
          <t>Sand-Profile</t>
        </is>
      </c>
      <c r="F1916" s="6" t="inlineStr">
        <is>
          <t>A1 102</t>
        </is>
      </c>
      <c r="G1916" s="6" t="inlineStr">
        <is>
          <t>Teljes kínálat</t>
        </is>
      </c>
      <c r="H1916" s="6" t="n">
        <v>1</v>
      </c>
      <c r="I1916" s="6" t="n">
        <v>3</v>
      </c>
      <c r="J1916" s="6" t="inlineStr">
        <is>
          <t>van</t>
        </is>
      </c>
      <c r="K1916" s="6">
        <f>IF(AND(H1916&gt;0,I1916&gt;0),"Rendben",IF(AND(H1916=0,I1916=0),"Nincs kép és adat",IF(H1916=0,"Nincs kép","Nincs adat")))</f>
        <v/>
      </c>
      <c r="L1916" s="6" t="inlineStr">
        <is>
          <t>Igen</t>
        </is>
      </c>
      <c r="M1916" s="7" t="inlineStr">
        <is>
          <t>Sand-Profile teljes kínálata (gyártói katalógus / weboldal)</t>
        </is>
      </c>
      <c r="N1916" s="7" t="inlineStr">
        <is>
          <t>Megtalálva: a beszállító teljes kínálatából felvett termék</t>
        </is>
      </c>
      <c r="O1916" s="11" t="inlineStr">
        <is>
          <t>https://www.sandprofile.com/media/gesamtkatalog_en.pdf#page=28</t>
        </is>
      </c>
      <c r="P1916" s="11" t="inlineStr">
        <is>
          <t>https://website-9ib.pages.dev/termek/sp-a1-102/</t>
        </is>
      </c>
      <c r="Q1916" s="12" t="inlineStr"/>
      <c r="R1916" s="13" t="inlineStr"/>
      <c r="S1916" s="6" t="inlineStr">
        <is>
          <t>sp-a1-102</t>
        </is>
      </c>
    </row>
    <row r="1917">
      <c r="A1917" s="6" t="inlineStr">
        <is>
          <t>A1 103</t>
        </is>
      </c>
      <c r="B1917" s="7" t="inlineStr">
        <is>
          <t>Élvédő tömítőprofil A1 103 – fekete, 1,0–4,0 mm</t>
        </is>
      </c>
      <c r="C1917" s="6" t="inlineStr">
        <is>
          <t>Gumi- és kéderprofilok</t>
        </is>
      </c>
      <c r="D1917" s="6" t="inlineStr">
        <is>
          <t>Élvédő tömítőprofilok</t>
        </is>
      </c>
      <c r="E1917" s="6" t="inlineStr">
        <is>
          <t>Sand-Profile</t>
        </is>
      </c>
      <c r="F1917" s="6" t="inlineStr">
        <is>
          <t>A1 103</t>
        </is>
      </c>
      <c r="G1917" s="6" t="inlineStr">
        <is>
          <t>Teljes kínálat</t>
        </is>
      </c>
      <c r="H1917" s="6" t="n">
        <v>1</v>
      </c>
      <c r="I1917" s="6" t="n">
        <v>3</v>
      </c>
      <c r="J1917" s="6" t="inlineStr">
        <is>
          <t>van</t>
        </is>
      </c>
      <c r="K1917" s="6">
        <f>IF(AND(H1917&gt;0,I1917&gt;0),"Rendben",IF(AND(H1917=0,I1917=0),"Nincs kép és adat",IF(H1917=0,"Nincs kép","Nincs adat")))</f>
        <v/>
      </c>
      <c r="L1917" s="6" t="inlineStr">
        <is>
          <t>Igen</t>
        </is>
      </c>
      <c r="M1917" s="7" t="inlineStr">
        <is>
          <t>Sand-Profile teljes kínálata (gyártói katalógus / weboldal)</t>
        </is>
      </c>
      <c r="N1917" s="7" t="inlineStr">
        <is>
          <t>Megtalálva: a beszállító teljes kínálatából felvett termék</t>
        </is>
      </c>
      <c r="O1917" s="11" t="inlineStr">
        <is>
          <t>https://www.sandprofile.com/media/gesamtkatalog_en.pdf#page=33</t>
        </is>
      </c>
      <c r="P1917" s="11" t="inlineStr">
        <is>
          <t>https://website-9ib.pages.dev/termek/sp-a1-103/</t>
        </is>
      </c>
      <c r="Q1917" s="12" t="inlineStr"/>
      <c r="R1917" s="13" t="inlineStr"/>
      <c r="S1917" s="6" t="inlineStr">
        <is>
          <t>sp-a1-103</t>
        </is>
      </c>
    </row>
    <row r="1918">
      <c r="A1918" s="6" t="inlineStr">
        <is>
          <t>A1 104/2</t>
        </is>
      </c>
      <c r="B1918" s="7" t="inlineStr">
        <is>
          <t>Élvédő tömítőprofil A1 104/2 – fekete, 1,0-2,5 mm</t>
        </is>
      </c>
      <c r="C1918" s="6" t="inlineStr">
        <is>
          <t>Gumi- és kéderprofilok</t>
        </is>
      </c>
      <c r="D1918" s="6" t="inlineStr">
        <is>
          <t>Élvédő tömítőprofilok</t>
        </is>
      </c>
      <c r="E1918" s="6" t="inlineStr">
        <is>
          <t>Sand-Profile</t>
        </is>
      </c>
      <c r="F1918" s="6" t="inlineStr">
        <is>
          <t>A1 104/2</t>
        </is>
      </c>
      <c r="G1918" s="6" t="inlineStr">
        <is>
          <t>Teljes kínálat</t>
        </is>
      </c>
      <c r="H1918" s="6" t="n">
        <v>1</v>
      </c>
      <c r="I1918" s="6" t="n">
        <v>3</v>
      </c>
      <c r="J1918" s="6" t="inlineStr">
        <is>
          <t>van</t>
        </is>
      </c>
      <c r="K1918" s="6">
        <f>IF(AND(H1918&gt;0,I1918&gt;0),"Rendben",IF(AND(H1918=0,I1918=0),"Nincs kép és adat",IF(H1918=0,"Nincs kép","Nincs adat")))</f>
        <v/>
      </c>
      <c r="L1918" s="6" t="inlineStr">
        <is>
          <t>Igen</t>
        </is>
      </c>
      <c r="M1918" s="7" t="inlineStr">
        <is>
          <t>Sand-Profile teljes kínálata (gyártói katalógus / weboldal)</t>
        </is>
      </c>
      <c r="N1918" s="7" t="inlineStr">
        <is>
          <t>Megtalálva: a beszállító teljes kínálatából felvett termék</t>
        </is>
      </c>
      <c r="O1918" s="11" t="inlineStr">
        <is>
          <t>https://www.sandprofile.com/media/gesamtkatalog_en.pdf#page=28</t>
        </is>
      </c>
      <c r="P1918" s="11" t="inlineStr">
        <is>
          <t>https://website-9ib.pages.dev/termek/sp-a1-104-2/</t>
        </is>
      </c>
      <c r="Q1918" s="12" t="inlineStr"/>
      <c r="R1918" s="13" t="inlineStr"/>
      <c r="S1918" s="6" t="inlineStr">
        <is>
          <t>sp-a1-104-2</t>
        </is>
      </c>
    </row>
    <row r="1919">
      <c r="A1919" s="6" t="inlineStr">
        <is>
          <t>A1 104/4</t>
        </is>
      </c>
      <c r="B1919" s="7" t="inlineStr">
        <is>
          <t>Élvédő tömítőprofil A1 104/4 – fekete, 2,0-4,0 mm</t>
        </is>
      </c>
      <c r="C1919" s="6" t="inlineStr">
        <is>
          <t>Gumi- és kéderprofilok</t>
        </is>
      </c>
      <c r="D1919" s="6" t="inlineStr">
        <is>
          <t>Élvédő tömítőprofilok</t>
        </is>
      </c>
      <c r="E1919" s="6" t="inlineStr">
        <is>
          <t>Sand-Profile</t>
        </is>
      </c>
      <c r="F1919" s="6" t="inlineStr">
        <is>
          <t>A1 104/4</t>
        </is>
      </c>
      <c r="G1919" s="6" t="inlineStr">
        <is>
          <t>Teljes kínálat</t>
        </is>
      </c>
      <c r="H1919" s="6" t="n">
        <v>1</v>
      </c>
      <c r="I1919" s="6" t="n">
        <v>3</v>
      </c>
      <c r="J1919" s="6" t="inlineStr">
        <is>
          <t>van</t>
        </is>
      </c>
      <c r="K1919" s="6">
        <f>IF(AND(H1919&gt;0,I1919&gt;0),"Rendben",IF(AND(H1919=0,I1919=0),"Nincs kép és adat",IF(H1919=0,"Nincs kép","Nincs adat")))</f>
        <v/>
      </c>
      <c r="L1919" s="6" t="inlineStr">
        <is>
          <t>Igen</t>
        </is>
      </c>
      <c r="M1919" s="7" t="inlineStr">
        <is>
          <t>Sand-Profile teljes kínálata (gyártói katalógus / weboldal)</t>
        </is>
      </c>
      <c r="N1919" s="7" t="inlineStr">
        <is>
          <t>Megtalálva: a beszállító teljes kínálatából felvett termék</t>
        </is>
      </c>
      <c r="O1919" s="11" t="inlineStr">
        <is>
          <t>https://www.sandprofile.com/media/gesamtkatalog_en.pdf#page=28</t>
        </is>
      </c>
      <c r="P1919" s="11" t="inlineStr">
        <is>
          <t>https://website-9ib.pages.dev/termek/sp-a1-104-4/</t>
        </is>
      </c>
      <c r="Q1919" s="12" t="inlineStr"/>
      <c r="R1919" s="13" t="inlineStr"/>
      <c r="S1919" s="6" t="inlineStr">
        <is>
          <t>sp-a1-104-4</t>
        </is>
      </c>
    </row>
    <row r="1920">
      <c r="A1920" s="6" t="inlineStr">
        <is>
          <t>A1 104/6</t>
        </is>
      </c>
      <c r="B1920" s="7" t="inlineStr">
        <is>
          <t>Élvédő tömítőprofil A1 104/6 – fekete, 4,0-6,0 mm</t>
        </is>
      </c>
      <c r="C1920" s="6" t="inlineStr">
        <is>
          <t>Gumi- és kéderprofilok</t>
        </is>
      </c>
      <c r="D1920" s="6" t="inlineStr">
        <is>
          <t>Élvédő tömítőprofilok</t>
        </is>
      </c>
      <c r="E1920" s="6" t="inlineStr">
        <is>
          <t>Sand-Profile</t>
        </is>
      </c>
      <c r="F1920" s="6" t="inlineStr">
        <is>
          <t>A1 104/6</t>
        </is>
      </c>
      <c r="G1920" s="6" t="inlineStr">
        <is>
          <t>Teljes kínálat</t>
        </is>
      </c>
      <c r="H1920" s="6" t="n">
        <v>1</v>
      </c>
      <c r="I1920" s="6" t="n">
        <v>3</v>
      </c>
      <c r="J1920" s="6" t="inlineStr">
        <is>
          <t>van</t>
        </is>
      </c>
      <c r="K1920" s="6">
        <f>IF(AND(H1920&gt;0,I1920&gt;0),"Rendben",IF(AND(H1920=0,I1920=0),"Nincs kép és adat",IF(H1920=0,"Nincs kép","Nincs adat")))</f>
        <v/>
      </c>
      <c r="L1920" s="6" t="inlineStr">
        <is>
          <t>Igen</t>
        </is>
      </c>
      <c r="M1920" s="7" t="inlineStr">
        <is>
          <t>Sand-Profile teljes kínálata (gyártói katalógus / weboldal)</t>
        </is>
      </c>
      <c r="N1920" s="7" t="inlineStr">
        <is>
          <t>Megtalálva: a beszállító teljes kínálatából felvett termék</t>
        </is>
      </c>
      <c r="O1920" s="11" t="inlineStr">
        <is>
          <t>https://www.sandprofile.com/media/gesamtkatalog_en.pdf#page=28</t>
        </is>
      </c>
      <c r="P1920" s="11" t="inlineStr">
        <is>
          <t>https://website-9ib.pages.dev/termek/sp-a1-104-6/</t>
        </is>
      </c>
      <c r="Q1920" s="12" t="inlineStr"/>
      <c r="R1920" s="13" t="inlineStr"/>
      <c r="S1920" s="6" t="inlineStr">
        <is>
          <t>sp-a1-104-6</t>
        </is>
      </c>
    </row>
    <row r="1921">
      <c r="A1921" s="6" t="inlineStr">
        <is>
          <t>A1 105/6</t>
        </is>
      </c>
      <c r="B1921" s="7" t="inlineStr">
        <is>
          <t>Élvédő tömítőprofil A1 105/6 – fekete, 4,0-6,0 mm</t>
        </is>
      </c>
      <c r="C1921" s="6" t="inlineStr">
        <is>
          <t>Gumi- és kéderprofilok</t>
        </is>
      </c>
      <c r="D1921" s="6" t="inlineStr">
        <is>
          <t>Élvédő tömítőprofilok</t>
        </is>
      </c>
      <c r="E1921" s="6" t="inlineStr">
        <is>
          <t>Sand-Profile</t>
        </is>
      </c>
      <c r="F1921" s="6" t="inlineStr">
        <is>
          <t>A1 105/6</t>
        </is>
      </c>
      <c r="G1921" s="6" t="inlineStr">
        <is>
          <t>Teljes kínálat</t>
        </is>
      </c>
      <c r="H1921" s="6" t="n">
        <v>1</v>
      </c>
      <c r="I1921" s="6" t="n">
        <v>3</v>
      </c>
      <c r="J1921" s="6" t="inlineStr">
        <is>
          <t>van</t>
        </is>
      </c>
      <c r="K1921" s="6">
        <f>IF(AND(H1921&gt;0,I1921&gt;0),"Rendben",IF(AND(H1921=0,I1921=0),"Nincs kép és adat",IF(H1921=0,"Nincs kép","Nincs adat")))</f>
        <v/>
      </c>
      <c r="L1921" s="6" t="inlineStr">
        <is>
          <t>Igen</t>
        </is>
      </c>
      <c r="M1921" s="7" t="inlineStr">
        <is>
          <t>Sand-Profile teljes kínálata (gyártói katalógus / weboldal)</t>
        </is>
      </c>
      <c r="N1921" s="7" t="inlineStr">
        <is>
          <t>Megtalálva: a beszállító teljes kínálatából felvett termék</t>
        </is>
      </c>
      <c r="O1921" s="11" t="inlineStr">
        <is>
          <t>https://www.sandprofile.com/media/gesamtkatalog_en.pdf#page=30</t>
        </is>
      </c>
      <c r="P1921" s="11" t="inlineStr">
        <is>
          <t>https://website-9ib.pages.dev/termek/sp-a1-105-6/</t>
        </is>
      </c>
      <c r="Q1921" s="12" t="inlineStr"/>
      <c r="R1921" s="13" t="inlineStr"/>
      <c r="S1921" s="6" t="inlineStr">
        <is>
          <t>sp-a1-105-6</t>
        </is>
      </c>
    </row>
    <row r="1922">
      <c r="A1922" s="6" t="inlineStr">
        <is>
          <t>A1 107</t>
        </is>
      </c>
      <c r="B1922" s="7" t="inlineStr">
        <is>
          <t>Élvédő tömítőprofil A1 107 – fekete, 1,0-2,0 mm</t>
        </is>
      </c>
      <c r="C1922" s="6" t="inlineStr">
        <is>
          <t>Gumi- és kéderprofilok</t>
        </is>
      </c>
      <c r="D1922" s="6" t="inlineStr">
        <is>
          <t>Élvédő tömítőprofilok</t>
        </is>
      </c>
      <c r="E1922" s="6" t="inlineStr">
        <is>
          <t>Sand-Profile</t>
        </is>
      </c>
      <c r="F1922" s="6" t="inlineStr">
        <is>
          <t>A1 107</t>
        </is>
      </c>
      <c r="G1922" s="6" t="inlineStr">
        <is>
          <t>Teljes kínálat</t>
        </is>
      </c>
      <c r="H1922" s="6" t="n">
        <v>1</v>
      </c>
      <c r="I1922" s="6" t="n">
        <v>3</v>
      </c>
      <c r="J1922" s="6" t="inlineStr">
        <is>
          <t>van</t>
        </is>
      </c>
      <c r="K1922" s="6">
        <f>IF(AND(H1922&gt;0,I1922&gt;0),"Rendben",IF(AND(H1922=0,I1922=0),"Nincs kép és adat",IF(H1922=0,"Nincs kép","Nincs adat")))</f>
        <v/>
      </c>
      <c r="L1922" s="6" t="inlineStr">
        <is>
          <t>Igen</t>
        </is>
      </c>
      <c r="M1922" s="7" t="inlineStr">
        <is>
          <t>Sand-Profile teljes kínálata (gyártói katalógus / weboldal)</t>
        </is>
      </c>
      <c r="N1922" s="7" t="inlineStr">
        <is>
          <t>Megtalálva: a beszállító teljes kínálatából felvett termék</t>
        </is>
      </c>
      <c r="O1922" s="11" t="inlineStr">
        <is>
          <t>https://www.sandprofile.com/media/gesamtkatalog_en.pdf#page=28</t>
        </is>
      </c>
      <c r="P1922" s="11" t="inlineStr">
        <is>
          <t>https://website-9ib.pages.dev/termek/sp-a1-107/</t>
        </is>
      </c>
      <c r="Q1922" s="12" t="inlineStr"/>
      <c r="R1922" s="13" t="inlineStr"/>
      <c r="S1922" s="6" t="inlineStr">
        <is>
          <t>sp-a1-107</t>
        </is>
      </c>
    </row>
    <row r="1923">
      <c r="A1923" s="6" t="inlineStr">
        <is>
          <t>A1 108</t>
        </is>
      </c>
      <c r="B1923" s="7" t="inlineStr">
        <is>
          <t>Élvédő tömítőprofil A1 108 – fekete, 1,0-4,0 mm</t>
        </is>
      </c>
      <c r="C1923" s="6" t="inlineStr">
        <is>
          <t>Gumi- és kéderprofilok</t>
        </is>
      </c>
      <c r="D1923" s="6" t="inlineStr">
        <is>
          <t>Élvédő tömítőprofilok</t>
        </is>
      </c>
      <c r="E1923" s="6" t="inlineStr">
        <is>
          <t>Sand-Profile</t>
        </is>
      </c>
      <c r="F1923" s="6" t="inlineStr">
        <is>
          <t>A1 108</t>
        </is>
      </c>
      <c r="G1923" s="6" t="inlineStr">
        <is>
          <t>Teljes kínálat</t>
        </is>
      </c>
      <c r="H1923" s="6" t="n">
        <v>1</v>
      </c>
      <c r="I1923" s="6" t="n">
        <v>3</v>
      </c>
      <c r="J1923" s="6" t="inlineStr">
        <is>
          <t>van</t>
        </is>
      </c>
      <c r="K1923" s="6">
        <f>IF(AND(H1923&gt;0,I1923&gt;0),"Rendben",IF(AND(H1923=0,I1923=0),"Nincs kép és adat",IF(H1923=0,"Nincs kép","Nincs adat")))</f>
        <v/>
      </c>
      <c r="L1923" s="6" t="inlineStr">
        <is>
          <t>Igen</t>
        </is>
      </c>
      <c r="M1923" s="7" t="inlineStr">
        <is>
          <t>Sand-Profile teljes kínálata (gyártói katalógus / weboldal)</t>
        </is>
      </c>
      <c r="N1923" s="7" t="inlineStr">
        <is>
          <t>Megtalálva: a beszállító teljes kínálatából felvett termék</t>
        </is>
      </c>
      <c r="O1923" s="11" t="inlineStr">
        <is>
          <t>https://www.sandprofile.com/media/gesamtkatalog_en.pdf#page=32</t>
        </is>
      </c>
      <c r="P1923" s="11" t="inlineStr">
        <is>
          <t>https://website-9ib.pages.dev/termek/sp-a1-108/</t>
        </is>
      </c>
      <c r="Q1923" s="12" t="inlineStr"/>
      <c r="R1923" s="13" t="inlineStr"/>
      <c r="S1923" s="6" t="inlineStr">
        <is>
          <t>sp-a1-108</t>
        </is>
      </c>
    </row>
    <row r="1924">
      <c r="A1924" s="6" t="inlineStr">
        <is>
          <t>A1 109</t>
        </is>
      </c>
      <c r="B1924" s="7" t="inlineStr">
        <is>
          <t>Élvédő tömítőprofil A1 109 – fekete, 1,0–4,0 mm</t>
        </is>
      </c>
      <c r="C1924" s="6" t="inlineStr">
        <is>
          <t>Gumi- és kéderprofilok</t>
        </is>
      </c>
      <c r="D1924" s="6" t="inlineStr">
        <is>
          <t>Élvédő tömítőprofilok</t>
        </is>
      </c>
      <c r="E1924" s="6" t="inlineStr">
        <is>
          <t>Sand-Profile</t>
        </is>
      </c>
      <c r="F1924" s="6" t="inlineStr">
        <is>
          <t>A1 109</t>
        </is>
      </c>
      <c r="G1924" s="6" t="inlineStr">
        <is>
          <t>Teljes kínálat</t>
        </is>
      </c>
      <c r="H1924" s="6" t="n">
        <v>1</v>
      </c>
      <c r="I1924" s="6" t="n">
        <v>3</v>
      </c>
      <c r="J1924" s="6" t="inlineStr">
        <is>
          <t>van</t>
        </is>
      </c>
      <c r="K1924" s="6">
        <f>IF(AND(H1924&gt;0,I1924&gt;0),"Rendben",IF(AND(H1924=0,I1924=0),"Nincs kép és adat",IF(H1924=0,"Nincs kép","Nincs adat")))</f>
        <v/>
      </c>
      <c r="L1924" s="6" t="inlineStr">
        <is>
          <t>Igen</t>
        </is>
      </c>
      <c r="M1924" s="7" t="inlineStr">
        <is>
          <t>Sand-Profile teljes kínálata (gyártói katalógus / weboldal)</t>
        </is>
      </c>
      <c r="N1924" s="7" t="inlineStr">
        <is>
          <t>Megtalálva: a beszállító teljes kínálatából felvett termék</t>
        </is>
      </c>
      <c r="O1924" s="11" t="inlineStr">
        <is>
          <t>https://www.sandprofile.com/media/gesamtkatalog_en.pdf#page=31</t>
        </is>
      </c>
      <c r="P1924" s="11" t="inlineStr">
        <is>
          <t>https://website-9ib.pages.dev/termek/sp-a1-109/</t>
        </is>
      </c>
      <c r="Q1924" s="12" t="inlineStr"/>
      <c r="R1924" s="13" t="inlineStr"/>
      <c r="S1924" s="6" t="inlineStr">
        <is>
          <t>sp-a1-109</t>
        </is>
      </c>
    </row>
    <row r="1925">
      <c r="A1925" s="6" t="inlineStr">
        <is>
          <t>A1 110</t>
        </is>
      </c>
      <c r="B1925" s="7" t="inlineStr">
        <is>
          <t>Élvédő tömítőprofil A1 110 – fekete, 1,0-4,0 mm</t>
        </is>
      </c>
      <c r="C1925" s="6" t="inlineStr">
        <is>
          <t>Gumi- és kéderprofilok</t>
        </is>
      </c>
      <c r="D1925" s="6" t="inlineStr">
        <is>
          <t>Élvédő tömítőprofilok</t>
        </is>
      </c>
      <c r="E1925" s="6" t="inlineStr">
        <is>
          <t>Sand-Profile</t>
        </is>
      </c>
      <c r="F1925" s="6" t="inlineStr">
        <is>
          <t>A1 110</t>
        </is>
      </c>
      <c r="G1925" s="6" t="inlineStr">
        <is>
          <t>Teljes kínálat</t>
        </is>
      </c>
      <c r="H1925" s="6" t="n">
        <v>1</v>
      </c>
      <c r="I1925" s="6" t="n">
        <v>3</v>
      </c>
      <c r="J1925" s="6" t="inlineStr">
        <is>
          <t>van</t>
        </is>
      </c>
      <c r="K1925" s="6">
        <f>IF(AND(H1925&gt;0,I1925&gt;0),"Rendben",IF(AND(H1925=0,I1925=0),"Nincs kép és adat",IF(H1925=0,"Nincs kép","Nincs adat")))</f>
        <v/>
      </c>
      <c r="L1925" s="6" t="inlineStr">
        <is>
          <t>Igen</t>
        </is>
      </c>
      <c r="M1925" s="7" t="inlineStr">
        <is>
          <t>Sand-Profile teljes kínálata (gyártói katalógus / weboldal)</t>
        </is>
      </c>
      <c r="N1925" s="7" t="inlineStr">
        <is>
          <t>Megtalálva: a beszállító teljes kínálatából felvett termék</t>
        </is>
      </c>
      <c r="O1925" s="11" t="inlineStr">
        <is>
          <t>https://www.sandprofile.com/media/gesamtkatalog_en.pdf#page=29</t>
        </is>
      </c>
      <c r="P1925" s="11" t="inlineStr">
        <is>
          <t>https://website-9ib.pages.dev/termek/sp-a1-110/</t>
        </is>
      </c>
      <c r="Q1925" s="12" t="inlineStr"/>
      <c r="R1925" s="13" t="inlineStr"/>
      <c r="S1925" s="6" t="inlineStr">
        <is>
          <t>sp-a1-110</t>
        </is>
      </c>
    </row>
    <row r="1926">
      <c r="A1926" s="6" t="inlineStr">
        <is>
          <t>A1 114</t>
        </is>
      </c>
      <c r="B1926" s="7" t="inlineStr">
        <is>
          <t>Élvédő tömítőprofil A1 114 – fekete, 1,0-4,0 mm</t>
        </is>
      </c>
      <c r="C1926" s="6" t="inlineStr">
        <is>
          <t>Gumi- és kéderprofilok</t>
        </is>
      </c>
      <c r="D1926" s="6" t="inlineStr">
        <is>
          <t>Élvédő tömítőprofilok</t>
        </is>
      </c>
      <c r="E1926" s="6" t="inlineStr">
        <is>
          <t>Sand-Profile</t>
        </is>
      </c>
      <c r="F1926" s="6" t="inlineStr">
        <is>
          <t>A1 114</t>
        </is>
      </c>
      <c r="G1926" s="6" t="inlineStr">
        <is>
          <t>Teljes kínálat</t>
        </is>
      </c>
      <c r="H1926" s="6" t="n">
        <v>1</v>
      </c>
      <c r="I1926" s="6" t="n">
        <v>3</v>
      </c>
      <c r="J1926" s="6" t="inlineStr">
        <is>
          <t>van</t>
        </is>
      </c>
      <c r="K1926" s="6">
        <f>IF(AND(H1926&gt;0,I1926&gt;0),"Rendben",IF(AND(H1926=0,I1926=0),"Nincs kép és adat",IF(H1926=0,"Nincs kép","Nincs adat")))</f>
        <v/>
      </c>
      <c r="L1926" s="6" t="inlineStr">
        <is>
          <t>Igen</t>
        </is>
      </c>
      <c r="M1926" s="7" t="inlineStr">
        <is>
          <t>Sand-Profile teljes kínálata (gyártói katalógus / weboldal)</t>
        </is>
      </c>
      <c r="N1926" s="7" t="inlineStr">
        <is>
          <t>Megtalálva: a beszállító teljes kínálatából felvett termék</t>
        </is>
      </c>
      <c r="O1926" s="11" t="inlineStr">
        <is>
          <t>https://www.sandprofile.com/media/gesamtkatalog_en.pdf#page=31</t>
        </is>
      </c>
      <c r="P1926" s="11" t="inlineStr">
        <is>
          <t>https://website-9ib.pages.dev/termek/sp-a1-114/</t>
        </is>
      </c>
      <c r="Q1926" s="12" t="inlineStr"/>
      <c r="R1926" s="13" t="inlineStr"/>
      <c r="S1926" s="6" t="inlineStr">
        <is>
          <t>sp-a1-114</t>
        </is>
      </c>
    </row>
    <row r="1927">
      <c r="A1927" s="6" t="inlineStr">
        <is>
          <t>A1 117</t>
        </is>
      </c>
      <c r="B1927" s="7" t="inlineStr">
        <is>
          <t>Élvédő tömítőprofil A1 117 – fekete, 1,0-4,0 mm</t>
        </is>
      </c>
      <c r="C1927" s="6" t="inlineStr">
        <is>
          <t>Gumi- és kéderprofilok</t>
        </is>
      </c>
      <c r="D1927" s="6" t="inlineStr">
        <is>
          <t>Élvédő tömítőprofilok</t>
        </is>
      </c>
      <c r="E1927" s="6" t="inlineStr">
        <is>
          <t>Sand-Profile</t>
        </is>
      </c>
      <c r="F1927" s="6" t="inlineStr">
        <is>
          <t>A1 117</t>
        </is>
      </c>
      <c r="G1927" s="6" t="inlineStr">
        <is>
          <t>Teljes kínálat</t>
        </is>
      </c>
      <c r="H1927" s="6" t="n">
        <v>1</v>
      </c>
      <c r="I1927" s="6" t="n">
        <v>3</v>
      </c>
      <c r="J1927" s="6" t="inlineStr">
        <is>
          <t>van</t>
        </is>
      </c>
      <c r="K1927" s="6">
        <f>IF(AND(H1927&gt;0,I1927&gt;0),"Rendben",IF(AND(H1927=0,I1927=0),"Nincs kép és adat",IF(H1927=0,"Nincs kép","Nincs adat")))</f>
        <v/>
      </c>
      <c r="L1927" s="6" t="inlineStr">
        <is>
          <t>Igen</t>
        </is>
      </c>
      <c r="M1927" s="7" t="inlineStr">
        <is>
          <t>Sand-Profile teljes kínálata (gyártói katalógus / weboldal)</t>
        </is>
      </c>
      <c r="N1927" s="7" t="inlineStr">
        <is>
          <t>Megtalálva: a beszállító teljes kínálatából felvett termék</t>
        </is>
      </c>
      <c r="O1927" s="11" t="inlineStr">
        <is>
          <t>https://www.sandprofile.com/media/gesamtkatalog_en.pdf#page=28</t>
        </is>
      </c>
      <c r="P1927" s="11" t="inlineStr">
        <is>
          <t>https://website-9ib.pages.dev/termek/sp-a1-117/</t>
        </is>
      </c>
      <c r="Q1927" s="12" t="inlineStr"/>
      <c r="R1927" s="13" t="inlineStr"/>
      <c r="S1927" s="6" t="inlineStr">
        <is>
          <t>sp-a1-117</t>
        </is>
      </c>
    </row>
    <row r="1928">
      <c r="A1928" s="6" t="inlineStr">
        <is>
          <t>A1 119</t>
        </is>
      </c>
      <c r="B1928" s="7" t="inlineStr">
        <is>
          <t>Élvédő tömítőprofil A1 119 – fekete, 1,0-4,0 mm</t>
        </is>
      </c>
      <c r="C1928" s="6" t="inlineStr">
        <is>
          <t>Gumi- és kéderprofilok</t>
        </is>
      </c>
      <c r="D1928" s="6" t="inlineStr">
        <is>
          <t>Élvédő tömítőprofilok</t>
        </is>
      </c>
      <c r="E1928" s="6" t="inlineStr">
        <is>
          <t>Sand-Profile</t>
        </is>
      </c>
      <c r="F1928" s="6" t="inlineStr">
        <is>
          <t>A1 119</t>
        </is>
      </c>
      <c r="G1928" s="6" t="inlineStr">
        <is>
          <t>Teljes kínálat</t>
        </is>
      </c>
      <c r="H1928" s="6" t="n">
        <v>1</v>
      </c>
      <c r="I1928" s="6" t="n">
        <v>3</v>
      </c>
      <c r="J1928" s="6" t="inlineStr">
        <is>
          <t>van</t>
        </is>
      </c>
      <c r="K1928" s="6">
        <f>IF(AND(H1928&gt;0,I1928&gt;0),"Rendben",IF(AND(H1928=0,I1928=0),"Nincs kép és adat",IF(H1928=0,"Nincs kép","Nincs adat")))</f>
        <v/>
      </c>
      <c r="L1928" s="6" t="inlineStr">
        <is>
          <t>Igen</t>
        </is>
      </c>
      <c r="M1928" s="7" t="inlineStr">
        <is>
          <t>Sand-Profile teljes kínálata (gyártói katalógus / weboldal)</t>
        </is>
      </c>
      <c r="N1928" s="7" t="inlineStr">
        <is>
          <t>Megtalálva: a beszállító teljes kínálatából felvett termék</t>
        </is>
      </c>
      <c r="O1928" s="11" t="inlineStr">
        <is>
          <t>https://www.sandprofile.com/media/gesamtkatalog_en.pdf#page=29</t>
        </is>
      </c>
      <c r="P1928" s="11" t="inlineStr">
        <is>
          <t>https://website-9ib.pages.dev/termek/sp-a1-119/</t>
        </is>
      </c>
      <c r="Q1928" s="12" t="inlineStr"/>
      <c r="R1928" s="13" t="inlineStr"/>
      <c r="S1928" s="6" t="inlineStr">
        <is>
          <t>sp-a1-119</t>
        </is>
      </c>
    </row>
    <row r="1929">
      <c r="A1929" s="6" t="inlineStr">
        <is>
          <t>A1 121/2</t>
        </is>
      </c>
      <c r="B1929" s="7" t="inlineStr">
        <is>
          <t>Élvédő tömítőprofil A1 121/2 – fekete, 1,0-2,5 mm</t>
        </is>
      </c>
      <c r="C1929" s="6" t="inlineStr">
        <is>
          <t>Gumi- és kéderprofilok</t>
        </is>
      </c>
      <c r="D1929" s="6" t="inlineStr">
        <is>
          <t>Élvédő tömítőprofilok</t>
        </is>
      </c>
      <c r="E1929" s="6" t="inlineStr">
        <is>
          <t>Sand-Profile</t>
        </is>
      </c>
      <c r="F1929" s="6" t="inlineStr">
        <is>
          <t>A1 121/2</t>
        </is>
      </c>
      <c r="G1929" s="6" t="inlineStr">
        <is>
          <t>Teljes kínálat</t>
        </is>
      </c>
      <c r="H1929" s="6" t="n">
        <v>1</v>
      </c>
      <c r="I1929" s="6" t="n">
        <v>3</v>
      </c>
      <c r="J1929" s="6" t="inlineStr">
        <is>
          <t>van</t>
        </is>
      </c>
      <c r="K1929" s="6">
        <f>IF(AND(H1929&gt;0,I1929&gt;0),"Rendben",IF(AND(H1929=0,I1929=0),"Nincs kép és adat",IF(H1929=0,"Nincs kép","Nincs adat")))</f>
        <v/>
      </c>
      <c r="L1929" s="6" t="inlineStr">
        <is>
          <t>Igen</t>
        </is>
      </c>
      <c r="M1929" s="7" t="inlineStr">
        <is>
          <t>Sand-Profile teljes kínálata (gyártói katalógus / weboldal)</t>
        </is>
      </c>
      <c r="N1929" s="7" t="inlineStr">
        <is>
          <t>Megtalálva: a beszállító teljes kínálatából felvett termék</t>
        </is>
      </c>
      <c r="O1929" s="11" t="inlineStr">
        <is>
          <t>https://www.sandprofile.com/media/gesamtkatalog_en.pdf#page=32</t>
        </is>
      </c>
      <c r="P1929" s="11" t="inlineStr">
        <is>
          <t>https://website-9ib.pages.dev/termek/sp-a1-121-2/</t>
        </is>
      </c>
      <c r="Q1929" s="12" t="inlineStr"/>
      <c r="R1929" s="13" t="inlineStr"/>
      <c r="S1929" s="6" t="inlineStr">
        <is>
          <t>sp-a1-121-2</t>
        </is>
      </c>
    </row>
    <row r="1930">
      <c r="A1930" s="6" t="inlineStr">
        <is>
          <t>A1 121/4</t>
        </is>
      </c>
      <c r="B1930" s="7" t="inlineStr">
        <is>
          <t>Élvédő tömítőprofil A1 121/4 – fekete, 2,5-4,0 mm</t>
        </is>
      </c>
      <c r="C1930" s="6" t="inlineStr">
        <is>
          <t>Gumi- és kéderprofilok</t>
        </is>
      </c>
      <c r="D1930" s="6" t="inlineStr">
        <is>
          <t>Élvédő tömítőprofilok</t>
        </is>
      </c>
      <c r="E1930" s="6" t="inlineStr">
        <is>
          <t>Sand-Profile</t>
        </is>
      </c>
      <c r="F1930" s="6" t="inlineStr">
        <is>
          <t>A1 121/4</t>
        </is>
      </c>
      <c r="G1930" s="6" t="inlineStr">
        <is>
          <t>Teljes kínálat</t>
        </is>
      </c>
      <c r="H1930" s="6" t="n">
        <v>1</v>
      </c>
      <c r="I1930" s="6" t="n">
        <v>3</v>
      </c>
      <c r="J1930" s="6" t="inlineStr">
        <is>
          <t>van</t>
        </is>
      </c>
      <c r="K1930" s="6">
        <f>IF(AND(H1930&gt;0,I1930&gt;0),"Rendben",IF(AND(H1930=0,I1930=0),"Nincs kép és adat",IF(H1930=0,"Nincs kép","Nincs adat")))</f>
        <v/>
      </c>
      <c r="L1930" s="6" t="inlineStr">
        <is>
          <t>Igen</t>
        </is>
      </c>
      <c r="M1930" s="7" t="inlineStr">
        <is>
          <t>Sand-Profile teljes kínálata (gyártói katalógus / weboldal)</t>
        </is>
      </c>
      <c r="N1930" s="7" t="inlineStr">
        <is>
          <t>Megtalálva: a beszállító teljes kínálatából felvett termék</t>
        </is>
      </c>
      <c r="O1930" s="11" t="inlineStr">
        <is>
          <t>https://www.sandprofile.com/media/gesamtkatalog_en.pdf#page=32</t>
        </is>
      </c>
      <c r="P1930" s="11" t="inlineStr">
        <is>
          <t>https://website-9ib.pages.dev/termek/sp-a1-121-4/</t>
        </is>
      </c>
      <c r="Q1930" s="12" t="inlineStr"/>
      <c r="R1930" s="13" t="inlineStr"/>
      <c r="S1930" s="6" t="inlineStr">
        <is>
          <t>sp-a1-121-4</t>
        </is>
      </c>
    </row>
    <row r="1931">
      <c r="A1931" s="6" t="inlineStr">
        <is>
          <t>A1 121/6</t>
        </is>
      </c>
      <c r="B1931" s="7" t="inlineStr">
        <is>
          <t>Élvédő tömítőprofil A1 121/6 – fekete, 4,0-6,0 mm</t>
        </is>
      </c>
      <c r="C1931" s="6" t="inlineStr">
        <is>
          <t>Gumi- és kéderprofilok</t>
        </is>
      </c>
      <c r="D1931" s="6" t="inlineStr">
        <is>
          <t>Élvédő tömítőprofilok</t>
        </is>
      </c>
      <c r="E1931" s="6" t="inlineStr">
        <is>
          <t>Sand-Profile</t>
        </is>
      </c>
      <c r="F1931" s="6" t="inlineStr">
        <is>
          <t>A1 121/6</t>
        </is>
      </c>
      <c r="G1931" s="6" t="inlineStr">
        <is>
          <t>Teljes kínálat</t>
        </is>
      </c>
      <c r="H1931" s="6" t="n">
        <v>1</v>
      </c>
      <c r="I1931" s="6" t="n">
        <v>3</v>
      </c>
      <c r="J1931" s="6" t="inlineStr">
        <is>
          <t>van</t>
        </is>
      </c>
      <c r="K1931" s="6">
        <f>IF(AND(H1931&gt;0,I1931&gt;0),"Rendben",IF(AND(H1931=0,I1931=0),"Nincs kép és adat",IF(H1931=0,"Nincs kép","Nincs adat")))</f>
        <v/>
      </c>
      <c r="L1931" s="6" t="inlineStr">
        <is>
          <t>Igen</t>
        </is>
      </c>
      <c r="M1931" s="7" t="inlineStr">
        <is>
          <t>Sand-Profile teljes kínálata (gyártói katalógus / weboldal)</t>
        </is>
      </c>
      <c r="N1931" s="7" t="inlineStr">
        <is>
          <t>Megtalálva: a beszállító teljes kínálatából felvett termék</t>
        </is>
      </c>
      <c r="O1931" s="11" t="inlineStr">
        <is>
          <t>https://www.sandprofile.com/media/gesamtkatalog_en.pdf#page=32</t>
        </is>
      </c>
      <c r="P1931" s="11" t="inlineStr">
        <is>
          <t>https://website-9ib.pages.dev/termek/sp-a1-121-6/</t>
        </is>
      </c>
      <c r="Q1931" s="12" t="inlineStr"/>
      <c r="R1931" s="13" t="inlineStr"/>
      <c r="S1931" s="6" t="inlineStr">
        <is>
          <t>sp-a1-121-6</t>
        </is>
      </c>
    </row>
    <row r="1932">
      <c r="A1932" s="6" t="inlineStr">
        <is>
          <t>A1 132</t>
        </is>
      </c>
      <c r="B1932" s="7" t="inlineStr">
        <is>
          <t>Élvédő tömítőprofil A1 132 – fekete, 1,0–4,0 mm</t>
        </is>
      </c>
      <c r="C1932" s="6" t="inlineStr">
        <is>
          <t>Gumi- és kéderprofilok</t>
        </is>
      </c>
      <c r="D1932" s="6" t="inlineStr">
        <is>
          <t>Élvédő tömítőprofilok</t>
        </is>
      </c>
      <c r="E1932" s="6" t="inlineStr">
        <is>
          <t>Sand-Profile</t>
        </is>
      </c>
      <c r="F1932" s="6" t="inlineStr">
        <is>
          <t>A1 132</t>
        </is>
      </c>
      <c r="G1932" s="6" t="inlineStr">
        <is>
          <t>Teljes kínálat</t>
        </is>
      </c>
      <c r="H1932" s="6" t="n">
        <v>1</v>
      </c>
      <c r="I1932" s="6" t="n">
        <v>3</v>
      </c>
      <c r="J1932" s="6" t="inlineStr">
        <is>
          <t>van</t>
        </is>
      </c>
      <c r="K1932" s="6">
        <f>IF(AND(H1932&gt;0,I1932&gt;0),"Rendben",IF(AND(H1932=0,I1932=0),"Nincs kép és adat",IF(H1932=0,"Nincs kép","Nincs adat")))</f>
        <v/>
      </c>
      <c r="L1932" s="6" t="inlineStr">
        <is>
          <t>Igen</t>
        </is>
      </c>
      <c r="M1932" s="7" t="inlineStr">
        <is>
          <t>Sand-Profile teljes kínálata (gyártói katalógus / weboldal)</t>
        </is>
      </c>
      <c r="N1932" s="7" t="inlineStr">
        <is>
          <t>Megtalálva: a beszállító teljes kínálatából felvett termék</t>
        </is>
      </c>
      <c r="O1932" s="11" t="inlineStr">
        <is>
          <t>https://www.sandprofile.com/media/gesamtkatalog_en.pdf#page=33</t>
        </is>
      </c>
      <c r="P1932" s="11" t="inlineStr">
        <is>
          <t>https://website-9ib.pages.dev/termek/sp-a1-132/</t>
        </is>
      </c>
      <c r="Q1932" s="12" t="inlineStr"/>
      <c r="R1932" s="13" t="inlineStr"/>
      <c r="S1932" s="6" t="inlineStr">
        <is>
          <t>sp-a1-132</t>
        </is>
      </c>
    </row>
    <row r="1933">
      <c r="A1933" s="6" t="inlineStr">
        <is>
          <t>A1 134/6</t>
        </is>
      </c>
      <c r="B1933" s="7" t="inlineStr">
        <is>
          <t>Élvédő tömítőprofil A1 134/6 – fekete, 4,0-6,0 mm</t>
        </is>
      </c>
      <c r="C1933" s="6" t="inlineStr">
        <is>
          <t>Gumi- és kéderprofilok</t>
        </is>
      </c>
      <c r="D1933" s="6" t="inlineStr">
        <is>
          <t>Élvédő tömítőprofilok</t>
        </is>
      </c>
      <c r="E1933" s="6" t="inlineStr">
        <is>
          <t>Sand-Profile</t>
        </is>
      </c>
      <c r="F1933" s="6" t="inlineStr">
        <is>
          <t>A1 134/6</t>
        </is>
      </c>
      <c r="G1933" s="6" t="inlineStr">
        <is>
          <t>Teljes kínálat</t>
        </is>
      </c>
      <c r="H1933" s="6" t="n">
        <v>1</v>
      </c>
      <c r="I1933" s="6" t="n">
        <v>3</v>
      </c>
      <c r="J1933" s="6" t="inlineStr">
        <is>
          <t>van</t>
        </is>
      </c>
      <c r="K1933" s="6">
        <f>IF(AND(H1933&gt;0,I1933&gt;0),"Rendben",IF(AND(H1933=0,I1933=0),"Nincs kép és adat",IF(H1933=0,"Nincs kép","Nincs adat")))</f>
        <v/>
      </c>
      <c r="L1933" s="6" t="inlineStr">
        <is>
          <t>Igen</t>
        </is>
      </c>
      <c r="M1933" s="7" t="inlineStr">
        <is>
          <t>Sand-Profile teljes kínálata (gyártói katalógus / weboldal)</t>
        </is>
      </c>
      <c r="N1933" s="7" t="inlineStr">
        <is>
          <t>Megtalálva: a beszállító teljes kínálatából felvett termék</t>
        </is>
      </c>
      <c r="O1933" s="11" t="inlineStr">
        <is>
          <t>https://www.sandprofile.com/media/gesamtkatalog_en.pdf#page=32</t>
        </is>
      </c>
      <c r="P1933" s="11" t="inlineStr">
        <is>
          <t>https://website-9ib.pages.dev/termek/sp-a1-134-6/</t>
        </is>
      </c>
      <c r="Q1933" s="12" t="inlineStr"/>
      <c r="R1933" s="13" t="inlineStr"/>
      <c r="S1933" s="6" t="inlineStr">
        <is>
          <t>sp-a1-134-6</t>
        </is>
      </c>
    </row>
    <row r="1934">
      <c r="A1934" s="6" t="inlineStr">
        <is>
          <t>A1 162</t>
        </is>
      </c>
      <c r="B1934" s="7" t="inlineStr">
        <is>
          <t>Élvédő tömítőprofil A1 162 – fekete, 1,0–4,0 mm</t>
        </is>
      </c>
      <c r="C1934" s="6" t="inlineStr">
        <is>
          <t>Gumi- és kéderprofilok</t>
        </is>
      </c>
      <c r="D1934" s="6" t="inlineStr">
        <is>
          <t>Élvédő tömítőprofilok</t>
        </is>
      </c>
      <c r="E1934" s="6" t="inlineStr">
        <is>
          <t>Sand-Profile</t>
        </is>
      </c>
      <c r="F1934" s="6" t="inlineStr">
        <is>
          <t>A1 162</t>
        </is>
      </c>
      <c r="G1934" s="6" t="inlineStr">
        <is>
          <t>Teljes kínálat</t>
        </is>
      </c>
      <c r="H1934" s="6" t="n">
        <v>1</v>
      </c>
      <c r="I1934" s="6" t="n">
        <v>3</v>
      </c>
      <c r="J1934" s="6" t="inlineStr">
        <is>
          <t>van</t>
        </is>
      </c>
      <c r="K1934" s="6">
        <f>IF(AND(H1934&gt;0,I1934&gt;0),"Rendben",IF(AND(H1934=0,I1934=0),"Nincs kép és adat",IF(H1934=0,"Nincs kép","Nincs adat")))</f>
        <v/>
      </c>
      <c r="L1934" s="6" t="inlineStr">
        <is>
          <t>Igen</t>
        </is>
      </c>
      <c r="M1934" s="7" t="inlineStr">
        <is>
          <t>Sand-Profile teljes kínálata (gyártói katalógus / weboldal)</t>
        </is>
      </c>
      <c r="N1934" s="7" t="inlineStr">
        <is>
          <t>Megtalálva: a beszállító teljes kínálatából felvett termék</t>
        </is>
      </c>
      <c r="O1934" s="11" t="inlineStr">
        <is>
          <t>https://www.sandprofile.com/media/gesamtkatalog_en.pdf#page=33</t>
        </is>
      </c>
      <c r="P1934" s="11" t="inlineStr">
        <is>
          <t>https://website-9ib.pages.dev/termek/sp-a1-162/</t>
        </is>
      </c>
      <c r="Q1934" s="12" t="inlineStr"/>
      <c r="R1934" s="13" t="inlineStr"/>
      <c r="S1934" s="6" t="inlineStr">
        <is>
          <t>sp-a1-162</t>
        </is>
      </c>
    </row>
    <row r="1935">
      <c r="A1935" s="6" t="inlineStr">
        <is>
          <t>A2 106/4</t>
        </is>
      </c>
      <c r="B1935" s="7" t="inlineStr">
        <is>
          <t>Élvédő tömítőprofil A2 106/4 – fekete, 2,5-4,0 mm</t>
        </is>
      </c>
      <c r="C1935" s="6" t="inlineStr">
        <is>
          <t>Gumi- és kéderprofilok</t>
        </is>
      </c>
      <c r="D1935" s="6" t="inlineStr">
        <is>
          <t>Élvédő tömítőprofilok</t>
        </is>
      </c>
      <c r="E1935" s="6" t="inlineStr">
        <is>
          <t>Sand-Profile</t>
        </is>
      </c>
      <c r="F1935" s="6" t="inlineStr">
        <is>
          <t>A2 106/4</t>
        </is>
      </c>
      <c r="G1935" s="6" t="inlineStr">
        <is>
          <t>Teljes kínálat</t>
        </is>
      </c>
      <c r="H1935" s="6" t="n">
        <v>1</v>
      </c>
      <c r="I1935" s="6" t="n">
        <v>3</v>
      </c>
      <c r="J1935" s="6" t="inlineStr">
        <is>
          <t>van</t>
        </is>
      </c>
      <c r="K1935" s="6">
        <f>IF(AND(H1935&gt;0,I1935&gt;0),"Rendben",IF(AND(H1935=0,I1935=0),"Nincs kép és adat",IF(H1935=0,"Nincs kép","Nincs adat")))</f>
        <v/>
      </c>
      <c r="L1935" s="6" t="inlineStr">
        <is>
          <t>Igen</t>
        </is>
      </c>
      <c r="M1935" s="7" t="inlineStr">
        <is>
          <t>Sand-Profile teljes kínálata (gyártói katalógus / weboldal)</t>
        </is>
      </c>
      <c r="N1935" s="7" t="inlineStr">
        <is>
          <t>Megtalálva: a beszállító teljes kínálatából felvett termék</t>
        </is>
      </c>
      <c r="O1935" s="11" t="inlineStr">
        <is>
          <t>https://www.sandprofile.com/media/gesamtkatalog_en.pdf#page=32</t>
        </is>
      </c>
      <c r="P1935" s="11" t="inlineStr">
        <is>
          <t>https://website-9ib.pages.dev/termek/sp-a2-106-4/</t>
        </is>
      </c>
      <c r="Q1935" s="12" t="inlineStr"/>
      <c r="R1935" s="13" t="inlineStr"/>
      <c r="S1935" s="6" t="inlineStr">
        <is>
          <t>sp-a2-106-4</t>
        </is>
      </c>
    </row>
    <row r="1936">
      <c r="A1936" s="6" t="inlineStr">
        <is>
          <t>A2 106/6</t>
        </is>
      </c>
      <c r="B1936" s="7" t="inlineStr">
        <is>
          <t>Élvédő tömítőprofil A2 106/6 – fekete, 4,0-6,0 mm</t>
        </is>
      </c>
      <c r="C1936" s="6" t="inlineStr">
        <is>
          <t>Gumi- és kéderprofilok</t>
        </is>
      </c>
      <c r="D1936" s="6" t="inlineStr">
        <is>
          <t>Élvédő tömítőprofilok</t>
        </is>
      </c>
      <c r="E1936" s="6" t="inlineStr">
        <is>
          <t>Sand-Profile</t>
        </is>
      </c>
      <c r="F1936" s="6" t="inlineStr">
        <is>
          <t>A2 106/6</t>
        </is>
      </c>
      <c r="G1936" s="6" t="inlineStr">
        <is>
          <t>Teljes kínálat</t>
        </is>
      </c>
      <c r="H1936" s="6" t="n">
        <v>1</v>
      </c>
      <c r="I1936" s="6" t="n">
        <v>3</v>
      </c>
      <c r="J1936" s="6" t="inlineStr">
        <is>
          <t>van</t>
        </is>
      </c>
      <c r="K1936" s="6">
        <f>IF(AND(H1936&gt;0,I1936&gt;0),"Rendben",IF(AND(H1936=0,I1936=0),"Nincs kép és adat",IF(H1936=0,"Nincs kép","Nincs adat")))</f>
        <v/>
      </c>
      <c r="L1936" s="6" t="inlineStr">
        <is>
          <t>Igen</t>
        </is>
      </c>
      <c r="M1936" s="7" t="inlineStr">
        <is>
          <t>Sand-Profile teljes kínálata (gyártói katalógus / weboldal)</t>
        </is>
      </c>
      <c r="N1936" s="7" t="inlineStr">
        <is>
          <t>Megtalálva: a beszállító teljes kínálatából felvett termék</t>
        </is>
      </c>
      <c r="O1936" s="11" t="inlineStr">
        <is>
          <t>https://www.sandprofile.com/media/gesamtkatalog_en.pdf#page=32</t>
        </is>
      </c>
      <c r="P1936" s="11" t="inlineStr">
        <is>
          <t>https://website-9ib.pages.dev/termek/sp-a2-106-6/</t>
        </is>
      </c>
      <c r="Q1936" s="12" t="inlineStr"/>
      <c r="R1936" s="13" t="inlineStr"/>
      <c r="S1936" s="6" t="inlineStr">
        <is>
          <t>sp-a2-106-6</t>
        </is>
      </c>
    </row>
    <row r="1937">
      <c r="A1937" s="6" t="inlineStr">
        <is>
          <t>A2 124</t>
        </is>
      </c>
      <c r="B1937" s="7" t="inlineStr">
        <is>
          <t>Élvédő tömítőprofil A2 124 – fekete, 1,0–4,0 mm</t>
        </is>
      </c>
      <c r="C1937" s="6" t="inlineStr">
        <is>
          <t>Gumi- és kéderprofilok</t>
        </is>
      </c>
      <c r="D1937" s="6" t="inlineStr">
        <is>
          <t>Élvédő tömítőprofilok</t>
        </is>
      </c>
      <c r="E1937" s="6" t="inlineStr">
        <is>
          <t>Sand-Profile</t>
        </is>
      </c>
      <c r="F1937" s="6" t="inlineStr">
        <is>
          <t>A2 124</t>
        </is>
      </c>
      <c r="G1937" s="6" t="inlineStr">
        <is>
          <t>Teljes kínálat</t>
        </is>
      </c>
      <c r="H1937" s="6" t="n">
        <v>1</v>
      </c>
      <c r="I1937" s="6" t="n">
        <v>3</v>
      </c>
      <c r="J1937" s="6" t="inlineStr">
        <is>
          <t>van</t>
        </is>
      </c>
      <c r="K1937" s="6">
        <f>IF(AND(H1937&gt;0,I1937&gt;0),"Rendben",IF(AND(H1937=0,I1937=0),"Nincs kép és adat",IF(H1937=0,"Nincs kép","Nincs adat")))</f>
        <v/>
      </c>
      <c r="L1937" s="6" t="inlineStr">
        <is>
          <t>Igen</t>
        </is>
      </c>
      <c r="M1937" s="7" t="inlineStr">
        <is>
          <t>Sand-Profile teljes kínálata (gyártói katalógus / weboldal)</t>
        </is>
      </c>
      <c r="N1937" s="7" t="inlineStr">
        <is>
          <t>Megtalálva: a beszállító teljes kínálatából felvett termék</t>
        </is>
      </c>
      <c r="O1937" s="11" t="inlineStr">
        <is>
          <t>https://www.sandprofile.com/media/gesamtkatalog_en.pdf#page=33</t>
        </is>
      </c>
      <c r="P1937" s="11" t="inlineStr">
        <is>
          <t>https://website-9ib.pages.dev/termek/sp-a2-124/</t>
        </is>
      </c>
      <c r="Q1937" s="12" t="inlineStr"/>
      <c r="R1937" s="13" t="inlineStr"/>
      <c r="S1937" s="6" t="inlineStr">
        <is>
          <t>sp-a2-124</t>
        </is>
      </c>
    </row>
    <row r="1938">
      <c r="A1938" s="6" t="inlineStr">
        <is>
          <t>A2 139</t>
        </is>
      </c>
      <c r="B1938" s="7" t="inlineStr">
        <is>
          <t>Élvédő tömítőprofil A2 139 – fekete, 3,0 mm</t>
        </is>
      </c>
      <c r="C1938" s="6" t="inlineStr">
        <is>
          <t>Gumi- és kéderprofilok</t>
        </is>
      </c>
      <c r="D1938" s="6" t="inlineStr">
        <is>
          <t>Élvédő tömítőprofilok</t>
        </is>
      </c>
      <c r="E1938" s="6" t="inlineStr">
        <is>
          <t>Sand-Profile</t>
        </is>
      </c>
      <c r="F1938" s="6" t="inlineStr">
        <is>
          <t>A2 139</t>
        </is>
      </c>
      <c r="G1938" s="6" t="inlineStr">
        <is>
          <t>Teljes kínálat</t>
        </is>
      </c>
      <c r="H1938" s="6" t="n">
        <v>1</v>
      </c>
      <c r="I1938" s="6" t="n">
        <v>3</v>
      </c>
      <c r="J1938" s="6" t="inlineStr">
        <is>
          <t>van</t>
        </is>
      </c>
      <c r="K1938" s="6">
        <f>IF(AND(H1938&gt;0,I1938&gt;0),"Rendben",IF(AND(H1938=0,I1938=0),"Nincs kép és adat",IF(H1938=0,"Nincs kép","Nincs adat")))</f>
        <v/>
      </c>
      <c r="L1938" s="6" t="inlineStr">
        <is>
          <t>Igen</t>
        </is>
      </c>
      <c r="M1938" s="7" t="inlineStr">
        <is>
          <t>Sand-Profile teljes kínálata (gyártói katalógus / weboldal)</t>
        </is>
      </c>
      <c r="N1938" s="7" t="inlineStr">
        <is>
          <t>Megtalálva: a beszállító teljes kínálatából felvett termék</t>
        </is>
      </c>
      <c r="O1938" s="11" t="inlineStr">
        <is>
          <t>https://www.sandprofile.com/media/gesamtkatalog_en.pdf#page=32</t>
        </is>
      </c>
      <c r="P1938" s="11" t="inlineStr">
        <is>
          <t>https://website-9ib.pages.dev/termek/sp-a2-139/</t>
        </is>
      </c>
      <c r="Q1938" s="12" t="inlineStr"/>
      <c r="R1938" s="13" t="inlineStr"/>
      <c r="S1938" s="6" t="inlineStr">
        <is>
          <t>sp-a2-139</t>
        </is>
      </c>
    </row>
    <row r="1939">
      <c r="A1939" s="6" t="inlineStr">
        <is>
          <t>A2 158</t>
        </is>
      </c>
      <c r="B1939" s="7" t="inlineStr">
        <is>
          <t>Élvédő tömítőprofil A2 158 – fekete, 1,0-2,0 mm</t>
        </is>
      </c>
      <c r="C1939" s="6" t="inlineStr">
        <is>
          <t>Gumi- és kéderprofilok</t>
        </is>
      </c>
      <c r="D1939" s="6" t="inlineStr">
        <is>
          <t>Élvédő tömítőprofilok</t>
        </is>
      </c>
      <c r="E1939" s="6" t="inlineStr">
        <is>
          <t>Sand-Profile</t>
        </is>
      </c>
      <c r="F1939" s="6" t="inlineStr">
        <is>
          <t>A2 158</t>
        </is>
      </c>
      <c r="G1939" s="6" t="inlineStr">
        <is>
          <t>Teljes kínálat</t>
        </is>
      </c>
      <c r="H1939" s="6" t="n">
        <v>1</v>
      </c>
      <c r="I1939" s="6" t="n">
        <v>3</v>
      </c>
      <c r="J1939" s="6" t="inlineStr">
        <is>
          <t>van</t>
        </is>
      </c>
      <c r="K1939" s="6">
        <f>IF(AND(H1939&gt;0,I1939&gt;0),"Rendben",IF(AND(H1939=0,I1939=0),"Nincs kép és adat",IF(H1939=0,"Nincs kép","Nincs adat")))</f>
        <v/>
      </c>
      <c r="L1939" s="6" t="inlineStr">
        <is>
          <t>Igen</t>
        </is>
      </c>
      <c r="M1939" s="7" t="inlineStr">
        <is>
          <t>Sand-Profile teljes kínálata (gyártói katalógus / weboldal)</t>
        </is>
      </c>
      <c r="N1939" s="7" t="inlineStr">
        <is>
          <t>Megtalálva: a beszállító teljes kínálatából felvett termék</t>
        </is>
      </c>
      <c r="O1939" s="11" t="inlineStr">
        <is>
          <t>https://www.sandprofile.com/media/gesamtkatalog_en.pdf#page=28</t>
        </is>
      </c>
      <c r="P1939" s="11" t="inlineStr">
        <is>
          <t>https://website-9ib.pages.dev/termek/sp-a2-158/</t>
        </is>
      </c>
      <c r="Q1939" s="12" t="inlineStr"/>
      <c r="R1939" s="13" t="inlineStr"/>
      <c r="S1939" s="6" t="inlineStr">
        <is>
          <t>sp-a2-158</t>
        </is>
      </c>
    </row>
    <row r="1940">
      <c r="A1940" s="6" t="inlineStr">
        <is>
          <t>A2 196</t>
        </is>
      </c>
      <c r="B1940" s="7" t="inlineStr">
        <is>
          <t>Élvédő tömítőprofil A2 196 – fekete, 1,0-2,5 mm</t>
        </is>
      </c>
      <c r="C1940" s="6" t="inlineStr">
        <is>
          <t>Gumi- és kéderprofilok</t>
        </is>
      </c>
      <c r="D1940" s="6" t="inlineStr">
        <is>
          <t>Élvédő tömítőprofilok</t>
        </is>
      </c>
      <c r="E1940" s="6" t="inlineStr">
        <is>
          <t>Sand-Profile</t>
        </is>
      </c>
      <c r="F1940" s="6" t="inlineStr">
        <is>
          <t>A2 196</t>
        </is>
      </c>
      <c r="G1940" s="6" t="inlineStr">
        <is>
          <t>Teljes kínálat</t>
        </is>
      </c>
      <c r="H1940" s="6" t="n">
        <v>1</v>
      </c>
      <c r="I1940" s="6" t="n">
        <v>3</v>
      </c>
      <c r="J1940" s="6" t="inlineStr">
        <is>
          <t>van</t>
        </is>
      </c>
      <c r="K1940" s="6">
        <f>IF(AND(H1940&gt;0,I1940&gt;0),"Rendben",IF(AND(H1940=0,I1940=0),"Nincs kép és adat",IF(H1940=0,"Nincs kép","Nincs adat")))</f>
        <v/>
      </c>
      <c r="L1940" s="6" t="inlineStr">
        <is>
          <t>Igen</t>
        </is>
      </c>
      <c r="M1940" s="7" t="inlineStr">
        <is>
          <t>Sand-Profile teljes kínálata (gyártói katalógus / weboldal)</t>
        </is>
      </c>
      <c r="N1940" s="7" t="inlineStr">
        <is>
          <t>Megtalálva: a beszállító teljes kínálatából felvett termék</t>
        </is>
      </c>
      <c r="O1940" s="11" t="inlineStr">
        <is>
          <t>https://www.sandprofile.com/media/gesamtkatalog_en.pdf#page=31</t>
        </is>
      </c>
      <c r="P1940" s="11" t="inlineStr">
        <is>
          <t>https://website-9ib.pages.dev/termek/sp-a2-196/</t>
        </is>
      </c>
      <c r="Q1940" s="12" t="inlineStr"/>
      <c r="R1940" s="13" t="inlineStr"/>
      <c r="S1940" s="6" t="inlineStr">
        <is>
          <t>sp-a2-196</t>
        </is>
      </c>
    </row>
    <row r="1941">
      <c r="A1941" s="6" t="inlineStr">
        <is>
          <t>A2 213</t>
        </is>
      </c>
      <c r="B1941" s="7" t="inlineStr">
        <is>
          <t>Élvédő tömítőprofil A2 213 – fekete, 1,0–2,5 mm</t>
        </is>
      </c>
      <c r="C1941" s="6" t="inlineStr">
        <is>
          <t>Gumi- és kéderprofilok</t>
        </is>
      </c>
      <c r="D1941" s="6" t="inlineStr">
        <is>
          <t>Élvédő tömítőprofilok</t>
        </is>
      </c>
      <c r="E1941" s="6" t="inlineStr">
        <is>
          <t>Sand-Profile</t>
        </is>
      </c>
      <c r="F1941" s="6" t="inlineStr">
        <is>
          <t>A2 213</t>
        </is>
      </c>
      <c r="G1941" s="6" t="inlineStr">
        <is>
          <t>Teljes kínálat</t>
        </is>
      </c>
      <c r="H1941" s="6" t="n">
        <v>1</v>
      </c>
      <c r="I1941" s="6" t="n">
        <v>3</v>
      </c>
      <c r="J1941" s="6" t="inlineStr">
        <is>
          <t>van</t>
        </is>
      </c>
      <c r="K1941" s="6">
        <f>IF(AND(H1941&gt;0,I1941&gt;0),"Rendben",IF(AND(H1941=0,I1941=0),"Nincs kép és adat",IF(H1941=0,"Nincs kép","Nincs adat")))</f>
        <v/>
      </c>
      <c r="L1941" s="6" t="inlineStr">
        <is>
          <t>Igen</t>
        </is>
      </c>
      <c r="M1941" s="7" t="inlineStr">
        <is>
          <t>Sand-Profile teljes kínálata (gyártói katalógus / weboldal)</t>
        </is>
      </c>
      <c r="N1941" s="7" t="inlineStr">
        <is>
          <t>Megtalálva: a beszállító teljes kínálatából felvett termék</t>
        </is>
      </c>
      <c r="O1941" s="11" t="inlineStr">
        <is>
          <t>https://www.sandprofile.com/media/gesamtkatalog_en.pdf#page=29</t>
        </is>
      </c>
      <c r="P1941" s="11" t="inlineStr">
        <is>
          <t>https://website-9ib.pages.dev/termek/sp-a2-213/</t>
        </is>
      </c>
      <c r="Q1941" s="12" t="inlineStr"/>
      <c r="R1941" s="13" t="inlineStr"/>
      <c r="S1941" s="6" t="inlineStr">
        <is>
          <t>sp-a2-213</t>
        </is>
      </c>
    </row>
    <row r="1942">
      <c r="A1942" s="6" t="inlineStr">
        <is>
          <t>A2 256</t>
        </is>
      </c>
      <c r="B1942" s="7" t="inlineStr">
        <is>
          <t>Élvédő tömítőprofil A2 256 – fekete, 1,0-3,5 mm</t>
        </is>
      </c>
      <c r="C1942" s="6" t="inlineStr">
        <is>
          <t>Gumi- és kéderprofilok</t>
        </is>
      </c>
      <c r="D1942" s="6" t="inlineStr">
        <is>
          <t>Élvédő tömítőprofilok</t>
        </is>
      </c>
      <c r="E1942" s="6" t="inlineStr">
        <is>
          <t>Sand-Profile</t>
        </is>
      </c>
      <c r="F1942" s="6" t="inlineStr">
        <is>
          <t>A2 256</t>
        </is>
      </c>
      <c r="G1942" s="6" t="inlineStr">
        <is>
          <t>Teljes kínálat</t>
        </is>
      </c>
      <c r="H1942" s="6" t="n">
        <v>1</v>
      </c>
      <c r="I1942" s="6" t="n">
        <v>3</v>
      </c>
      <c r="J1942" s="6" t="inlineStr">
        <is>
          <t>van</t>
        </is>
      </c>
      <c r="K1942" s="6">
        <f>IF(AND(H1942&gt;0,I1942&gt;0),"Rendben",IF(AND(H1942=0,I1942=0),"Nincs kép és adat",IF(H1942=0,"Nincs kép","Nincs adat")))</f>
        <v/>
      </c>
      <c r="L1942" s="6" t="inlineStr">
        <is>
          <t>Igen</t>
        </is>
      </c>
      <c r="M1942" s="7" t="inlineStr">
        <is>
          <t>Sand-Profile teljes kínálata (gyártói katalógus / weboldal)</t>
        </is>
      </c>
      <c r="N1942" s="7" t="inlineStr">
        <is>
          <t>Megtalálva: a beszállító teljes kínálatából felvett termék</t>
        </is>
      </c>
      <c r="O1942" s="11" t="inlineStr">
        <is>
          <t>https://www.sandprofile.com/media/gesamtkatalog_en.pdf#page=33</t>
        </is>
      </c>
      <c r="P1942" s="11" t="inlineStr">
        <is>
          <t>https://website-9ib.pages.dev/termek/sp-a2-256/</t>
        </is>
      </c>
      <c r="Q1942" s="12" t="inlineStr"/>
      <c r="R1942" s="13" t="inlineStr"/>
      <c r="S1942" s="6" t="inlineStr">
        <is>
          <t>sp-a2-256</t>
        </is>
      </c>
    </row>
    <row r="1943">
      <c r="A1943" s="6" t="inlineStr">
        <is>
          <t>A3 073</t>
        </is>
      </c>
      <c r="B1943" s="7" t="inlineStr">
        <is>
          <t>Élvédő tömítőprofil A3 073 – fekete, 2,5–4,0 mm</t>
        </is>
      </c>
      <c r="C1943" s="6" t="inlineStr">
        <is>
          <t>Gumi- és kéderprofilok</t>
        </is>
      </c>
      <c r="D1943" s="6" t="inlineStr">
        <is>
          <t>Élvédő tömítőprofilok</t>
        </is>
      </c>
      <c r="E1943" s="6" t="inlineStr">
        <is>
          <t>Sand-Profile</t>
        </is>
      </c>
      <c r="F1943" s="6" t="inlineStr">
        <is>
          <t>A3 073</t>
        </is>
      </c>
      <c r="G1943" s="6" t="inlineStr">
        <is>
          <t>Teljes kínálat</t>
        </is>
      </c>
      <c r="H1943" s="6" t="n">
        <v>1</v>
      </c>
      <c r="I1943" s="6" t="n">
        <v>3</v>
      </c>
      <c r="J1943" s="6" t="inlineStr">
        <is>
          <t>van</t>
        </is>
      </c>
      <c r="K1943" s="6">
        <f>IF(AND(H1943&gt;0,I1943&gt;0),"Rendben",IF(AND(H1943=0,I1943=0),"Nincs kép és adat",IF(H1943=0,"Nincs kép","Nincs adat")))</f>
        <v/>
      </c>
      <c r="L1943" s="6" t="inlineStr">
        <is>
          <t>Igen</t>
        </is>
      </c>
      <c r="M1943" s="7" t="inlineStr">
        <is>
          <t>Sand-Profile teljes kínálata (gyártói katalógus / weboldal)</t>
        </is>
      </c>
      <c r="N1943" s="7" t="inlineStr">
        <is>
          <t>Megtalálva: a beszállító teljes kínálatából felvett termék</t>
        </is>
      </c>
      <c r="O1943" s="11" t="inlineStr">
        <is>
          <t>https://www.sandprofile.com/media/gesamtkatalog_en.pdf#page=30</t>
        </is>
      </c>
      <c r="P1943" s="11" t="inlineStr">
        <is>
          <t>https://website-9ib.pages.dev/termek/sp-a3-073/</t>
        </is>
      </c>
      <c r="Q1943" s="12" t="inlineStr"/>
      <c r="R1943" s="13" t="inlineStr"/>
      <c r="S1943" s="6" t="inlineStr">
        <is>
          <t>sp-a3-073</t>
        </is>
      </c>
    </row>
    <row r="1944">
      <c r="A1944" s="6" t="inlineStr">
        <is>
          <t>A3 339</t>
        </is>
      </c>
      <c r="B1944" s="7" t="inlineStr">
        <is>
          <t>Élvédő tömítőprofil A3 339 – carrier:, 1,5-2,0 mm</t>
        </is>
      </c>
      <c r="C1944" s="6" t="inlineStr">
        <is>
          <t>Gumi- és kéderprofilok</t>
        </is>
      </c>
      <c r="D1944" s="6" t="inlineStr">
        <is>
          <t>Élvédő tömítőprofilok</t>
        </is>
      </c>
      <c r="E1944" s="6" t="inlineStr">
        <is>
          <t>Sand-Profile</t>
        </is>
      </c>
      <c r="F1944" s="6" t="inlineStr">
        <is>
          <t>A3 339</t>
        </is>
      </c>
      <c r="G1944" s="6" t="inlineStr">
        <is>
          <t>Teljes kínálat</t>
        </is>
      </c>
      <c r="H1944" s="6" t="n">
        <v>1</v>
      </c>
      <c r="I1944" s="6" t="n">
        <v>3</v>
      </c>
      <c r="J1944" s="6" t="inlineStr">
        <is>
          <t>van</t>
        </is>
      </c>
      <c r="K1944" s="6">
        <f>IF(AND(H1944&gt;0,I1944&gt;0),"Rendben",IF(AND(H1944=0,I1944=0),"Nincs kép és adat",IF(H1944=0,"Nincs kép","Nincs adat")))</f>
        <v/>
      </c>
      <c r="L1944" s="6" t="inlineStr">
        <is>
          <t>Igen</t>
        </is>
      </c>
      <c r="M1944" s="7" t="inlineStr">
        <is>
          <t>Sand-Profile teljes kínálata (gyártói katalógus / weboldal)</t>
        </is>
      </c>
      <c r="N1944" s="7" t="inlineStr">
        <is>
          <t>Megtalálva: a beszállító teljes kínálatából felvett termék</t>
        </is>
      </c>
      <c r="O1944" s="11" t="inlineStr">
        <is>
          <t>https://www.sandprofile.com/media/gesamtkatalog_en.pdf#page=34</t>
        </is>
      </c>
      <c r="P1944" s="11" t="inlineStr">
        <is>
          <t>https://website-9ib.pages.dev/termek/sp-a3-339/</t>
        </is>
      </c>
      <c r="Q1944" s="12" t="inlineStr"/>
      <c r="R1944" s="13" t="inlineStr"/>
      <c r="S1944" s="6" t="inlineStr">
        <is>
          <t>sp-a3-339</t>
        </is>
      </c>
    </row>
    <row r="1945">
      <c r="A1945" s="6" t="inlineStr">
        <is>
          <t>A3 363</t>
        </is>
      </c>
      <c r="B1945" s="7" t="inlineStr">
        <is>
          <t>Élvédő tömítőprofil A3 363 – carrier:, 2,0 mm</t>
        </is>
      </c>
      <c r="C1945" s="6" t="inlineStr">
        <is>
          <t>Gumi- és kéderprofilok</t>
        </is>
      </c>
      <c r="D1945" s="6" t="inlineStr">
        <is>
          <t>Élvédő tömítőprofilok</t>
        </is>
      </c>
      <c r="E1945" s="6" t="inlineStr">
        <is>
          <t>Sand-Profile</t>
        </is>
      </c>
      <c r="F1945" s="6" t="inlineStr">
        <is>
          <t>A3 363</t>
        </is>
      </c>
      <c r="G1945" s="6" t="inlineStr">
        <is>
          <t>Teljes kínálat</t>
        </is>
      </c>
      <c r="H1945" s="6" t="n">
        <v>1</v>
      </c>
      <c r="I1945" s="6" t="n">
        <v>3</v>
      </c>
      <c r="J1945" s="6" t="inlineStr">
        <is>
          <t>van</t>
        </is>
      </c>
      <c r="K1945" s="6">
        <f>IF(AND(H1945&gt;0,I1945&gt;0),"Rendben",IF(AND(H1945=0,I1945=0),"Nincs kép és adat",IF(H1945=0,"Nincs kép","Nincs adat")))</f>
        <v/>
      </c>
      <c r="L1945" s="6" t="inlineStr">
        <is>
          <t>Igen</t>
        </is>
      </c>
      <c r="M1945" s="7" t="inlineStr">
        <is>
          <t>Sand-Profile teljes kínálata (gyártói katalógus / weboldal)</t>
        </is>
      </c>
      <c r="N1945" s="7" t="inlineStr">
        <is>
          <t>Megtalálva: a beszállító teljes kínálatából felvett termék</t>
        </is>
      </c>
      <c r="O1945" s="11" t="inlineStr">
        <is>
          <t>https://www.sandprofile.com/media/gesamtkatalog_en.pdf#page=34</t>
        </is>
      </c>
      <c r="P1945" s="11" t="inlineStr">
        <is>
          <t>https://website-9ib.pages.dev/termek/sp-a3-363/</t>
        </is>
      </c>
      <c r="Q1945" s="12" t="inlineStr"/>
      <c r="R1945" s="13" t="inlineStr"/>
      <c r="S1945" s="6" t="inlineStr">
        <is>
          <t>sp-a3-363</t>
        </is>
      </c>
    </row>
    <row r="1946">
      <c r="A1946" s="6" t="inlineStr">
        <is>
          <t>A3 363-BU</t>
        </is>
      </c>
      <c r="B1946" s="7" t="inlineStr">
        <is>
          <t>Élvédő tömítőprofil A3 363-BU – other colours), 2,0 mm</t>
        </is>
      </c>
      <c r="C1946" s="6" t="inlineStr">
        <is>
          <t>Gumi- és kéderprofilok</t>
        </is>
      </c>
      <c r="D1946" s="6" t="inlineStr">
        <is>
          <t>Élvédő tömítőprofilok</t>
        </is>
      </c>
      <c r="E1946" s="6" t="inlineStr">
        <is>
          <t>Sand-Profile</t>
        </is>
      </c>
      <c r="F1946" s="6" t="inlineStr">
        <is>
          <t>A3 363-BU</t>
        </is>
      </c>
      <c r="G1946" s="6" t="inlineStr">
        <is>
          <t>Teljes kínálat</t>
        </is>
      </c>
      <c r="H1946" s="6" t="n">
        <v>1</v>
      </c>
      <c r="I1946" s="6" t="n">
        <v>3</v>
      </c>
      <c r="J1946" s="6" t="inlineStr">
        <is>
          <t>van</t>
        </is>
      </c>
      <c r="K1946" s="6">
        <f>IF(AND(H1946&gt;0,I1946&gt;0),"Rendben",IF(AND(H1946=0,I1946=0),"Nincs kép és adat",IF(H1946=0,"Nincs kép","Nincs adat")))</f>
        <v/>
      </c>
      <c r="L1946" s="6" t="inlineStr">
        <is>
          <t>Igen</t>
        </is>
      </c>
      <c r="M1946" s="7" t="inlineStr">
        <is>
          <t>Sand-Profile teljes kínálata (gyártói katalógus / weboldal)</t>
        </is>
      </c>
      <c r="N1946" s="7" t="inlineStr">
        <is>
          <t>Megtalálva: a beszállító teljes kínálatából felvett termék</t>
        </is>
      </c>
      <c r="O1946" s="11" t="inlineStr">
        <is>
          <t>https://www.sandprofile.com/media/gesamtkatalog_en.pdf#page=34</t>
        </is>
      </c>
      <c r="P1946" s="11" t="inlineStr">
        <is>
          <t>https://website-9ib.pages.dev/termek/sp-a3-363-bu/</t>
        </is>
      </c>
      <c r="Q1946" s="12" t="inlineStr"/>
      <c r="R1946" s="13" t="inlineStr"/>
      <c r="S1946" s="6" t="inlineStr">
        <is>
          <t>sp-a3-363-bu</t>
        </is>
      </c>
    </row>
    <row r="1947">
      <c r="A1947" s="6" t="inlineStr">
        <is>
          <t>A3 530</t>
        </is>
      </c>
      <c r="B1947" s="7" t="inlineStr">
        <is>
          <t>Élvédő tömítőprofil A3 530 – carrier:, 1,5 mm</t>
        </is>
      </c>
      <c r="C1947" s="6" t="inlineStr">
        <is>
          <t>Gumi- és kéderprofilok</t>
        </is>
      </c>
      <c r="D1947" s="6" t="inlineStr">
        <is>
          <t>Élvédő tömítőprofilok</t>
        </is>
      </c>
      <c r="E1947" s="6" t="inlineStr">
        <is>
          <t>Sand-Profile</t>
        </is>
      </c>
      <c r="F1947" s="6" t="inlineStr">
        <is>
          <t>A3 530</t>
        </is>
      </c>
      <c r="G1947" s="6" t="inlineStr">
        <is>
          <t>Teljes kínálat</t>
        </is>
      </c>
      <c r="H1947" s="6" t="n">
        <v>1</v>
      </c>
      <c r="I1947" s="6" t="n">
        <v>3</v>
      </c>
      <c r="J1947" s="6" t="inlineStr">
        <is>
          <t>van</t>
        </is>
      </c>
      <c r="K1947" s="6">
        <f>IF(AND(H1947&gt;0,I1947&gt;0),"Rendben",IF(AND(H1947=0,I1947=0),"Nincs kép és adat",IF(H1947=0,"Nincs kép","Nincs adat")))</f>
        <v/>
      </c>
      <c r="L1947" s="6" t="inlineStr">
        <is>
          <t>Igen</t>
        </is>
      </c>
      <c r="M1947" s="7" t="inlineStr">
        <is>
          <t>Sand-Profile teljes kínálata (gyártói katalógus / weboldal)</t>
        </is>
      </c>
      <c r="N1947" s="7" t="inlineStr">
        <is>
          <t>Megtalálva: a beszállító teljes kínálatából felvett termék</t>
        </is>
      </c>
      <c r="O1947" s="11" t="inlineStr">
        <is>
          <t>https://www.sandprofile.com/media/gesamtkatalog_en.pdf#page=34</t>
        </is>
      </c>
      <c r="P1947" s="11" t="inlineStr">
        <is>
          <t>https://website-9ib.pages.dev/termek/sp-a3-530/</t>
        </is>
      </c>
      <c r="Q1947" s="12" t="inlineStr"/>
      <c r="R1947" s="13" t="inlineStr"/>
      <c r="S1947" s="6" t="inlineStr">
        <is>
          <t>sp-a3-530</t>
        </is>
      </c>
    </row>
    <row r="1948">
      <c r="A1948" s="6" t="inlineStr">
        <is>
          <t>D1 127</t>
        </is>
      </c>
      <c r="B1948" s="7" t="inlineStr">
        <is>
          <t>Élvédő tömítőprofil D1 127 – fekete</t>
        </is>
      </c>
      <c r="C1948" s="6" t="inlineStr">
        <is>
          <t>Gumi- és kéderprofilok</t>
        </is>
      </c>
      <c r="D1948" s="6" t="inlineStr">
        <is>
          <t>Élvédő tömítőprofilok</t>
        </is>
      </c>
      <c r="E1948" s="6" t="inlineStr">
        <is>
          <t>Sand-Profile</t>
        </is>
      </c>
      <c r="F1948" s="6" t="inlineStr">
        <is>
          <t>D1 127</t>
        </is>
      </c>
      <c r="G1948" s="6" t="inlineStr">
        <is>
          <t>Teljes kínálat</t>
        </is>
      </c>
      <c r="H1948" s="6" t="n">
        <v>1</v>
      </c>
      <c r="I1948" s="6" t="n">
        <v>3</v>
      </c>
      <c r="J1948" s="6" t="inlineStr">
        <is>
          <t>van</t>
        </is>
      </c>
      <c r="K1948" s="6">
        <f>IF(AND(H1948&gt;0,I1948&gt;0),"Rendben",IF(AND(H1948=0,I1948=0),"Nincs kép és adat",IF(H1948=0,"Nincs kép","Nincs adat")))</f>
        <v/>
      </c>
      <c r="L1948" s="6" t="inlineStr">
        <is>
          <t>Igen</t>
        </is>
      </c>
      <c r="M1948" s="7" t="inlineStr">
        <is>
          <t>Sand-Profile teljes kínálata (gyártói katalógus / weboldal)</t>
        </is>
      </c>
      <c r="N1948" s="7" t="inlineStr">
        <is>
          <t>Megtalálva: a beszállító teljes kínálatából felvett termék</t>
        </is>
      </c>
      <c r="O1948" s="11" t="inlineStr">
        <is>
          <t>https://www.sandprofile.com/media/gesamtkatalog_en.pdf#page=59</t>
        </is>
      </c>
      <c r="P1948" s="11" t="inlineStr">
        <is>
          <t>https://website-9ib.pages.dev/termek/sp-d1-127/</t>
        </is>
      </c>
      <c r="Q1948" s="12" t="inlineStr"/>
      <c r="R1948" s="13" t="inlineStr"/>
      <c r="S1948" s="6" t="inlineStr">
        <is>
          <t>sp-d1-127</t>
        </is>
      </c>
    </row>
    <row r="1949">
      <c r="A1949" s="6" t="inlineStr">
        <is>
          <t>D2 169E</t>
        </is>
      </c>
      <c r="B1949" s="7" t="inlineStr">
        <is>
          <t>Élvédő tömítőprofil D2 169E – fekete</t>
        </is>
      </c>
      <c r="C1949" s="6" t="inlineStr">
        <is>
          <t>Gumi- és kéderprofilok</t>
        </is>
      </c>
      <c r="D1949" s="6" t="inlineStr">
        <is>
          <t>Élvédő tömítőprofilok</t>
        </is>
      </c>
      <c r="E1949" s="6" t="inlineStr">
        <is>
          <t>Sand-Profile</t>
        </is>
      </c>
      <c r="F1949" s="6" t="inlineStr">
        <is>
          <t>D2 169E</t>
        </is>
      </c>
      <c r="G1949" s="6" t="inlineStr">
        <is>
          <t>Teljes kínálat</t>
        </is>
      </c>
      <c r="H1949" s="6" t="n">
        <v>1</v>
      </c>
      <c r="I1949" s="6" t="n">
        <v>3</v>
      </c>
      <c r="J1949" s="6" t="inlineStr">
        <is>
          <t>van</t>
        </is>
      </c>
      <c r="K1949" s="6">
        <f>IF(AND(H1949&gt;0,I1949&gt;0),"Rendben",IF(AND(H1949=0,I1949=0),"Nincs kép és adat",IF(H1949=0,"Nincs kép","Nincs adat")))</f>
        <v/>
      </c>
      <c r="L1949" s="6" t="inlineStr">
        <is>
          <t>Igen</t>
        </is>
      </c>
      <c r="M1949" s="7" t="inlineStr">
        <is>
          <t>Sand-Profile teljes kínálata (gyártói katalógus / weboldal)</t>
        </is>
      </c>
      <c r="N1949" s="7" t="inlineStr">
        <is>
          <t>Megtalálva: a beszállító teljes kínálatából felvett termék</t>
        </is>
      </c>
      <c r="O1949" s="11" t="inlineStr">
        <is>
          <t>https://www.sandprofile.com/media/gesamtkatalog_en.pdf#page=60</t>
        </is>
      </c>
      <c r="P1949" s="11" t="inlineStr">
        <is>
          <t>https://website-9ib.pages.dev/termek/sp-d2-169e/</t>
        </is>
      </c>
      <c r="Q1949" s="12" t="inlineStr"/>
      <c r="R1949" s="13" t="inlineStr"/>
      <c r="S1949" s="6" t="inlineStr">
        <is>
          <t>sp-d2-169e</t>
        </is>
      </c>
    </row>
    <row r="1950">
      <c r="A1950" s="6" t="inlineStr">
        <is>
          <t>D2 184</t>
        </is>
      </c>
      <c r="B1950" s="7" t="inlineStr">
        <is>
          <t>Élvédő tömítőprofil D2 184 – fekete</t>
        </is>
      </c>
      <c r="C1950" s="6" t="inlineStr">
        <is>
          <t>Gumi- és kéderprofilok</t>
        </is>
      </c>
      <c r="D1950" s="6" t="inlineStr">
        <is>
          <t>Élvédő tömítőprofilok</t>
        </is>
      </c>
      <c r="E1950" s="6" t="inlineStr">
        <is>
          <t>Sand-Profile</t>
        </is>
      </c>
      <c r="F1950" s="6" t="inlineStr">
        <is>
          <t>D2 184</t>
        </is>
      </c>
      <c r="G1950" s="6" t="inlineStr">
        <is>
          <t>Teljes kínálat</t>
        </is>
      </c>
      <c r="H1950" s="6" t="n">
        <v>1</v>
      </c>
      <c r="I1950" s="6" t="n">
        <v>3</v>
      </c>
      <c r="J1950" s="6" t="inlineStr">
        <is>
          <t>van</t>
        </is>
      </c>
      <c r="K1950" s="6">
        <f>IF(AND(H1950&gt;0,I1950&gt;0),"Rendben",IF(AND(H1950=0,I1950=0),"Nincs kép és adat",IF(H1950=0,"Nincs kép","Nincs adat")))</f>
        <v/>
      </c>
      <c r="L1950" s="6" t="inlineStr">
        <is>
          <t>Igen</t>
        </is>
      </c>
      <c r="M1950" s="7" t="inlineStr">
        <is>
          <t>Sand-Profile teljes kínálata (gyártói katalógus / weboldal)</t>
        </is>
      </c>
      <c r="N1950" s="7" t="inlineStr">
        <is>
          <t>Megtalálva: a beszállító teljes kínálatából felvett termék</t>
        </is>
      </c>
      <c r="O1950" s="11" t="inlineStr">
        <is>
          <t>https://www.sandprofile.com/media/gesamtkatalog_en.pdf#page=61</t>
        </is>
      </c>
      <c r="P1950" s="11" t="inlineStr">
        <is>
          <t>https://website-9ib.pages.dev/termek/sp-d2-184/</t>
        </is>
      </c>
      <c r="Q1950" s="12" t="inlineStr"/>
      <c r="R1950" s="13" t="inlineStr"/>
      <c r="S1950" s="6" t="inlineStr">
        <is>
          <t>sp-d2-184</t>
        </is>
      </c>
    </row>
    <row r="1951">
      <c r="A1951" s="6" t="inlineStr">
        <is>
          <t>D2 274</t>
        </is>
      </c>
      <c r="B1951" s="7" t="inlineStr">
        <is>
          <t>Élvédő tömítőprofil D2 274 – fekete</t>
        </is>
      </c>
      <c r="C1951" s="6" t="inlineStr">
        <is>
          <t>Gumi- és kéderprofilok</t>
        </is>
      </c>
      <c r="D1951" s="6" t="inlineStr">
        <is>
          <t>Élvédő tömítőprofilok</t>
        </is>
      </c>
      <c r="E1951" s="6" t="inlineStr">
        <is>
          <t>Sand-Profile</t>
        </is>
      </c>
      <c r="F1951" s="6" t="inlineStr">
        <is>
          <t>D2 274</t>
        </is>
      </c>
      <c r="G1951" s="6" t="inlineStr">
        <is>
          <t>Teljes kínálat</t>
        </is>
      </c>
      <c r="H1951" s="6" t="n">
        <v>1</v>
      </c>
      <c r="I1951" s="6" t="n">
        <v>3</v>
      </c>
      <c r="J1951" s="6" t="inlineStr">
        <is>
          <t>van</t>
        </is>
      </c>
      <c r="K1951" s="6">
        <f>IF(AND(H1951&gt;0,I1951&gt;0),"Rendben",IF(AND(H1951=0,I1951=0),"Nincs kép és adat",IF(H1951=0,"Nincs kép","Nincs adat")))</f>
        <v/>
      </c>
      <c r="L1951" s="6" t="inlineStr">
        <is>
          <t>Igen</t>
        </is>
      </c>
      <c r="M1951" s="7" t="inlineStr">
        <is>
          <t>Sand-Profile teljes kínálata (gyártói katalógus / weboldal)</t>
        </is>
      </c>
      <c r="N1951" s="7" t="inlineStr">
        <is>
          <t>Megtalálva: a beszállító teljes kínálatából felvett termék</t>
        </is>
      </c>
      <c r="O1951" s="11" t="inlineStr">
        <is>
          <t>https://www.sandprofile.com/media/gesamtkatalog_en.pdf#page=59</t>
        </is>
      </c>
      <c r="P1951" s="11" t="inlineStr">
        <is>
          <t>https://website-9ib.pages.dev/termek/sp-d2-274/</t>
        </is>
      </c>
      <c r="Q1951" s="12" t="inlineStr"/>
      <c r="R1951" s="13" t="inlineStr"/>
      <c r="S1951" s="6" t="inlineStr">
        <is>
          <t>sp-d2-274</t>
        </is>
      </c>
    </row>
    <row r="1952">
      <c r="A1952" s="6" t="inlineStr">
        <is>
          <t>D2 311</t>
        </is>
      </c>
      <c r="B1952" s="7" t="inlineStr">
        <is>
          <t>Élvédő tömítőprofil D2 311 – fekete</t>
        </is>
      </c>
      <c r="C1952" s="6" t="inlineStr">
        <is>
          <t>Gumi- és kéderprofilok</t>
        </is>
      </c>
      <c r="D1952" s="6" t="inlineStr">
        <is>
          <t>Élvédő tömítőprofilok</t>
        </is>
      </c>
      <c r="E1952" s="6" t="inlineStr">
        <is>
          <t>Sand-Profile</t>
        </is>
      </c>
      <c r="F1952" s="6" t="inlineStr">
        <is>
          <t>D2 311</t>
        </is>
      </c>
      <c r="G1952" s="6" t="inlineStr">
        <is>
          <t>Teljes kínálat</t>
        </is>
      </c>
      <c r="H1952" s="6" t="n">
        <v>1</v>
      </c>
      <c r="I1952" s="6" t="n">
        <v>3</v>
      </c>
      <c r="J1952" s="6" t="inlineStr">
        <is>
          <t>van</t>
        </is>
      </c>
      <c r="K1952" s="6">
        <f>IF(AND(H1952&gt;0,I1952&gt;0),"Rendben",IF(AND(H1952=0,I1952=0),"Nincs kép és adat",IF(H1952=0,"Nincs kép","Nincs adat")))</f>
        <v/>
      </c>
      <c r="L1952" s="6" t="inlineStr">
        <is>
          <t>Igen</t>
        </is>
      </c>
      <c r="M1952" s="7" t="inlineStr">
        <is>
          <t>Sand-Profile teljes kínálata (gyártói katalógus / weboldal)</t>
        </is>
      </c>
      <c r="N1952" s="7" t="inlineStr">
        <is>
          <t>Megtalálva: a beszállító teljes kínálatából felvett termék</t>
        </is>
      </c>
      <c r="O1952" s="11" t="inlineStr">
        <is>
          <t>https://www.sandprofile.com/media/gesamtkatalog_en.pdf#page=61</t>
        </is>
      </c>
      <c r="P1952" s="11" t="inlineStr">
        <is>
          <t>https://website-9ib.pages.dev/termek/sp-d2-311/</t>
        </is>
      </c>
      <c r="Q1952" s="12" t="inlineStr"/>
      <c r="R1952" s="13" t="inlineStr"/>
      <c r="S1952" s="6" t="inlineStr">
        <is>
          <t>sp-d2-311</t>
        </is>
      </c>
    </row>
    <row r="1953">
      <c r="A1953" s="6" t="inlineStr">
        <is>
          <t>D2 363</t>
        </is>
      </c>
      <c r="B1953" s="7" t="inlineStr">
        <is>
          <t>Élvédő tömítőprofil D2 363 – fekete</t>
        </is>
      </c>
      <c r="C1953" s="6" t="inlineStr">
        <is>
          <t>Gumi- és kéderprofilok</t>
        </is>
      </c>
      <c r="D1953" s="6" t="inlineStr">
        <is>
          <t>Élvédő tömítőprofilok</t>
        </is>
      </c>
      <c r="E1953" s="6" t="inlineStr">
        <is>
          <t>Sand-Profile</t>
        </is>
      </c>
      <c r="F1953" s="6" t="inlineStr">
        <is>
          <t>D2 363</t>
        </is>
      </c>
      <c r="G1953" s="6" t="inlineStr">
        <is>
          <t>Teljes kínálat</t>
        </is>
      </c>
      <c r="H1953" s="6" t="n">
        <v>1</v>
      </c>
      <c r="I1953" s="6" t="n">
        <v>3</v>
      </c>
      <c r="J1953" s="6" t="inlineStr">
        <is>
          <t>van</t>
        </is>
      </c>
      <c r="K1953" s="6">
        <f>IF(AND(H1953&gt;0,I1953&gt;0),"Rendben",IF(AND(H1953=0,I1953=0),"Nincs kép és adat",IF(H1953=0,"Nincs kép","Nincs adat")))</f>
        <v/>
      </c>
      <c r="L1953" s="6" t="inlineStr">
        <is>
          <t>Igen</t>
        </is>
      </c>
      <c r="M1953" s="7" t="inlineStr">
        <is>
          <t>Sand-Profile teljes kínálata (gyártói katalógus / weboldal)</t>
        </is>
      </c>
      <c r="N1953" s="7" t="inlineStr">
        <is>
          <t>Megtalálva: a beszállító teljes kínálatából felvett termék</t>
        </is>
      </c>
      <c r="O1953" s="11" t="inlineStr">
        <is>
          <t>https://www.sandprofile.com/media/gesamtkatalog_en.pdf#page=60</t>
        </is>
      </c>
      <c r="P1953" s="11" t="inlineStr">
        <is>
          <t>https://website-9ib.pages.dev/termek/sp-d2-363/</t>
        </is>
      </c>
      <c r="Q1953" s="12" t="inlineStr"/>
      <c r="R1953" s="13" t="inlineStr"/>
      <c r="S1953" s="6" t="inlineStr">
        <is>
          <t>sp-d2-363</t>
        </is>
      </c>
    </row>
    <row r="1954">
      <c r="A1954" s="6" t="inlineStr">
        <is>
          <t>D2 382</t>
        </is>
      </c>
      <c r="B1954" s="7" t="inlineStr">
        <is>
          <t>Élvédő tömítőprofil D2 382 – fekete</t>
        </is>
      </c>
      <c r="C1954" s="6" t="inlineStr">
        <is>
          <t>Gumi- és kéderprofilok</t>
        </is>
      </c>
      <c r="D1954" s="6" t="inlineStr">
        <is>
          <t>Élvédő tömítőprofilok</t>
        </is>
      </c>
      <c r="E1954" s="6" t="inlineStr">
        <is>
          <t>Sand-Profile</t>
        </is>
      </c>
      <c r="F1954" s="6" t="inlineStr">
        <is>
          <t>D2 382</t>
        </is>
      </c>
      <c r="G1954" s="6" t="inlineStr">
        <is>
          <t>Teljes kínálat</t>
        </is>
      </c>
      <c r="H1954" s="6" t="n">
        <v>1</v>
      </c>
      <c r="I1954" s="6" t="n">
        <v>3</v>
      </c>
      <c r="J1954" s="6" t="inlineStr">
        <is>
          <t>van</t>
        </is>
      </c>
      <c r="K1954" s="6">
        <f>IF(AND(H1954&gt;0,I1954&gt;0),"Rendben",IF(AND(H1954=0,I1954=0),"Nincs kép és adat",IF(H1954=0,"Nincs kép","Nincs adat")))</f>
        <v/>
      </c>
      <c r="L1954" s="6" t="inlineStr">
        <is>
          <t>Igen</t>
        </is>
      </c>
      <c r="M1954" s="7" t="inlineStr">
        <is>
          <t>Sand-Profile teljes kínálata (gyártói katalógus / weboldal)</t>
        </is>
      </c>
      <c r="N1954" s="7" t="inlineStr">
        <is>
          <t>Megtalálva: a beszállító teljes kínálatából felvett termék</t>
        </is>
      </c>
      <c r="O1954" s="11" t="inlineStr">
        <is>
          <t>https://www.sandprofile.com/media/gesamtkatalog_en.pdf#page=61</t>
        </is>
      </c>
      <c r="P1954" s="11" t="inlineStr">
        <is>
          <t>https://website-9ib.pages.dev/termek/sp-d2-382/</t>
        </is>
      </c>
      <c r="Q1954" s="12" t="inlineStr"/>
      <c r="R1954" s="13" t="inlineStr"/>
      <c r="S1954" s="6" t="inlineStr">
        <is>
          <t>sp-d2-382</t>
        </is>
      </c>
    </row>
    <row r="1955">
      <c r="A1955" s="6" t="inlineStr">
        <is>
          <t>D2 390</t>
        </is>
      </c>
      <c r="B1955" s="7" t="inlineStr">
        <is>
          <t>Élvédő tömítőprofil D2 390 – fekete</t>
        </is>
      </c>
      <c r="C1955" s="6" t="inlineStr">
        <is>
          <t>Gumi- és kéderprofilok</t>
        </is>
      </c>
      <c r="D1955" s="6" t="inlineStr">
        <is>
          <t>Élvédő tömítőprofilok</t>
        </is>
      </c>
      <c r="E1955" s="6" t="inlineStr">
        <is>
          <t>Sand-Profile</t>
        </is>
      </c>
      <c r="F1955" s="6" t="inlineStr">
        <is>
          <t>D2 390</t>
        </is>
      </c>
      <c r="G1955" s="6" t="inlineStr">
        <is>
          <t>Teljes kínálat</t>
        </is>
      </c>
      <c r="H1955" s="6" t="n">
        <v>1</v>
      </c>
      <c r="I1955" s="6" t="n">
        <v>3</v>
      </c>
      <c r="J1955" s="6" t="inlineStr">
        <is>
          <t>van</t>
        </is>
      </c>
      <c r="K1955" s="6">
        <f>IF(AND(H1955&gt;0,I1955&gt;0),"Rendben",IF(AND(H1955=0,I1955=0),"Nincs kép és adat",IF(H1955=0,"Nincs kép","Nincs adat")))</f>
        <v/>
      </c>
      <c r="L1955" s="6" t="inlineStr">
        <is>
          <t>Igen</t>
        </is>
      </c>
      <c r="M1955" s="7" t="inlineStr">
        <is>
          <t>Sand-Profile teljes kínálata (gyártói katalógus / weboldal)</t>
        </is>
      </c>
      <c r="N1955" s="7" t="inlineStr">
        <is>
          <t>Megtalálva: a beszállító teljes kínálatából felvett termék</t>
        </is>
      </c>
      <c r="O1955" s="11" t="inlineStr">
        <is>
          <t>https://www.sandprofile.com/media/gesamtkatalog_en.pdf#page=62</t>
        </is>
      </c>
      <c r="P1955" s="11" t="inlineStr">
        <is>
          <t>https://website-9ib.pages.dev/termek/sp-d2-390/</t>
        </is>
      </c>
      <c r="Q1955" s="12" t="inlineStr"/>
      <c r="R1955" s="13" t="inlineStr"/>
      <c r="S1955" s="6" t="inlineStr">
        <is>
          <t>sp-d2-390</t>
        </is>
      </c>
    </row>
    <row r="1956">
      <c r="A1956" s="6" t="inlineStr">
        <is>
          <t>D2 419</t>
        </is>
      </c>
      <c r="B1956" s="7" t="inlineStr">
        <is>
          <t>Élvédő tömítőprofil D2 419 – fekete</t>
        </is>
      </c>
      <c r="C1956" s="6" t="inlineStr">
        <is>
          <t>Gumi- és kéderprofilok</t>
        </is>
      </c>
      <c r="D1956" s="6" t="inlineStr">
        <is>
          <t>Élvédő tömítőprofilok</t>
        </is>
      </c>
      <c r="E1956" s="6" t="inlineStr">
        <is>
          <t>Sand-Profile</t>
        </is>
      </c>
      <c r="F1956" s="6" t="inlineStr">
        <is>
          <t>D2 419</t>
        </is>
      </c>
      <c r="G1956" s="6" t="inlineStr">
        <is>
          <t>Teljes kínálat</t>
        </is>
      </c>
      <c r="H1956" s="6" t="n">
        <v>1</v>
      </c>
      <c r="I1956" s="6" t="n">
        <v>3</v>
      </c>
      <c r="J1956" s="6" t="inlineStr">
        <is>
          <t>van</t>
        </is>
      </c>
      <c r="K1956" s="6">
        <f>IF(AND(H1956&gt;0,I1956&gt;0),"Rendben",IF(AND(H1956=0,I1956=0),"Nincs kép és adat",IF(H1956=0,"Nincs kép","Nincs adat")))</f>
        <v/>
      </c>
      <c r="L1956" s="6" t="inlineStr">
        <is>
          <t>Igen</t>
        </is>
      </c>
      <c r="M1956" s="7" t="inlineStr">
        <is>
          <t>Sand-Profile teljes kínálata (gyártói katalógus / weboldal)</t>
        </is>
      </c>
      <c r="N1956" s="7" t="inlineStr">
        <is>
          <t>Megtalálva: a beszállító teljes kínálatából felvett termék</t>
        </is>
      </c>
      <c r="O1956" s="11" t="inlineStr">
        <is>
          <t>https://www.sandprofile.com/media/gesamtkatalog_en.pdf#page=60</t>
        </is>
      </c>
      <c r="P1956" s="11" t="inlineStr">
        <is>
          <t>https://website-9ib.pages.dev/termek/sp-d2-419/</t>
        </is>
      </c>
      <c r="Q1956" s="12" t="inlineStr"/>
      <c r="R1956" s="13" t="inlineStr"/>
      <c r="S1956" s="6" t="inlineStr">
        <is>
          <t>sp-d2-419</t>
        </is>
      </c>
    </row>
    <row r="1957">
      <c r="A1957" s="6" t="inlineStr">
        <is>
          <t>D2 421</t>
        </is>
      </c>
      <c r="B1957" s="7" t="inlineStr">
        <is>
          <t>Élvédő tömítőprofil D2 421 – fekete</t>
        </is>
      </c>
      <c r="C1957" s="6" t="inlineStr">
        <is>
          <t>Gumi- és kéderprofilok</t>
        </is>
      </c>
      <c r="D1957" s="6" t="inlineStr">
        <is>
          <t>Élvédő tömítőprofilok</t>
        </is>
      </c>
      <c r="E1957" s="6" t="inlineStr">
        <is>
          <t>Sand-Profile</t>
        </is>
      </c>
      <c r="F1957" s="6" t="inlineStr">
        <is>
          <t>D2 421</t>
        </is>
      </c>
      <c r="G1957" s="6" t="inlineStr">
        <is>
          <t>Teljes kínálat</t>
        </is>
      </c>
      <c r="H1957" s="6" t="n">
        <v>1</v>
      </c>
      <c r="I1957" s="6" t="n">
        <v>3</v>
      </c>
      <c r="J1957" s="6" t="inlineStr">
        <is>
          <t>van</t>
        </is>
      </c>
      <c r="K1957" s="6">
        <f>IF(AND(H1957&gt;0,I1957&gt;0),"Rendben",IF(AND(H1957=0,I1957=0),"Nincs kép és adat",IF(H1957=0,"Nincs kép","Nincs adat")))</f>
        <v/>
      </c>
      <c r="L1957" s="6" t="inlineStr">
        <is>
          <t>Igen</t>
        </is>
      </c>
      <c r="M1957" s="7" t="inlineStr">
        <is>
          <t>Sand-Profile teljes kínálata (gyártói katalógus / weboldal)</t>
        </is>
      </c>
      <c r="N1957" s="7" t="inlineStr">
        <is>
          <t>Megtalálva: a beszállító teljes kínálatából felvett termék</t>
        </is>
      </c>
      <c r="O1957" s="11" t="inlineStr">
        <is>
          <t>https://www.sandprofile.com/media/gesamtkatalog_en.pdf#page=62</t>
        </is>
      </c>
      <c r="P1957" s="11" t="inlineStr">
        <is>
          <t>https://website-9ib.pages.dev/termek/sp-d2-421/</t>
        </is>
      </c>
      <c r="Q1957" s="12" t="inlineStr"/>
      <c r="R1957" s="13" t="inlineStr"/>
      <c r="S1957" s="6" t="inlineStr">
        <is>
          <t>sp-d2-421</t>
        </is>
      </c>
    </row>
    <row r="1958">
      <c r="A1958" s="6" t="inlineStr">
        <is>
          <t>D2 421-AFH</t>
        </is>
      </c>
      <c r="B1958" s="7" t="inlineStr">
        <is>
          <t>Élvédő tömítőprofil D2 421-AFH – fekete</t>
        </is>
      </c>
      <c r="C1958" s="6" t="inlineStr">
        <is>
          <t>Gumi- és kéderprofilok</t>
        </is>
      </c>
      <c r="D1958" s="6" t="inlineStr">
        <is>
          <t>Élvédő tömítőprofilok</t>
        </is>
      </c>
      <c r="E1958" s="6" t="inlineStr">
        <is>
          <t>Sand-Profile</t>
        </is>
      </c>
      <c r="F1958" s="6" t="inlineStr">
        <is>
          <t>D2 421-AFH</t>
        </is>
      </c>
      <c r="G1958" s="6" t="inlineStr">
        <is>
          <t>Teljes kínálat</t>
        </is>
      </c>
      <c r="H1958" s="6" t="n">
        <v>1</v>
      </c>
      <c r="I1958" s="6" t="n">
        <v>3</v>
      </c>
      <c r="J1958" s="6" t="inlineStr">
        <is>
          <t>van</t>
        </is>
      </c>
      <c r="K1958" s="6">
        <f>IF(AND(H1958&gt;0,I1958&gt;0),"Rendben",IF(AND(H1958=0,I1958=0),"Nincs kép és adat",IF(H1958=0,"Nincs kép","Nincs adat")))</f>
        <v/>
      </c>
      <c r="L1958" s="6" t="inlineStr">
        <is>
          <t>Igen</t>
        </is>
      </c>
      <c r="M1958" s="7" t="inlineStr">
        <is>
          <t>Sand-Profile teljes kínálata (gyártói katalógus / weboldal)</t>
        </is>
      </c>
      <c r="N1958" s="7" t="inlineStr">
        <is>
          <t>Megtalálva: a beszállító teljes kínálatából felvett termék</t>
        </is>
      </c>
      <c r="O1958" s="11" t="inlineStr">
        <is>
          <t>https://www.sandprofile.com/media/gesamtkatalog_en.pdf#page=63</t>
        </is>
      </c>
      <c r="P1958" s="11" t="inlineStr">
        <is>
          <t>https://website-9ib.pages.dev/termek/sp-d2-421-afh/</t>
        </is>
      </c>
      <c r="Q1958" s="12" t="inlineStr"/>
      <c r="R1958" s="13" t="inlineStr"/>
      <c r="S1958" s="6" t="inlineStr">
        <is>
          <t>sp-d2-421-afh</t>
        </is>
      </c>
    </row>
    <row r="1959">
      <c r="A1959" s="6" t="inlineStr">
        <is>
          <t>D2 528-AFH</t>
        </is>
      </c>
      <c r="B1959" s="7" t="inlineStr">
        <is>
          <t>Élvédő tömítőprofil D2 528-AFH – fekete</t>
        </is>
      </c>
      <c r="C1959" s="6" t="inlineStr">
        <is>
          <t>Gumi- és kéderprofilok</t>
        </is>
      </c>
      <c r="D1959" s="6" t="inlineStr">
        <is>
          <t>Élvédő tömítőprofilok</t>
        </is>
      </c>
      <c r="E1959" s="6" t="inlineStr">
        <is>
          <t>Sand-Profile</t>
        </is>
      </c>
      <c r="F1959" s="6" t="inlineStr">
        <is>
          <t>D2 528-AFH</t>
        </is>
      </c>
      <c r="G1959" s="6" t="inlineStr">
        <is>
          <t>Teljes kínálat</t>
        </is>
      </c>
      <c r="H1959" s="6" t="n">
        <v>1</v>
      </c>
      <c r="I1959" s="6" t="n">
        <v>3</v>
      </c>
      <c r="J1959" s="6" t="inlineStr">
        <is>
          <t>van</t>
        </is>
      </c>
      <c r="K1959" s="6">
        <f>IF(AND(H1959&gt;0,I1959&gt;0),"Rendben",IF(AND(H1959=0,I1959=0),"Nincs kép és adat",IF(H1959=0,"Nincs kép","Nincs adat")))</f>
        <v/>
      </c>
      <c r="L1959" s="6" t="inlineStr">
        <is>
          <t>Igen</t>
        </is>
      </c>
      <c r="M1959" s="7" t="inlineStr">
        <is>
          <t>Sand-Profile teljes kínálata (gyártói katalógus / weboldal)</t>
        </is>
      </c>
      <c r="N1959" s="7" t="inlineStr">
        <is>
          <t>Megtalálva: a beszállító teljes kínálatából felvett termék</t>
        </is>
      </c>
      <c r="O1959" s="11" t="inlineStr">
        <is>
          <t>https://www.sandprofile.com/media/gesamtkatalog_en.pdf#page=64</t>
        </is>
      </c>
      <c r="P1959" s="11" t="inlineStr">
        <is>
          <t>https://website-9ib.pages.dev/termek/sp-d2-528-afh/</t>
        </is>
      </c>
      <c r="Q1959" s="12" t="inlineStr"/>
      <c r="R1959" s="13" t="inlineStr"/>
      <c r="S1959" s="6" t="inlineStr">
        <is>
          <t>sp-d2-528-afh</t>
        </is>
      </c>
    </row>
    <row r="1960">
      <c r="A1960" s="6" t="inlineStr">
        <is>
          <t>D2 537</t>
        </is>
      </c>
      <c r="B1960" s="7" t="inlineStr">
        <is>
          <t>Élvédő tömítőprofil D2 537 – fekete</t>
        </is>
      </c>
      <c r="C1960" s="6" t="inlineStr">
        <is>
          <t>Gumi- és kéderprofilok</t>
        </is>
      </c>
      <c r="D1960" s="6" t="inlineStr">
        <is>
          <t>Élvédő tömítőprofilok</t>
        </is>
      </c>
      <c r="E1960" s="6" t="inlineStr">
        <is>
          <t>Sand-Profile</t>
        </is>
      </c>
      <c r="F1960" s="6" t="inlineStr">
        <is>
          <t>D2 537</t>
        </is>
      </c>
      <c r="G1960" s="6" t="inlineStr">
        <is>
          <t>Teljes kínálat</t>
        </is>
      </c>
      <c r="H1960" s="6" t="n">
        <v>1</v>
      </c>
      <c r="I1960" s="6" t="n">
        <v>3</v>
      </c>
      <c r="J1960" s="6" t="inlineStr">
        <is>
          <t>van</t>
        </is>
      </c>
      <c r="K1960" s="6">
        <f>IF(AND(H1960&gt;0,I1960&gt;0),"Rendben",IF(AND(H1960=0,I1960=0),"Nincs kép és adat",IF(H1960=0,"Nincs kép","Nincs adat")))</f>
        <v/>
      </c>
      <c r="L1960" s="6" t="inlineStr">
        <is>
          <t>Igen</t>
        </is>
      </c>
      <c r="M1960" s="7" t="inlineStr">
        <is>
          <t>Sand-Profile teljes kínálata (gyártói katalógus / weboldal)</t>
        </is>
      </c>
      <c r="N1960" s="7" t="inlineStr">
        <is>
          <t>Megtalálva: a beszállító teljes kínálatából felvett termék</t>
        </is>
      </c>
      <c r="O1960" s="11" t="inlineStr">
        <is>
          <t>https://www.sandprofile.com/media/gesamtkatalog_en.pdf#page=61</t>
        </is>
      </c>
      <c r="P1960" s="11" t="inlineStr">
        <is>
          <t>https://website-9ib.pages.dev/termek/sp-d2-537/</t>
        </is>
      </c>
      <c r="Q1960" s="12" t="inlineStr"/>
      <c r="R1960" s="13" t="inlineStr"/>
      <c r="S1960" s="6" t="inlineStr">
        <is>
          <t>sp-d2-537</t>
        </is>
      </c>
    </row>
    <row r="1961">
      <c r="A1961" s="6" t="inlineStr">
        <is>
          <t>D2 538</t>
        </is>
      </c>
      <c r="B1961" s="7" t="inlineStr">
        <is>
          <t>Élvédő tömítőprofil D2 538 – fekete</t>
        </is>
      </c>
      <c r="C1961" s="6" t="inlineStr">
        <is>
          <t>Gumi- és kéderprofilok</t>
        </is>
      </c>
      <c r="D1961" s="6" t="inlineStr">
        <is>
          <t>Élvédő tömítőprofilok</t>
        </is>
      </c>
      <c r="E1961" s="6" t="inlineStr">
        <is>
          <t>Sand-Profile</t>
        </is>
      </c>
      <c r="F1961" s="6" t="inlineStr">
        <is>
          <t>D2 538</t>
        </is>
      </c>
      <c r="G1961" s="6" t="inlineStr">
        <is>
          <t>Teljes kínálat</t>
        </is>
      </c>
      <c r="H1961" s="6" t="n">
        <v>1</v>
      </c>
      <c r="I1961" s="6" t="n">
        <v>3</v>
      </c>
      <c r="J1961" s="6" t="inlineStr">
        <is>
          <t>van</t>
        </is>
      </c>
      <c r="K1961" s="6">
        <f>IF(AND(H1961&gt;0,I1961&gt;0),"Rendben",IF(AND(H1961=0,I1961=0),"Nincs kép és adat",IF(H1961=0,"Nincs kép","Nincs adat")))</f>
        <v/>
      </c>
      <c r="L1961" s="6" t="inlineStr">
        <is>
          <t>Igen</t>
        </is>
      </c>
      <c r="M1961" s="7" t="inlineStr">
        <is>
          <t>Sand-Profile teljes kínálata (gyártói katalógus / weboldal)</t>
        </is>
      </c>
      <c r="N1961" s="7" t="inlineStr">
        <is>
          <t>Megtalálva: a beszállító teljes kínálatából felvett termék</t>
        </is>
      </c>
      <c r="O1961" s="11" t="inlineStr">
        <is>
          <t>https://www.sandprofile.com/media/gesamtkatalog_en.pdf#page=61</t>
        </is>
      </c>
      <c r="P1961" s="11" t="inlineStr">
        <is>
          <t>https://website-9ib.pages.dev/termek/sp-d2-538/</t>
        </is>
      </c>
      <c r="Q1961" s="12" t="inlineStr"/>
      <c r="R1961" s="13" t="inlineStr"/>
      <c r="S1961" s="6" t="inlineStr">
        <is>
          <t>sp-d2-538</t>
        </is>
      </c>
    </row>
    <row r="1962">
      <c r="A1962" s="6" t="inlineStr">
        <is>
          <t>D2 541</t>
        </is>
      </c>
      <c r="B1962" s="7" t="inlineStr">
        <is>
          <t>Élvédő tömítőprofil D2 541 – fekete</t>
        </is>
      </c>
      <c r="C1962" s="6" t="inlineStr">
        <is>
          <t>Gumi- és kéderprofilok</t>
        </is>
      </c>
      <c r="D1962" s="6" t="inlineStr">
        <is>
          <t>Élvédő tömítőprofilok</t>
        </is>
      </c>
      <c r="E1962" s="6" t="inlineStr">
        <is>
          <t>Sand-Profile</t>
        </is>
      </c>
      <c r="F1962" s="6" t="inlineStr">
        <is>
          <t>D2 541</t>
        </is>
      </c>
      <c r="G1962" s="6" t="inlineStr">
        <is>
          <t>Teljes kínálat</t>
        </is>
      </c>
      <c r="H1962" s="6" t="n">
        <v>1</v>
      </c>
      <c r="I1962" s="6" t="n">
        <v>3</v>
      </c>
      <c r="J1962" s="6" t="inlineStr">
        <is>
          <t>van</t>
        </is>
      </c>
      <c r="K1962" s="6">
        <f>IF(AND(H1962&gt;0,I1962&gt;0),"Rendben",IF(AND(H1962=0,I1962=0),"Nincs kép és adat",IF(H1962=0,"Nincs kép","Nincs adat")))</f>
        <v/>
      </c>
      <c r="L1962" s="6" t="inlineStr">
        <is>
          <t>Igen</t>
        </is>
      </c>
      <c r="M1962" s="7" t="inlineStr">
        <is>
          <t>Sand-Profile teljes kínálata (gyártói katalógus / weboldal)</t>
        </is>
      </c>
      <c r="N1962" s="7" t="inlineStr">
        <is>
          <t>Megtalálva: a beszállító teljes kínálatából felvett termék</t>
        </is>
      </c>
      <c r="O1962" s="11" t="inlineStr">
        <is>
          <t>https://www.sandprofile.com/media/gesamtkatalog_en.pdf#page=62</t>
        </is>
      </c>
      <c r="P1962" s="11" t="inlineStr">
        <is>
          <t>https://website-9ib.pages.dev/termek/sp-d2-541/</t>
        </is>
      </c>
      <c r="Q1962" s="12" t="inlineStr"/>
      <c r="R1962" s="13" t="inlineStr"/>
      <c r="S1962" s="6" t="inlineStr">
        <is>
          <t>sp-d2-541</t>
        </is>
      </c>
    </row>
    <row r="1963">
      <c r="A1963" s="6" t="inlineStr">
        <is>
          <t>D2 544</t>
        </is>
      </c>
      <c r="B1963" s="7" t="inlineStr">
        <is>
          <t>Élvédő tömítőprofil D2 544 – fekete</t>
        </is>
      </c>
      <c r="C1963" s="6" t="inlineStr">
        <is>
          <t>Gumi- és kéderprofilok</t>
        </is>
      </c>
      <c r="D1963" s="6" t="inlineStr">
        <is>
          <t>Élvédő tömítőprofilok</t>
        </is>
      </c>
      <c r="E1963" s="6" t="inlineStr">
        <is>
          <t>Sand-Profile</t>
        </is>
      </c>
      <c r="F1963" s="6" t="inlineStr">
        <is>
          <t>D2 544</t>
        </is>
      </c>
      <c r="G1963" s="6" t="inlineStr">
        <is>
          <t>Teljes kínálat</t>
        </is>
      </c>
      <c r="H1963" s="6" t="n">
        <v>1</v>
      </c>
      <c r="I1963" s="6" t="n">
        <v>3</v>
      </c>
      <c r="J1963" s="6" t="inlineStr">
        <is>
          <t>van</t>
        </is>
      </c>
      <c r="K1963" s="6">
        <f>IF(AND(H1963&gt;0,I1963&gt;0),"Rendben",IF(AND(H1963=0,I1963=0),"Nincs kép és adat",IF(H1963=0,"Nincs kép","Nincs adat")))</f>
        <v/>
      </c>
      <c r="L1963" s="6" t="inlineStr">
        <is>
          <t>Igen</t>
        </is>
      </c>
      <c r="M1963" s="7" t="inlineStr">
        <is>
          <t>Sand-Profile teljes kínálata (gyártói katalógus / weboldal)</t>
        </is>
      </c>
      <c r="N1963" s="7" t="inlineStr">
        <is>
          <t>Megtalálva: a beszállító teljes kínálatából felvett termék</t>
        </is>
      </c>
      <c r="O1963" s="11" t="inlineStr">
        <is>
          <t>https://www.sandprofile.com/media/gesamtkatalog_en.pdf#page=60</t>
        </is>
      </c>
      <c r="P1963" s="11" t="inlineStr">
        <is>
          <t>https://website-9ib.pages.dev/termek/sp-d2-544/</t>
        </is>
      </c>
      <c r="Q1963" s="12" t="inlineStr"/>
      <c r="R1963" s="13" t="inlineStr"/>
      <c r="S1963" s="6" t="inlineStr">
        <is>
          <t>sp-d2-544</t>
        </is>
      </c>
    </row>
    <row r="1964">
      <c r="A1964" s="6" t="inlineStr">
        <is>
          <t>D2 545</t>
        </is>
      </c>
      <c r="B1964" s="7" t="inlineStr">
        <is>
          <t>Élvédő tömítőprofil D2 545 – fekete</t>
        </is>
      </c>
      <c r="C1964" s="6" t="inlineStr">
        <is>
          <t>Gumi- és kéderprofilok</t>
        </is>
      </c>
      <c r="D1964" s="6" t="inlineStr">
        <is>
          <t>Élvédő tömítőprofilok</t>
        </is>
      </c>
      <c r="E1964" s="6" t="inlineStr">
        <is>
          <t>Sand-Profile</t>
        </is>
      </c>
      <c r="F1964" s="6" t="inlineStr">
        <is>
          <t>D2 545</t>
        </is>
      </c>
      <c r="G1964" s="6" t="inlineStr">
        <is>
          <t>Teljes kínálat</t>
        </is>
      </c>
      <c r="H1964" s="6" t="n">
        <v>1</v>
      </c>
      <c r="I1964" s="6" t="n">
        <v>3</v>
      </c>
      <c r="J1964" s="6" t="inlineStr">
        <is>
          <t>van</t>
        </is>
      </c>
      <c r="K1964" s="6">
        <f>IF(AND(H1964&gt;0,I1964&gt;0),"Rendben",IF(AND(H1964=0,I1964=0),"Nincs kép és adat",IF(H1964=0,"Nincs kép","Nincs adat")))</f>
        <v/>
      </c>
      <c r="L1964" s="6" t="inlineStr">
        <is>
          <t>Igen</t>
        </is>
      </c>
      <c r="M1964" s="7" t="inlineStr">
        <is>
          <t>Sand-Profile teljes kínálata (gyártói katalógus / weboldal)</t>
        </is>
      </c>
      <c r="N1964" s="7" t="inlineStr">
        <is>
          <t>Megtalálva: a beszállító teljes kínálatából felvett termék</t>
        </is>
      </c>
      <c r="O1964" s="11" t="inlineStr">
        <is>
          <t>https://www.sandprofile.com/media/gesamtkatalog_en.pdf#page=60</t>
        </is>
      </c>
      <c r="P1964" s="11" t="inlineStr">
        <is>
          <t>https://website-9ib.pages.dev/termek/sp-d2-545/</t>
        </is>
      </c>
      <c r="Q1964" s="12" t="inlineStr"/>
      <c r="R1964" s="13" t="inlineStr"/>
      <c r="S1964" s="6" t="inlineStr">
        <is>
          <t>sp-d2-545</t>
        </is>
      </c>
    </row>
    <row r="1965">
      <c r="A1965" s="6" t="inlineStr">
        <is>
          <t>D2 998-AFH</t>
        </is>
      </c>
      <c r="B1965" s="7" t="inlineStr">
        <is>
          <t>Élvédő tömítőprofil D2 998-AFH – fekete</t>
        </is>
      </c>
      <c r="C1965" s="6" t="inlineStr">
        <is>
          <t>Gumi- és kéderprofilok</t>
        </is>
      </c>
      <c r="D1965" s="6" t="inlineStr">
        <is>
          <t>Élvédő tömítőprofilok</t>
        </is>
      </c>
      <c r="E1965" s="6" t="inlineStr">
        <is>
          <t>Sand-Profile</t>
        </is>
      </c>
      <c r="F1965" s="6" t="inlineStr">
        <is>
          <t>D2 998-AFH</t>
        </is>
      </c>
      <c r="G1965" s="6" t="inlineStr">
        <is>
          <t>Teljes kínálat</t>
        </is>
      </c>
      <c r="H1965" s="6" t="n">
        <v>1</v>
      </c>
      <c r="I1965" s="6" t="n">
        <v>3</v>
      </c>
      <c r="J1965" s="6" t="inlineStr">
        <is>
          <t>van</t>
        </is>
      </c>
      <c r="K1965" s="6">
        <f>IF(AND(H1965&gt;0,I1965&gt;0),"Rendben",IF(AND(H1965=0,I1965=0),"Nincs kép és adat",IF(H1965=0,"Nincs kép","Nincs adat")))</f>
        <v/>
      </c>
      <c r="L1965" s="6" t="inlineStr">
        <is>
          <t>Igen</t>
        </is>
      </c>
      <c r="M1965" s="7" t="inlineStr">
        <is>
          <t>Sand-Profile teljes kínálata (gyártói katalógus / weboldal)</t>
        </is>
      </c>
      <c r="N1965" s="7" t="inlineStr">
        <is>
          <t>Megtalálva: a beszállító teljes kínálatából felvett termék</t>
        </is>
      </c>
      <c r="O1965" s="11" t="inlineStr">
        <is>
          <t>https://www.sandprofile.com/media/gesamtkatalog_en.pdf#page=64</t>
        </is>
      </c>
      <c r="P1965" s="11" t="inlineStr">
        <is>
          <t>https://website-9ib.pages.dev/termek/sp-d2-998-afh/</t>
        </is>
      </c>
      <c r="Q1965" s="12" t="inlineStr"/>
      <c r="R1965" s="13" t="inlineStr"/>
      <c r="S1965" s="6" t="inlineStr">
        <is>
          <t>sp-d2-998-afh</t>
        </is>
      </c>
    </row>
    <row r="1966">
      <c r="A1966" s="6" t="inlineStr">
        <is>
          <t>D2 999-AFH</t>
        </is>
      </c>
      <c r="B1966" s="7" t="inlineStr">
        <is>
          <t>Élvédő tömítőprofil D2 999-AFH – fekete</t>
        </is>
      </c>
      <c r="C1966" s="6" t="inlineStr">
        <is>
          <t>Gumi- és kéderprofilok</t>
        </is>
      </c>
      <c r="D1966" s="6" t="inlineStr">
        <is>
          <t>Élvédő tömítőprofilok</t>
        </is>
      </c>
      <c r="E1966" s="6" t="inlineStr">
        <is>
          <t>Sand-Profile</t>
        </is>
      </c>
      <c r="F1966" s="6" t="inlineStr">
        <is>
          <t>D2 999-AFH</t>
        </is>
      </c>
      <c r="G1966" s="6" t="inlineStr">
        <is>
          <t>Teljes kínálat</t>
        </is>
      </c>
      <c r="H1966" s="6" t="n">
        <v>1</v>
      </c>
      <c r="I1966" s="6" t="n">
        <v>3</v>
      </c>
      <c r="J1966" s="6" t="inlineStr">
        <is>
          <t>van</t>
        </is>
      </c>
      <c r="K1966" s="6">
        <f>IF(AND(H1966&gt;0,I1966&gt;0),"Rendben",IF(AND(H1966=0,I1966=0),"Nincs kép és adat",IF(H1966=0,"Nincs kép","Nincs adat")))</f>
        <v/>
      </c>
      <c r="L1966" s="6" t="inlineStr">
        <is>
          <t>Igen</t>
        </is>
      </c>
      <c r="M1966" s="7" t="inlineStr">
        <is>
          <t>Sand-Profile teljes kínálata (gyártói katalógus / weboldal)</t>
        </is>
      </c>
      <c r="N1966" s="7" t="inlineStr">
        <is>
          <t>Megtalálva: a beszállító teljes kínálatából felvett termék</t>
        </is>
      </c>
      <c r="O1966" s="11" t="inlineStr">
        <is>
          <t>https://www.sandprofile.com/media/gesamtkatalog_en.pdf#page=63</t>
        </is>
      </c>
      <c r="P1966" s="11" t="inlineStr">
        <is>
          <t>https://website-9ib.pages.dev/termek/sp-d2-999-afh/</t>
        </is>
      </c>
      <c r="Q1966" s="12" t="inlineStr"/>
      <c r="R1966" s="13" t="inlineStr"/>
      <c r="S1966" s="6" t="inlineStr">
        <is>
          <t>sp-d2-999-afh</t>
        </is>
      </c>
    </row>
    <row r="1967">
      <c r="A1967" s="6" t="inlineStr">
        <is>
          <t>D3 013-AFH</t>
        </is>
      </c>
      <c r="B1967" s="7" t="inlineStr">
        <is>
          <t>Élvédő tömítőprofil D3 013-AFH – fekete</t>
        </is>
      </c>
      <c r="C1967" s="6" t="inlineStr">
        <is>
          <t>Gumi- és kéderprofilok</t>
        </is>
      </c>
      <c r="D1967" s="6" t="inlineStr">
        <is>
          <t>Élvédő tömítőprofilok</t>
        </is>
      </c>
      <c r="E1967" s="6" t="inlineStr">
        <is>
          <t>Sand-Profile</t>
        </is>
      </c>
      <c r="F1967" s="6" t="inlineStr">
        <is>
          <t>D3 013-AFH</t>
        </is>
      </c>
      <c r="G1967" s="6" t="inlineStr">
        <is>
          <t>Teljes kínálat</t>
        </is>
      </c>
      <c r="H1967" s="6" t="n">
        <v>1</v>
      </c>
      <c r="I1967" s="6" t="n">
        <v>3</v>
      </c>
      <c r="J1967" s="6" t="inlineStr">
        <is>
          <t>van</t>
        </is>
      </c>
      <c r="K1967" s="6">
        <f>IF(AND(H1967&gt;0,I1967&gt;0),"Rendben",IF(AND(H1967=0,I1967=0),"Nincs kép és adat",IF(H1967=0,"Nincs kép","Nincs adat")))</f>
        <v/>
      </c>
      <c r="L1967" s="6" t="inlineStr">
        <is>
          <t>Igen</t>
        </is>
      </c>
      <c r="M1967" s="7" t="inlineStr">
        <is>
          <t>Sand-Profile teljes kínálata (gyártói katalógus / weboldal)</t>
        </is>
      </c>
      <c r="N1967" s="7" t="inlineStr">
        <is>
          <t>Megtalálva: a beszállító teljes kínálatából felvett termék</t>
        </is>
      </c>
      <c r="O1967" s="11" t="inlineStr">
        <is>
          <t>https://www.sandprofile.com/media/gesamtkatalog_en.pdf#page=64</t>
        </is>
      </c>
      <c r="P1967" s="11" t="inlineStr">
        <is>
          <t>https://website-9ib.pages.dev/termek/sp-d3-013-afh/</t>
        </is>
      </c>
      <c r="Q1967" s="12" t="inlineStr"/>
      <c r="R1967" s="13" t="inlineStr"/>
      <c r="S1967" s="6" t="inlineStr">
        <is>
          <t>sp-d3-013-afh</t>
        </is>
      </c>
    </row>
    <row r="1968">
      <c r="A1968" s="6" t="inlineStr">
        <is>
          <t>D3 024-AFH</t>
        </is>
      </c>
      <c r="B1968" s="7" t="inlineStr">
        <is>
          <t>Élvédő tömítőprofil D3 024-AFH – fekete</t>
        </is>
      </c>
      <c r="C1968" s="6" t="inlineStr">
        <is>
          <t>Gumi- és kéderprofilok</t>
        </is>
      </c>
      <c r="D1968" s="6" t="inlineStr">
        <is>
          <t>Élvédő tömítőprofilok</t>
        </is>
      </c>
      <c r="E1968" s="6" t="inlineStr">
        <is>
          <t>Sand-Profile</t>
        </is>
      </c>
      <c r="F1968" s="6" t="inlineStr">
        <is>
          <t>D3 024-AFH</t>
        </is>
      </c>
      <c r="G1968" s="6" t="inlineStr">
        <is>
          <t>Teljes kínálat</t>
        </is>
      </c>
      <c r="H1968" s="6" t="n">
        <v>1</v>
      </c>
      <c r="I1968" s="6" t="n">
        <v>3</v>
      </c>
      <c r="J1968" s="6" t="inlineStr">
        <is>
          <t>van</t>
        </is>
      </c>
      <c r="K1968" s="6">
        <f>IF(AND(H1968&gt;0,I1968&gt;0),"Rendben",IF(AND(H1968=0,I1968=0),"Nincs kép és adat",IF(H1968=0,"Nincs kép","Nincs adat")))</f>
        <v/>
      </c>
      <c r="L1968" s="6" t="inlineStr">
        <is>
          <t>Igen</t>
        </is>
      </c>
      <c r="M1968" s="7" t="inlineStr">
        <is>
          <t>Sand-Profile teljes kínálata (gyártói katalógus / weboldal)</t>
        </is>
      </c>
      <c r="N1968" s="7" t="inlineStr">
        <is>
          <t>Megtalálva: a beszállító teljes kínálatából felvett termék</t>
        </is>
      </c>
      <c r="O1968" s="11" t="inlineStr">
        <is>
          <t>https://www.sandprofile.com/media/gesamtkatalog_en.pdf#page=63</t>
        </is>
      </c>
      <c r="P1968" s="11" t="inlineStr">
        <is>
          <t>https://website-9ib.pages.dev/termek/sp-d3-024-afh/</t>
        </is>
      </c>
      <c r="Q1968" s="12" t="inlineStr"/>
      <c r="R1968" s="13" t="inlineStr"/>
      <c r="S1968" s="6" t="inlineStr">
        <is>
          <t>sp-d3-024-afh</t>
        </is>
      </c>
    </row>
    <row r="1969">
      <c r="A1969" s="6" t="inlineStr">
        <is>
          <t>D3 041-AFH</t>
        </is>
      </c>
      <c r="B1969" s="7" t="inlineStr">
        <is>
          <t>Élvédő tömítőprofil D3 041-AFH – fekete</t>
        </is>
      </c>
      <c r="C1969" s="6" t="inlineStr">
        <is>
          <t>Gumi- és kéderprofilok</t>
        </is>
      </c>
      <c r="D1969" s="6" t="inlineStr">
        <is>
          <t>Élvédő tömítőprofilok</t>
        </is>
      </c>
      <c r="E1969" s="6" t="inlineStr">
        <is>
          <t>Sand-Profile</t>
        </is>
      </c>
      <c r="F1969" s="6" t="inlineStr">
        <is>
          <t>D3 041-AFH</t>
        </is>
      </c>
      <c r="G1969" s="6" t="inlineStr">
        <is>
          <t>Teljes kínálat</t>
        </is>
      </c>
      <c r="H1969" s="6" t="n">
        <v>1</v>
      </c>
      <c r="I1969" s="6" t="n">
        <v>3</v>
      </c>
      <c r="J1969" s="6" t="inlineStr">
        <is>
          <t>van</t>
        </is>
      </c>
      <c r="K1969" s="6">
        <f>IF(AND(H1969&gt;0,I1969&gt;0),"Rendben",IF(AND(H1969=0,I1969=0),"Nincs kép és adat",IF(H1969=0,"Nincs kép","Nincs adat")))</f>
        <v/>
      </c>
      <c r="L1969" s="6" t="inlineStr">
        <is>
          <t>Igen</t>
        </is>
      </c>
      <c r="M1969" s="7" t="inlineStr">
        <is>
          <t>Sand-Profile teljes kínálata (gyártói katalógus / weboldal)</t>
        </is>
      </c>
      <c r="N1969" s="7" t="inlineStr">
        <is>
          <t>Megtalálva: a beszállító teljes kínálatából felvett termék</t>
        </is>
      </c>
      <c r="O1969" s="11" t="inlineStr">
        <is>
          <t>https://www.sandprofile.com/media/gesamtkatalog_en.pdf#page=62</t>
        </is>
      </c>
      <c r="P1969" s="11" t="inlineStr">
        <is>
          <t>https://website-9ib.pages.dev/termek/sp-d3-041-afh/</t>
        </is>
      </c>
      <c r="Q1969" s="12" t="inlineStr"/>
      <c r="R1969" s="13" t="inlineStr"/>
      <c r="S1969" s="6" t="inlineStr">
        <is>
          <t>sp-d3-041-afh</t>
        </is>
      </c>
    </row>
    <row r="1970">
      <c r="A1970" s="6" t="inlineStr">
        <is>
          <t>D3 061-BU</t>
        </is>
      </c>
      <c r="B1970" s="7" t="inlineStr">
        <is>
          <t>Élvédő tömítőprofil D3 061-BU – fekete</t>
        </is>
      </c>
      <c r="C1970" s="6" t="inlineStr">
        <is>
          <t>Gumi- és kéderprofilok</t>
        </is>
      </c>
      <c r="D1970" s="6" t="inlineStr">
        <is>
          <t>Élvédő tömítőprofilok</t>
        </is>
      </c>
      <c r="E1970" s="6" t="inlineStr">
        <is>
          <t>Sand-Profile</t>
        </is>
      </c>
      <c r="F1970" s="6" t="inlineStr">
        <is>
          <t>D3 061-BU</t>
        </is>
      </c>
      <c r="G1970" s="6" t="inlineStr">
        <is>
          <t>Teljes kínálat</t>
        </is>
      </c>
      <c r="H1970" s="6" t="n">
        <v>1</v>
      </c>
      <c r="I1970" s="6" t="n">
        <v>3</v>
      </c>
      <c r="J1970" s="6" t="inlineStr">
        <is>
          <t>van</t>
        </is>
      </c>
      <c r="K1970" s="6">
        <f>IF(AND(H1970&gt;0,I1970&gt;0),"Rendben",IF(AND(H1970=0,I1970=0),"Nincs kép és adat",IF(H1970=0,"Nincs kép","Nincs adat")))</f>
        <v/>
      </c>
      <c r="L1970" s="6" t="inlineStr">
        <is>
          <t>Igen</t>
        </is>
      </c>
      <c r="M1970" s="7" t="inlineStr">
        <is>
          <t>Sand-Profile teljes kínálata (gyártói katalógus / weboldal)</t>
        </is>
      </c>
      <c r="N1970" s="7" t="inlineStr">
        <is>
          <t>Megtalálva: a beszállító teljes kínálatából felvett termék</t>
        </is>
      </c>
      <c r="O1970" s="11" t="inlineStr">
        <is>
          <t>https://www.sandprofile.com/media/gesamtkatalog_en.pdf#page=62</t>
        </is>
      </c>
      <c r="P1970" s="11" t="inlineStr">
        <is>
          <t>https://website-9ib.pages.dev/termek/sp-d3-061-bu/</t>
        </is>
      </c>
      <c r="Q1970" s="12" t="inlineStr"/>
      <c r="R1970" s="13" t="inlineStr"/>
      <c r="S1970" s="6" t="inlineStr">
        <is>
          <t>sp-d3-061-bu</t>
        </is>
      </c>
    </row>
    <row r="1971">
      <c r="A1971" s="6" t="inlineStr">
        <is>
          <t>G1 101</t>
        </is>
      </c>
      <c r="B1971" s="7" t="inlineStr">
        <is>
          <t>Élvédő tömítőprofil G1 101 – fekete</t>
        </is>
      </c>
      <c r="C1971" s="6" t="inlineStr">
        <is>
          <t>Gumi- és kéderprofilok</t>
        </is>
      </c>
      <c r="D1971" s="6" t="inlineStr">
        <is>
          <t>Élvédő tömítőprofilok</t>
        </is>
      </c>
      <c r="E1971" s="6" t="inlineStr">
        <is>
          <t>Sand-Profile</t>
        </is>
      </c>
      <c r="F1971" s="6" t="inlineStr">
        <is>
          <t>G1 101</t>
        </is>
      </c>
      <c r="G1971" s="6" t="inlineStr">
        <is>
          <t>Teljes kínálat</t>
        </is>
      </c>
      <c r="H1971" s="6" t="n">
        <v>1</v>
      </c>
      <c r="I1971" s="6" t="n">
        <v>3</v>
      </c>
      <c r="J1971" s="6" t="inlineStr">
        <is>
          <t>van</t>
        </is>
      </c>
      <c r="K1971" s="6">
        <f>IF(AND(H1971&gt;0,I1971&gt;0),"Rendben",IF(AND(H1971=0,I1971=0),"Nincs kép és adat",IF(H1971=0,"Nincs kép","Nincs adat")))</f>
        <v/>
      </c>
      <c r="L1971" s="6" t="inlineStr">
        <is>
          <t>Igen</t>
        </is>
      </c>
      <c r="M1971" s="7" t="inlineStr">
        <is>
          <t>Sand-Profile teljes kínálata (gyártói katalógus / weboldal)</t>
        </is>
      </c>
      <c r="N1971" s="7" t="inlineStr">
        <is>
          <t>Megtalálva: a beszállító teljes kínálatából felvett termék</t>
        </is>
      </c>
      <c r="O1971" s="11" t="inlineStr">
        <is>
          <t>https://www.sandprofile.com/media/gesamtkatalog_en.pdf#page=59</t>
        </is>
      </c>
      <c r="P1971" s="11" t="inlineStr">
        <is>
          <t>https://website-9ib.pages.dev/termek/sp-g1-101/</t>
        </is>
      </c>
      <c r="Q1971" s="12" t="inlineStr"/>
      <c r="R1971" s="13" t="inlineStr"/>
      <c r="S1971" s="6" t="inlineStr">
        <is>
          <t>sp-g1-101</t>
        </is>
      </c>
    </row>
    <row r="1972">
      <c r="A1972" s="6" t="inlineStr">
        <is>
          <t>G1 104</t>
        </is>
      </c>
      <c r="B1972" s="7" t="inlineStr">
        <is>
          <t>Élvédő tömítőprofil G1 104 – fekete</t>
        </is>
      </c>
      <c r="C1972" s="6" t="inlineStr">
        <is>
          <t>Gumi- és kéderprofilok</t>
        </is>
      </c>
      <c r="D1972" s="6" t="inlineStr">
        <is>
          <t>Élvédő tömítőprofilok</t>
        </is>
      </c>
      <c r="E1972" s="6" t="inlineStr">
        <is>
          <t>Sand-Profile</t>
        </is>
      </c>
      <c r="F1972" s="6" t="inlineStr">
        <is>
          <t>G1 104</t>
        </is>
      </c>
      <c r="G1972" s="6" t="inlineStr">
        <is>
          <t>Teljes kínálat</t>
        </is>
      </c>
      <c r="H1972" s="6" t="n">
        <v>1</v>
      </c>
      <c r="I1972" s="6" t="n">
        <v>3</v>
      </c>
      <c r="J1972" s="6" t="inlineStr">
        <is>
          <t>van</t>
        </is>
      </c>
      <c r="K1972" s="6">
        <f>IF(AND(H1972&gt;0,I1972&gt;0),"Rendben",IF(AND(H1972=0,I1972=0),"Nincs kép és adat",IF(H1972=0,"Nincs kép","Nincs adat")))</f>
        <v/>
      </c>
      <c r="L1972" s="6" t="inlineStr">
        <is>
          <t>Igen</t>
        </is>
      </c>
      <c r="M1972" s="7" t="inlineStr">
        <is>
          <t>Sand-Profile teljes kínálata (gyártói katalógus / weboldal)</t>
        </is>
      </c>
      <c r="N1972" s="7" t="inlineStr">
        <is>
          <t>Megtalálva: a beszállító teljes kínálatából felvett termék</t>
        </is>
      </c>
      <c r="O1972" s="11" t="inlineStr">
        <is>
          <t>https://www.sandprofile.com/media/gesamtkatalog_en.pdf#page=59</t>
        </is>
      </c>
      <c r="P1972" s="11" t="inlineStr">
        <is>
          <t>https://website-9ib.pages.dev/termek/sp-g1-104/</t>
        </is>
      </c>
      <c r="Q1972" s="12" t="inlineStr"/>
      <c r="R1972" s="13" t="inlineStr"/>
      <c r="S1972" s="6" t="inlineStr">
        <is>
          <t>sp-g1-104</t>
        </is>
      </c>
    </row>
    <row r="1973">
      <c r="A1973" s="6" t="inlineStr">
        <is>
          <t>G1 106</t>
        </is>
      </c>
      <c r="B1973" s="7" t="inlineStr">
        <is>
          <t>Élvédő tömítőprofil G1 106 – fekete</t>
        </is>
      </c>
      <c r="C1973" s="6" t="inlineStr">
        <is>
          <t>Gumi- és kéderprofilok</t>
        </is>
      </c>
      <c r="D1973" s="6" t="inlineStr">
        <is>
          <t>Élvédő tömítőprofilok</t>
        </is>
      </c>
      <c r="E1973" s="6" t="inlineStr">
        <is>
          <t>Sand-Profile</t>
        </is>
      </c>
      <c r="F1973" s="6" t="inlineStr">
        <is>
          <t>G1 106</t>
        </is>
      </c>
      <c r="G1973" s="6" t="inlineStr">
        <is>
          <t>Teljes kínálat</t>
        </is>
      </c>
      <c r="H1973" s="6" t="n">
        <v>1</v>
      </c>
      <c r="I1973" s="6" t="n">
        <v>3</v>
      </c>
      <c r="J1973" s="6" t="inlineStr">
        <is>
          <t>van</t>
        </is>
      </c>
      <c r="K1973" s="6">
        <f>IF(AND(H1973&gt;0,I1973&gt;0),"Rendben",IF(AND(H1973=0,I1973=0),"Nincs kép és adat",IF(H1973=0,"Nincs kép","Nincs adat")))</f>
        <v/>
      </c>
      <c r="L1973" s="6" t="inlineStr">
        <is>
          <t>Igen</t>
        </is>
      </c>
      <c r="M1973" s="7" t="inlineStr">
        <is>
          <t>Sand-Profile teljes kínálata (gyártói katalógus / weboldal)</t>
        </is>
      </c>
      <c r="N1973" s="7" t="inlineStr">
        <is>
          <t>Megtalálva: a beszállító teljes kínálatából felvett termék</t>
        </is>
      </c>
      <c r="O1973" s="11" t="inlineStr">
        <is>
          <t>https://www.sandprofile.com/media/gesamtkatalog_en.pdf#page=59</t>
        </is>
      </c>
      <c r="P1973" s="11" t="inlineStr">
        <is>
          <t>https://website-9ib.pages.dev/termek/sp-g1-106/</t>
        </is>
      </c>
      <c r="Q1973" s="12" t="inlineStr"/>
      <c r="R1973" s="13" t="inlineStr"/>
      <c r="S1973" s="6" t="inlineStr">
        <is>
          <t>sp-g1-106</t>
        </is>
      </c>
    </row>
    <row r="1974">
      <c r="A1974" s="6" t="inlineStr">
        <is>
          <t>G1 108</t>
        </is>
      </c>
      <c r="B1974" s="7" t="inlineStr">
        <is>
          <t>Élvédő tömítőprofil G1 108 – fekete</t>
        </is>
      </c>
      <c r="C1974" s="6" t="inlineStr">
        <is>
          <t>Gumi- és kéderprofilok</t>
        </is>
      </c>
      <c r="D1974" s="6" t="inlineStr">
        <is>
          <t>Élvédő tömítőprofilok</t>
        </is>
      </c>
      <c r="E1974" s="6" t="inlineStr">
        <is>
          <t>Sand-Profile</t>
        </is>
      </c>
      <c r="F1974" s="6" t="inlineStr">
        <is>
          <t>G1 108</t>
        </is>
      </c>
      <c r="G1974" s="6" t="inlineStr">
        <is>
          <t>Teljes kínálat</t>
        </is>
      </c>
      <c r="H1974" s="6" t="n">
        <v>1</v>
      </c>
      <c r="I1974" s="6" t="n">
        <v>3</v>
      </c>
      <c r="J1974" s="6" t="inlineStr">
        <is>
          <t>van</t>
        </is>
      </c>
      <c r="K1974" s="6">
        <f>IF(AND(H1974&gt;0,I1974&gt;0),"Rendben",IF(AND(H1974=0,I1974=0),"Nincs kép és adat",IF(H1974=0,"Nincs kép","Nincs adat")))</f>
        <v/>
      </c>
      <c r="L1974" s="6" t="inlineStr">
        <is>
          <t>Igen</t>
        </is>
      </c>
      <c r="M1974" s="7" t="inlineStr">
        <is>
          <t>Sand-Profile teljes kínálata (gyártói katalógus / weboldal)</t>
        </is>
      </c>
      <c r="N1974" s="7" t="inlineStr">
        <is>
          <t>Megtalálva: a beszállító teljes kínálatából felvett termék</t>
        </is>
      </c>
      <c r="O1974" s="11" t="inlineStr">
        <is>
          <t>https://www.sandprofile.com/media/gesamtkatalog_en.pdf#page=59</t>
        </is>
      </c>
      <c r="P1974" s="11" t="inlineStr">
        <is>
          <t>https://website-9ib.pages.dev/termek/sp-g1-108/</t>
        </is>
      </c>
      <c r="Q1974" s="12" t="inlineStr"/>
      <c r="R1974" s="13" t="inlineStr"/>
      <c r="S1974" s="6" t="inlineStr">
        <is>
          <t>sp-g1-108</t>
        </is>
      </c>
    </row>
    <row r="1975">
      <c r="A1975" s="6" t="inlineStr">
        <is>
          <t>STEELCARRIERBROKEN</t>
        </is>
      </c>
      <c r="B1975" s="7" t="inlineStr">
        <is>
          <t>Élvédő tömítőprofil STEELCARRIERBROKEN – fekete, 2,0–4,0 mm</t>
        </is>
      </c>
      <c r="C1975" s="6" t="inlineStr">
        <is>
          <t>Gumi- és kéderprofilok</t>
        </is>
      </c>
      <c r="D1975" s="6" t="inlineStr">
        <is>
          <t>Élvédő tömítőprofilok</t>
        </is>
      </c>
      <c r="E1975" s="6" t="inlineStr">
        <is>
          <t>Sand-Profile</t>
        </is>
      </c>
      <c r="F1975" s="6" t="inlineStr">
        <is>
          <t>STEELCARRIERBROKEN</t>
        </is>
      </c>
      <c r="G1975" s="6" t="inlineStr">
        <is>
          <t>Teljes kínálat</t>
        </is>
      </c>
      <c r="H1975" s="6" t="n">
        <v>1</v>
      </c>
      <c r="I1975" s="6" t="n">
        <v>3</v>
      </c>
      <c r="J1975" s="6" t="inlineStr">
        <is>
          <t>van</t>
        </is>
      </c>
      <c r="K1975" s="6">
        <f>IF(AND(H1975&gt;0,I1975&gt;0),"Rendben",IF(AND(H1975=0,I1975=0),"Nincs kép és adat",IF(H1975=0,"Nincs kép","Nincs adat")))</f>
        <v/>
      </c>
      <c r="L1975" s="6" t="inlineStr">
        <is>
          <t>Igen</t>
        </is>
      </c>
      <c r="M1975" s="7" t="inlineStr">
        <is>
          <t>Sand-Profile teljes kínálata (gyártói katalógus / weboldal)</t>
        </is>
      </c>
      <c r="N1975" s="7" t="inlineStr">
        <is>
          <t>Megtalálva: a beszállító teljes kínálatából felvett termék</t>
        </is>
      </c>
      <c r="O1975" s="11" t="inlineStr">
        <is>
          <t>https://www.sandprofile.com/media/gesamtkatalog_en.pdf#page=29</t>
        </is>
      </c>
      <c r="P1975" s="11" t="inlineStr">
        <is>
          <t>https://website-9ib.pages.dev/termek/sp-steelcarrierbroken/</t>
        </is>
      </c>
      <c r="Q1975" s="12" t="inlineStr"/>
      <c r="R1975" s="13" t="inlineStr"/>
      <c r="S1975" s="6" t="inlineStr">
        <is>
          <t>sp-steelcarrierbroken</t>
        </is>
      </c>
    </row>
    <row r="1976">
      <c r="A1976" s="6" t="inlineStr">
        <is>
          <t>TUBE50±5SHOREA</t>
        </is>
      </c>
      <c r="B1976" s="7" t="inlineStr">
        <is>
          <t>Élvédő tömítőprofil TUBE50±5SHOREA – fekete, 2,0–4,0 mm</t>
        </is>
      </c>
      <c r="C1976" s="6" t="inlineStr">
        <is>
          <t>Gumi- és kéderprofilok</t>
        </is>
      </c>
      <c r="D1976" s="6" t="inlineStr">
        <is>
          <t>Élvédő tömítőprofilok</t>
        </is>
      </c>
      <c r="E1976" s="6" t="inlineStr">
        <is>
          <t>Sand-Profile</t>
        </is>
      </c>
      <c r="F1976" s="6" t="inlineStr">
        <is>
          <t>TUBE50±5SHOREA</t>
        </is>
      </c>
      <c r="G1976" s="6" t="inlineStr">
        <is>
          <t>Teljes kínálat</t>
        </is>
      </c>
      <c r="H1976" s="6" t="n">
        <v>1</v>
      </c>
      <c r="I1976" s="6" t="n">
        <v>3</v>
      </c>
      <c r="J1976" s="6" t="inlineStr">
        <is>
          <t>van</t>
        </is>
      </c>
      <c r="K1976" s="6">
        <f>IF(AND(H1976&gt;0,I1976&gt;0),"Rendben",IF(AND(H1976=0,I1976=0),"Nincs kép és adat",IF(H1976=0,"Nincs kép","Nincs adat")))</f>
        <v/>
      </c>
      <c r="L1976" s="6" t="inlineStr">
        <is>
          <t>Igen</t>
        </is>
      </c>
      <c r="M1976" s="7" t="inlineStr">
        <is>
          <t>Sand-Profile teljes kínálata (gyártói katalógus / weboldal)</t>
        </is>
      </c>
      <c r="N1976" s="7" t="inlineStr">
        <is>
          <t>Megtalálva: a beszállító teljes kínálatából felvett termék</t>
        </is>
      </c>
      <c r="O1976" s="11" t="inlineStr">
        <is>
          <t>https://www.sandprofile.com/media/gesamtkatalog_en.pdf#page=29</t>
        </is>
      </c>
      <c r="P1976" s="11" t="inlineStr">
        <is>
          <t>https://website-9ib.pages.dev/termek/sp-tube505shorea/</t>
        </is>
      </c>
      <c r="Q1976" s="12" t="inlineStr"/>
      <c r="R1976" s="13" t="inlineStr"/>
      <c r="S1976" s="6" t="inlineStr">
        <is>
          <t>sp-tube505shorea</t>
        </is>
      </c>
    </row>
    <row r="1977">
      <c r="A1977" s="6" t="inlineStr">
        <is>
          <t>WITHEPDMSOFTRUBBER</t>
        </is>
      </c>
      <c r="B1977" s="7" t="inlineStr">
        <is>
          <t>Élvédő tömítőprofil WITHEPDMSOFTRUBBER – fekete, 2,0–4,0 mm</t>
        </is>
      </c>
      <c r="C1977" s="6" t="inlineStr">
        <is>
          <t>Gumi- és kéderprofilok</t>
        </is>
      </c>
      <c r="D1977" s="6" t="inlineStr">
        <is>
          <t>Élvédő tömítőprofilok</t>
        </is>
      </c>
      <c r="E1977" s="6" t="inlineStr">
        <is>
          <t>Sand-Profile</t>
        </is>
      </c>
      <c r="F1977" s="6" t="inlineStr">
        <is>
          <t>WITHEPDMSOFTRUBBER</t>
        </is>
      </c>
      <c r="G1977" s="6" t="inlineStr">
        <is>
          <t>Teljes kínálat</t>
        </is>
      </c>
      <c r="H1977" s="6" t="n">
        <v>1</v>
      </c>
      <c r="I1977" s="6" t="n">
        <v>3</v>
      </c>
      <c r="J1977" s="6" t="inlineStr">
        <is>
          <t>van</t>
        </is>
      </c>
      <c r="K1977" s="6">
        <f>IF(AND(H1977&gt;0,I1977&gt;0),"Rendben",IF(AND(H1977=0,I1977=0),"Nincs kép és adat",IF(H1977=0,"Nincs kép","Nincs adat")))</f>
        <v/>
      </c>
      <c r="L1977" s="6" t="inlineStr">
        <is>
          <t>Igen</t>
        </is>
      </c>
      <c r="M1977" s="7" t="inlineStr">
        <is>
          <t>Sand-Profile teljes kínálata (gyártói katalógus / weboldal)</t>
        </is>
      </c>
      <c r="N1977" s="7" t="inlineStr">
        <is>
          <t>Megtalálva: a beszállító teljes kínálatából felvett termék</t>
        </is>
      </c>
      <c r="O1977" s="11" t="inlineStr">
        <is>
          <t>https://www.sandprofile.com/media/gesamtkatalog_en.pdf#page=29</t>
        </is>
      </c>
      <c r="P1977" s="11" t="inlineStr">
        <is>
          <t>https://website-9ib.pages.dev/termek/sp-withepdmsoftrubber/</t>
        </is>
      </c>
      <c r="Q1977" s="12" t="inlineStr"/>
      <c r="R1977" s="13" t="inlineStr"/>
      <c r="S1977" s="6" t="inlineStr">
        <is>
          <t>sp-withepdmsoftrubber</t>
        </is>
      </c>
    </row>
    <row r="1978">
      <c r="A1978" s="6" t="inlineStr">
        <is>
          <t>WITHPU-FOAMANDWIRE</t>
        </is>
      </c>
      <c r="B1978" s="7" t="inlineStr">
        <is>
          <t>Élvédő tömítőprofil WITHPU-FOAMANDWIRE – fekete, 1,0–2,5 mm</t>
        </is>
      </c>
      <c r="C1978" s="6" t="inlineStr">
        <is>
          <t>Gumi- és kéderprofilok</t>
        </is>
      </c>
      <c r="D1978" s="6" t="inlineStr">
        <is>
          <t>Élvédő tömítőprofilok</t>
        </is>
      </c>
      <c r="E1978" s="6" t="inlineStr">
        <is>
          <t>Sand-Profile</t>
        </is>
      </c>
      <c r="F1978" s="6" t="inlineStr">
        <is>
          <t>WITHPU-FOAMANDWIRE</t>
        </is>
      </c>
      <c r="G1978" s="6" t="inlineStr">
        <is>
          <t>Teljes kínálat</t>
        </is>
      </c>
      <c r="H1978" s="6" t="n">
        <v>1</v>
      </c>
      <c r="I1978" s="6" t="n">
        <v>3</v>
      </c>
      <c r="J1978" s="6" t="inlineStr">
        <is>
          <t>van</t>
        </is>
      </c>
      <c r="K1978" s="6">
        <f>IF(AND(H1978&gt;0,I1978&gt;0),"Rendben",IF(AND(H1978=0,I1978=0),"Nincs kép és adat",IF(H1978=0,"Nincs kép","Nincs adat")))</f>
        <v/>
      </c>
      <c r="L1978" s="6" t="inlineStr">
        <is>
          <t>Igen</t>
        </is>
      </c>
      <c r="M1978" s="7" t="inlineStr">
        <is>
          <t>Sand-Profile teljes kínálata (gyártói katalógus / weboldal)</t>
        </is>
      </c>
      <c r="N1978" s="7" t="inlineStr">
        <is>
          <t>Megtalálva: a beszállító teljes kínálatából felvett termék</t>
        </is>
      </c>
      <c r="O1978" s="11" t="inlineStr">
        <is>
          <t>https://www.sandprofile.com/media/gesamtkatalog_en.pdf#page=29</t>
        </is>
      </c>
      <c r="P1978" s="11" t="inlineStr">
        <is>
          <t>https://website-9ib.pages.dev/termek/sp-withpu-foamandwire/</t>
        </is>
      </c>
      <c r="Q1978" s="12" t="inlineStr"/>
      <c r="R1978" s="13" t="inlineStr"/>
      <c r="S1978" s="6" t="inlineStr">
        <is>
          <t>sp-withpu-foamandwire</t>
        </is>
      </c>
    </row>
    <row r="1979">
      <c r="A1979" s="6" t="inlineStr">
        <is>
          <t>A4 635</t>
        </is>
      </c>
      <c r="B1979" s="7" t="inlineStr">
        <is>
          <t>Üvegvezető profil A4 635 – fekete</t>
        </is>
      </c>
      <c r="C1979" s="6" t="inlineStr">
        <is>
          <t>Gumi- és kéderprofilok</t>
        </is>
      </c>
      <c r="D1979" s="6" t="inlineStr">
        <is>
          <t>Üvegvezető profilok</t>
        </is>
      </c>
      <c r="E1979" s="6" t="inlineStr">
        <is>
          <t>Sand-Profile</t>
        </is>
      </c>
      <c r="F1979" s="6" t="inlineStr">
        <is>
          <t>A4 635</t>
        </is>
      </c>
      <c r="G1979" s="6" t="inlineStr">
        <is>
          <t>Teljes kínálat</t>
        </is>
      </c>
      <c r="H1979" s="6" t="n">
        <v>1</v>
      </c>
      <c r="I1979" s="6" t="n">
        <v>3</v>
      </c>
      <c r="J1979" s="6" t="inlineStr">
        <is>
          <t>van</t>
        </is>
      </c>
      <c r="K1979" s="6">
        <f>IF(AND(H1979&gt;0,I1979&gt;0),"Rendben",IF(AND(H1979=0,I1979=0),"Nincs kép és adat",IF(H1979=0,"Nincs kép","Nincs adat")))</f>
        <v/>
      </c>
      <c r="L1979" s="6" t="inlineStr">
        <is>
          <t>Igen</t>
        </is>
      </c>
      <c r="M1979" s="7" t="inlineStr">
        <is>
          <t>Sand-Profile teljes kínálata (gyártói katalógus / weboldal)</t>
        </is>
      </c>
      <c r="N1979" s="7" t="inlineStr">
        <is>
          <t>Megtalálva: a beszállító teljes kínálatából felvett termék</t>
        </is>
      </c>
      <c r="O1979" s="11" t="inlineStr">
        <is>
          <t>https://www.sandprofile.com/media/gesamtkatalog_en.pdf#page=58</t>
        </is>
      </c>
      <c r="P1979" s="11" t="inlineStr">
        <is>
          <t>https://website-9ib.pages.dev/termek/sp-a4-635/</t>
        </is>
      </c>
      <c r="Q1979" s="12" t="inlineStr"/>
      <c r="R1979" s="13" t="inlineStr"/>
      <c r="S1979" s="6" t="inlineStr">
        <is>
          <t>sp-a4-635</t>
        </is>
      </c>
    </row>
    <row r="1980">
      <c r="A1980" s="6" t="inlineStr">
        <is>
          <t>A4 800</t>
        </is>
      </c>
      <c r="B1980" s="7" t="inlineStr">
        <is>
          <t>Üvegvezető profil A4 800 – fekete</t>
        </is>
      </c>
      <c r="C1980" s="6" t="inlineStr">
        <is>
          <t>Gumi- és kéderprofilok</t>
        </is>
      </c>
      <c r="D1980" s="6" t="inlineStr">
        <is>
          <t>Üvegvezető profilok</t>
        </is>
      </c>
      <c r="E1980" s="6" t="inlineStr">
        <is>
          <t>Sand-Profile</t>
        </is>
      </c>
      <c r="F1980" s="6" t="inlineStr">
        <is>
          <t>A4 800</t>
        </is>
      </c>
      <c r="G1980" s="6" t="inlineStr">
        <is>
          <t>Teljes kínálat</t>
        </is>
      </c>
      <c r="H1980" s="6" t="n">
        <v>1</v>
      </c>
      <c r="I1980" s="6" t="n">
        <v>3</v>
      </c>
      <c r="J1980" s="6" t="inlineStr">
        <is>
          <t>van</t>
        </is>
      </c>
      <c r="K1980" s="6">
        <f>IF(AND(H1980&gt;0,I1980&gt;0),"Rendben",IF(AND(H1980=0,I1980=0),"Nincs kép és adat",IF(H1980=0,"Nincs kép","Nincs adat")))</f>
        <v/>
      </c>
      <c r="L1980" s="6" t="inlineStr">
        <is>
          <t>Igen</t>
        </is>
      </c>
      <c r="M1980" s="7" t="inlineStr">
        <is>
          <t>Sand-Profile teljes kínálata (gyártói katalógus / weboldal)</t>
        </is>
      </c>
      <c r="N1980" s="7" t="inlineStr">
        <is>
          <t>Megtalálva: a beszállító teljes kínálatából felvett termék</t>
        </is>
      </c>
      <c r="O1980" s="11" t="inlineStr">
        <is>
          <t>https://www.sandprofile.com/media/gesamtkatalog_en.pdf#page=58</t>
        </is>
      </c>
      <c r="P1980" s="11" t="inlineStr">
        <is>
          <t>https://website-9ib.pages.dev/termek/sp-a4-800/</t>
        </is>
      </c>
      <c r="Q1980" s="12" t="inlineStr"/>
      <c r="R1980" s="13" t="inlineStr"/>
      <c r="S1980" s="6" t="inlineStr">
        <is>
          <t>sp-a4-800</t>
        </is>
      </c>
    </row>
    <row r="1981">
      <c r="A1981" s="6" t="inlineStr">
        <is>
          <t>D2 335</t>
        </is>
      </c>
      <c r="B1981" s="7" t="inlineStr">
        <is>
          <t>Üvegvezető profil D2 335 – fekete</t>
        </is>
      </c>
      <c r="C1981" s="6" t="inlineStr">
        <is>
          <t>Gumi- és kéderprofilok</t>
        </is>
      </c>
      <c r="D1981" s="6" t="inlineStr">
        <is>
          <t>Üvegvezető profilok</t>
        </is>
      </c>
      <c r="E1981" s="6" t="inlineStr">
        <is>
          <t>Sand-Profile</t>
        </is>
      </c>
      <c r="F1981" s="6" t="inlineStr">
        <is>
          <t>D2 335</t>
        </is>
      </c>
      <c r="G1981" s="6" t="inlineStr">
        <is>
          <t>Teljes kínálat</t>
        </is>
      </c>
      <c r="H1981" s="6" t="n">
        <v>1</v>
      </c>
      <c r="I1981" s="6" t="n">
        <v>3</v>
      </c>
      <c r="J1981" s="6" t="inlineStr">
        <is>
          <t>van</t>
        </is>
      </c>
      <c r="K1981" s="6">
        <f>IF(AND(H1981&gt;0,I1981&gt;0),"Rendben",IF(AND(H1981=0,I1981=0),"Nincs kép és adat",IF(H1981=0,"Nincs kép","Nincs adat")))</f>
        <v/>
      </c>
      <c r="L1981" s="6" t="inlineStr">
        <is>
          <t>Igen</t>
        </is>
      </c>
      <c r="M1981" s="7" t="inlineStr">
        <is>
          <t>Sand-Profile teljes kínálata (gyártói katalógus / weboldal)</t>
        </is>
      </c>
      <c r="N1981" s="7" t="inlineStr">
        <is>
          <t>Megtalálva: a beszállító teljes kínálatából felvett termék</t>
        </is>
      </c>
      <c r="O1981" s="11" t="inlineStr">
        <is>
          <t>https://www.sandprofile.com/media/gesamtkatalog_en.pdf#page=58</t>
        </is>
      </c>
      <c r="P1981" s="11" t="inlineStr">
        <is>
          <t>https://website-9ib.pages.dev/termek/sp-d2-335/</t>
        </is>
      </c>
      <c r="Q1981" s="12" t="inlineStr"/>
      <c r="R1981" s="13" t="inlineStr"/>
      <c r="S1981" s="6" t="inlineStr">
        <is>
          <t>sp-d2-335</t>
        </is>
      </c>
    </row>
    <row r="1982">
      <c r="A1982" s="6" t="inlineStr">
        <is>
          <t>D2 358</t>
        </is>
      </c>
      <c r="B1982" s="7" t="inlineStr">
        <is>
          <t>Üvegvezető profil D2 358 – fekete</t>
        </is>
      </c>
      <c r="C1982" s="6" t="inlineStr">
        <is>
          <t>Gumi- és kéderprofilok</t>
        </is>
      </c>
      <c r="D1982" s="6" t="inlineStr">
        <is>
          <t>Üvegvezető profilok</t>
        </is>
      </c>
      <c r="E1982" s="6" t="inlineStr">
        <is>
          <t>Sand-Profile</t>
        </is>
      </c>
      <c r="F1982" s="6" t="inlineStr">
        <is>
          <t>D2 358</t>
        </is>
      </c>
      <c r="G1982" s="6" t="inlineStr">
        <is>
          <t>Teljes kínálat</t>
        </is>
      </c>
      <c r="H1982" s="6" t="n">
        <v>1</v>
      </c>
      <c r="I1982" s="6" t="n">
        <v>3</v>
      </c>
      <c r="J1982" s="6" t="inlineStr">
        <is>
          <t>van</t>
        </is>
      </c>
      <c r="K1982" s="6">
        <f>IF(AND(H1982&gt;0,I1982&gt;0),"Rendben",IF(AND(H1982=0,I1982=0),"Nincs kép és adat",IF(H1982=0,"Nincs kép","Nincs adat")))</f>
        <v/>
      </c>
      <c r="L1982" s="6" t="inlineStr">
        <is>
          <t>Igen</t>
        </is>
      </c>
      <c r="M1982" s="7" t="inlineStr">
        <is>
          <t>Sand-Profile teljes kínálata (gyártói katalógus / weboldal)</t>
        </is>
      </c>
      <c r="N1982" s="7" t="inlineStr">
        <is>
          <t>Megtalálva: a beszállító teljes kínálatából felvett termék</t>
        </is>
      </c>
      <c r="O1982" s="11" t="inlineStr">
        <is>
          <t>https://www.sandprofile.com/media/gesamtkatalog_en.pdf#page=58</t>
        </is>
      </c>
      <c r="P1982" s="11" t="inlineStr">
        <is>
          <t>https://website-9ib.pages.dev/termek/sp-d2-358/</t>
        </is>
      </c>
      <c r="Q1982" s="12" t="inlineStr"/>
      <c r="R1982" s="13" t="inlineStr"/>
      <c r="S1982" s="6" t="inlineStr">
        <is>
          <t>sp-d2-358</t>
        </is>
      </c>
    </row>
    <row r="1983">
      <c r="A1983" s="6" t="inlineStr">
        <is>
          <t>D3 321</t>
        </is>
      </c>
      <c r="B1983" s="7" t="inlineStr">
        <is>
          <t>Üvegvezető profil D3 321 – fekete</t>
        </is>
      </c>
      <c r="C1983" s="6" t="inlineStr">
        <is>
          <t>Gumi- és kéderprofilok</t>
        </is>
      </c>
      <c r="D1983" s="6" t="inlineStr">
        <is>
          <t>Üvegvezető profilok</t>
        </is>
      </c>
      <c r="E1983" s="6" t="inlineStr">
        <is>
          <t>Sand-Profile</t>
        </is>
      </c>
      <c r="F1983" s="6" t="inlineStr">
        <is>
          <t>D3 321</t>
        </is>
      </c>
      <c r="G1983" s="6" t="inlineStr">
        <is>
          <t>Teljes kínálat</t>
        </is>
      </c>
      <c r="H1983" s="6" t="n">
        <v>1</v>
      </c>
      <c r="I1983" s="6" t="n">
        <v>3</v>
      </c>
      <c r="J1983" s="6" t="inlineStr">
        <is>
          <t>van</t>
        </is>
      </c>
      <c r="K1983" s="6">
        <f>IF(AND(H1983&gt;0,I1983&gt;0),"Rendben",IF(AND(H1983=0,I1983=0),"Nincs kép és adat",IF(H1983=0,"Nincs kép","Nincs adat")))</f>
        <v/>
      </c>
      <c r="L1983" s="6" t="inlineStr">
        <is>
          <t>Igen</t>
        </is>
      </c>
      <c r="M1983" s="7" t="inlineStr">
        <is>
          <t>Sand-Profile teljes kínálata (gyártói katalógus / weboldal)</t>
        </is>
      </c>
      <c r="N1983" s="7" t="inlineStr">
        <is>
          <t>Megtalálva: a beszállító teljes kínálatából felvett termék</t>
        </is>
      </c>
      <c r="O1983" s="11" t="inlineStr">
        <is>
          <t>https://www.sandprofile.com/media/gesamtkatalog_en.pdf#page=58</t>
        </is>
      </c>
      <c r="P1983" s="11" t="inlineStr">
        <is>
          <t>https://website-9ib.pages.dev/termek/sp-d3-321/</t>
        </is>
      </c>
      <c r="Q1983" s="12" t="inlineStr"/>
      <c r="R1983" s="13" t="inlineStr"/>
      <c r="S1983" s="6" t="inlineStr">
        <is>
          <t>sp-d3-321</t>
        </is>
      </c>
    </row>
    <row r="1984">
      <c r="A1984" s="6" t="inlineStr">
        <is>
          <t>D3 453</t>
        </is>
      </c>
      <c r="B1984" s="7" t="inlineStr">
        <is>
          <t>Üvegvezető profil D3 453 – fekete</t>
        </is>
      </c>
      <c r="C1984" s="6" t="inlineStr">
        <is>
          <t>Gumi- és kéderprofilok</t>
        </is>
      </c>
      <c r="D1984" s="6" t="inlineStr">
        <is>
          <t>Üvegvezető profilok</t>
        </is>
      </c>
      <c r="E1984" s="6" t="inlineStr">
        <is>
          <t>Sand-Profile</t>
        </is>
      </c>
      <c r="F1984" s="6" t="inlineStr">
        <is>
          <t>D3 453</t>
        </is>
      </c>
      <c r="G1984" s="6" t="inlineStr">
        <is>
          <t>Teljes kínálat</t>
        </is>
      </c>
      <c r="H1984" s="6" t="n">
        <v>1</v>
      </c>
      <c r="I1984" s="6" t="n">
        <v>3</v>
      </c>
      <c r="J1984" s="6" t="inlineStr">
        <is>
          <t>van</t>
        </is>
      </c>
      <c r="K1984" s="6">
        <f>IF(AND(H1984&gt;0,I1984&gt;0),"Rendben",IF(AND(H1984=0,I1984=0),"Nincs kép és adat",IF(H1984=0,"Nincs kép","Nincs adat")))</f>
        <v/>
      </c>
      <c r="L1984" s="6" t="inlineStr">
        <is>
          <t>Igen</t>
        </is>
      </c>
      <c r="M1984" s="7" t="inlineStr">
        <is>
          <t>Sand-Profile teljes kínálata (gyártói katalógus / weboldal)</t>
        </is>
      </c>
      <c r="N1984" s="7" t="inlineStr">
        <is>
          <t>Megtalálva: a beszállító teljes kínálatából felvett termék</t>
        </is>
      </c>
      <c r="O1984" s="11" t="inlineStr">
        <is>
          <t>https://www.sandprofile.com/media/gesamtkatalog_en.pdf#page=58</t>
        </is>
      </c>
      <c r="P1984" s="11" t="inlineStr">
        <is>
          <t>https://website-9ib.pages.dev/termek/sp-d3-453/</t>
        </is>
      </c>
      <c r="Q1984" s="12" t="inlineStr"/>
      <c r="R1984" s="13" t="inlineStr"/>
      <c r="S1984" s="6" t="inlineStr">
        <is>
          <t>sp-d3-453</t>
        </is>
      </c>
    </row>
  </sheetData>
  <autoFilter ref="A1:S1984"/>
  <conditionalFormatting sqref="K2:K1984">
    <cfRule type="expression" priority="1" dxfId="1">
      <formula>K2="Nincs kép és adat"</formula>
    </cfRule>
    <cfRule type="expression" priority="2" dxfId="0">
      <formula>OR(K2="Nincs kép",K2="Nincs adat")</formula>
    </cfRule>
    <cfRule type="expression" priority="3" dxfId="2">
      <formula>K2="Rendben"</formula>
    </cfRule>
  </conditionalFormatting>
  <conditionalFormatting sqref="A2:P1984">
    <cfRule type="expression" priority="4" dxfId="3">
      <formula>$Q2="IGEN"</formula>
    </cfRule>
  </conditionalFormatting>
  <dataValidations count="1">
    <dataValidation sqref="Q2:Q1984" showDropDown="0" showInputMessage="0" showErrorMessage="0" allowBlank="1" errorTitle="TÖRÖLHETŐ" error="Csak „IGEN” vagy üres lehet." type="list">
      <formula1>"IGEN"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O17" r:id="rId16"/>
    <hyperlink xmlns:r="http://schemas.openxmlformats.org/officeDocument/2006/relationships" ref="P17" r:id="rId17"/>
    <hyperlink xmlns:r="http://schemas.openxmlformats.org/officeDocument/2006/relationships" ref="O18" r:id="rId18"/>
    <hyperlink xmlns:r="http://schemas.openxmlformats.org/officeDocument/2006/relationships" ref="P18" r:id="rId19"/>
    <hyperlink xmlns:r="http://schemas.openxmlformats.org/officeDocument/2006/relationships" ref="O19" r:id="rId20"/>
    <hyperlink xmlns:r="http://schemas.openxmlformats.org/officeDocument/2006/relationships" ref="P19" r:id="rId21"/>
    <hyperlink xmlns:r="http://schemas.openxmlformats.org/officeDocument/2006/relationships" ref="O20" r:id="rId22"/>
    <hyperlink xmlns:r="http://schemas.openxmlformats.org/officeDocument/2006/relationships" ref="P20" r:id="rId23"/>
    <hyperlink xmlns:r="http://schemas.openxmlformats.org/officeDocument/2006/relationships" ref="O21" r:id="rId24"/>
    <hyperlink xmlns:r="http://schemas.openxmlformats.org/officeDocument/2006/relationships" ref="P21" r:id="rId25"/>
    <hyperlink xmlns:r="http://schemas.openxmlformats.org/officeDocument/2006/relationships" ref="O22" r:id="rId26"/>
    <hyperlink xmlns:r="http://schemas.openxmlformats.org/officeDocument/2006/relationships" ref="P22" r:id="rId27"/>
    <hyperlink xmlns:r="http://schemas.openxmlformats.org/officeDocument/2006/relationships" ref="P23" r:id="rId28"/>
    <hyperlink xmlns:r="http://schemas.openxmlformats.org/officeDocument/2006/relationships" ref="P24" r:id="rId29"/>
    <hyperlink xmlns:r="http://schemas.openxmlformats.org/officeDocument/2006/relationships" ref="P25" r:id="rId30"/>
    <hyperlink xmlns:r="http://schemas.openxmlformats.org/officeDocument/2006/relationships" ref="P26" r:id="rId31"/>
    <hyperlink xmlns:r="http://schemas.openxmlformats.org/officeDocument/2006/relationships" ref="P27" r:id="rId32"/>
    <hyperlink xmlns:r="http://schemas.openxmlformats.org/officeDocument/2006/relationships" ref="P28" r:id="rId33"/>
    <hyperlink xmlns:r="http://schemas.openxmlformats.org/officeDocument/2006/relationships" ref="O29" r:id="rId34"/>
    <hyperlink xmlns:r="http://schemas.openxmlformats.org/officeDocument/2006/relationships" ref="P29" r:id="rId35"/>
    <hyperlink xmlns:r="http://schemas.openxmlformats.org/officeDocument/2006/relationships" ref="O30" r:id="rId36"/>
    <hyperlink xmlns:r="http://schemas.openxmlformats.org/officeDocument/2006/relationships" ref="P30" r:id="rId37"/>
    <hyperlink xmlns:r="http://schemas.openxmlformats.org/officeDocument/2006/relationships" ref="O31" r:id="rId38"/>
    <hyperlink xmlns:r="http://schemas.openxmlformats.org/officeDocument/2006/relationships" ref="P31" r:id="rId39"/>
    <hyperlink xmlns:r="http://schemas.openxmlformats.org/officeDocument/2006/relationships" ref="P32" r:id="rId40"/>
    <hyperlink xmlns:r="http://schemas.openxmlformats.org/officeDocument/2006/relationships" ref="P33" r:id="rId41"/>
    <hyperlink xmlns:r="http://schemas.openxmlformats.org/officeDocument/2006/relationships" ref="P34" r:id="rId42"/>
    <hyperlink xmlns:r="http://schemas.openxmlformats.org/officeDocument/2006/relationships" ref="P35" r:id="rId43"/>
    <hyperlink xmlns:r="http://schemas.openxmlformats.org/officeDocument/2006/relationships" ref="P36" r:id="rId44"/>
    <hyperlink xmlns:r="http://schemas.openxmlformats.org/officeDocument/2006/relationships" ref="P37" r:id="rId45"/>
    <hyperlink xmlns:r="http://schemas.openxmlformats.org/officeDocument/2006/relationships" ref="P38" r:id="rId46"/>
    <hyperlink xmlns:r="http://schemas.openxmlformats.org/officeDocument/2006/relationships" ref="P39" r:id="rId47"/>
    <hyperlink xmlns:r="http://schemas.openxmlformats.org/officeDocument/2006/relationships" ref="P40" r:id="rId48"/>
    <hyperlink xmlns:r="http://schemas.openxmlformats.org/officeDocument/2006/relationships" ref="P41" r:id="rId49"/>
    <hyperlink xmlns:r="http://schemas.openxmlformats.org/officeDocument/2006/relationships" ref="P42" r:id="rId50"/>
    <hyperlink xmlns:r="http://schemas.openxmlformats.org/officeDocument/2006/relationships" ref="P43" r:id="rId51"/>
    <hyperlink xmlns:r="http://schemas.openxmlformats.org/officeDocument/2006/relationships" ref="P44" r:id="rId52"/>
    <hyperlink xmlns:r="http://schemas.openxmlformats.org/officeDocument/2006/relationships" ref="P45" r:id="rId53"/>
    <hyperlink xmlns:r="http://schemas.openxmlformats.org/officeDocument/2006/relationships" ref="P46" r:id="rId54"/>
    <hyperlink xmlns:r="http://schemas.openxmlformats.org/officeDocument/2006/relationships" ref="P47" r:id="rId55"/>
    <hyperlink xmlns:r="http://schemas.openxmlformats.org/officeDocument/2006/relationships" ref="P48" r:id="rId56"/>
    <hyperlink xmlns:r="http://schemas.openxmlformats.org/officeDocument/2006/relationships" ref="P49" r:id="rId57"/>
    <hyperlink xmlns:r="http://schemas.openxmlformats.org/officeDocument/2006/relationships" ref="P50" r:id="rId58"/>
    <hyperlink xmlns:r="http://schemas.openxmlformats.org/officeDocument/2006/relationships" ref="P51" r:id="rId59"/>
    <hyperlink xmlns:r="http://schemas.openxmlformats.org/officeDocument/2006/relationships" ref="P52" r:id="rId60"/>
    <hyperlink xmlns:r="http://schemas.openxmlformats.org/officeDocument/2006/relationships" ref="P53" r:id="rId61"/>
    <hyperlink xmlns:r="http://schemas.openxmlformats.org/officeDocument/2006/relationships" ref="P54" r:id="rId62"/>
    <hyperlink xmlns:r="http://schemas.openxmlformats.org/officeDocument/2006/relationships" ref="P55" r:id="rId63"/>
    <hyperlink xmlns:r="http://schemas.openxmlformats.org/officeDocument/2006/relationships" ref="P56" r:id="rId64"/>
    <hyperlink xmlns:r="http://schemas.openxmlformats.org/officeDocument/2006/relationships" ref="P57" r:id="rId65"/>
    <hyperlink xmlns:r="http://schemas.openxmlformats.org/officeDocument/2006/relationships" ref="P58" r:id="rId66"/>
    <hyperlink xmlns:r="http://schemas.openxmlformats.org/officeDocument/2006/relationships" ref="P59" r:id="rId67"/>
    <hyperlink xmlns:r="http://schemas.openxmlformats.org/officeDocument/2006/relationships" ref="P60" r:id="rId68"/>
    <hyperlink xmlns:r="http://schemas.openxmlformats.org/officeDocument/2006/relationships" ref="P61" r:id="rId69"/>
    <hyperlink xmlns:r="http://schemas.openxmlformats.org/officeDocument/2006/relationships" ref="P62" r:id="rId70"/>
    <hyperlink xmlns:r="http://schemas.openxmlformats.org/officeDocument/2006/relationships" ref="P63" r:id="rId71"/>
    <hyperlink xmlns:r="http://schemas.openxmlformats.org/officeDocument/2006/relationships" ref="P64" r:id="rId72"/>
    <hyperlink xmlns:r="http://schemas.openxmlformats.org/officeDocument/2006/relationships" ref="P65" r:id="rId73"/>
    <hyperlink xmlns:r="http://schemas.openxmlformats.org/officeDocument/2006/relationships" ref="P66" r:id="rId74"/>
    <hyperlink xmlns:r="http://schemas.openxmlformats.org/officeDocument/2006/relationships" ref="P67" r:id="rId75"/>
    <hyperlink xmlns:r="http://schemas.openxmlformats.org/officeDocument/2006/relationships" ref="P68" r:id="rId76"/>
    <hyperlink xmlns:r="http://schemas.openxmlformats.org/officeDocument/2006/relationships" ref="P69" r:id="rId77"/>
    <hyperlink xmlns:r="http://schemas.openxmlformats.org/officeDocument/2006/relationships" ref="P70" r:id="rId78"/>
    <hyperlink xmlns:r="http://schemas.openxmlformats.org/officeDocument/2006/relationships" ref="P71" r:id="rId79"/>
    <hyperlink xmlns:r="http://schemas.openxmlformats.org/officeDocument/2006/relationships" ref="P72" r:id="rId80"/>
    <hyperlink xmlns:r="http://schemas.openxmlformats.org/officeDocument/2006/relationships" ref="P73" r:id="rId81"/>
    <hyperlink xmlns:r="http://schemas.openxmlformats.org/officeDocument/2006/relationships" ref="P74" r:id="rId82"/>
    <hyperlink xmlns:r="http://schemas.openxmlformats.org/officeDocument/2006/relationships" ref="P75" r:id="rId83"/>
    <hyperlink xmlns:r="http://schemas.openxmlformats.org/officeDocument/2006/relationships" ref="P76" r:id="rId84"/>
    <hyperlink xmlns:r="http://schemas.openxmlformats.org/officeDocument/2006/relationships" ref="P77" r:id="rId85"/>
    <hyperlink xmlns:r="http://schemas.openxmlformats.org/officeDocument/2006/relationships" ref="P78" r:id="rId86"/>
    <hyperlink xmlns:r="http://schemas.openxmlformats.org/officeDocument/2006/relationships" ref="P79" r:id="rId87"/>
    <hyperlink xmlns:r="http://schemas.openxmlformats.org/officeDocument/2006/relationships" ref="O80" r:id="rId88"/>
    <hyperlink xmlns:r="http://schemas.openxmlformats.org/officeDocument/2006/relationships" ref="P80" r:id="rId89"/>
    <hyperlink xmlns:r="http://schemas.openxmlformats.org/officeDocument/2006/relationships" ref="O81" r:id="rId90"/>
    <hyperlink xmlns:r="http://schemas.openxmlformats.org/officeDocument/2006/relationships" ref="P81" r:id="rId91"/>
    <hyperlink xmlns:r="http://schemas.openxmlformats.org/officeDocument/2006/relationships" ref="O82" r:id="rId92"/>
    <hyperlink xmlns:r="http://schemas.openxmlformats.org/officeDocument/2006/relationships" ref="P82" r:id="rId93"/>
    <hyperlink xmlns:r="http://schemas.openxmlformats.org/officeDocument/2006/relationships" ref="O83" r:id="rId94"/>
    <hyperlink xmlns:r="http://schemas.openxmlformats.org/officeDocument/2006/relationships" ref="P83" r:id="rId95"/>
    <hyperlink xmlns:r="http://schemas.openxmlformats.org/officeDocument/2006/relationships" ref="O84" r:id="rId96"/>
    <hyperlink xmlns:r="http://schemas.openxmlformats.org/officeDocument/2006/relationships" ref="P84" r:id="rId97"/>
    <hyperlink xmlns:r="http://schemas.openxmlformats.org/officeDocument/2006/relationships" ref="O85" r:id="rId98"/>
    <hyperlink xmlns:r="http://schemas.openxmlformats.org/officeDocument/2006/relationships" ref="P85" r:id="rId99"/>
    <hyperlink xmlns:r="http://schemas.openxmlformats.org/officeDocument/2006/relationships" ref="O86" r:id="rId100"/>
    <hyperlink xmlns:r="http://schemas.openxmlformats.org/officeDocument/2006/relationships" ref="P86" r:id="rId101"/>
    <hyperlink xmlns:r="http://schemas.openxmlformats.org/officeDocument/2006/relationships" ref="O87" r:id="rId102"/>
    <hyperlink xmlns:r="http://schemas.openxmlformats.org/officeDocument/2006/relationships" ref="P87" r:id="rId103"/>
    <hyperlink xmlns:r="http://schemas.openxmlformats.org/officeDocument/2006/relationships" ref="O88" r:id="rId104"/>
    <hyperlink xmlns:r="http://schemas.openxmlformats.org/officeDocument/2006/relationships" ref="P88" r:id="rId105"/>
    <hyperlink xmlns:r="http://schemas.openxmlformats.org/officeDocument/2006/relationships" ref="O89" r:id="rId106"/>
    <hyperlink xmlns:r="http://schemas.openxmlformats.org/officeDocument/2006/relationships" ref="P89" r:id="rId107"/>
    <hyperlink xmlns:r="http://schemas.openxmlformats.org/officeDocument/2006/relationships" ref="O90" r:id="rId108"/>
    <hyperlink xmlns:r="http://schemas.openxmlformats.org/officeDocument/2006/relationships" ref="P90" r:id="rId109"/>
    <hyperlink xmlns:r="http://schemas.openxmlformats.org/officeDocument/2006/relationships" ref="O91" r:id="rId110"/>
    <hyperlink xmlns:r="http://schemas.openxmlformats.org/officeDocument/2006/relationships" ref="P91" r:id="rId111"/>
    <hyperlink xmlns:r="http://schemas.openxmlformats.org/officeDocument/2006/relationships" ref="O92" r:id="rId112"/>
    <hyperlink xmlns:r="http://schemas.openxmlformats.org/officeDocument/2006/relationships" ref="P92" r:id="rId113"/>
    <hyperlink xmlns:r="http://schemas.openxmlformats.org/officeDocument/2006/relationships" ref="O93" r:id="rId114"/>
    <hyperlink xmlns:r="http://schemas.openxmlformats.org/officeDocument/2006/relationships" ref="P93" r:id="rId115"/>
    <hyperlink xmlns:r="http://schemas.openxmlformats.org/officeDocument/2006/relationships" ref="O94" r:id="rId116"/>
    <hyperlink xmlns:r="http://schemas.openxmlformats.org/officeDocument/2006/relationships" ref="P94" r:id="rId117"/>
    <hyperlink xmlns:r="http://schemas.openxmlformats.org/officeDocument/2006/relationships" ref="O95" r:id="rId118"/>
    <hyperlink xmlns:r="http://schemas.openxmlformats.org/officeDocument/2006/relationships" ref="P95" r:id="rId119"/>
    <hyperlink xmlns:r="http://schemas.openxmlformats.org/officeDocument/2006/relationships" ref="O96" r:id="rId120"/>
    <hyperlink xmlns:r="http://schemas.openxmlformats.org/officeDocument/2006/relationships" ref="P96" r:id="rId121"/>
    <hyperlink xmlns:r="http://schemas.openxmlformats.org/officeDocument/2006/relationships" ref="O97" r:id="rId122"/>
    <hyperlink xmlns:r="http://schemas.openxmlformats.org/officeDocument/2006/relationships" ref="P97" r:id="rId123"/>
    <hyperlink xmlns:r="http://schemas.openxmlformats.org/officeDocument/2006/relationships" ref="O98" r:id="rId124"/>
    <hyperlink xmlns:r="http://schemas.openxmlformats.org/officeDocument/2006/relationships" ref="P98" r:id="rId125"/>
    <hyperlink xmlns:r="http://schemas.openxmlformats.org/officeDocument/2006/relationships" ref="O99" r:id="rId126"/>
    <hyperlink xmlns:r="http://schemas.openxmlformats.org/officeDocument/2006/relationships" ref="P99" r:id="rId127"/>
    <hyperlink xmlns:r="http://schemas.openxmlformats.org/officeDocument/2006/relationships" ref="O100" r:id="rId128"/>
    <hyperlink xmlns:r="http://schemas.openxmlformats.org/officeDocument/2006/relationships" ref="P100" r:id="rId129"/>
    <hyperlink xmlns:r="http://schemas.openxmlformats.org/officeDocument/2006/relationships" ref="O101" r:id="rId130"/>
    <hyperlink xmlns:r="http://schemas.openxmlformats.org/officeDocument/2006/relationships" ref="P101" r:id="rId131"/>
    <hyperlink xmlns:r="http://schemas.openxmlformats.org/officeDocument/2006/relationships" ref="O102" r:id="rId132"/>
    <hyperlink xmlns:r="http://schemas.openxmlformats.org/officeDocument/2006/relationships" ref="P102" r:id="rId133"/>
    <hyperlink xmlns:r="http://schemas.openxmlformats.org/officeDocument/2006/relationships" ref="O103" r:id="rId134"/>
    <hyperlink xmlns:r="http://schemas.openxmlformats.org/officeDocument/2006/relationships" ref="P103" r:id="rId135"/>
    <hyperlink xmlns:r="http://schemas.openxmlformats.org/officeDocument/2006/relationships" ref="O104" r:id="rId136"/>
    <hyperlink xmlns:r="http://schemas.openxmlformats.org/officeDocument/2006/relationships" ref="P104" r:id="rId137"/>
    <hyperlink xmlns:r="http://schemas.openxmlformats.org/officeDocument/2006/relationships" ref="O105" r:id="rId138"/>
    <hyperlink xmlns:r="http://schemas.openxmlformats.org/officeDocument/2006/relationships" ref="P105" r:id="rId139"/>
    <hyperlink xmlns:r="http://schemas.openxmlformats.org/officeDocument/2006/relationships" ref="O106" r:id="rId140"/>
    <hyperlink xmlns:r="http://schemas.openxmlformats.org/officeDocument/2006/relationships" ref="P106" r:id="rId141"/>
    <hyperlink xmlns:r="http://schemas.openxmlformats.org/officeDocument/2006/relationships" ref="O107" r:id="rId142"/>
    <hyperlink xmlns:r="http://schemas.openxmlformats.org/officeDocument/2006/relationships" ref="P107" r:id="rId143"/>
    <hyperlink xmlns:r="http://schemas.openxmlformats.org/officeDocument/2006/relationships" ref="O108" r:id="rId144"/>
    <hyperlink xmlns:r="http://schemas.openxmlformats.org/officeDocument/2006/relationships" ref="P108" r:id="rId145"/>
    <hyperlink xmlns:r="http://schemas.openxmlformats.org/officeDocument/2006/relationships" ref="O109" r:id="rId146"/>
    <hyperlink xmlns:r="http://schemas.openxmlformats.org/officeDocument/2006/relationships" ref="P109" r:id="rId147"/>
    <hyperlink xmlns:r="http://schemas.openxmlformats.org/officeDocument/2006/relationships" ref="O110" r:id="rId148"/>
    <hyperlink xmlns:r="http://schemas.openxmlformats.org/officeDocument/2006/relationships" ref="P110" r:id="rId149"/>
    <hyperlink xmlns:r="http://schemas.openxmlformats.org/officeDocument/2006/relationships" ref="O111" r:id="rId150"/>
    <hyperlink xmlns:r="http://schemas.openxmlformats.org/officeDocument/2006/relationships" ref="P111" r:id="rId151"/>
    <hyperlink xmlns:r="http://schemas.openxmlformats.org/officeDocument/2006/relationships" ref="O112" r:id="rId152"/>
    <hyperlink xmlns:r="http://schemas.openxmlformats.org/officeDocument/2006/relationships" ref="P112" r:id="rId153"/>
    <hyperlink xmlns:r="http://schemas.openxmlformats.org/officeDocument/2006/relationships" ref="O113" r:id="rId154"/>
    <hyperlink xmlns:r="http://schemas.openxmlformats.org/officeDocument/2006/relationships" ref="P113" r:id="rId155"/>
    <hyperlink xmlns:r="http://schemas.openxmlformats.org/officeDocument/2006/relationships" ref="O114" r:id="rId156"/>
    <hyperlink xmlns:r="http://schemas.openxmlformats.org/officeDocument/2006/relationships" ref="P114" r:id="rId157"/>
    <hyperlink xmlns:r="http://schemas.openxmlformats.org/officeDocument/2006/relationships" ref="O115" r:id="rId158"/>
    <hyperlink xmlns:r="http://schemas.openxmlformats.org/officeDocument/2006/relationships" ref="P115" r:id="rId159"/>
    <hyperlink xmlns:r="http://schemas.openxmlformats.org/officeDocument/2006/relationships" ref="O116" r:id="rId160"/>
    <hyperlink xmlns:r="http://schemas.openxmlformats.org/officeDocument/2006/relationships" ref="P116" r:id="rId161"/>
    <hyperlink xmlns:r="http://schemas.openxmlformats.org/officeDocument/2006/relationships" ref="O117" r:id="rId162"/>
    <hyperlink xmlns:r="http://schemas.openxmlformats.org/officeDocument/2006/relationships" ref="P117" r:id="rId163"/>
    <hyperlink xmlns:r="http://schemas.openxmlformats.org/officeDocument/2006/relationships" ref="O118" r:id="rId164"/>
    <hyperlink xmlns:r="http://schemas.openxmlformats.org/officeDocument/2006/relationships" ref="P118" r:id="rId165"/>
    <hyperlink xmlns:r="http://schemas.openxmlformats.org/officeDocument/2006/relationships" ref="O119" r:id="rId166"/>
    <hyperlink xmlns:r="http://schemas.openxmlformats.org/officeDocument/2006/relationships" ref="P119" r:id="rId167"/>
    <hyperlink xmlns:r="http://schemas.openxmlformats.org/officeDocument/2006/relationships" ref="P120" r:id="rId168"/>
    <hyperlink xmlns:r="http://schemas.openxmlformats.org/officeDocument/2006/relationships" ref="O121" r:id="rId169"/>
    <hyperlink xmlns:r="http://schemas.openxmlformats.org/officeDocument/2006/relationships" ref="P121" r:id="rId170"/>
    <hyperlink xmlns:r="http://schemas.openxmlformats.org/officeDocument/2006/relationships" ref="O122" r:id="rId171"/>
    <hyperlink xmlns:r="http://schemas.openxmlformats.org/officeDocument/2006/relationships" ref="P122" r:id="rId172"/>
    <hyperlink xmlns:r="http://schemas.openxmlformats.org/officeDocument/2006/relationships" ref="O123" r:id="rId173"/>
    <hyperlink xmlns:r="http://schemas.openxmlformats.org/officeDocument/2006/relationships" ref="P123" r:id="rId174"/>
    <hyperlink xmlns:r="http://schemas.openxmlformats.org/officeDocument/2006/relationships" ref="O124" r:id="rId175"/>
    <hyperlink xmlns:r="http://schemas.openxmlformats.org/officeDocument/2006/relationships" ref="P124" r:id="rId176"/>
    <hyperlink xmlns:r="http://schemas.openxmlformats.org/officeDocument/2006/relationships" ref="O125" r:id="rId177"/>
    <hyperlink xmlns:r="http://schemas.openxmlformats.org/officeDocument/2006/relationships" ref="P125" r:id="rId178"/>
    <hyperlink xmlns:r="http://schemas.openxmlformats.org/officeDocument/2006/relationships" ref="P126" r:id="rId179"/>
    <hyperlink xmlns:r="http://schemas.openxmlformats.org/officeDocument/2006/relationships" ref="P127" r:id="rId180"/>
    <hyperlink xmlns:r="http://schemas.openxmlformats.org/officeDocument/2006/relationships" ref="P128" r:id="rId181"/>
    <hyperlink xmlns:r="http://schemas.openxmlformats.org/officeDocument/2006/relationships" ref="P129" r:id="rId182"/>
    <hyperlink xmlns:r="http://schemas.openxmlformats.org/officeDocument/2006/relationships" ref="P130" r:id="rId183"/>
    <hyperlink xmlns:r="http://schemas.openxmlformats.org/officeDocument/2006/relationships" ref="P131" r:id="rId184"/>
    <hyperlink xmlns:r="http://schemas.openxmlformats.org/officeDocument/2006/relationships" ref="P132" r:id="rId185"/>
    <hyperlink xmlns:r="http://schemas.openxmlformats.org/officeDocument/2006/relationships" ref="P133" r:id="rId186"/>
    <hyperlink xmlns:r="http://schemas.openxmlformats.org/officeDocument/2006/relationships" ref="P134" r:id="rId187"/>
    <hyperlink xmlns:r="http://schemas.openxmlformats.org/officeDocument/2006/relationships" ref="P135" r:id="rId188"/>
    <hyperlink xmlns:r="http://schemas.openxmlformats.org/officeDocument/2006/relationships" ref="P136" r:id="rId189"/>
    <hyperlink xmlns:r="http://schemas.openxmlformats.org/officeDocument/2006/relationships" ref="P137" r:id="rId190"/>
    <hyperlink xmlns:r="http://schemas.openxmlformats.org/officeDocument/2006/relationships" ref="P138" r:id="rId191"/>
    <hyperlink xmlns:r="http://schemas.openxmlformats.org/officeDocument/2006/relationships" ref="P139" r:id="rId192"/>
    <hyperlink xmlns:r="http://schemas.openxmlformats.org/officeDocument/2006/relationships" ref="P140" r:id="rId193"/>
    <hyperlink xmlns:r="http://schemas.openxmlformats.org/officeDocument/2006/relationships" ref="P141" r:id="rId194"/>
    <hyperlink xmlns:r="http://schemas.openxmlformats.org/officeDocument/2006/relationships" ref="P142" r:id="rId195"/>
    <hyperlink xmlns:r="http://schemas.openxmlformats.org/officeDocument/2006/relationships" ref="P143" r:id="rId196"/>
    <hyperlink xmlns:r="http://schemas.openxmlformats.org/officeDocument/2006/relationships" ref="P144" r:id="rId197"/>
    <hyperlink xmlns:r="http://schemas.openxmlformats.org/officeDocument/2006/relationships" ref="P145" r:id="rId198"/>
    <hyperlink xmlns:r="http://schemas.openxmlformats.org/officeDocument/2006/relationships" ref="P146" r:id="rId199"/>
    <hyperlink xmlns:r="http://schemas.openxmlformats.org/officeDocument/2006/relationships" ref="P147" r:id="rId200"/>
    <hyperlink xmlns:r="http://schemas.openxmlformats.org/officeDocument/2006/relationships" ref="P148" r:id="rId201"/>
    <hyperlink xmlns:r="http://schemas.openxmlformats.org/officeDocument/2006/relationships" ref="P149" r:id="rId202"/>
    <hyperlink xmlns:r="http://schemas.openxmlformats.org/officeDocument/2006/relationships" ref="P150" r:id="rId203"/>
    <hyperlink xmlns:r="http://schemas.openxmlformats.org/officeDocument/2006/relationships" ref="P151" r:id="rId204"/>
    <hyperlink xmlns:r="http://schemas.openxmlformats.org/officeDocument/2006/relationships" ref="P152" r:id="rId205"/>
    <hyperlink xmlns:r="http://schemas.openxmlformats.org/officeDocument/2006/relationships" ref="P153" r:id="rId206"/>
    <hyperlink xmlns:r="http://schemas.openxmlformats.org/officeDocument/2006/relationships" ref="P154" r:id="rId207"/>
    <hyperlink xmlns:r="http://schemas.openxmlformats.org/officeDocument/2006/relationships" ref="P155" r:id="rId208"/>
    <hyperlink xmlns:r="http://schemas.openxmlformats.org/officeDocument/2006/relationships" ref="P156" r:id="rId209"/>
    <hyperlink xmlns:r="http://schemas.openxmlformats.org/officeDocument/2006/relationships" ref="P157" r:id="rId210"/>
    <hyperlink xmlns:r="http://schemas.openxmlformats.org/officeDocument/2006/relationships" ref="P158" r:id="rId211"/>
    <hyperlink xmlns:r="http://schemas.openxmlformats.org/officeDocument/2006/relationships" ref="P159" r:id="rId212"/>
    <hyperlink xmlns:r="http://schemas.openxmlformats.org/officeDocument/2006/relationships" ref="P160" r:id="rId213"/>
    <hyperlink xmlns:r="http://schemas.openxmlformats.org/officeDocument/2006/relationships" ref="P161" r:id="rId214"/>
    <hyperlink xmlns:r="http://schemas.openxmlformats.org/officeDocument/2006/relationships" ref="P162" r:id="rId215"/>
    <hyperlink xmlns:r="http://schemas.openxmlformats.org/officeDocument/2006/relationships" ref="P163" r:id="rId216"/>
    <hyperlink xmlns:r="http://schemas.openxmlformats.org/officeDocument/2006/relationships" ref="P164" r:id="rId217"/>
    <hyperlink xmlns:r="http://schemas.openxmlformats.org/officeDocument/2006/relationships" ref="P165" r:id="rId218"/>
    <hyperlink xmlns:r="http://schemas.openxmlformats.org/officeDocument/2006/relationships" ref="P166" r:id="rId219"/>
    <hyperlink xmlns:r="http://schemas.openxmlformats.org/officeDocument/2006/relationships" ref="P167" r:id="rId220"/>
    <hyperlink xmlns:r="http://schemas.openxmlformats.org/officeDocument/2006/relationships" ref="P168" r:id="rId221"/>
    <hyperlink xmlns:r="http://schemas.openxmlformats.org/officeDocument/2006/relationships" ref="P169" r:id="rId222"/>
    <hyperlink xmlns:r="http://schemas.openxmlformats.org/officeDocument/2006/relationships" ref="P170" r:id="rId223"/>
    <hyperlink xmlns:r="http://schemas.openxmlformats.org/officeDocument/2006/relationships" ref="P171" r:id="rId224"/>
    <hyperlink xmlns:r="http://schemas.openxmlformats.org/officeDocument/2006/relationships" ref="P172" r:id="rId225"/>
    <hyperlink xmlns:r="http://schemas.openxmlformats.org/officeDocument/2006/relationships" ref="P173" r:id="rId226"/>
    <hyperlink xmlns:r="http://schemas.openxmlformats.org/officeDocument/2006/relationships" ref="P174" r:id="rId227"/>
    <hyperlink xmlns:r="http://schemas.openxmlformats.org/officeDocument/2006/relationships" ref="P175" r:id="rId228"/>
    <hyperlink xmlns:r="http://schemas.openxmlformats.org/officeDocument/2006/relationships" ref="P176" r:id="rId229"/>
    <hyperlink xmlns:r="http://schemas.openxmlformats.org/officeDocument/2006/relationships" ref="P177" r:id="rId230"/>
    <hyperlink xmlns:r="http://schemas.openxmlformats.org/officeDocument/2006/relationships" ref="P178" r:id="rId231"/>
    <hyperlink xmlns:r="http://schemas.openxmlformats.org/officeDocument/2006/relationships" ref="P179" r:id="rId232"/>
    <hyperlink xmlns:r="http://schemas.openxmlformats.org/officeDocument/2006/relationships" ref="P180" r:id="rId233"/>
    <hyperlink xmlns:r="http://schemas.openxmlformats.org/officeDocument/2006/relationships" ref="P181" r:id="rId234"/>
    <hyperlink xmlns:r="http://schemas.openxmlformats.org/officeDocument/2006/relationships" ref="P182" r:id="rId235"/>
    <hyperlink xmlns:r="http://schemas.openxmlformats.org/officeDocument/2006/relationships" ref="P183" r:id="rId236"/>
    <hyperlink xmlns:r="http://schemas.openxmlformats.org/officeDocument/2006/relationships" ref="P184" r:id="rId237"/>
    <hyperlink xmlns:r="http://schemas.openxmlformats.org/officeDocument/2006/relationships" ref="P185" r:id="rId238"/>
    <hyperlink xmlns:r="http://schemas.openxmlformats.org/officeDocument/2006/relationships" ref="O186" r:id="rId239"/>
    <hyperlink xmlns:r="http://schemas.openxmlformats.org/officeDocument/2006/relationships" ref="P186" r:id="rId240"/>
    <hyperlink xmlns:r="http://schemas.openxmlformats.org/officeDocument/2006/relationships" ref="O187" r:id="rId241"/>
    <hyperlink xmlns:r="http://schemas.openxmlformats.org/officeDocument/2006/relationships" ref="P187" r:id="rId242"/>
    <hyperlink xmlns:r="http://schemas.openxmlformats.org/officeDocument/2006/relationships" ref="O188" r:id="rId243"/>
    <hyperlink xmlns:r="http://schemas.openxmlformats.org/officeDocument/2006/relationships" ref="P188" r:id="rId244"/>
    <hyperlink xmlns:r="http://schemas.openxmlformats.org/officeDocument/2006/relationships" ref="P189" r:id="rId245"/>
    <hyperlink xmlns:r="http://schemas.openxmlformats.org/officeDocument/2006/relationships" ref="P190" r:id="rId246"/>
    <hyperlink xmlns:r="http://schemas.openxmlformats.org/officeDocument/2006/relationships" ref="P191" r:id="rId247"/>
    <hyperlink xmlns:r="http://schemas.openxmlformats.org/officeDocument/2006/relationships" ref="P192" r:id="rId248"/>
    <hyperlink xmlns:r="http://schemas.openxmlformats.org/officeDocument/2006/relationships" ref="O193" r:id="rId249"/>
    <hyperlink xmlns:r="http://schemas.openxmlformats.org/officeDocument/2006/relationships" ref="P193" r:id="rId250"/>
    <hyperlink xmlns:r="http://schemas.openxmlformats.org/officeDocument/2006/relationships" ref="O194" r:id="rId251"/>
    <hyperlink xmlns:r="http://schemas.openxmlformats.org/officeDocument/2006/relationships" ref="P194" r:id="rId252"/>
    <hyperlink xmlns:r="http://schemas.openxmlformats.org/officeDocument/2006/relationships" ref="O195" r:id="rId253"/>
    <hyperlink xmlns:r="http://schemas.openxmlformats.org/officeDocument/2006/relationships" ref="P195" r:id="rId254"/>
    <hyperlink xmlns:r="http://schemas.openxmlformats.org/officeDocument/2006/relationships" ref="P196" r:id="rId255"/>
    <hyperlink xmlns:r="http://schemas.openxmlformats.org/officeDocument/2006/relationships" ref="O197" r:id="rId256"/>
    <hyperlink xmlns:r="http://schemas.openxmlformats.org/officeDocument/2006/relationships" ref="P197" r:id="rId257"/>
    <hyperlink xmlns:r="http://schemas.openxmlformats.org/officeDocument/2006/relationships" ref="O198" r:id="rId258"/>
    <hyperlink xmlns:r="http://schemas.openxmlformats.org/officeDocument/2006/relationships" ref="P198" r:id="rId259"/>
    <hyperlink xmlns:r="http://schemas.openxmlformats.org/officeDocument/2006/relationships" ref="P199" r:id="rId260"/>
    <hyperlink xmlns:r="http://schemas.openxmlformats.org/officeDocument/2006/relationships" ref="O200" r:id="rId261"/>
    <hyperlink xmlns:r="http://schemas.openxmlformats.org/officeDocument/2006/relationships" ref="P200" r:id="rId262"/>
    <hyperlink xmlns:r="http://schemas.openxmlformats.org/officeDocument/2006/relationships" ref="P201" r:id="rId263"/>
    <hyperlink xmlns:r="http://schemas.openxmlformats.org/officeDocument/2006/relationships" ref="O202" r:id="rId264"/>
    <hyperlink xmlns:r="http://schemas.openxmlformats.org/officeDocument/2006/relationships" ref="P202" r:id="rId265"/>
    <hyperlink xmlns:r="http://schemas.openxmlformats.org/officeDocument/2006/relationships" ref="O203" r:id="rId266"/>
    <hyperlink xmlns:r="http://schemas.openxmlformats.org/officeDocument/2006/relationships" ref="P203" r:id="rId267"/>
    <hyperlink xmlns:r="http://schemas.openxmlformats.org/officeDocument/2006/relationships" ref="O204" r:id="rId268"/>
    <hyperlink xmlns:r="http://schemas.openxmlformats.org/officeDocument/2006/relationships" ref="P204" r:id="rId269"/>
    <hyperlink xmlns:r="http://schemas.openxmlformats.org/officeDocument/2006/relationships" ref="O205" r:id="rId270"/>
    <hyperlink xmlns:r="http://schemas.openxmlformats.org/officeDocument/2006/relationships" ref="P205" r:id="rId271"/>
    <hyperlink xmlns:r="http://schemas.openxmlformats.org/officeDocument/2006/relationships" ref="P206" r:id="rId272"/>
    <hyperlink xmlns:r="http://schemas.openxmlformats.org/officeDocument/2006/relationships" ref="P207" r:id="rId273"/>
    <hyperlink xmlns:r="http://schemas.openxmlformats.org/officeDocument/2006/relationships" ref="P208" r:id="rId274"/>
    <hyperlink xmlns:r="http://schemas.openxmlformats.org/officeDocument/2006/relationships" ref="P209" r:id="rId275"/>
    <hyperlink xmlns:r="http://schemas.openxmlformats.org/officeDocument/2006/relationships" ref="O210" r:id="rId276"/>
    <hyperlink xmlns:r="http://schemas.openxmlformats.org/officeDocument/2006/relationships" ref="P210" r:id="rId277"/>
    <hyperlink xmlns:r="http://schemas.openxmlformats.org/officeDocument/2006/relationships" ref="P211" r:id="rId278"/>
    <hyperlink xmlns:r="http://schemas.openxmlformats.org/officeDocument/2006/relationships" ref="O212" r:id="rId279"/>
    <hyperlink xmlns:r="http://schemas.openxmlformats.org/officeDocument/2006/relationships" ref="P212" r:id="rId280"/>
    <hyperlink xmlns:r="http://schemas.openxmlformats.org/officeDocument/2006/relationships" ref="O213" r:id="rId281"/>
    <hyperlink xmlns:r="http://schemas.openxmlformats.org/officeDocument/2006/relationships" ref="P213" r:id="rId282"/>
    <hyperlink xmlns:r="http://schemas.openxmlformats.org/officeDocument/2006/relationships" ref="O214" r:id="rId283"/>
    <hyperlink xmlns:r="http://schemas.openxmlformats.org/officeDocument/2006/relationships" ref="P214" r:id="rId284"/>
    <hyperlink xmlns:r="http://schemas.openxmlformats.org/officeDocument/2006/relationships" ref="O215" r:id="rId285"/>
    <hyperlink xmlns:r="http://schemas.openxmlformats.org/officeDocument/2006/relationships" ref="P215" r:id="rId286"/>
    <hyperlink xmlns:r="http://schemas.openxmlformats.org/officeDocument/2006/relationships" ref="O216" r:id="rId287"/>
    <hyperlink xmlns:r="http://schemas.openxmlformats.org/officeDocument/2006/relationships" ref="P216" r:id="rId288"/>
    <hyperlink xmlns:r="http://schemas.openxmlformats.org/officeDocument/2006/relationships" ref="P217" r:id="rId289"/>
    <hyperlink xmlns:r="http://schemas.openxmlformats.org/officeDocument/2006/relationships" ref="O218" r:id="rId290"/>
    <hyperlink xmlns:r="http://schemas.openxmlformats.org/officeDocument/2006/relationships" ref="P218" r:id="rId291"/>
    <hyperlink xmlns:r="http://schemas.openxmlformats.org/officeDocument/2006/relationships" ref="O219" r:id="rId292"/>
    <hyperlink xmlns:r="http://schemas.openxmlformats.org/officeDocument/2006/relationships" ref="P219" r:id="rId293"/>
    <hyperlink xmlns:r="http://schemas.openxmlformats.org/officeDocument/2006/relationships" ref="O220" r:id="rId294"/>
    <hyperlink xmlns:r="http://schemas.openxmlformats.org/officeDocument/2006/relationships" ref="P220" r:id="rId295"/>
    <hyperlink xmlns:r="http://schemas.openxmlformats.org/officeDocument/2006/relationships" ref="P221" r:id="rId296"/>
    <hyperlink xmlns:r="http://schemas.openxmlformats.org/officeDocument/2006/relationships" ref="O222" r:id="rId297"/>
    <hyperlink xmlns:r="http://schemas.openxmlformats.org/officeDocument/2006/relationships" ref="P222" r:id="rId298"/>
    <hyperlink xmlns:r="http://schemas.openxmlformats.org/officeDocument/2006/relationships" ref="O223" r:id="rId299"/>
    <hyperlink xmlns:r="http://schemas.openxmlformats.org/officeDocument/2006/relationships" ref="P223" r:id="rId300"/>
    <hyperlink xmlns:r="http://schemas.openxmlformats.org/officeDocument/2006/relationships" ref="O224" r:id="rId301"/>
    <hyperlink xmlns:r="http://schemas.openxmlformats.org/officeDocument/2006/relationships" ref="P224" r:id="rId302"/>
    <hyperlink xmlns:r="http://schemas.openxmlformats.org/officeDocument/2006/relationships" ref="O225" r:id="rId303"/>
    <hyperlink xmlns:r="http://schemas.openxmlformats.org/officeDocument/2006/relationships" ref="P225" r:id="rId304"/>
    <hyperlink xmlns:r="http://schemas.openxmlformats.org/officeDocument/2006/relationships" ref="P226" r:id="rId305"/>
    <hyperlink xmlns:r="http://schemas.openxmlformats.org/officeDocument/2006/relationships" ref="O227" r:id="rId306"/>
    <hyperlink xmlns:r="http://schemas.openxmlformats.org/officeDocument/2006/relationships" ref="P227" r:id="rId307"/>
    <hyperlink xmlns:r="http://schemas.openxmlformats.org/officeDocument/2006/relationships" ref="O228" r:id="rId308"/>
    <hyperlink xmlns:r="http://schemas.openxmlformats.org/officeDocument/2006/relationships" ref="P228" r:id="rId309"/>
    <hyperlink xmlns:r="http://schemas.openxmlformats.org/officeDocument/2006/relationships" ref="O229" r:id="rId310"/>
    <hyperlink xmlns:r="http://schemas.openxmlformats.org/officeDocument/2006/relationships" ref="P229" r:id="rId311"/>
    <hyperlink xmlns:r="http://schemas.openxmlformats.org/officeDocument/2006/relationships" ref="O230" r:id="rId312"/>
    <hyperlink xmlns:r="http://schemas.openxmlformats.org/officeDocument/2006/relationships" ref="P230" r:id="rId313"/>
    <hyperlink xmlns:r="http://schemas.openxmlformats.org/officeDocument/2006/relationships" ref="O231" r:id="rId314"/>
    <hyperlink xmlns:r="http://schemas.openxmlformats.org/officeDocument/2006/relationships" ref="P231" r:id="rId315"/>
    <hyperlink xmlns:r="http://schemas.openxmlformats.org/officeDocument/2006/relationships" ref="O232" r:id="rId316"/>
    <hyperlink xmlns:r="http://schemas.openxmlformats.org/officeDocument/2006/relationships" ref="P232" r:id="rId317"/>
    <hyperlink xmlns:r="http://schemas.openxmlformats.org/officeDocument/2006/relationships" ref="P233" r:id="rId318"/>
    <hyperlink xmlns:r="http://schemas.openxmlformats.org/officeDocument/2006/relationships" ref="O234" r:id="rId319"/>
    <hyperlink xmlns:r="http://schemas.openxmlformats.org/officeDocument/2006/relationships" ref="P234" r:id="rId320"/>
    <hyperlink xmlns:r="http://schemas.openxmlformats.org/officeDocument/2006/relationships" ref="O235" r:id="rId321"/>
    <hyperlink xmlns:r="http://schemas.openxmlformats.org/officeDocument/2006/relationships" ref="P235" r:id="rId322"/>
    <hyperlink xmlns:r="http://schemas.openxmlformats.org/officeDocument/2006/relationships" ref="O236" r:id="rId323"/>
    <hyperlink xmlns:r="http://schemas.openxmlformats.org/officeDocument/2006/relationships" ref="P236" r:id="rId324"/>
    <hyperlink xmlns:r="http://schemas.openxmlformats.org/officeDocument/2006/relationships" ref="O237" r:id="rId325"/>
    <hyperlink xmlns:r="http://schemas.openxmlformats.org/officeDocument/2006/relationships" ref="P237" r:id="rId326"/>
    <hyperlink xmlns:r="http://schemas.openxmlformats.org/officeDocument/2006/relationships" ref="O238" r:id="rId327"/>
    <hyperlink xmlns:r="http://schemas.openxmlformats.org/officeDocument/2006/relationships" ref="P238" r:id="rId328"/>
    <hyperlink xmlns:r="http://schemas.openxmlformats.org/officeDocument/2006/relationships" ref="O239" r:id="rId329"/>
    <hyperlink xmlns:r="http://schemas.openxmlformats.org/officeDocument/2006/relationships" ref="P239" r:id="rId330"/>
    <hyperlink xmlns:r="http://schemas.openxmlformats.org/officeDocument/2006/relationships" ref="O240" r:id="rId331"/>
    <hyperlink xmlns:r="http://schemas.openxmlformats.org/officeDocument/2006/relationships" ref="P240" r:id="rId332"/>
    <hyperlink xmlns:r="http://schemas.openxmlformats.org/officeDocument/2006/relationships" ref="O241" r:id="rId333"/>
    <hyperlink xmlns:r="http://schemas.openxmlformats.org/officeDocument/2006/relationships" ref="P241" r:id="rId334"/>
    <hyperlink xmlns:r="http://schemas.openxmlformats.org/officeDocument/2006/relationships" ref="O242" r:id="rId335"/>
    <hyperlink xmlns:r="http://schemas.openxmlformats.org/officeDocument/2006/relationships" ref="P242" r:id="rId336"/>
    <hyperlink xmlns:r="http://schemas.openxmlformats.org/officeDocument/2006/relationships" ref="O243" r:id="rId337"/>
    <hyperlink xmlns:r="http://schemas.openxmlformats.org/officeDocument/2006/relationships" ref="P243" r:id="rId338"/>
    <hyperlink xmlns:r="http://schemas.openxmlformats.org/officeDocument/2006/relationships" ref="O244" r:id="rId339"/>
    <hyperlink xmlns:r="http://schemas.openxmlformats.org/officeDocument/2006/relationships" ref="P244" r:id="rId340"/>
    <hyperlink xmlns:r="http://schemas.openxmlformats.org/officeDocument/2006/relationships" ref="P245" r:id="rId341"/>
    <hyperlink xmlns:r="http://schemas.openxmlformats.org/officeDocument/2006/relationships" ref="P246" r:id="rId342"/>
    <hyperlink xmlns:r="http://schemas.openxmlformats.org/officeDocument/2006/relationships" ref="O247" r:id="rId343"/>
    <hyperlink xmlns:r="http://schemas.openxmlformats.org/officeDocument/2006/relationships" ref="P247" r:id="rId344"/>
    <hyperlink xmlns:r="http://schemas.openxmlformats.org/officeDocument/2006/relationships" ref="P248" r:id="rId345"/>
    <hyperlink xmlns:r="http://schemas.openxmlformats.org/officeDocument/2006/relationships" ref="P249" r:id="rId346"/>
    <hyperlink xmlns:r="http://schemas.openxmlformats.org/officeDocument/2006/relationships" ref="O250" r:id="rId347"/>
    <hyperlink xmlns:r="http://schemas.openxmlformats.org/officeDocument/2006/relationships" ref="P250" r:id="rId348"/>
    <hyperlink xmlns:r="http://schemas.openxmlformats.org/officeDocument/2006/relationships" ref="P251" r:id="rId349"/>
    <hyperlink xmlns:r="http://schemas.openxmlformats.org/officeDocument/2006/relationships" ref="O252" r:id="rId350"/>
    <hyperlink xmlns:r="http://schemas.openxmlformats.org/officeDocument/2006/relationships" ref="P252" r:id="rId351"/>
    <hyperlink xmlns:r="http://schemas.openxmlformats.org/officeDocument/2006/relationships" ref="O253" r:id="rId352"/>
    <hyperlink xmlns:r="http://schemas.openxmlformats.org/officeDocument/2006/relationships" ref="P253" r:id="rId353"/>
    <hyperlink xmlns:r="http://schemas.openxmlformats.org/officeDocument/2006/relationships" ref="O254" r:id="rId354"/>
    <hyperlink xmlns:r="http://schemas.openxmlformats.org/officeDocument/2006/relationships" ref="P254" r:id="rId355"/>
    <hyperlink xmlns:r="http://schemas.openxmlformats.org/officeDocument/2006/relationships" ref="O255" r:id="rId356"/>
    <hyperlink xmlns:r="http://schemas.openxmlformats.org/officeDocument/2006/relationships" ref="P255" r:id="rId357"/>
    <hyperlink xmlns:r="http://schemas.openxmlformats.org/officeDocument/2006/relationships" ref="O256" r:id="rId358"/>
    <hyperlink xmlns:r="http://schemas.openxmlformats.org/officeDocument/2006/relationships" ref="P256" r:id="rId359"/>
    <hyperlink xmlns:r="http://schemas.openxmlformats.org/officeDocument/2006/relationships" ref="P257" r:id="rId360"/>
    <hyperlink xmlns:r="http://schemas.openxmlformats.org/officeDocument/2006/relationships" ref="O258" r:id="rId361"/>
    <hyperlink xmlns:r="http://schemas.openxmlformats.org/officeDocument/2006/relationships" ref="P258" r:id="rId362"/>
    <hyperlink xmlns:r="http://schemas.openxmlformats.org/officeDocument/2006/relationships" ref="P259" r:id="rId363"/>
    <hyperlink xmlns:r="http://schemas.openxmlformats.org/officeDocument/2006/relationships" ref="O260" r:id="rId364"/>
    <hyperlink xmlns:r="http://schemas.openxmlformats.org/officeDocument/2006/relationships" ref="P260" r:id="rId365"/>
    <hyperlink xmlns:r="http://schemas.openxmlformats.org/officeDocument/2006/relationships" ref="O261" r:id="rId366"/>
    <hyperlink xmlns:r="http://schemas.openxmlformats.org/officeDocument/2006/relationships" ref="P261" r:id="rId367"/>
    <hyperlink xmlns:r="http://schemas.openxmlformats.org/officeDocument/2006/relationships" ref="O262" r:id="rId368"/>
    <hyperlink xmlns:r="http://schemas.openxmlformats.org/officeDocument/2006/relationships" ref="P262" r:id="rId369"/>
    <hyperlink xmlns:r="http://schemas.openxmlformats.org/officeDocument/2006/relationships" ref="P263" r:id="rId370"/>
    <hyperlink xmlns:r="http://schemas.openxmlformats.org/officeDocument/2006/relationships" ref="P264" r:id="rId371"/>
    <hyperlink xmlns:r="http://schemas.openxmlformats.org/officeDocument/2006/relationships" ref="P265" r:id="rId372"/>
    <hyperlink xmlns:r="http://schemas.openxmlformats.org/officeDocument/2006/relationships" ref="P266" r:id="rId373"/>
    <hyperlink xmlns:r="http://schemas.openxmlformats.org/officeDocument/2006/relationships" ref="P267" r:id="rId374"/>
    <hyperlink xmlns:r="http://schemas.openxmlformats.org/officeDocument/2006/relationships" ref="P268" r:id="rId375"/>
    <hyperlink xmlns:r="http://schemas.openxmlformats.org/officeDocument/2006/relationships" ref="P269" r:id="rId376"/>
    <hyperlink xmlns:r="http://schemas.openxmlformats.org/officeDocument/2006/relationships" ref="P270" r:id="rId377"/>
    <hyperlink xmlns:r="http://schemas.openxmlformats.org/officeDocument/2006/relationships" ref="P271" r:id="rId378"/>
    <hyperlink xmlns:r="http://schemas.openxmlformats.org/officeDocument/2006/relationships" ref="P272" r:id="rId379"/>
    <hyperlink xmlns:r="http://schemas.openxmlformats.org/officeDocument/2006/relationships" ref="P273" r:id="rId380"/>
    <hyperlink xmlns:r="http://schemas.openxmlformats.org/officeDocument/2006/relationships" ref="P274" r:id="rId381"/>
    <hyperlink xmlns:r="http://schemas.openxmlformats.org/officeDocument/2006/relationships" ref="O275" r:id="rId382"/>
    <hyperlink xmlns:r="http://schemas.openxmlformats.org/officeDocument/2006/relationships" ref="P275" r:id="rId383"/>
    <hyperlink xmlns:r="http://schemas.openxmlformats.org/officeDocument/2006/relationships" ref="O276" r:id="rId384"/>
    <hyperlink xmlns:r="http://schemas.openxmlformats.org/officeDocument/2006/relationships" ref="P276" r:id="rId385"/>
    <hyperlink xmlns:r="http://schemas.openxmlformats.org/officeDocument/2006/relationships" ref="O277" r:id="rId386"/>
    <hyperlink xmlns:r="http://schemas.openxmlformats.org/officeDocument/2006/relationships" ref="P277" r:id="rId387"/>
    <hyperlink xmlns:r="http://schemas.openxmlformats.org/officeDocument/2006/relationships" ref="O278" r:id="rId388"/>
    <hyperlink xmlns:r="http://schemas.openxmlformats.org/officeDocument/2006/relationships" ref="P278" r:id="rId389"/>
    <hyperlink xmlns:r="http://schemas.openxmlformats.org/officeDocument/2006/relationships" ref="O279" r:id="rId390"/>
    <hyperlink xmlns:r="http://schemas.openxmlformats.org/officeDocument/2006/relationships" ref="P279" r:id="rId391"/>
    <hyperlink xmlns:r="http://schemas.openxmlformats.org/officeDocument/2006/relationships" ref="O280" r:id="rId392"/>
    <hyperlink xmlns:r="http://schemas.openxmlformats.org/officeDocument/2006/relationships" ref="P280" r:id="rId393"/>
    <hyperlink xmlns:r="http://schemas.openxmlformats.org/officeDocument/2006/relationships" ref="O281" r:id="rId394"/>
    <hyperlink xmlns:r="http://schemas.openxmlformats.org/officeDocument/2006/relationships" ref="P281" r:id="rId395"/>
    <hyperlink xmlns:r="http://schemas.openxmlformats.org/officeDocument/2006/relationships" ref="O282" r:id="rId396"/>
    <hyperlink xmlns:r="http://schemas.openxmlformats.org/officeDocument/2006/relationships" ref="P282" r:id="rId397"/>
    <hyperlink xmlns:r="http://schemas.openxmlformats.org/officeDocument/2006/relationships" ref="O283" r:id="rId398"/>
    <hyperlink xmlns:r="http://schemas.openxmlformats.org/officeDocument/2006/relationships" ref="P283" r:id="rId399"/>
    <hyperlink xmlns:r="http://schemas.openxmlformats.org/officeDocument/2006/relationships" ref="O284" r:id="rId400"/>
    <hyperlink xmlns:r="http://schemas.openxmlformats.org/officeDocument/2006/relationships" ref="P284" r:id="rId401"/>
    <hyperlink xmlns:r="http://schemas.openxmlformats.org/officeDocument/2006/relationships" ref="O285" r:id="rId402"/>
    <hyperlink xmlns:r="http://schemas.openxmlformats.org/officeDocument/2006/relationships" ref="P285" r:id="rId403"/>
    <hyperlink xmlns:r="http://schemas.openxmlformats.org/officeDocument/2006/relationships" ref="O286" r:id="rId404"/>
    <hyperlink xmlns:r="http://schemas.openxmlformats.org/officeDocument/2006/relationships" ref="P286" r:id="rId405"/>
    <hyperlink xmlns:r="http://schemas.openxmlformats.org/officeDocument/2006/relationships" ref="O287" r:id="rId406"/>
    <hyperlink xmlns:r="http://schemas.openxmlformats.org/officeDocument/2006/relationships" ref="P287" r:id="rId407"/>
    <hyperlink xmlns:r="http://schemas.openxmlformats.org/officeDocument/2006/relationships" ref="P288" r:id="rId408"/>
    <hyperlink xmlns:r="http://schemas.openxmlformats.org/officeDocument/2006/relationships" ref="P289" r:id="rId409"/>
    <hyperlink xmlns:r="http://schemas.openxmlformats.org/officeDocument/2006/relationships" ref="P290" r:id="rId410"/>
    <hyperlink xmlns:r="http://schemas.openxmlformats.org/officeDocument/2006/relationships" ref="P291" r:id="rId411"/>
    <hyperlink xmlns:r="http://schemas.openxmlformats.org/officeDocument/2006/relationships" ref="P292" r:id="rId412"/>
    <hyperlink xmlns:r="http://schemas.openxmlformats.org/officeDocument/2006/relationships" ref="P293" r:id="rId413"/>
    <hyperlink xmlns:r="http://schemas.openxmlformats.org/officeDocument/2006/relationships" ref="P294" r:id="rId414"/>
    <hyperlink xmlns:r="http://schemas.openxmlformats.org/officeDocument/2006/relationships" ref="O295" r:id="rId415"/>
    <hyperlink xmlns:r="http://schemas.openxmlformats.org/officeDocument/2006/relationships" ref="P295" r:id="rId416"/>
    <hyperlink xmlns:r="http://schemas.openxmlformats.org/officeDocument/2006/relationships" ref="P296" r:id="rId417"/>
    <hyperlink xmlns:r="http://schemas.openxmlformats.org/officeDocument/2006/relationships" ref="P297" r:id="rId418"/>
    <hyperlink xmlns:r="http://schemas.openxmlformats.org/officeDocument/2006/relationships" ref="P298" r:id="rId419"/>
    <hyperlink xmlns:r="http://schemas.openxmlformats.org/officeDocument/2006/relationships" ref="P299" r:id="rId420"/>
    <hyperlink xmlns:r="http://schemas.openxmlformats.org/officeDocument/2006/relationships" ref="O300" r:id="rId421"/>
    <hyperlink xmlns:r="http://schemas.openxmlformats.org/officeDocument/2006/relationships" ref="P300" r:id="rId422"/>
    <hyperlink xmlns:r="http://schemas.openxmlformats.org/officeDocument/2006/relationships" ref="P301" r:id="rId423"/>
    <hyperlink xmlns:r="http://schemas.openxmlformats.org/officeDocument/2006/relationships" ref="P302" r:id="rId424"/>
    <hyperlink xmlns:r="http://schemas.openxmlformats.org/officeDocument/2006/relationships" ref="P303" r:id="rId425"/>
    <hyperlink xmlns:r="http://schemas.openxmlformats.org/officeDocument/2006/relationships" ref="P304" r:id="rId426"/>
    <hyperlink xmlns:r="http://schemas.openxmlformats.org/officeDocument/2006/relationships" ref="P305" r:id="rId427"/>
    <hyperlink xmlns:r="http://schemas.openxmlformats.org/officeDocument/2006/relationships" ref="P306" r:id="rId428"/>
    <hyperlink xmlns:r="http://schemas.openxmlformats.org/officeDocument/2006/relationships" ref="P307" r:id="rId429"/>
    <hyperlink xmlns:r="http://schemas.openxmlformats.org/officeDocument/2006/relationships" ref="P308" r:id="rId430"/>
    <hyperlink xmlns:r="http://schemas.openxmlformats.org/officeDocument/2006/relationships" ref="P309" r:id="rId431"/>
    <hyperlink xmlns:r="http://schemas.openxmlformats.org/officeDocument/2006/relationships" ref="P310" r:id="rId432"/>
    <hyperlink xmlns:r="http://schemas.openxmlformats.org/officeDocument/2006/relationships" ref="P311" r:id="rId433"/>
    <hyperlink xmlns:r="http://schemas.openxmlformats.org/officeDocument/2006/relationships" ref="O312" r:id="rId434"/>
    <hyperlink xmlns:r="http://schemas.openxmlformats.org/officeDocument/2006/relationships" ref="P312" r:id="rId435"/>
    <hyperlink xmlns:r="http://schemas.openxmlformats.org/officeDocument/2006/relationships" ref="O313" r:id="rId436"/>
    <hyperlink xmlns:r="http://schemas.openxmlformats.org/officeDocument/2006/relationships" ref="P313" r:id="rId437"/>
    <hyperlink xmlns:r="http://schemas.openxmlformats.org/officeDocument/2006/relationships" ref="O314" r:id="rId438"/>
    <hyperlink xmlns:r="http://schemas.openxmlformats.org/officeDocument/2006/relationships" ref="P314" r:id="rId439"/>
    <hyperlink xmlns:r="http://schemas.openxmlformats.org/officeDocument/2006/relationships" ref="P315" r:id="rId440"/>
    <hyperlink xmlns:r="http://schemas.openxmlformats.org/officeDocument/2006/relationships" ref="P316" r:id="rId441"/>
    <hyperlink xmlns:r="http://schemas.openxmlformats.org/officeDocument/2006/relationships" ref="P317" r:id="rId442"/>
    <hyperlink xmlns:r="http://schemas.openxmlformats.org/officeDocument/2006/relationships" ref="P318" r:id="rId443"/>
    <hyperlink xmlns:r="http://schemas.openxmlformats.org/officeDocument/2006/relationships" ref="O319" r:id="rId444"/>
    <hyperlink xmlns:r="http://schemas.openxmlformats.org/officeDocument/2006/relationships" ref="P319" r:id="rId445"/>
    <hyperlink xmlns:r="http://schemas.openxmlformats.org/officeDocument/2006/relationships" ref="O320" r:id="rId446"/>
    <hyperlink xmlns:r="http://schemas.openxmlformats.org/officeDocument/2006/relationships" ref="P320" r:id="rId447"/>
    <hyperlink xmlns:r="http://schemas.openxmlformats.org/officeDocument/2006/relationships" ref="O321" r:id="rId448"/>
    <hyperlink xmlns:r="http://schemas.openxmlformats.org/officeDocument/2006/relationships" ref="P321" r:id="rId449"/>
    <hyperlink xmlns:r="http://schemas.openxmlformats.org/officeDocument/2006/relationships" ref="O322" r:id="rId450"/>
    <hyperlink xmlns:r="http://schemas.openxmlformats.org/officeDocument/2006/relationships" ref="P322" r:id="rId451"/>
    <hyperlink xmlns:r="http://schemas.openxmlformats.org/officeDocument/2006/relationships" ref="O323" r:id="rId452"/>
    <hyperlink xmlns:r="http://schemas.openxmlformats.org/officeDocument/2006/relationships" ref="P323" r:id="rId453"/>
    <hyperlink xmlns:r="http://schemas.openxmlformats.org/officeDocument/2006/relationships" ref="P324" r:id="rId454"/>
    <hyperlink xmlns:r="http://schemas.openxmlformats.org/officeDocument/2006/relationships" ref="O325" r:id="rId455"/>
    <hyperlink xmlns:r="http://schemas.openxmlformats.org/officeDocument/2006/relationships" ref="P325" r:id="rId456"/>
    <hyperlink xmlns:r="http://schemas.openxmlformats.org/officeDocument/2006/relationships" ref="P326" r:id="rId457"/>
    <hyperlink xmlns:r="http://schemas.openxmlformats.org/officeDocument/2006/relationships" ref="O327" r:id="rId458"/>
    <hyperlink xmlns:r="http://schemas.openxmlformats.org/officeDocument/2006/relationships" ref="P327" r:id="rId459"/>
    <hyperlink xmlns:r="http://schemas.openxmlformats.org/officeDocument/2006/relationships" ref="O328" r:id="rId460"/>
    <hyperlink xmlns:r="http://schemas.openxmlformats.org/officeDocument/2006/relationships" ref="P328" r:id="rId461"/>
    <hyperlink xmlns:r="http://schemas.openxmlformats.org/officeDocument/2006/relationships" ref="P329" r:id="rId462"/>
    <hyperlink xmlns:r="http://schemas.openxmlformats.org/officeDocument/2006/relationships" ref="P330" r:id="rId463"/>
    <hyperlink xmlns:r="http://schemas.openxmlformats.org/officeDocument/2006/relationships" ref="O331" r:id="rId464"/>
    <hyperlink xmlns:r="http://schemas.openxmlformats.org/officeDocument/2006/relationships" ref="P331" r:id="rId465"/>
    <hyperlink xmlns:r="http://schemas.openxmlformats.org/officeDocument/2006/relationships" ref="O332" r:id="rId466"/>
    <hyperlink xmlns:r="http://schemas.openxmlformats.org/officeDocument/2006/relationships" ref="P332" r:id="rId467"/>
    <hyperlink xmlns:r="http://schemas.openxmlformats.org/officeDocument/2006/relationships" ref="O333" r:id="rId468"/>
    <hyperlink xmlns:r="http://schemas.openxmlformats.org/officeDocument/2006/relationships" ref="P333" r:id="rId469"/>
    <hyperlink xmlns:r="http://schemas.openxmlformats.org/officeDocument/2006/relationships" ref="O334" r:id="rId470"/>
    <hyperlink xmlns:r="http://schemas.openxmlformats.org/officeDocument/2006/relationships" ref="P334" r:id="rId471"/>
    <hyperlink xmlns:r="http://schemas.openxmlformats.org/officeDocument/2006/relationships" ref="O335" r:id="rId472"/>
    <hyperlink xmlns:r="http://schemas.openxmlformats.org/officeDocument/2006/relationships" ref="P335" r:id="rId473"/>
    <hyperlink xmlns:r="http://schemas.openxmlformats.org/officeDocument/2006/relationships" ref="P336" r:id="rId474"/>
    <hyperlink xmlns:r="http://schemas.openxmlformats.org/officeDocument/2006/relationships" ref="P337" r:id="rId475"/>
    <hyperlink xmlns:r="http://schemas.openxmlformats.org/officeDocument/2006/relationships" ref="P338" r:id="rId476"/>
    <hyperlink xmlns:r="http://schemas.openxmlformats.org/officeDocument/2006/relationships" ref="P339" r:id="rId477"/>
    <hyperlink xmlns:r="http://schemas.openxmlformats.org/officeDocument/2006/relationships" ref="P340" r:id="rId478"/>
    <hyperlink xmlns:r="http://schemas.openxmlformats.org/officeDocument/2006/relationships" ref="P341" r:id="rId479"/>
    <hyperlink xmlns:r="http://schemas.openxmlformats.org/officeDocument/2006/relationships" ref="P342" r:id="rId480"/>
    <hyperlink xmlns:r="http://schemas.openxmlformats.org/officeDocument/2006/relationships" ref="P343" r:id="rId481"/>
    <hyperlink xmlns:r="http://schemas.openxmlformats.org/officeDocument/2006/relationships" ref="P344" r:id="rId482"/>
    <hyperlink xmlns:r="http://schemas.openxmlformats.org/officeDocument/2006/relationships" ref="P345" r:id="rId483"/>
    <hyperlink xmlns:r="http://schemas.openxmlformats.org/officeDocument/2006/relationships" ref="P346" r:id="rId484"/>
    <hyperlink xmlns:r="http://schemas.openxmlformats.org/officeDocument/2006/relationships" ref="P347" r:id="rId485"/>
    <hyperlink xmlns:r="http://schemas.openxmlformats.org/officeDocument/2006/relationships" ref="P348" r:id="rId486"/>
    <hyperlink xmlns:r="http://schemas.openxmlformats.org/officeDocument/2006/relationships" ref="O349" r:id="rId487"/>
    <hyperlink xmlns:r="http://schemas.openxmlformats.org/officeDocument/2006/relationships" ref="P349" r:id="rId488"/>
    <hyperlink xmlns:r="http://schemas.openxmlformats.org/officeDocument/2006/relationships" ref="O350" r:id="rId489"/>
    <hyperlink xmlns:r="http://schemas.openxmlformats.org/officeDocument/2006/relationships" ref="P350" r:id="rId490"/>
    <hyperlink xmlns:r="http://schemas.openxmlformats.org/officeDocument/2006/relationships" ref="P351" r:id="rId491"/>
    <hyperlink xmlns:r="http://schemas.openxmlformats.org/officeDocument/2006/relationships" ref="O352" r:id="rId492"/>
    <hyperlink xmlns:r="http://schemas.openxmlformats.org/officeDocument/2006/relationships" ref="P352" r:id="rId493"/>
    <hyperlink xmlns:r="http://schemas.openxmlformats.org/officeDocument/2006/relationships" ref="O353" r:id="rId494"/>
    <hyperlink xmlns:r="http://schemas.openxmlformats.org/officeDocument/2006/relationships" ref="P353" r:id="rId495"/>
    <hyperlink xmlns:r="http://schemas.openxmlformats.org/officeDocument/2006/relationships" ref="O354" r:id="rId496"/>
    <hyperlink xmlns:r="http://schemas.openxmlformats.org/officeDocument/2006/relationships" ref="P354" r:id="rId497"/>
    <hyperlink xmlns:r="http://schemas.openxmlformats.org/officeDocument/2006/relationships" ref="O355" r:id="rId498"/>
    <hyperlink xmlns:r="http://schemas.openxmlformats.org/officeDocument/2006/relationships" ref="P355" r:id="rId499"/>
    <hyperlink xmlns:r="http://schemas.openxmlformats.org/officeDocument/2006/relationships" ref="O356" r:id="rId500"/>
    <hyperlink xmlns:r="http://schemas.openxmlformats.org/officeDocument/2006/relationships" ref="P356" r:id="rId501"/>
    <hyperlink xmlns:r="http://schemas.openxmlformats.org/officeDocument/2006/relationships" ref="O357" r:id="rId502"/>
    <hyperlink xmlns:r="http://schemas.openxmlformats.org/officeDocument/2006/relationships" ref="P357" r:id="rId503"/>
    <hyperlink xmlns:r="http://schemas.openxmlformats.org/officeDocument/2006/relationships" ref="O358" r:id="rId504"/>
    <hyperlink xmlns:r="http://schemas.openxmlformats.org/officeDocument/2006/relationships" ref="P358" r:id="rId505"/>
    <hyperlink xmlns:r="http://schemas.openxmlformats.org/officeDocument/2006/relationships" ref="O359" r:id="rId506"/>
    <hyperlink xmlns:r="http://schemas.openxmlformats.org/officeDocument/2006/relationships" ref="P359" r:id="rId507"/>
    <hyperlink xmlns:r="http://schemas.openxmlformats.org/officeDocument/2006/relationships" ref="O360" r:id="rId508"/>
    <hyperlink xmlns:r="http://schemas.openxmlformats.org/officeDocument/2006/relationships" ref="P360" r:id="rId509"/>
    <hyperlink xmlns:r="http://schemas.openxmlformats.org/officeDocument/2006/relationships" ref="P361" r:id="rId510"/>
    <hyperlink xmlns:r="http://schemas.openxmlformats.org/officeDocument/2006/relationships" ref="O362" r:id="rId511"/>
    <hyperlink xmlns:r="http://schemas.openxmlformats.org/officeDocument/2006/relationships" ref="P362" r:id="rId512"/>
    <hyperlink xmlns:r="http://schemas.openxmlformats.org/officeDocument/2006/relationships" ref="P363" r:id="rId513"/>
    <hyperlink xmlns:r="http://schemas.openxmlformats.org/officeDocument/2006/relationships" ref="O364" r:id="rId514"/>
    <hyperlink xmlns:r="http://schemas.openxmlformats.org/officeDocument/2006/relationships" ref="P364" r:id="rId515"/>
    <hyperlink xmlns:r="http://schemas.openxmlformats.org/officeDocument/2006/relationships" ref="O365" r:id="rId516"/>
    <hyperlink xmlns:r="http://schemas.openxmlformats.org/officeDocument/2006/relationships" ref="P365" r:id="rId517"/>
    <hyperlink xmlns:r="http://schemas.openxmlformats.org/officeDocument/2006/relationships" ref="P366" r:id="rId518"/>
    <hyperlink xmlns:r="http://schemas.openxmlformats.org/officeDocument/2006/relationships" ref="O367" r:id="rId519"/>
    <hyperlink xmlns:r="http://schemas.openxmlformats.org/officeDocument/2006/relationships" ref="P367" r:id="rId520"/>
    <hyperlink xmlns:r="http://schemas.openxmlformats.org/officeDocument/2006/relationships" ref="P368" r:id="rId521"/>
    <hyperlink xmlns:r="http://schemas.openxmlformats.org/officeDocument/2006/relationships" ref="P369" r:id="rId522"/>
    <hyperlink xmlns:r="http://schemas.openxmlformats.org/officeDocument/2006/relationships" ref="P370" r:id="rId523"/>
    <hyperlink xmlns:r="http://schemas.openxmlformats.org/officeDocument/2006/relationships" ref="P371" r:id="rId524"/>
    <hyperlink xmlns:r="http://schemas.openxmlformats.org/officeDocument/2006/relationships" ref="P372" r:id="rId525"/>
    <hyperlink xmlns:r="http://schemas.openxmlformats.org/officeDocument/2006/relationships" ref="P373" r:id="rId526"/>
    <hyperlink xmlns:r="http://schemas.openxmlformats.org/officeDocument/2006/relationships" ref="O374" r:id="rId527"/>
    <hyperlink xmlns:r="http://schemas.openxmlformats.org/officeDocument/2006/relationships" ref="P374" r:id="rId528"/>
    <hyperlink xmlns:r="http://schemas.openxmlformats.org/officeDocument/2006/relationships" ref="P375" r:id="rId529"/>
    <hyperlink xmlns:r="http://schemas.openxmlformats.org/officeDocument/2006/relationships" ref="O376" r:id="rId530"/>
    <hyperlink xmlns:r="http://schemas.openxmlformats.org/officeDocument/2006/relationships" ref="P376" r:id="rId531"/>
    <hyperlink xmlns:r="http://schemas.openxmlformats.org/officeDocument/2006/relationships" ref="O377" r:id="rId532"/>
    <hyperlink xmlns:r="http://schemas.openxmlformats.org/officeDocument/2006/relationships" ref="P377" r:id="rId533"/>
    <hyperlink xmlns:r="http://schemas.openxmlformats.org/officeDocument/2006/relationships" ref="P378" r:id="rId534"/>
    <hyperlink xmlns:r="http://schemas.openxmlformats.org/officeDocument/2006/relationships" ref="O379" r:id="rId535"/>
    <hyperlink xmlns:r="http://schemas.openxmlformats.org/officeDocument/2006/relationships" ref="P379" r:id="rId536"/>
    <hyperlink xmlns:r="http://schemas.openxmlformats.org/officeDocument/2006/relationships" ref="P380" r:id="rId537"/>
    <hyperlink xmlns:r="http://schemas.openxmlformats.org/officeDocument/2006/relationships" ref="P381" r:id="rId538"/>
    <hyperlink xmlns:r="http://schemas.openxmlformats.org/officeDocument/2006/relationships" ref="P382" r:id="rId539"/>
    <hyperlink xmlns:r="http://schemas.openxmlformats.org/officeDocument/2006/relationships" ref="P383" r:id="rId540"/>
    <hyperlink xmlns:r="http://schemas.openxmlformats.org/officeDocument/2006/relationships" ref="P384" r:id="rId541"/>
    <hyperlink xmlns:r="http://schemas.openxmlformats.org/officeDocument/2006/relationships" ref="O385" r:id="rId542"/>
    <hyperlink xmlns:r="http://schemas.openxmlformats.org/officeDocument/2006/relationships" ref="P385" r:id="rId543"/>
    <hyperlink xmlns:r="http://schemas.openxmlformats.org/officeDocument/2006/relationships" ref="P386" r:id="rId544"/>
    <hyperlink xmlns:r="http://schemas.openxmlformats.org/officeDocument/2006/relationships" ref="P387" r:id="rId545"/>
    <hyperlink xmlns:r="http://schemas.openxmlformats.org/officeDocument/2006/relationships" ref="P388" r:id="rId546"/>
    <hyperlink xmlns:r="http://schemas.openxmlformats.org/officeDocument/2006/relationships" ref="P389" r:id="rId547"/>
    <hyperlink xmlns:r="http://schemas.openxmlformats.org/officeDocument/2006/relationships" ref="P390" r:id="rId548"/>
    <hyperlink xmlns:r="http://schemas.openxmlformats.org/officeDocument/2006/relationships" ref="O391" r:id="rId549"/>
    <hyperlink xmlns:r="http://schemas.openxmlformats.org/officeDocument/2006/relationships" ref="P391" r:id="rId550"/>
    <hyperlink xmlns:r="http://schemas.openxmlformats.org/officeDocument/2006/relationships" ref="O392" r:id="rId551"/>
    <hyperlink xmlns:r="http://schemas.openxmlformats.org/officeDocument/2006/relationships" ref="P392" r:id="rId552"/>
    <hyperlink xmlns:r="http://schemas.openxmlformats.org/officeDocument/2006/relationships" ref="O393" r:id="rId553"/>
    <hyperlink xmlns:r="http://schemas.openxmlformats.org/officeDocument/2006/relationships" ref="P393" r:id="rId554"/>
    <hyperlink xmlns:r="http://schemas.openxmlformats.org/officeDocument/2006/relationships" ref="O394" r:id="rId555"/>
    <hyperlink xmlns:r="http://schemas.openxmlformats.org/officeDocument/2006/relationships" ref="P394" r:id="rId556"/>
    <hyperlink xmlns:r="http://schemas.openxmlformats.org/officeDocument/2006/relationships" ref="O395" r:id="rId557"/>
    <hyperlink xmlns:r="http://schemas.openxmlformats.org/officeDocument/2006/relationships" ref="P395" r:id="rId558"/>
    <hyperlink xmlns:r="http://schemas.openxmlformats.org/officeDocument/2006/relationships" ref="O396" r:id="rId559"/>
    <hyperlink xmlns:r="http://schemas.openxmlformats.org/officeDocument/2006/relationships" ref="P396" r:id="rId560"/>
    <hyperlink xmlns:r="http://schemas.openxmlformats.org/officeDocument/2006/relationships" ref="O397" r:id="rId561"/>
    <hyperlink xmlns:r="http://schemas.openxmlformats.org/officeDocument/2006/relationships" ref="P397" r:id="rId562"/>
    <hyperlink xmlns:r="http://schemas.openxmlformats.org/officeDocument/2006/relationships" ref="P398" r:id="rId563"/>
    <hyperlink xmlns:r="http://schemas.openxmlformats.org/officeDocument/2006/relationships" ref="O399" r:id="rId564"/>
    <hyperlink xmlns:r="http://schemas.openxmlformats.org/officeDocument/2006/relationships" ref="P399" r:id="rId565"/>
    <hyperlink xmlns:r="http://schemas.openxmlformats.org/officeDocument/2006/relationships" ref="P400" r:id="rId566"/>
    <hyperlink xmlns:r="http://schemas.openxmlformats.org/officeDocument/2006/relationships" ref="P401" r:id="rId567"/>
    <hyperlink xmlns:r="http://schemas.openxmlformats.org/officeDocument/2006/relationships" ref="O402" r:id="rId568"/>
    <hyperlink xmlns:r="http://schemas.openxmlformats.org/officeDocument/2006/relationships" ref="P402" r:id="rId569"/>
    <hyperlink xmlns:r="http://schemas.openxmlformats.org/officeDocument/2006/relationships" ref="O403" r:id="rId570"/>
    <hyperlink xmlns:r="http://schemas.openxmlformats.org/officeDocument/2006/relationships" ref="P403" r:id="rId571"/>
    <hyperlink xmlns:r="http://schemas.openxmlformats.org/officeDocument/2006/relationships" ref="P404" r:id="rId572"/>
    <hyperlink xmlns:r="http://schemas.openxmlformats.org/officeDocument/2006/relationships" ref="P405" r:id="rId573"/>
    <hyperlink xmlns:r="http://schemas.openxmlformats.org/officeDocument/2006/relationships" ref="P406" r:id="rId574"/>
    <hyperlink xmlns:r="http://schemas.openxmlformats.org/officeDocument/2006/relationships" ref="P407" r:id="rId575"/>
    <hyperlink xmlns:r="http://schemas.openxmlformats.org/officeDocument/2006/relationships" ref="O408" r:id="rId576"/>
    <hyperlink xmlns:r="http://schemas.openxmlformats.org/officeDocument/2006/relationships" ref="P408" r:id="rId577"/>
    <hyperlink xmlns:r="http://schemas.openxmlformats.org/officeDocument/2006/relationships" ref="O409" r:id="rId578"/>
    <hyperlink xmlns:r="http://schemas.openxmlformats.org/officeDocument/2006/relationships" ref="P409" r:id="rId579"/>
    <hyperlink xmlns:r="http://schemas.openxmlformats.org/officeDocument/2006/relationships" ref="P410" r:id="rId580"/>
    <hyperlink xmlns:r="http://schemas.openxmlformats.org/officeDocument/2006/relationships" ref="P411" r:id="rId581"/>
    <hyperlink xmlns:r="http://schemas.openxmlformats.org/officeDocument/2006/relationships" ref="P412" r:id="rId582"/>
    <hyperlink xmlns:r="http://schemas.openxmlformats.org/officeDocument/2006/relationships" ref="P413" r:id="rId583"/>
    <hyperlink xmlns:r="http://schemas.openxmlformats.org/officeDocument/2006/relationships" ref="P414" r:id="rId584"/>
    <hyperlink xmlns:r="http://schemas.openxmlformats.org/officeDocument/2006/relationships" ref="P415" r:id="rId585"/>
    <hyperlink xmlns:r="http://schemas.openxmlformats.org/officeDocument/2006/relationships" ref="P416" r:id="rId586"/>
    <hyperlink xmlns:r="http://schemas.openxmlformats.org/officeDocument/2006/relationships" ref="P417" r:id="rId587"/>
    <hyperlink xmlns:r="http://schemas.openxmlformats.org/officeDocument/2006/relationships" ref="P418" r:id="rId588"/>
    <hyperlink xmlns:r="http://schemas.openxmlformats.org/officeDocument/2006/relationships" ref="P419" r:id="rId589"/>
    <hyperlink xmlns:r="http://schemas.openxmlformats.org/officeDocument/2006/relationships" ref="P420" r:id="rId590"/>
    <hyperlink xmlns:r="http://schemas.openxmlformats.org/officeDocument/2006/relationships" ref="O421" r:id="rId591"/>
    <hyperlink xmlns:r="http://schemas.openxmlformats.org/officeDocument/2006/relationships" ref="P421" r:id="rId592"/>
    <hyperlink xmlns:r="http://schemas.openxmlformats.org/officeDocument/2006/relationships" ref="O422" r:id="rId593"/>
    <hyperlink xmlns:r="http://schemas.openxmlformats.org/officeDocument/2006/relationships" ref="P422" r:id="rId594"/>
    <hyperlink xmlns:r="http://schemas.openxmlformats.org/officeDocument/2006/relationships" ref="P423" r:id="rId595"/>
    <hyperlink xmlns:r="http://schemas.openxmlformats.org/officeDocument/2006/relationships" ref="P424" r:id="rId596"/>
    <hyperlink xmlns:r="http://schemas.openxmlformats.org/officeDocument/2006/relationships" ref="P425" r:id="rId597"/>
    <hyperlink xmlns:r="http://schemas.openxmlformats.org/officeDocument/2006/relationships" ref="P426" r:id="rId598"/>
    <hyperlink xmlns:r="http://schemas.openxmlformats.org/officeDocument/2006/relationships" ref="P427" r:id="rId599"/>
    <hyperlink xmlns:r="http://schemas.openxmlformats.org/officeDocument/2006/relationships" ref="P428" r:id="rId600"/>
    <hyperlink xmlns:r="http://schemas.openxmlformats.org/officeDocument/2006/relationships" ref="P429" r:id="rId601"/>
    <hyperlink xmlns:r="http://schemas.openxmlformats.org/officeDocument/2006/relationships" ref="P430" r:id="rId602"/>
    <hyperlink xmlns:r="http://schemas.openxmlformats.org/officeDocument/2006/relationships" ref="P431" r:id="rId603"/>
    <hyperlink xmlns:r="http://schemas.openxmlformats.org/officeDocument/2006/relationships" ref="P432" r:id="rId604"/>
    <hyperlink xmlns:r="http://schemas.openxmlformats.org/officeDocument/2006/relationships" ref="P433" r:id="rId605"/>
    <hyperlink xmlns:r="http://schemas.openxmlformats.org/officeDocument/2006/relationships" ref="P434" r:id="rId606"/>
    <hyperlink xmlns:r="http://schemas.openxmlformats.org/officeDocument/2006/relationships" ref="P435" r:id="rId607"/>
    <hyperlink xmlns:r="http://schemas.openxmlformats.org/officeDocument/2006/relationships" ref="P436" r:id="rId608"/>
    <hyperlink xmlns:r="http://schemas.openxmlformats.org/officeDocument/2006/relationships" ref="P437" r:id="rId609"/>
    <hyperlink xmlns:r="http://schemas.openxmlformats.org/officeDocument/2006/relationships" ref="P438" r:id="rId610"/>
    <hyperlink xmlns:r="http://schemas.openxmlformats.org/officeDocument/2006/relationships" ref="P439" r:id="rId611"/>
    <hyperlink xmlns:r="http://schemas.openxmlformats.org/officeDocument/2006/relationships" ref="P440" r:id="rId612"/>
    <hyperlink xmlns:r="http://schemas.openxmlformats.org/officeDocument/2006/relationships" ref="P441" r:id="rId613"/>
    <hyperlink xmlns:r="http://schemas.openxmlformats.org/officeDocument/2006/relationships" ref="P442" r:id="rId614"/>
    <hyperlink xmlns:r="http://schemas.openxmlformats.org/officeDocument/2006/relationships" ref="P443" r:id="rId615"/>
    <hyperlink xmlns:r="http://schemas.openxmlformats.org/officeDocument/2006/relationships" ref="P444" r:id="rId616"/>
    <hyperlink xmlns:r="http://schemas.openxmlformats.org/officeDocument/2006/relationships" ref="P445" r:id="rId617"/>
    <hyperlink xmlns:r="http://schemas.openxmlformats.org/officeDocument/2006/relationships" ref="P446" r:id="rId618"/>
    <hyperlink xmlns:r="http://schemas.openxmlformats.org/officeDocument/2006/relationships" ref="P447" r:id="rId619"/>
    <hyperlink xmlns:r="http://schemas.openxmlformats.org/officeDocument/2006/relationships" ref="P448" r:id="rId620"/>
    <hyperlink xmlns:r="http://schemas.openxmlformats.org/officeDocument/2006/relationships" ref="P449" r:id="rId621"/>
    <hyperlink xmlns:r="http://schemas.openxmlformats.org/officeDocument/2006/relationships" ref="P450" r:id="rId622"/>
    <hyperlink xmlns:r="http://schemas.openxmlformats.org/officeDocument/2006/relationships" ref="P451" r:id="rId623"/>
    <hyperlink xmlns:r="http://schemas.openxmlformats.org/officeDocument/2006/relationships" ref="P452" r:id="rId624"/>
    <hyperlink xmlns:r="http://schemas.openxmlformats.org/officeDocument/2006/relationships" ref="P453" r:id="rId625"/>
    <hyperlink xmlns:r="http://schemas.openxmlformats.org/officeDocument/2006/relationships" ref="P454" r:id="rId626"/>
    <hyperlink xmlns:r="http://schemas.openxmlformats.org/officeDocument/2006/relationships" ref="P455" r:id="rId627"/>
    <hyperlink xmlns:r="http://schemas.openxmlformats.org/officeDocument/2006/relationships" ref="P456" r:id="rId628"/>
    <hyperlink xmlns:r="http://schemas.openxmlformats.org/officeDocument/2006/relationships" ref="P457" r:id="rId629"/>
    <hyperlink xmlns:r="http://schemas.openxmlformats.org/officeDocument/2006/relationships" ref="P458" r:id="rId630"/>
    <hyperlink xmlns:r="http://schemas.openxmlformats.org/officeDocument/2006/relationships" ref="P459" r:id="rId631"/>
    <hyperlink xmlns:r="http://schemas.openxmlformats.org/officeDocument/2006/relationships" ref="O460" r:id="rId632"/>
    <hyperlink xmlns:r="http://schemas.openxmlformats.org/officeDocument/2006/relationships" ref="P460" r:id="rId633"/>
    <hyperlink xmlns:r="http://schemas.openxmlformats.org/officeDocument/2006/relationships" ref="O461" r:id="rId634"/>
    <hyperlink xmlns:r="http://schemas.openxmlformats.org/officeDocument/2006/relationships" ref="P461" r:id="rId635"/>
    <hyperlink xmlns:r="http://schemas.openxmlformats.org/officeDocument/2006/relationships" ref="P462" r:id="rId636"/>
    <hyperlink xmlns:r="http://schemas.openxmlformats.org/officeDocument/2006/relationships" ref="P463" r:id="rId637"/>
    <hyperlink xmlns:r="http://schemas.openxmlformats.org/officeDocument/2006/relationships" ref="P464" r:id="rId638"/>
    <hyperlink xmlns:r="http://schemas.openxmlformats.org/officeDocument/2006/relationships" ref="P465" r:id="rId639"/>
    <hyperlink xmlns:r="http://schemas.openxmlformats.org/officeDocument/2006/relationships" ref="P466" r:id="rId640"/>
    <hyperlink xmlns:r="http://schemas.openxmlformats.org/officeDocument/2006/relationships" ref="P467" r:id="rId641"/>
    <hyperlink xmlns:r="http://schemas.openxmlformats.org/officeDocument/2006/relationships" ref="O468" r:id="rId642"/>
    <hyperlink xmlns:r="http://schemas.openxmlformats.org/officeDocument/2006/relationships" ref="P468" r:id="rId643"/>
    <hyperlink xmlns:r="http://schemas.openxmlformats.org/officeDocument/2006/relationships" ref="O469" r:id="rId644"/>
    <hyperlink xmlns:r="http://schemas.openxmlformats.org/officeDocument/2006/relationships" ref="P469" r:id="rId645"/>
    <hyperlink xmlns:r="http://schemas.openxmlformats.org/officeDocument/2006/relationships" ref="O470" r:id="rId646"/>
    <hyperlink xmlns:r="http://schemas.openxmlformats.org/officeDocument/2006/relationships" ref="P470" r:id="rId647"/>
    <hyperlink xmlns:r="http://schemas.openxmlformats.org/officeDocument/2006/relationships" ref="O471" r:id="rId648"/>
    <hyperlink xmlns:r="http://schemas.openxmlformats.org/officeDocument/2006/relationships" ref="P471" r:id="rId649"/>
    <hyperlink xmlns:r="http://schemas.openxmlformats.org/officeDocument/2006/relationships" ref="O472" r:id="rId650"/>
    <hyperlink xmlns:r="http://schemas.openxmlformats.org/officeDocument/2006/relationships" ref="P472" r:id="rId651"/>
    <hyperlink xmlns:r="http://schemas.openxmlformats.org/officeDocument/2006/relationships" ref="O473" r:id="rId652"/>
    <hyperlink xmlns:r="http://schemas.openxmlformats.org/officeDocument/2006/relationships" ref="P473" r:id="rId653"/>
    <hyperlink xmlns:r="http://schemas.openxmlformats.org/officeDocument/2006/relationships" ref="O474" r:id="rId654"/>
    <hyperlink xmlns:r="http://schemas.openxmlformats.org/officeDocument/2006/relationships" ref="P474" r:id="rId655"/>
    <hyperlink xmlns:r="http://schemas.openxmlformats.org/officeDocument/2006/relationships" ref="P475" r:id="rId656"/>
    <hyperlink xmlns:r="http://schemas.openxmlformats.org/officeDocument/2006/relationships" ref="O476" r:id="rId657"/>
    <hyperlink xmlns:r="http://schemas.openxmlformats.org/officeDocument/2006/relationships" ref="P476" r:id="rId658"/>
    <hyperlink xmlns:r="http://schemas.openxmlformats.org/officeDocument/2006/relationships" ref="O477" r:id="rId659"/>
    <hyperlink xmlns:r="http://schemas.openxmlformats.org/officeDocument/2006/relationships" ref="P477" r:id="rId660"/>
    <hyperlink xmlns:r="http://schemas.openxmlformats.org/officeDocument/2006/relationships" ref="O478" r:id="rId661"/>
    <hyperlink xmlns:r="http://schemas.openxmlformats.org/officeDocument/2006/relationships" ref="P478" r:id="rId662"/>
    <hyperlink xmlns:r="http://schemas.openxmlformats.org/officeDocument/2006/relationships" ref="O479" r:id="rId663"/>
    <hyperlink xmlns:r="http://schemas.openxmlformats.org/officeDocument/2006/relationships" ref="P479" r:id="rId664"/>
    <hyperlink xmlns:r="http://schemas.openxmlformats.org/officeDocument/2006/relationships" ref="O480" r:id="rId665"/>
    <hyperlink xmlns:r="http://schemas.openxmlformats.org/officeDocument/2006/relationships" ref="P480" r:id="rId666"/>
    <hyperlink xmlns:r="http://schemas.openxmlformats.org/officeDocument/2006/relationships" ref="O481" r:id="rId667"/>
    <hyperlink xmlns:r="http://schemas.openxmlformats.org/officeDocument/2006/relationships" ref="P481" r:id="rId668"/>
    <hyperlink xmlns:r="http://schemas.openxmlformats.org/officeDocument/2006/relationships" ref="O482" r:id="rId669"/>
    <hyperlink xmlns:r="http://schemas.openxmlformats.org/officeDocument/2006/relationships" ref="P482" r:id="rId670"/>
    <hyperlink xmlns:r="http://schemas.openxmlformats.org/officeDocument/2006/relationships" ref="O483" r:id="rId671"/>
    <hyperlink xmlns:r="http://schemas.openxmlformats.org/officeDocument/2006/relationships" ref="P483" r:id="rId672"/>
    <hyperlink xmlns:r="http://schemas.openxmlformats.org/officeDocument/2006/relationships" ref="O484" r:id="rId673"/>
    <hyperlink xmlns:r="http://schemas.openxmlformats.org/officeDocument/2006/relationships" ref="P484" r:id="rId674"/>
    <hyperlink xmlns:r="http://schemas.openxmlformats.org/officeDocument/2006/relationships" ref="O485" r:id="rId675"/>
    <hyperlink xmlns:r="http://schemas.openxmlformats.org/officeDocument/2006/relationships" ref="P485" r:id="rId676"/>
    <hyperlink xmlns:r="http://schemas.openxmlformats.org/officeDocument/2006/relationships" ref="O486" r:id="rId677"/>
    <hyperlink xmlns:r="http://schemas.openxmlformats.org/officeDocument/2006/relationships" ref="P486" r:id="rId678"/>
    <hyperlink xmlns:r="http://schemas.openxmlformats.org/officeDocument/2006/relationships" ref="O487" r:id="rId679"/>
    <hyperlink xmlns:r="http://schemas.openxmlformats.org/officeDocument/2006/relationships" ref="P487" r:id="rId680"/>
    <hyperlink xmlns:r="http://schemas.openxmlformats.org/officeDocument/2006/relationships" ref="O488" r:id="rId681"/>
    <hyperlink xmlns:r="http://schemas.openxmlformats.org/officeDocument/2006/relationships" ref="P488" r:id="rId682"/>
    <hyperlink xmlns:r="http://schemas.openxmlformats.org/officeDocument/2006/relationships" ref="P489" r:id="rId683"/>
    <hyperlink xmlns:r="http://schemas.openxmlformats.org/officeDocument/2006/relationships" ref="O490" r:id="rId684"/>
    <hyperlink xmlns:r="http://schemas.openxmlformats.org/officeDocument/2006/relationships" ref="P490" r:id="rId685"/>
    <hyperlink xmlns:r="http://schemas.openxmlformats.org/officeDocument/2006/relationships" ref="O491" r:id="rId686"/>
    <hyperlink xmlns:r="http://schemas.openxmlformats.org/officeDocument/2006/relationships" ref="P491" r:id="rId687"/>
    <hyperlink xmlns:r="http://schemas.openxmlformats.org/officeDocument/2006/relationships" ref="P492" r:id="rId688"/>
    <hyperlink xmlns:r="http://schemas.openxmlformats.org/officeDocument/2006/relationships" ref="O493" r:id="rId689"/>
    <hyperlink xmlns:r="http://schemas.openxmlformats.org/officeDocument/2006/relationships" ref="P493" r:id="rId690"/>
    <hyperlink xmlns:r="http://schemas.openxmlformats.org/officeDocument/2006/relationships" ref="O494" r:id="rId691"/>
    <hyperlink xmlns:r="http://schemas.openxmlformats.org/officeDocument/2006/relationships" ref="P494" r:id="rId692"/>
    <hyperlink xmlns:r="http://schemas.openxmlformats.org/officeDocument/2006/relationships" ref="O495" r:id="rId693"/>
    <hyperlink xmlns:r="http://schemas.openxmlformats.org/officeDocument/2006/relationships" ref="P495" r:id="rId694"/>
    <hyperlink xmlns:r="http://schemas.openxmlformats.org/officeDocument/2006/relationships" ref="O496" r:id="rId695"/>
    <hyperlink xmlns:r="http://schemas.openxmlformats.org/officeDocument/2006/relationships" ref="P496" r:id="rId696"/>
    <hyperlink xmlns:r="http://schemas.openxmlformats.org/officeDocument/2006/relationships" ref="O497" r:id="rId697"/>
    <hyperlink xmlns:r="http://schemas.openxmlformats.org/officeDocument/2006/relationships" ref="P497" r:id="rId698"/>
    <hyperlink xmlns:r="http://schemas.openxmlformats.org/officeDocument/2006/relationships" ref="O498" r:id="rId699"/>
    <hyperlink xmlns:r="http://schemas.openxmlformats.org/officeDocument/2006/relationships" ref="P498" r:id="rId700"/>
    <hyperlink xmlns:r="http://schemas.openxmlformats.org/officeDocument/2006/relationships" ref="O499" r:id="rId701"/>
    <hyperlink xmlns:r="http://schemas.openxmlformats.org/officeDocument/2006/relationships" ref="P499" r:id="rId702"/>
    <hyperlink xmlns:r="http://schemas.openxmlformats.org/officeDocument/2006/relationships" ref="O500" r:id="rId703"/>
    <hyperlink xmlns:r="http://schemas.openxmlformats.org/officeDocument/2006/relationships" ref="P500" r:id="rId704"/>
    <hyperlink xmlns:r="http://schemas.openxmlformats.org/officeDocument/2006/relationships" ref="O501" r:id="rId705"/>
    <hyperlink xmlns:r="http://schemas.openxmlformats.org/officeDocument/2006/relationships" ref="P501" r:id="rId706"/>
    <hyperlink xmlns:r="http://schemas.openxmlformats.org/officeDocument/2006/relationships" ref="O502" r:id="rId707"/>
    <hyperlink xmlns:r="http://schemas.openxmlformats.org/officeDocument/2006/relationships" ref="P502" r:id="rId708"/>
    <hyperlink xmlns:r="http://schemas.openxmlformats.org/officeDocument/2006/relationships" ref="O503" r:id="rId709"/>
    <hyperlink xmlns:r="http://schemas.openxmlformats.org/officeDocument/2006/relationships" ref="P503" r:id="rId710"/>
    <hyperlink xmlns:r="http://schemas.openxmlformats.org/officeDocument/2006/relationships" ref="O504" r:id="rId711"/>
    <hyperlink xmlns:r="http://schemas.openxmlformats.org/officeDocument/2006/relationships" ref="P504" r:id="rId712"/>
    <hyperlink xmlns:r="http://schemas.openxmlformats.org/officeDocument/2006/relationships" ref="O505" r:id="rId713"/>
    <hyperlink xmlns:r="http://schemas.openxmlformats.org/officeDocument/2006/relationships" ref="P505" r:id="rId714"/>
    <hyperlink xmlns:r="http://schemas.openxmlformats.org/officeDocument/2006/relationships" ref="O506" r:id="rId715"/>
    <hyperlink xmlns:r="http://schemas.openxmlformats.org/officeDocument/2006/relationships" ref="P506" r:id="rId716"/>
    <hyperlink xmlns:r="http://schemas.openxmlformats.org/officeDocument/2006/relationships" ref="O507" r:id="rId717"/>
    <hyperlink xmlns:r="http://schemas.openxmlformats.org/officeDocument/2006/relationships" ref="P507" r:id="rId718"/>
    <hyperlink xmlns:r="http://schemas.openxmlformats.org/officeDocument/2006/relationships" ref="O508" r:id="rId719"/>
    <hyperlink xmlns:r="http://schemas.openxmlformats.org/officeDocument/2006/relationships" ref="P508" r:id="rId720"/>
    <hyperlink xmlns:r="http://schemas.openxmlformats.org/officeDocument/2006/relationships" ref="P509" r:id="rId721"/>
    <hyperlink xmlns:r="http://schemas.openxmlformats.org/officeDocument/2006/relationships" ref="P510" r:id="rId722"/>
    <hyperlink xmlns:r="http://schemas.openxmlformats.org/officeDocument/2006/relationships" ref="P511" r:id="rId723"/>
    <hyperlink xmlns:r="http://schemas.openxmlformats.org/officeDocument/2006/relationships" ref="P512" r:id="rId724"/>
    <hyperlink xmlns:r="http://schemas.openxmlformats.org/officeDocument/2006/relationships" ref="P513" r:id="rId725"/>
    <hyperlink xmlns:r="http://schemas.openxmlformats.org/officeDocument/2006/relationships" ref="P514" r:id="rId726"/>
    <hyperlink xmlns:r="http://schemas.openxmlformats.org/officeDocument/2006/relationships" ref="P515" r:id="rId727"/>
    <hyperlink xmlns:r="http://schemas.openxmlformats.org/officeDocument/2006/relationships" ref="P516" r:id="rId728"/>
    <hyperlink xmlns:r="http://schemas.openxmlformats.org/officeDocument/2006/relationships" ref="P517" r:id="rId729"/>
    <hyperlink xmlns:r="http://schemas.openxmlformats.org/officeDocument/2006/relationships" ref="P518" r:id="rId730"/>
    <hyperlink xmlns:r="http://schemas.openxmlformats.org/officeDocument/2006/relationships" ref="P519" r:id="rId731"/>
    <hyperlink xmlns:r="http://schemas.openxmlformats.org/officeDocument/2006/relationships" ref="P520" r:id="rId732"/>
    <hyperlink xmlns:r="http://schemas.openxmlformats.org/officeDocument/2006/relationships" ref="P521" r:id="rId733"/>
    <hyperlink xmlns:r="http://schemas.openxmlformats.org/officeDocument/2006/relationships" ref="P522" r:id="rId734"/>
    <hyperlink xmlns:r="http://schemas.openxmlformats.org/officeDocument/2006/relationships" ref="P523" r:id="rId735"/>
    <hyperlink xmlns:r="http://schemas.openxmlformats.org/officeDocument/2006/relationships" ref="P524" r:id="rId736"/>
    <hyperlink xmlns:r="http://schemas.openxmlformats.org/officeDocument/2006/relationships" ref="P525" r:id="rId737"/>
    <hyperlink xmlns:r="http://schemas.openxmlformats.org/officeDocument/2006/relationships" ref="P526" r:id="rId738"/>
    <hyperlink xmlns:r="http://schemas.openxmlformats.org/officeDocument/2006/relationships" ref="P527" r:id="rId739"/>
    <hyperlink xmlns:r="http://schemas.openxmlformats.org/officeDocument/2006/relationships" ref="P528" r:id="rId740"/>
    <hyperlink xmlns:r="http://schemas.openxmlformats.org/officeDocument/2006/relationships" ref="P529" r:id="rId741"/>
    <hyperlink xmlns:r="http://schemas.openxmlformats.org/officeDocument/2006/relationships" ref="P530" r:id="rId742"/>
    <hyperlink xmlns:r="http://schemas.openxmlformats.org/officeDocument/2006/relationships" ref="O531" r:id="rId743"/>
    <hyperlink xmlns:r="http://schemas.openxmlformats.org/officeDocument/2006/relationships" ref="P531" r:id="rId744"/>
    <hyperlink xmlns:r="http://schemas.openxmlformats.org/officeDocument/2006/relationships" ref="O532" r:id="rId745"/>
    <hyperlink xmlns:r="http://schemas.openxmlformats.org/officeDocument/2006/relationships" ref="P532" r:id="rId746"/>
    <hyperlink xmlns:r="http://schemas.openxmlformats.org/officeDocument/2006/relationships" ref="O533" r:id="rId747"/>
    <hyperlink xmlns:r="http://schemas.openxmlformats.org/officeDocument/2006/relationships" ref="P533" r:id="rId748"/>
    <hyperlink xmlns:r="http://schemas.openxmlformats.org/officeDocument/2006/relationships" ref="O534" r:id="rId749"/>
    <hyperlink xmlns:r="http://schemas.openxmlformats.org/officeDocument/2006/relationships" ref="P534" r:id="rId750"/>
    <hyperlink xmlns:r="http://schemas.openxmlformats.org/officeDocument/2006/relationships" ref="P535" r:id="rId751"/>
    <hyperlink xmlns:r="http://schemas.openxmlformats.org/officeDocument/2006/relationships" ref="P536" r:id="rId752"/>
    <hyperlink xmlns:r="http://schemas.openxmlformats.org/officeDocument/2006/relationships" ref="O537" r:id="rId753"/>
    <hyperlink xmlns:r="http://schemas.openxmlformats.org/officeDocument/2006/relationships" ref="P537" r:id="rId754"/>
    <hyperlink xmlns:r="http://schemas.openxmlformats.org/officeDocument/2006/relationships" ref="O538" r:id="rId755"/>
    <hyperlink xmlns:r="http://schemas.openxmlformats.org/officeDocument/2006/relationships" ref="P538" r:id="rId756"/>
    <hyperlink xmlns:r="http://schemas.openxmlformats.org/officeDocument/2006/relationships" ref="O539" r:id="rId757"/>
    <hyperlink xmlns:r="http://schemas.openxmlformats.org/officeDocument/2006/relationships" ref="P539" r:id="rId758"/>
    <hyperlink xmlns:r="http://schemas.openxmlformats.org/officeDocument/2006/relationships" ref="P540" r:id="rId759"/>
    <hyperlink xmlns:r="http://schemas.openxmlformats.org/officeDocument/2006/relationships" ref="O541" r:id="rId760"/>
    <hyperlink xmlns:r="http://schemas.openxmlformats.org/officeDocument/2006/relationships" ref="P541" r:id="rId761"/>
    <hyperlink xmlns:r="http://schemas.openxmlformats.org/officeDocument/2006/relationships" ref="P542" r:id="rId762"/>
    <hyperlink xmlns:r="http://schemas.openxmlformats.org/officeDocument/2006/relationships" ref="P543" r:id="rId763"/>
    <hyperlink xmlns:r="http://schemas.openxmlformats.org/officeDocument/2006/relationships" ref="O544" r:id="rId764"/>
    <hyperlink xmlns:r="http://schemas.openxmlformats.org/officeDocument/2006/relationships" ref="P544" r:id="rId765"/>
    <hyperlink xmlns:r="http://schemas.openxmlformats.org/officeDocument/2006/relationships" ref="O545" r:id="rId766"/>
    <hyperlink xmlns:r="http://schemas.openxmlformats.org/officeDocument/2006/relationships" ref="P545" r:id="rId767"/>
    <hyperlink xmlns:r="http://schemas.openxmlformats.org/officeDocument/2006/relationships" ref="O546" r:id="rId768"/>
    <hyperlink xmlns:r="http://schemas.openxmlformats.org/officeDocument/2006/relationships" ref="P546" r:id="rId769"/>
    <hyperlink xmlns:r="http://schemas.openxmlformats.org/officeDocument/2006/relationships" ref="P547" r:id="rId770"/>
    <hyperlink xmlns:r="http://schemas.openxmlformats.org/officeDocument/2006/relationships" ref="P548" r:id="rId771"/>
    <hyperlink xmlns:r="http://schemas.openxmlformats.org/officeDocument/2006/relationships" ref="P549" r:id="rId772"/>
    <hyperlink xmlns:r="http://schemas.openxmlformats.org/officeDocument/2006/relationships" ref="P550" r:id="rId773"/>
    <hyperlink xmlns:r="http://schemas.openxmlformats.org/officeDocument/2006/relationships" ref="P551" r:id="rId774"/>
    <hyperlink xmlns:r="http://schemas.openxmlformats.org/officeDocument/2006/relationships" ref="P552" r:id="rId775"/>
    <hyperlink xmlns:r="http://schemas.openxmlformats.org/officeDocument/2006/relationships" ref="P553" r:id="rId776"/>
    <hyperlink xmlns:r="http://schemas.openxmlformats.org/officeDocument/2006/relationships" ref="O554" r:id="rId777"/>
    <hyperlink xmlns:r="http://schemas.openxmlformats.org/officeDocument/2006/relationships" ref="P554" r:id="rId778"/>
    <hyperlink xmlns:r="http://schemas.openxmlformats.org/officeDocument/2006/relationships" ref="O555" r:id="rId779"/>
    <hyperlink xmlns:r="http://schemas.openxmlformats.org/officeDocument/2006/relationships" ref="P555" r:id="rId780"/>
    <hyperlink xmlns:r="http://schemas.openxmlformats.org/officeDocument/2006/relationships" ref="O556" r:id="rId781"/>
    <hyperlink xmlns:r="http://schemas.openxmlformats.org/officeDocument/2006/relationships" ref="P556" r:id="rId782"/>
    <hyperlink xmlns:r="http://schemas.openxmlformats.org/officeDocument/2006/relationships" ref="P557" r:id="rId783"/>
    <hyperlink xmlns:r="http://schemas.openxmlformats.org/officeDocument/2006/relationships" ref="O558" r:id="rId784"/>
    <hyperlink xmlns:r="http://schemas.openxmlformats.org/officeDocument/2006/relationships" ref="P558" r:id="rId785"/>
    <hyperlink xmlns:r="http://schemas.openxmlformats.org/officeDocument/2006/relationships" ref="P559" r:id="rId786"/>
    <hyperlink xmlns:r="http://schemas.openxmlformats.org/officeDocument/2006/relationships" ref="O560" r:id="rId787"/>
    <hyperlink xmlns:r="http://schemas.openxmlformats.org/officeDocument/2006/relationships" ref="P560" r:id="rId788"/>
    <hyperlink xmlns:r="http://schemas.openxmlformats.org/officeDocument/2006/relationships" ref="O561" r:id="rId789"/>
    <hyperlink xmlns:r="http://schemas.openxmlformats.org/officeDocument/2006/relationships" ref="P561" r:id="rId790"/>
    <hyperlink xmlns:r="http://schemas.openxmlformats.org/officeDocument/2006/relationships" ref="P562" r:id="rId791"/>
    <hyperlink xmlns:r="http://schemas.openxmlformats.org/officeDocument/2006/relationships" ref="O563" r:id="rId792"/>
    <hyperlink xmlns:r="http://schemas.openxmlformats.org/officeDocument/2006/relationships" ref="P563" r:id="rId793"/>
    <hyperlink xmlns:r="http://schemas.openxmlformats.org/officeDocument/2006/relationships" ref="O564" r:id="rId794"/>
    <hyperlink xmlns:r="http://schemas.openxmlformats.org/officeDocument/2006/relationships" ref="P564" r:id="rId795"/>
    <hyperlink xmlns:r="http://schemas.openxmlformats.org/officeDocument/2006/relationships" ref="O565" r:id="rId796"/>
    <hyperlink xmlns:r="http://schemas.openxmlformats.org/officeDocument/2006/relationships" ref="P565" r:id="rId797"/>
    <hyperlink xmlns:r="http://schemas.openxmlformats.org/officeDocument/2006/relationships" ref="O566" r:id="rId798"/>
    <hyperlink xmlns:r="http://schemas.openxmlformats.org/officeDocument/2006/relationships" ref="P566" r:id="rId799"/>
    <hyperlink xmlns:r="http://schemas.openxmlformats.org/officeDocument/2006/relationships" ref="O567" r:id="rId800"/>
    <hyperlink xmlns:r="http://schemas.openxmlformats.org/officeDocument/2006/relationships" ref="P567" r:id="rId801"/>
    <hyperlink xmlns:r="http://schemas.openxmlformats.org/officeDocument/2006/relationships" ref="O568" r:id="rId802"/>
    <hyperlink xmlns:r="http://schemas.openxmlformats.org/officeDocument/2006/relationships" ref="P568" r:id="rId803"/>
    <hyperlink xmlns:r="http://schemas.openxmlformats.org/officeDocument/2006/relationships" ref="P569" r:id="rId804"/>
    <hyperlink xmlns:r="http://schemas.openxmlformats.org/officeDocument/2006/relationships" ref="P570" r:id="rId805"/>
    <hyperlink xmlns:r="http://schemas.openxmlformats.org/officeDocument/2006/relationships" ref="O571" r:id="rId806"/>
    <hyperlink xmlns:r="http://schemas.openxmlformats.org/officeDocument/2006/relationships" ref="P571" r:id="rId807"/>
    <hyperlink xmlns:r="http://schemas.openxmlformats.org/officeDocument/2006/relationships" ref="O572" r:id="rId808"/>
    <hyperlink xmlns:r="http://schemas.openxmlformats.org/officeDocument/2006/relationships" ref="P572" r:id="rId809"/>
    <hyperlink xmlns:r="http://schemas.openxmlformats.org/officeDocument/2006/relationships" ref="O573" r:id="rId810"/>
    <hyperlink xmlns:r="http://schemas.openxmlformats.org/officeDocument/2006/relationships" ref="P573" r:id="rId811"/>
    <hyperlink xmlns:r="http://schemas.openxmlformats.org/officeDocument/2006/relationships" ref="P574" r:id="rId812"/>
    <hyperlink xmlns:r="http://schemas.openxmlformats.org/officeDocument/2006/relationships" ref="P575" r:id="rId813"/>
    <hyperlink xmlns:r="http://schemas.openxmlformats.org/officeDocument/2006/relationships" ref="P576" r:id="rId814"/>
    <hyperlink xmlns:r="http://schemas.openxmlformats.org/officeDocument/2006/relationships" ref="P577" r:id="rId815"/>
    <hyperlink xmlns:r="http://schemas.openxmlformats.org/officeDocument/2006/relationships" ref="O578" r:id="rId816"/>
    <hyperlink xmlns:r="http://schemas.openxmlformats.org/officeDocument/2006/relationships" ref="P578" r:id="rId817"/>
    <hyperlink xmlns:r="http://schemas.openxmlformats.org/officeDocument/2006/relationships" ref="O579" r:id="rId818"/>
    <hyperlink xmlns:r="http://schemas.openxmlformats.org/officeDocument/2006/relationships" ref="P579" r:id="rId819"/>
    <hyperlink xmlns:r="http://schemas.openxmlformats.org/officeDocument/2006/relationships" ref="P580" r:id="rId820"/>
    <hyperlink xmlns:r="http://schemas.openxmlformats.org/officeDocument/2006/relationships" ref="P581" r:id="rId821"/>
    <hyperlink xmlns:r="http://schemas.openxmlformats.org/officeDocument/2006/relationships" ref="O582" r:id="rId822"/>
    <hyperlink xmlns:r="http://schemas.openxmlformats.org/officeDocument/2006/relationships" ref="P582" r:id="rId823"/>
    <hyperlink xmlns:r="http://schemas.openxmlformats.org/officeDocument/2006/relationships" ref="P583" r:id="rId824"/>
    <hyperlink xmlns:r="http://schemas.openxmlformats.org/officeDocument/2006/relationships" ref="O584" r:id="rId825"/>
    <hyperlink xmlns:r="http://schemas.openxmlformats.org/officeDocument/2006/relationships" ref="P584" r:id="rId826"/>
    <hyperlink xmlns:r="http://schemas.openxmlformats.org/officeDocument/2006/relationships" ref="P585" r:id="rId827"/>
    <hyperlink xmlns:r="http://schemas.openxmlformats.org/officeDocument/2006/relationships" ref="O586" r:id="rId828"/>
    <hyperlink xmlns:r="http://schemas.openxmlformats.org/officeDocument/2006/relationships" ref="P586" r:id="rId829"/>
    <hyperlink xmlns:r="http://schemas.openxmlformats.org/officeDocument/2006/relationships" ref="O587" r:id="rId830"/>
    <hyperlink xmlns:r="http://schemas.openxmlformats.org/officeDocument/2006/relationships" ref="P587" r:id="rId831"/>
    <hyperlink xmlns:r="http://schemas.openxmlformats.org/officeDocument/2006/relationships" ref="P588" r:id="rId832"/>
    <hyperlink xmlns:r="http://schemas.openxmlformats.org/officeDocument/2006/relationships" ref="O589" r:id="rId833"/>
    <hyperlink xmlns:r="http://schemas.openxmlformats.org/officeDocument/2006/relationships" ref="P589" r:id="rId834"/>
    <hyperlink xmlns:r="http://schemas.openxmlformats.org/officeDocument/2006/relationships" ref="O590" r:id="rId835"/>
    <hyperlink xmlns:r="http://schemas.openxmlformats.org/officeDocument/2006/relationships" ref="P590" r:id="rId836"/>
    <hyperlink xmlns:r="http://schemas.openxmlformats.org/officeDocument/2006/relationships" ref="O591" r:id="rId837"/>
    <hyperlink xmlns:r="http://schemas.openxmlformats.org/officeDocument/2006/relationships" ref="P591" r:id="rId838"/>
    <hyperlink xmlns:r="http://schemas.openxmlformats.org/officeDocument/2006/relationships" ref="O592" r:id="rId839"/>
    <hyperlink xmlns:r="http://schemas.openxmlformats.org/officeDocument/2006/relationships" ref="P592" r:id="rId840"/>
    <hyperlink xmlns:r="http://schemas.openxmlformats.org/officeDocument/2006/relationships" ref="O593" r:id="rId841"/>
    <hyperlink xmlns:r="http://schemas.openxmlformats.org/officeDocument/2006/relationships" ref="P593" r:id="rId842"/>
    <hyperlink xmlns:r="http://schemas.openxmlformats.org/officeDocument/2006/relationships" ref="O594" r:id="rId843"/>
    <hyperlink xmlns:r="http://schemas.openxmlformats.org/officeDocument/2006/relationships" ref="P594" r:id="rId844"/>
    <hyperlink xmlns:r="http://schemas.openxmlformats.org/officeDocument/2006/relationships" ref="O595" r:id="rId845"/>
    <hyperlink xmlns:r="http://schemas.openxmlformats.org/officeDocument/2006/relationships" ref="P595" r:id="rId846"/>
    <hyperlink xmlns:r="http://schemas.openxmlformats.org/officeDocument/2006/relationships" ref="P596" r:id="rId847"/>
    <hyperlink xmlns:r="http://schemas.openxmlformats.org/officeDocument/2006/relationships" ref="O597" r:id="rId848"/>
    <hyperlink xmlns:r="http://schemas.openxmlformats.org/officeDocument/2006/relationships" ref="P597" r:id="rId849"/>
    <hyperlink xmlns:r="http://schemas.openxmlformats.org/officeDocument/2006/relationships" ref="O598" r:id="rId850"/>
    <hyperlink xmlns:r="http://schemas.openxmlformats.org/officeDocument/2006/relationships" ref="P598" r:id="rId851"/>
    <hyperlink xmlns:r="http://schemas.openxmlformats.org/officeDocument/2006/relationships" ref="O599" r:id="rId852"/>
    <hyperlink xmlns:r="http://schemas.openxmlformats.org/officeDocument/2006/relationships" ref="P599" r:id="rId853"/>
    <hyperlink xmlns:r="http://schemas.openxmlformats.org/officeDocument/2006/relationships" ref="O600" r:id="rId854"/>
    <hyperlink xmlns:r="http://schemas.openxmlformats.org/officeDocument/2006/relationships" ref="P600" r:id="rId855"/>
    <hyperlink xmlns:r="http://schemas.openxmlformats.org/officeDocument/2006/relationships" ref="O601" r:id="rId856"/>
    <hyperlink xmlns:r="http://schemas.openxmlformats.org/officeDocument/2006/relationships" ref="P601" r:id="rId857"/>
    <hyperlink xmlns:r="http://schemas.openxmlformats.org/officeDocument/2006/relationships" ref="O602" r:id="rId858"/>
    <hyperlink xmlns:r="http://schemas.openxmlformats.org/officeDocument/2006/relationships" ref="P602" r:id="rId859"/>
    <hyperlink xmlns:r="http://schemas.openxmlformats.org/officeDocument/2006/relationships" ref="O603" r:id="rId860"/>
    <hyperlink xmlns:r="http://schemas.openxmlformats.org/officeDocument/2006/relationships" ref="P603" r:id="rId861"/>
    <hyperlink xmlns:r="http://schemas.openxmlformats.org/officeDocument/2006/relationships" ref="O604" r:id="rId862"/>
    <hyperlink xmlns:r="http://schemas.openxmlformats.org/officeDocument/2006/relationships" ref="P604" r:id="rId863"/>
    <hyperlink xmlns:r="http://schemas.openxmlformats.org/officeDocument/2006/relationships" ref="O605" r:id="rId864"/>
    <hyperlink xmlns:r="http://schemas.openxmlformats.org/officeDocument/2006/relationships" ref="P605" r:id="rId865"/>
    <hyperlink xmlns:r="http://schemas.openxmlformats.org/officeDocument/2006/relationships" ref="O606" r:id="rId866"/>
    <hyperlink xmlns:r="http://schemas.openxmlformats.org/officeDocument/2006/relationships" ref="P606" r:id="rId867"/>
    <hyperlink xmlns:r="http://schemas.openxmlformats.org/officeDocument/2006/relationships" ref="O607" r:id="rId868"/>
    <hyperlink xmlns:r="http://schemas.openxmlformats.org/officeDocument/2006/relationships" ref="P607" r:id="rId869"/>
    <hyperlink xmlns:r="http://schemas.openxmlformats.org/officeDocument/2006/relationships" ref="P608" r:id="rId870"/>
    <hyperlink xmlns:r="http://schemas.openxmlformats.org/officeDocument/2006/relationships" ref="O609" r:id="rId871"/>
    <hyperlink xmlns:r="http://schemas.openxmlformats.org/officeDocument/2006/relationships" ref="P609" r:id="rId872"/>
    <hyperlink xmlns:r="http://schemas.openxmlformats.org/officeDocument/2006/relationships" ref="P610" r:id="rId873"/>
    <hyperlink xmlns:r="http://schemas.openxmlformats.org/officeDocument/2006/relationships" ref="O611" r:id="rId874"/>
    <hyperlink xmlns:r="http://schemas.openxmlformats.org/officeDocument/2006/relationships" ref="P611" r:id="rId875"/>
    <hyperlink xmlns:r="http://schemas.openxmlformats.org/officeDocument/2006/relationships" ref="O612" r:id="rId876"/>
    <hyperlink xmlns:r="http://schemas.openxmlformats.org/officeDocument/2006/relationships" ref="P612" r:id="rId877"/>
    <hyperlink xmlns:r="http://schemas.openxmlformats.org/officeDocument/2006/relationships" ref="O613" r:id="rId878"/>
    <hyperlink xmlns:r="http://schemas.openxmlformats.org/officeDocument/2006/relationships" ref="P613" r:id="rId879"/>
    <hyperlink xmlns:r="http://schemas.openxmlformats.org/officeDocument/2006/relationships" ref="O614" r:id="rId880"/>
    <hyperlink xmlns:r="http://schemas.openxmlformats.org/officeDocument/2006/relationships" ref="P614" r:id="rId881"/>
    <hyperlink xmlns:r="http://schemas.openxmlformats.org/officeDocument/2006/relationships" ref="O615" r:id="rId882"/>
    <hyperlink xmlns:r="http://schemas.openxmlformats.org/officeDocument/2006/relationships" ref="P615" r:id="rId883"/>
    <hyperlink xmlns:r="http://schemas.openxmlformats.org/officeDocument/2006/relationships" ref="O616" r:id="rId884"/>
    <hyperlink xmlns:r="http://schemas.openxmlformats.org/officeDocument/2006/relationships" ref="P616" r:id="rId885"/>
    <hyperlink xmlns:r="http://schemas.openxmlformats.org/officeDocument/2006/relationships" ref="O617" r:id="rId886"/>
    <hyperlink xmlns:r="http://schemas.openxmlformats.org/officeDocument/2006/relationships" ref="P617" r:id="rId887"/>
    <hyperlink xmlns:r="http://schemas.openxmlformats.org/officeDocument/2006/relationships" ref="O618" r:id="rId888"/>
    <hyperlink xmlns:r="http://schemas.openxmlformats.org/officeDocument/2006/relationships" ref="P618" r:id="rId889"/>
    <hyperlink xmlns:r="http://schemas.openxmlformats.org/officeDocument/2006/relationships" ref="O619" r:id="rId890"/>
    <hyperlink xmlns:r="http://schemas.openxmlformats.org/officeDocument/2006/relationships" ref="P619" r:id="rId891"/>
    <hyperlink xmlns:r="http://schemas.openxmlformats.org/officeDocument/2006/relationships" ref="O620" r:id="rId892"/>
    <hyperlink xmlns:r="http://schemas.openxmlformats.org/officeDocument/2006/relationships" ref="P620" r:id="rId893"/>
    <hyperlink xmlns:r="http://schemas.openxmlformats.org/officeDocument/2006/relationships" ref="O621" r:id="rId894"/>
    <hyperlink xmlns:r="http://schemas.openxmlformats.org/officeDocument/2006/relationships" ref="P621" r:id="rId895"/>
    <hyperlink xmlns:r="http://schemas.openxmlformats.org/officeDocument/2006/relationships" ref="P622" r:id="rId896"/>
    <hyperlink xmlns:r="http://schemas.openxmlformats.org/officeDocument/2006/relationships" ref="P623" r:id="rId897"/>
    <hyperlink xmlns:r="http://schemas.openxmlformats.org/officeDocument/2006/relationships" ref="O624" r:id="rId898"/>
    <hyperlink xmlns:r="http://schemas.openxmlformats.org/officeDocument/2006/relationships" ref="P624" r:id="rId899"/>
    <hyperlink xmlns:r="http://schemas.openxmlformats.org/officeDocument/2006/relationships" ref="P625" r:id="rId900"/>
    <hyperlink xmlns:r="http://schemas.openxmlformats.org/officeDocument/2006/relationships" ref="O626" r:id="rId901"/>
    <hyperlink xmlns:r="http://schemas.openxmlformats.org/officeDocument/2006/relationships" ref="P626" r:id="rId902"/>
    <hyperlink xmlns:r="http://schemas.openxmlformats.org/officeDocument/2006/relationships" ref="P627" r:id="rId903"/>
    <hyperlink xmlns:r="http://schemas.openxmlformats.org/officeDocument/2006/relationships" ref="O628" r:id="rId904"/>
    <hyperlink xmlns:r="http://schemas.openxmlformats.org/officeDocument/2006/relationships" ref="P628" r:id="rId905"/>
    <hyperlink xmlns:r="http://schemas.openxmlformats.org/officeDocument/2006/relationships" ref="O629" r:id="rId906"/>
    <hyperlink xmlns:r="http://schemas.openxmlformats.org/officeDocument/2006/relationships" ref="P629" r:id="rId907"/>
    <hyperlink xmlns:r="http://schemas.openxmlformats.org/officeDocument/2006/relationships" ref="O630" r:id="rId908"/>
    <hyperlink xmlns:r="http://schemas.openxmlformats.org/officeDocument/2006/relationships" ref="P630" r:id="rId909"/>
    <hyperlink xmlns:r="http://schemas.openxmlformats.org/officeDocument/2006/relationships" ref="O631" r:id="rId910"/>
    <hyperlink xmlns:r="http://schemas.openxmlformats.org/officeDocument/2006/relationships" ref="P631" r:id="rId911"/>
    <hyperlink xmlns:r="http://schemas.openxmlformats.org/officeDocument/2006/relationships" ref="O632" r:id="rId912"/>
    <hyperlink xmlns:r="http://schemas.openxmlformats.org/officeDocument/2006/relationships" ref="P632" r:id="rId913"/>
    <hyperlink xmlns:r="http://schemas.openxmlformats.org/officeDocument/2006/relationships" ref="O633" r:id="rId914"/>
    <hyperlink xmlns:r="http://schemas.openxmlformats.org/officeDocument/2006/relationships" ref="P633" r:id="rId915"/>
    <hyperlink xmlns:r="http://schemas.openxmlformats.org/officeDocument/2006/relationships" ref="O634" r:id="rId916"/>
    <hyperlink xmlns:r="http://schemas.openxmlformats.org/officeDocument/2006/relationships" ref="P634" r:id="rId917"/>
    <hyperlink xmlns:r="http://schemas.openxmlformats.org/officeDocument/2006/relationships" ref="O635" r:id="rId918"/>
    <hyperlink xmlns:r="http://schemas.openxmlformats.org/officeDocument/2006/relationships" ref="P635" r:id="rId919"/>
    <hyperlink xmlns:r="http://schemas.openxmlformats.org/officeDocument/2006/relationships" ref="O636" r:id="rId920"/>
    <hyperlink xmlns:r="http://schemas.openxmlformats.org/officeDocument/2006/relationships" ref="P636" r:id="rId921"/>
    <hyperlink xmlns:r="http://schemas.openxmlformats.org/officeDocument/2006/relationships" ref="O637" r:id="rId922"/>
    <hyperlink xmlns:r="http://schemas.openxmlformats.org/officeDocument/2006/relationships" ref="P637" r:id="rId923"/>
    <hyperlink xmlns:r="http://schemas.openxmlformats.org/officeDocument/2006/relationships" ref="O638" r:id="rId924"/>
    <hyperlink xmlns:r="http://schemas.openxmlformats.org/officeDocument/2006/relationships" ref="P638" r:id="rId925"/>
    <hyperlink xmlns:r="http://schemas.openxmlformats.org/officeDocument/2006/relationships" ref="O639" r:id="rId926"/>
    <hyperlink xmlns:r="http://schemas.openxmlformats.org/officeDocument/2006/relationships" ref="P639" r:id="rId927"/>
    <hyperlink xmlns:r="http://schemas.openxmlformats.org/officeDocument/2006/relationships" ref="O640" r:id="rId928"/>
    <hyperlink xmlns:r="http://schemas.openxmlformats.org/officeDocument/2006/relationships" ref="P640" r:id="rId929"/>
    <hyperlink xmlns:r="http://schemas.openxmlformats.org/officeDocument/2006/relationships" ref="O641" r:id="rId930"/>
    <hyperlink xmlns:r="http://schemas.openxmlformats.org/officeDocument/2006/relationships" ref="P641" r:id="rId931"/>
    <hyperlink xmlns:r="http://schemas.openxmlformats.org/officeDocument/2006/relationships" ref="O642" r:id="rId932"/>
    <hyperlink xmlns:r="http://schemas.openxmlformats.org/officeDocument/2006/relationships" ref="P642" r:id="rId933"/>
    <hyperlink xmlns:r="http://schemas.openxmlformats.org/officeDocument/2006/relationships" ref="O643" r:id="rId934"/>
    <hyperlink xmlns:r="http://schemas.openxmlformats.org/officeDocument/2006/relationships" ref="P643" r:id="rId935"/>
    <hyperlink xmlns:r="http://schemas.openxmlformats.org/officeDocument/2006/relationships" ref="O644" r:id="rId936"/>
    <hyperlink xmlns:r="http://schemas.openxmlformats.org/officeDocument/2006/relationships" ref="P644" r:id="rId937"/>
    <hyperlink xmlns:r="http://schemas.openxmlformats.org/officeDocument/2006/relationships" ref="P645" r:id="rId938"/>
    <hyperlink xmlns:r="http://schemas.openxmlformats.org/officeDocument/2006/relationships" ref="O646" r:id="rId939"/>
    <hyperlink xmlns:r="http://schemas.openxmlformats.org/officeDocument/2006/relationships" ref="P646" r:id="rId940"/>
    <hyperlink xmlns:r="http://schemas.openxmlformats.org/officeDocument/2006/relationships" ref="O647" r:id="rId941"/>
    <hyperlink xmlns:r="http://schemas.openxmlformats.org/officeDocument/2006/relationships" ref="P647" r:id="rId942"/>
    <hyperlink xmlns:r="http://schemas.openxmlformats.org/officeDocument/2006/relationships" ref="O648" r:id="rId943"/>
    <hyperlink xmlns:r="http://schemas.openxmlformats.org/officeDocument/2006/relationships" ref="P648" r:id="rId944"/>
    <hyperlink xmlns:r="http://schemas.openxmlformats.org/officeDocument/2006/relationships" ref="O649" r:id="rId945"/>
    <hyperlink xmlns:r="http://schemas.openxmlformats.org/officeDocument/2006/relationships" ref="P649" r:id="rId946"/>
    <hyperlink xmlns:r="http://schemas.openxmlformats.org/officeDocument/2006/relationships" ref="O650" r:id="rId947"/>
    <hyperlink xmlns:r="http://schemas.openxmlformats.org/officeDocument/2006/relationships" ref="P650" r:id="rId948"/>
    <hyperlink xmlns:r="http://schemas.openxmlformats.org/officeDocument/2006/relationships" ref="O651" r:id="rId949"/>
    <hyperlink xmlns:r="http://schemas.openxmlformats.org/officeDocument/2006/relationships" ref="P651" r:id="rId950"/>
    <hyperlink xmlns:r="http://schemas.openxmlformats.org/officeDocument/2006/relationships" ref="O652" r:id="rId951"/>
    <hyperlink xmlns:r="http://schemas.openxmlformats.org/officeDocument/2006/relationships" ref="P652" r:id="rId952"/>
    <hyperlink xmlns:r="http://schemas.openxmlformats.org/officeDocument/2006/relationships" ref="O653" r:id="rId953"/>
    <hyperlink xmlns:r="http://schemas.openxmlformats.org/officeDocument/2006/relationships" ref="P653" r:id="rId954"/>
    <hyperlink xmlns:r="http://schemas.openxmlformats.org/officeDocument/2006/relationships" ref="O654" r:id="rId955"/>
    <hyperlink xmlns:r="http://schemas.openxmlformats.org/officeDocument/2006/relationships" ref="P654" r:id="rId956"/>
    <hyperlink xmlns:r="http://schemas.openxmlformats.org/officeDocument/2006/relationships" ref="O655" r:id="rId957"/>
    <hyperlink xmlns:r="http://schemas.openxmlformats.org/officeDocument/2006/relationships" ref="P655" r:id="rId958"/>
    <hyperlink xmlns:r="http://schemas.openxmlformats.org/officeDocument/2006/relationships" ref="P656" r:id="rId959"/>
    <hyperlink xmlns:r="http://schemas.openxmlformats.org/officeDocument/2006/relationships" ref="P657" r:id="rId960"/>
    <hyperlink xmlns:r="http://schemas.openxmlformats.org/officeDocument/2006/relationships" ref="O658" r:id="rId961"/>
    <hyperlink xmlns:r="http://schemas.openxmlformats.org/officeDocument/2006/relationships" ref="P658" r:id="rId962"/>
    <hyperlink xmlns:r="http://schemas.openxmlformats.org/officeDocument/2006/relationships" ref="O659" r:id="rId963"/>
    <hyperlink xmlns:r="http://schemas.openxmlformats.org/officeDocument/2006/relationships" ref="P659" r:id="rId964"/>
    <hyperlink xmlns:r="http://schemas.openxmlformats.org/officeDocument/2006/relationships" ref="O660" r:id="rId965"/>
    <hyperlink xmlns:r="http://schemas.openxmlformats.org/officeDocument/2006/relationships" ref="P660" r:id="rId966"/>
    <hyperlink xmlns:r="http://schemas.openxmlformats.org/officeDocument/2006/relationships" ref="O661" r:id="rId967"/>
    <hyperlink xmlns:r="http://schemas.openxmlformats.org/officeDocument/2006/relationships" ref="P661" r:id="rId968"/>
    <hyperlink xmlns:r="http://schemas.openxmlformats.org/officeDocument/2006/relationships" ref="O662" r:id="rId969"/>
    <hyperlink xmlns:r="http://schemas.openxmlformats.org/officeDocument/2006/relationships" ref="P662" r:id="rId970"/>
    <hyperlink xmlns:r="http://schemas.openxmlformats.org/officeDocument/2006/relationships" ref="O663" r:id="rId971"/>
    <hyperlink xmlns:r="http://schemas.openxmlformats.org/officeDocument/2006/relationships" ref="P663" r:id="rId972"/>
    <hyperlink xmlns:r="http://schemas.openxmlformats.org/officeDocument/2006/relationships" ref="O664" r:id="rId973"/>
    <hyperlink xmlns:r="http://schemas.openxmlformats.org/officeDocument/2006/relationships" ref="P664" r:id="rId974"/>
    <hyperlink xmlns:r="http://schemas.openxmlformats.org/officeDocument/2006/relationships" ref="O665" r:id="rId975"/>
    <hyperlink xmlns:r="http://schemas.openxmlformats.org/officeDocument/2006/relationships" ref="P665" r:id="rId976"/>
    <hyperlink xmlns:r="http://schemas.openxmlformats.org/officeDocument/2006/relationships" ref="O666" r:id="rId977"/>
    <hyperlink xmlns:r="http://schemas.openxmlformats.org/officeDocument/2006/relationships" ref="P666" r:id="rId978"/>
    <hyperlink xmlns:r="http://schemas.openxmlformats.org/officeDocument/2006/relationships" ref="O667" r:id="rId979"/>
    <hyperlink xmlns:r="http://schemas.openxmlformats.org/officeDocument/2006/relationships" ref="P667" r:id="rId980"/>
    <hyperlink xmlns:r="http://schemas.openxmlformats.org/officeDocument/2006/relationships" ref="P668" r:id="rId981"/>
    <hyperlink xmlns:r="http://schemas.openxmlformats.org/officeDocument/2006/relationships" ref="O669" r:id="rId982"/>
    <hyperlink xmlns:r="http://schemas.openxmlformats.org/officeDocument/2006/relationships" ref="P669" r:id="rId983"/>
    <hyperlink xmlns:r="http://schemas.openxmlformats.org/officeDocument/2006/relationships" ref="O670" r:id="rId984"/>
    <hyperlink xmlns:r="http://schemas.openxmlformats.org/officeDocument/2006/relationships" ref="P670" r:id="rId985"/>
    <hyperlink xmlns:r="http://schemas.openxmlformats.org/officeDocument/2006/relationships" ref="O671" r:id="rId986"/>
    <hyperlink xmlns:r="http://schemas.openxmlformats.org/officeDocument/2006/relationships" ref="P671" r:id="rId987"/>
    <hyperlink xmlns:r="http://schemas.openxmlformats.org/officeDocument/2006/relationships" ref="O672" r:id="rId988"/>
    <hyperlink xmlns:r="http://schemas.openxmlformats.org/officeDocument/2006/relationships" ref="P672" r:id="rId989"/>
    <hyperlink xmlns:r="http://schemas.openxmlformats.org/officeDocument/2006/relationships" ref="O673" r:id="rId990"/>
    <hyperlink xmlns:r="http://schemas.openxmlformats.org/officeDocument/2006/relationships" ref="P673" r:id="rId991"/>
    <hyperlink xmlns:r="http://schemas.openxmlformats.org/officeDocument/2006/relationships" ref="O674" r:id="rId992"/>
    <hyperlink xmlns:r="http://schemas.openxmlformats.org/officeDocument/2006/relationships" ref="P674" r:id="rId993"/>
    <hyperlink xmlns:r="http://schemas.openxmlformats.org/officeDocument/2006/relationships" ref="O675" r:id="rId994"/>
    <hyperlink xmlns:r="http://schemas.openxmlformats.org/officeDocument/2006/relationships" ref="P675" r:id="rId995"/>
    <hyperlink xmlns:r="http://schemas.openxmlformats.org/officeDocument/2006/relationships" ref="O676" r:id="rId996"/>
    <hyperlink xmlns:r="http://schemas.openxmlformats.org/officeDocument/2006/relationships" ref="P676" r:id="rId997"/>
    <hyperlink xmlns:r="http://schemas.openxmlformats.org/officeDocument/2006/relationships" ref="O677" r:id="rId998"/>
    <hyperlink xmlns:r="http://schemas.openxmlformats.org/officeDocument/2006/relationships" ref="P677" r:id="rId999"/>
    <hyperlink xmlns:r="http://schemas.openxmlformats.org/officeDocument/2006/relationships" ref="O678" r:id="rId1000"/>
    <hyperlink xmlns:r="http://schemas.openxmlformats.org/officeDocument/2006/relationships" ref="P678" r:id="rId1001"/>
    <hyperlink xmlns:r="http://schemas.openxmlformats.org/officeDocument/2006/relationships" ref="O679" r:id="rId1002"/>
    <hyperlink xmlns:r="http://schemas.openxmlformats.org/officeDocument/2006/relationships" ref="P679" r:id="rId1003"/>
    <hyperlink xmlns:r="http://schemas.openxmlformats.org/officeDocument/2006/relationships" ref="O680" r:id="rId1004"/>
    <hyperlink xmlns:r="http://schemas.openxmlformats.org/officeDocument/2006/relationships" ref="P680" r:id="rId1005"/>
    <hyperlink xmlns:r="http://schemas.openxmlformats.org/officeDocument/2006/relationships" ref="O681" r:id="rId1006"/>
    <hyperlink xmlns:r="http://schemas.openxmlformats.org/officeDocument/2006/relationships" ref="P681" r:id="rId1007"/>
    <hyperlink xmlns:r="http://schemas.openxmlformats.org/officeDocument/2006/relationships" ref="O682" r:id="rId1008"/>
    <hyperlink xmlns:r="http://schemas.openxmlformats.org/officeDocument/2006/relationships" ref="P682" r:id="rId1009"/>
    <hyperlink xmlns:r="http://schemas.openxmlformats.org/officeDocument/2006/relationships" ref="O683" r:id="rId1010"/>
    <hyperlink xmlns:r="http://schemas.openxmlformats.org/officeDocument/2006/relationships" ref="P683" r:id="rId1011"/>
    <hyperlink xmlns:r="http://schemas.openxmlformats.org/officeDocument/2006/relationships" ref="O684" r:id="rId1012"/>
    <hyperlink xmlns:r="http://schemas.openxmlformats.org/officeDocument/2006/relationships" ref="P684" r:id="rId1013"/>
    <hyperlink xmlns:r="http://schemas.openxmlformats.org/officeDocument/2006/relationships" ref="O685" r:id="rId1014"/>
    <hyperlink xmlns:r="http://schemas.openxmlformats.org/officeDocument/2006/relationships" ref="P685" r:id="rId1015"/>
    <hyperlink xmlns:r="http://schemas.openxmlformats.org/officeDocument/2006/relationships" ref="P686" r:id="rId1016"/>
    <hyperlink xmlns:r="http://schemas.openxmlformats.org/officeDocument/2006/relationships" ref="P687" r:id="rId1017"/>
    <hyperlink xmlns:r="http://schemas.openxmlformats.org/officeDocument/2006/relationships" ref="O688" r:id="rId1018"/>
    <hyperlink xmlns:r="http://schemas.openxmlformats.org/officeDocument/2006/relationships" ref="P688" r:id="rId1019"/>
    <hyperlink xmlns:r="http://schemas.openxmlformats.org/officeDocument/2006/relationships" ref="O689" r:id="rId1020"/>
    <hyperlink xmlns:r="http://schemas.openxmlformats.org/officeDocument/2006/relationships" ref="P689" r:id="rId1021"/>
    <hyperlink xmlns:r="http://schemas.openxmlformats.org/officeDocument/2006/relationships" ref="P690" r:id="rId1022"/>
    <hyperlink xmlns:r="http://schemas.openxmlformats.org/officeDocument/2006/relationships" ref="O691" r:id="rId1023"/>
    <hyperlink xmlns:r="http://schemas.openxmlformats.org/officeDocument/2006/relationships" ref="P691" r:id="rId1024"/>
    <hyperlink xmlns:r="http://schemas.openxmlformats.org/officeDocument/2006/relationships" ref="O692" r:id="rId1025"/>
    <hyperlink xmlns:r="http://schemas.openxmlformats.org/officeDocument/2006/relationships" ref="P692" r:id="rId1026"/>
    <hyperlink xmlns:r="http://schemas.openxmlformats.org/officeDocument/2006/relationships" ref="O693" r:id="rId1027"/>
    <hyperlink xmlns:r="http://schemas.openxmlformats.org/officeDocument/2006/relationships" ref="P693" r:id="rId1028"/>
    <hyperlink xmlns:r="http://schemas.openxmlformats.org/officeDocument/2006/relationships" ref="O694" r:id="rId1029"/>
    <hyperlink xmlns:r="http://schemas.openxmlformats.org/officeDocument/2006/relationships" ref="P694" r:id="rId1030"/>
    <hyperlink xmlns:r="http://schemas.openxmlformats.org/officeDocument/2006/relationships" ref="O695" r:id="rId1031"/>
    <hyperlink xmlns:r="http://schemas.openxmlformats.org/officeDocument/2006/relationships" ref="P695" r:id="rId1032"/>
    <hyperlink xmlns:r="http://schemas.openxmlformats.org/officeDocument/2006/relationships" ref="O696" r:id="rId1033"/>
    <hyperlink xmlns:r="http://schemas.openxmlformats.org/officeDocument/2006/relationships" ref="P696" r:id="rId1034"/>
    <hyperlink xmlns:r="http://schemas.openxmlformats.org/officeDocument/2006/relationships" ref="O697" r:id="rId1035"/>
    <hyperlink xmlns:r="http://schemas.openxmlformats.org/officeDocument/2006/relationships" ref="P697" r:id="rId1036"/>
    <hyperlink xmlns:r="http://schemas.openxmlformats.org/officeDocument/2006/relationships" ref="O698" r:id="rId1037"/>
    <hyperlink xmlns:r="http://schemas.openxmlformats.org/officeDocument/2006/relationships" ref="P698" r:id="rId1038"/>
    <hyperlink xmlns:r="http://schemas.openxmlformats.org/officeDocument/2006/relationships" ref="O699" r:id="rId1039"/>
    <hyperlink xmlns:r="http://schemas.openxmlformats.org/officeDocument/2006/relationships" ref="P699" r:id="rId1040"/>
    <hyperlink xmlns:r="http://schemas.openxmlformats.org/officeDocument/2006/relationships" ref="O700" r:id="rId1041"/>
    <hyperlink xmlns:r="http://schemas.openxmlformats.org/officeDocument/2006/relationships" ref="P700" r:id="rId1042"/>
    <hyperlink xmlns:r="http://schemas.openxmlformats.org/officeDocument/2006/relationships" ref="P701" r:id="rId1043"/>
    <hyperlink xmlns:r="http://schemas.openxmlformats.org/officeDocument/2006/relationships" ref="O702" r:id="rId1044"/>
    <hyperlink xmlns:r="http://schemas.openxmlformats.org/officeDocument/2006/relationships" ref="P702" r:id="rId1045"/>
    <hyperlink xmlns:r="http://schemas.openxmlformats.org/officeDocument/2006/relationships" ref="O703" r:id="rId1046"/>
    <hyperlink xmlns:r="http://schemas.openxmlformats.org/officeDocument/2006/relationships" ref="P703" r:id="rId1047"/>
    <hyperlink xmlns:r="http://schemas.openxmlformats.org/officeDocument/2006/relationships" ref="O704" r:id="rId1048"/>
    <hyperlink xmlns:r="http://schemas.openxmlformats.org/officeDocument/2006/relationships" ref="P704" r:id="rId1049"/>
    <hyperlink xmlns:r="http://schemas.openxmlformats.org/officeDocument/2006/relationships" ref="O705" r:id="rId1050"/>
    <hyperlink xmlns:r="http://schemas.openxmlformats.org/officeDocument/2006/relationships" ref="P705" r:id="rId1051"/>
    <hyperlink xmlns:r="http://schemas.openxmlformats.org/officeDocument/2006/relationships" ref="O706" r:id="rId1052"/>
    <hyperlink xmlns:r="http://schemas.openxmlformats.org/officeDocument/2006/relationships" ref="P706" r:id="rId1053"/>
    <hyperlink xmlns:r="http://schemas.openxmlformats.org/officeDocument/2006/relationships" ref="O707" r:id="rId1054"/>
    <hyperlink xmlns:r="http://schemas.openxmlformats.org/officeDocument/2006/relationships" ref="P707" r:id="rId1055"/>
    <hyperlink xmlns:r="http://schemas.openxmlformats.org/officeDocument/2006/relationships" ref="O708" r:id="rId1056"/>
    <hyperlink xmlns:r="http://schemas.openxmlformats.org/officeDocument/2006/relationships" ref="P708" r:id="rId1057"/>
    <hyperlink xmlns:r="http://schemas.openxmlformats.org/officeDocument/2006/relationships" ref="O709" r:id="rId1058"/>
    <hyperlink xmlns:r="http://schemas.openxmlformats.org/officeDocument/2006/relationships" ref="P709" r:id="rId1059"/>
    <hyperlink xmlns:r="http://schemas.openxmlformats.org/officeDocument/2006/relationships" ref="O710" r:id="rId1060"/>
    <hyperlink xmlns:r="http://schemas.openxmlformats.org/officeDocument/2006/relationships" ref="P710" r:id="rId1061"/>
    <hyperlink xmlns:r="http://schemas.openxmlformats.org/officeDocument/2006/relationships" ref="O711" r:id="rId1062"/>
    <hyperlink xmlns:r="http://schemas.openxmlformats.org/officeDocument/2006/relationships" ref="P711" r:id="rId1063"/>
    <hyperlink xmlns:r="http://schemas.openxmlformats.org/officeDocument/2006/relationships" ref="O712" r:id="rId1064"/>
    <hyperlink xmlns:r="http://schemas.openxmlformats.org/officeDocument/2006/relationships" ref="P712" r:id="rId1065"/>
    <hyperlink xmlns:r="http://schemas.openxmlformats.org/officeDocument/2006/relationships" ref="P713" r:id="rId1066"/>
    <hyperlink xmlns:r="http://schemas.openxmlformats.org/officeDocument/2006/relationships" ref="P714" r:id="rId1067"/>
    <hyperlink xmlns:r="http://schemas.openxmlformats.org/officeDocument/2006/relationships" ref="P715" r:id="rId1068"/>
    <hyperlink xmlns:r="http://schemas.openxmlformats.org/officeDocument/2006/relationships" ref="P716" r:id="rId1069"/>
    <hyperlink xmlns:r="http://schemas.openxmlformats.org/officeDocument/2006/relationships" ref="O717" r:id="rId1070"/>
    <hyperlink xmlns:r="http://schemas.openxmlformats.org/officeDocument/2006/relationships" ref="P717" r:id="rId1071"/>
    <hyperlink xmlns:r="http://schemas.openxmlformats.org/officeDocument/2006/relationships" ref="O718" r:id="rId1072"/>
    <hyperlink xmlns:r="http://schemas.openxmlformats.org/officeDocument/2006/relationships" ref="P718" r:id="rId1073"/>
    <hyperlink xmlns:r="http://schemas.openxmlformats.org/officeDocument/2006/relationships" ref="P719" r:id="rId1074"/>
    <hyperlink xmlns:r="http://schemas.openxmlformats.org/officeDocument/2006/relationships" ref="O720" r:id="rId1075"/>
    <hyperlink xmlns:r="http://schemas.openxmlformats.org/officeDocument/2006/relationships" ref="P720" r:id="rId1076"/>
    <hyperlink xmlns:r="http://schemas.openxmlformats.org/officeDocument/2006/relationships" ref="O721" r:id="rId1077"/>
    <hyperlink xmlns:r="http://schemas.openxmlformats.org/officeDocument/2006/relationships" ref="P721" r:id="rId1078"/>
    <hyperlink xmlns:r="http://schemas.openxmlformats.org/officeDocument/2006/relationships" ref="O722" r:id="rId1079"/>
    <hyperlink xmlns:r="http://schemas.openxmlformats.org/officeDocument/2006/relationships" ref="P722" r:id="rId1080"/>
    <hyperlink xmlns:r="http://schemas.openxmlformats.org/officeDocument/2006/relationships" ref="P723" r:id="rId1081"/>
    <hyperlink xmlns:r="http://schemas.openxmlformats.org/officeDocument/2006/relationships" ref="P724" r:id="rId1082"/>
    <hyperlink xmlns:r="http://schemas.openxmlformats.org/officeDocument/2006/relationships" ref="O725" r:id="rId1083"/>
    <hyperlink xmlns:r="http://schemas.openxmlformats.org/officeDocument/2006/relationships" ref="P725" r:id="rId1084"/>
    <hyperlink xmlns:r="http://schemas.openxmlformats.org/officeDocument/2006/relationships" ref="O726" r:id="rId1085"/>
    <hyperlink xmlns:r="http://schemas.openxmlformats.org/officeDocument/2006/relationships" ref="P726" r:id="rId1086"/>
    <hyperlink xmlns:r="http://schemas.openxmlformats.org/officeDocument/2006/relationships" ref="P727" r:id="rId1087"/>
    <hyperlink xmlns:r="http://schemas.openxmlformats.org/officeDocument/2006/relationships" ref="P728" r:id="rId1088"/>
    <hyperlink xmlns:r="http://schemas.openxmlformats.org/officeDocument/2006/relationships" ref="O729" r:id="rId1089"/>
    <hyperlink xmlns:r="http://schemas.openxmlformats.org/officeDocument/2006/relationships" ref="P729" r:id="rId1090"/>
    <hyperlink xmlns:r="http://schemas.openxmlformats.org/officeDocument/2006/relationships" ref="O730" r:id="rId1091"/>
    <hyperlink xmlns:r="http://schemas.openxmlformats.org/officeDocument/2006/relationships" ref="P730" r:id="rId1092"/>
    <hyperlink xmlns:r="http://schemas.openxmlformats.org/officeDocument/2006/relationships" ref="O731" r:id="rId1093"/>
    <hyperlink xmlns:r="http://schemas.openxmlformats.org/officeDocument/2006/relationships" ref="P731" r:id="rId1094"/>
    <hyperlink xmlns:r="http://schemas.openxmlformats.org/officeDocument/2006/relationships" ref="O732" r:id="rId1095"/>
    <hyperlink xmlns:r="http://schemas.openxmlformats.org/officeDocument/2006/relationships" ref="P732" r:id="rId1096"/>
    <hyperlink xmlns:r="http://schemas.openxmlformats.org/officeDocument/2006/relationships" ref="O733" r:id="rId1097"/>
    <hyperlink xmlns:r="http://schemas.openxmlformats.org/officeDocument/2006/relationships" ref="P733" r:id="rId1098"/>
    <hyperlink xmlns:r="http://schemas.openxmlformats.org/officeDocument/2006/relationships" ref="O734" r:id="rId1099"/>
    <hyperlink xmlns:r="http://schemas.openxmlformats.org/officeDocument/2006/relationships" ref="P734" r:id="rId1100"/>
    <hyperlink xmlns:r="http://schemas.openxmlformats.org/officeDocument/2006/relationships" ref="O735" r:id="rId1101"/>
    <hyperlink xmlns:r="http://schemas.openxmlformats.org/officeDocument/2006/relationships" ref="P735" r:id="rId1102"/>
    <hyperlink xmlns:r="http://schemas.openxmlformats.org/officeDocument/2006/relationships" ref="O736" r:id="rId1103"/>
    <hyperlink xmlns:r="http://schemas.openxmlformats.org/officeDocument/2006/relationships" ref="P736" r:id="rId1104"/>
    <hyperlink xmlns:r="http://schemas.openxmlformats.org/officeDocument/2006/relationships" ref="O737" r:id="rId1105"/>
    <hyperlink xmlns:r="http://schemas.openxmlformats.org/officeDocument/2006/relationships" ref="P737" r:id="rId1106"/>
    <hyperlink xmlns:r="http://schemas.openxmlformats.org/officeDocument/2006/relationships" ref="P738" r:id="rId1107"/>
    <hyperlink xmlns:r="http://schemas.openxmlformats.org/officeDocument/2006/relationships" ref="O739" r:id="rId1108"/>
    <hyperlink xmlns:r="http://schemas.openxmlformats.org/officeDocument/2006/relationships" ref="P739" r:id="rId1109"/>
    <hyperlink xmlns:r="http://schemas.openxmlformats.org/officeDocument/2006/relationships" ref="O740" r:id="rId1110"/>
    <hyperlink xmlns:r="http://schemas.openxmlformats.org/officeDocument/2006/relationships" ref="P740" r:id="rId1111"/>
    <hyperlink xmlns:r="http://schemas.openxmlformats.org/officeDocument/2006/relationships" ref="P741" r:id="rId1112"/>
    <hyperlink xmlns:r="http://schemas.openxmlformats.org/officeDocument/2006/relationships" ref="P742" r:id="rId1113"/>
    <hyperlink xmlns:r="http://schemas.openxmlformats.org/officeDocument/2006/relationships" ref="O743" r:id="rId1114"/>
    <hyperlink xmlns:r="http://schemas.openxmlformats.org/officeDocument/2006/relationships" ref="P743" r:id="rId1115"/>
    <hyperlink xmlns:r="http://schemas.openxmlformats.org/officeDocument/2006/relationships" ref="O744" r:id="rId1116"/>
    <hyperlink xmlns:r="http://schemas.openxmlformats.org/officeDocument/2006/relationships" ref="P744" r:id="rId1117"/>
    <hyperlink xmlns:r="http://schemas.openxmlformats.org/officeDocument/2006/relationships" ref="O745" r:id="rId1118"/>
    <hyperlink xmlns:r="http://schemas.openxmlformats.org/officeDocument/2006/relationships" ref="P745" r:id="rId1119"/>
    <hyperlink xmlns:r="http://schemas.openxmlformats.org/officeDocument/2006/relationships" ref="P746" r:id="rId1120"/>
    <hyperlink xmlns:r="http://schemas.openxmlformats.org/officeDocument/2006/relationships" ref="O747" r:id="rId1121"/>
    <hyperlink xmlns:r="http://schemas.openxmlformats.org/officeDocument/2006/relationships" ref="P747" r:id="rId1122"/>
    <hyperlink xmlns:r="http://schemas.openxmlformats.org/officeDocument/2006/relationships" ref="O748" r:id="rId1123"/>
    <hyperlink xmlns:r="http://schemas.openxmlformats.org/officeDocument/2006/relationships" ref="P748" r:id="rId1124"/>
    <hyperlink xmlns:r="http://schemas.openxmlformats.org/officeDocument/2006/relationships" ref="O749" r:id="rId1125"/>
    <hyperlink xmlns:r="http://schemas.openxmlformats.org/officeDocument/2006/relationships" ref="P749" r:id="rId1126"/>
    <hyperlink xmlns:r="http://schemas.openxmlformats.org/officeDocument/2006/relationships" ref="O750" r:id="rId1127"/>
    <hyperlink xmlns:r="http://schemas.openxmlformats.org/officeDocument/2006/relationships" ref="P750" r:id="rId1128"/>
    <hyperlink xmlns:r="http://schemas.openxmlformats.org/officeDocument/2006/relationships" ref="O751" r:id="rId1129"/>
    <hyperlink xmlns:r="http://schemas.openxmlformats.org/officeDocument/2006/relationships" ref="P751" r:id="rId1130"/>
    <hyperlink xmlns:r="http://schemas.openxmlformats.org/officeDocument/2006/relationships" ref="P752" r:id="rId1131"/>
    <hyperlink xmlns:r="http://schemas.openxmlformats.org/officeDocument/2006/relationships" ref="O753" r:id="rId1132"/>
    <hyperlink xmlns:r="http://schemas.openxmlformats.org/officeDocument/2006/relationships" ref="P753" r:id="rId1133"/>
    <hyperlink xmlns:r="http://schemas.openxmlformats.org/officeDocument/2006/relationships" ref="P754" r:id="rId1134"/>
    <hyperlink xmlns:r="http://schemas.openxmlformats.org/officeDocument/2006/relationships" ref="P755" r:id="rId1135"/>
    <hyperlink xmlns:r="http://schemas.openxmlformats.org/officeDocument/2006/relationships" ref="O756" r:id="rId1136"/>
    <hyperlink xmlns:r="http://schemas.openxmlformats.org/officeDocument/2006/relationships" ref="P756" r:id="rId1137"/>
    <hyperlink xmlns:r="http://schemas.openxmlformats.org/officeDocument/2006/relationships" ref="O757" r:id="rId1138"/>
    <hyperlink xmlns:r="http://schemas.openxmlformats.org/officeDocument/2006/relationships" ref="P757" r:id="rId1139"/>
    <hyperlink xmlns:r="http://schemas.openxmlformats.org/officeDocument/2006/relationships" ref="O758" r:id="rId1140"/>
    <hyperlink xmlns:r="http://schemas.openxmlformats.org/officeDocument/2006/relationships" ref="P758" r:id="rId1141"/>
    <hyperlink xmlns:r="http://schemas.openxmlformats.org/officeDocument/2006/relationships" ref="P759" r:id="rId1142"/>
    <hyperlink xmlns:r="http://schemas.openxmlformats.org/officeDocument/2006/relationships" ref="O760" r:id="rId1143"/>
    <hyperlink xmlns:r="http://schemas.openxmlformats.org/officeDocument/2006/relationships" ref="P760" r:id="rId1144"/>
    <hyperlink xmlns:r="http://schemas.openxmlformats.org/officeDocument/2006/relationships" ref="O761" r:id="rId1145"/>
    <hyperlink xmlns:r="http://schemas.openxmlformats.org/officeDocument/2006/relationships" ref="P761" r:id="rId1146"/>
    <hyperlink xmlns:r="http://schemas.openxmlformats.org/officeDocument/2006/relationships" ref="O762" r:id="rId1147"/>
    <hyperlink xmlns:r="http://schemas.openxmlformats.org/officeDocument/2006/relationships" ref="P762" r:id="rId1148"/>
    <hyperlink xmlns:r="http://schemas.openxmlformats.org/officeDocument/2006/relationships" ref="O763" r:id="rId1149"/>
    <hyperlink xmlns:r="http://schemas.openxmlformats.org/officeDocument/2006/relationships" ref="P763" r:id="rId1150"/>
    <hyperlink xmlns:r="http://schemas.openxmlformats.org/officeDocument/2006/relationships" ref="O764" r:id="rId1151"/>
    <hyperlink xmlns:r="http://schemas.openxmlformats.org/officeDocument/2006/relationships" ref="P764" r:id="rId1152"/>
    <hyperlink xmlns:r="http://schemas.openxmlformats.org/officeDocument/2006/relationships" ref="O765" r:id="rId1153"/>
    <hyperlink xmlns:r="http://schemas.openxmlformats.org/officeDocument/2006/relationships" ref="P765" r:id="rId1154"/>
    <hyperlink xmlns:r="http://schemas.openxmlformats.org/officeDocument/2006/relationships" ref="O766" r:id="rId1155"/>
    <hyperlink xmlns:r="http://schemas.openxmlformats.org/officeDocument/2006/relationships" ref="P766" r:id="rId1156"/>
    <hyperlink xmlns:r="http://schemas.openxmlformats.org/officeDocument/2006/relationships" ref="O767" r:id="rId1157"/>
    <hyperlink xmlns:r="http://schemas.openxmlformats.org/officeDocument/2006/relationships" ref="P767" r:id="rId1158"/>
    <hyperlink xmlns:r="http://schemas.openxmlformats.org/officeDocument/2006/relationships" ref="O768" r:id="rId1159"/>
    <hyperlink xmlns:r="http://schemas.openxmlformats.org/officeDocument/2006/relationships" ref="P768" r:id="rId1160"/>
    <hyperlink xmlns:r="http://schemas.openxmlformats.org/officeDocument/2006/relationships" ref="O769" r:id="rId1161"/>
    <hyperlink xmlns:r="http://schemas.openxmlformats.org/officeDocument/2006/relationships" ref="P769" r:id="rId1162"/>
    <hyperlink xmlns:r="http://schemas.openxmlformats.org/officeDocument/2006/relationships" ref="O770" r:id="rId1163"/>
    <hyperlink xmlns:r="http://schemas.openxmlformats.org/officeDocument/2006/relationships" ref="P770" r:id="rId1164"/>
    <hyperlink xmlns:r="http://schemas.openxmlformats.org/officeDocument/2006/relationships" ref="O771" r:id="rId1165"/>
    <hyperlink xmlns:r="http://schemas.openxmlformats.org/officeDocument/2006/relationships" ref="P771" r:id="rId1166"/>
    <hyperlink xmlns:r="http://schemas.openxmlformats.org/officeDocument/2006/relationships" ref="P772" r:id="rId1167"/>
    <hyperlink xmlns:r="http://schemas.openxmlformats.org/officeDocument/2006/relationships" ref="O773" r:id="rId1168"/>
    <hyperlink xmlns:r="http://schemas.openxmlformats.org/officeDocument/2006/relationships" ref="P773" r:id="rId1169"/>
    <hyperlink xmlns:r="http://schemas.openxmlformats.org/officeDocument/2006/relationships" ref="O774" r:id="rId1170"/>
    <hyperlink xmlns:r="http://schemas.openxmlformats.org/officeDocument/2006/relationships" ref="P774" r:id="rId1171"/>
    <hyperlink xmlns:r="http://schemas.openxmlformats.org/officeDocument/2006/relationships" ref="O775" r:id="rId1172"/>
    <hyperlink xmlns:r="http://schemas.openxmlformats.org/officeDocument/2006/relationships" ref="P775" r:id="rId1173"/>
    <hyperlink xmlns:r="http://schemas.openxmlformats.org/officeDocument/2006/relationships" ref="O776" r:id="rId1174"/>
    <hyperlink xmlns:r="http://schemas.openxmlformats.org/officeDocument/2006/relationships" ref="P776" r:id="rId1175"/>
    <hyperlink xmlns:r="http://schemas.openxmlformats.org/officeDocument/2006/relationships" ref="O777" r:id="rId1176"/>
    <hyperlink xmlns:r="http://schemas.openxmlformats.org/officeDocument/2006/relationships" ref="P777" r:id="rId1177"/>
    <hyperlink xmlns:r="http://schemas.openxmlformats.org/officeDocument/2006/relationships" ref="O778" r:id="rId1178"/>
    <hyperlink xmlns:r="http://schemas.openxmlformats.org/officeDocument/2006/relationships" ref="P778" r:id="rId1179"/>
    <hyperlink xmlns:r="http://schemas.openxmlformats.org/officeDocument/2006/relationships" ref="O779" r:id="rId1180"/>
    <hyperlink xmlns:r="http://schemas.openxmlformats.org/officeDocument/2006/relationships" ref="P779" r:id="rId1181"/>
    <hyperlink xmlns:r="http://schemas.openxmlformats.org/officeDocument/2006/relationships" ref="O780" r:id="rId1182"/>
    <hyperlink xmlns:r="http://schemas.openxmlformats.org/officeDocument/2006/relationships" ref="P780" r:id="rId1183"/>
    <hyperlink xmlns:r="http://schemas.openxmlformats.org/officeDocument/2006/relationships" ref="O781" r:id="rId1184"/>
    <hyperlink xmlns:r="http://schemas.openxmlformats.org/officeDocument/2006/relationships" ref="P781" r:id="rId1185"/>
    <hyperlink xmlns:r="http://schemas.openxmlformats.org/officeDocument/2006/relationships" ref="P782" r:id="rId1186"/>
    <hyperlink xmlns:r="http://schemas.openxmlformats.org/officeDocument/2006/relationships" ref="P783" r:id="rId1187"/>
    <hyperlink xmlns:r="http://schemas.openxmlformats.org/officeDocument/2006/relationships" ref="O784" r:id="rId1188"/>
    <hyperlink xmlns:r="http://schemas.openxmlformats.org/officeDocument/2006/relationships" ref="P784" r:id="rId1189"/>
    <hyperlink xmlns:r="http://schemas.openxmlformats.org/officeDocument/2006/relationships" ref="O785" r:id="rId1190"/>
    <hyperlink xmlns:r="http://schemas.openxmlformats.org/officeDocument/2006/relationships" ref="P785" r:id="rId1191"/>
    <hyperlink xmlns:r="http://schemas.openxmlformats.org/officeDocument/2006/relationships" ref="P786" r:id="rId1192"/>
    <hyperlink xmlns:r="http://schemas.openxmlformats.org/officeDocument/2006/relationships" ref="O787" r:id="rId1193"/>
    <hyperlink xmlns:r="http://schemas.openxmlformats.org/officeDocument/2006/relationships" ref="P787" r:id="rId1194"/>
    <hyperlink xmlns:r="http://schemas.openxmlformats.org/officeDocument/2006/relationships" ref="O788" r:id="rId1195"/>
    <hyperlink xmlns:r="http://schemas.openxmlformats.org/officeDocument/2006/relationships" ref="P788" r:id="rId1196"/>
    <hyperlink xmlns:r="http://schemas.openxmlformats.org/officeDocument/2006/relationships" ref="O789" r:id="rId1197"/>
    <hyperlink xmlns:r="http://schemas.openxmlformats.org/officeDocument/2006/relationships" ref="P789" r:id="rId1198"/>
    <hyperlink xmlns:r="http://schemas.openxmlformats.org/officeDocument/2006/relationships" ref="P790" r:id="rId1199"/>
    <hyperlink xmlns:r="http://schemas.openxmlformats.org/officeDocument/2006/relationships" ref="O791" r:id="rId1200"/>
    <hyperlink xmlns:r="http://schemas.openxmlformats.org/officeDocument/2006/relationships" ref="P791" r:id="rId1201"/>
    <hyperlink xmlns:r="http://schemas.openxmlformats.org/officeDocument/2006/relationships" ref="O792" r:id="rId1202"/>
    <hyperlink xmlns:r="http://schemas.openxmlformats.org/officeDocument/2006/relationships" ref="P792" r:id="rId1203"/>
    <hyperlink xmlns:r="http://schemas.openxmlformats.org/officeDocument/2006/relationships" ref="O793" r:id="rId1204"/>
    <hyperlink xmlns:r="http://schemas.openxmlformats.org/officeDocument/2006/relationships" ref="P793" r:id="rId1205"/>
    <hyperlink xmlns:r="http://schemas.openxmlformats.org/officeDocument/2006/relationships" ref="O794" r:id="rId1206"/>
    <hyperlink xmlns:r="http://schemas.openxmlformats.org/officeDocument/2006/relationships" ref="P794" r:id="rId1207"/>
    <hyperlink xmlns:r="http://schemas.openxmlformats.org/officeDocument/2006/relationships" ref="O795" r:id="rId1208"/>
    <hyperlink xmlns:r="http://schemas.openxmlformats.org/officeDocument/2006/relationships" ref="P795" r:id="rId1209"/>
    <hyperlink xmlns:r="http://schemas.openxmlformats.org/officeDocument/2006/relationships" ref="O796" r:id="rId1210"/>
    <hyperlink xmlns:r="http://schemas.openxmlformats.org/officeDocument/2006/relationships" ref="P796" r:id="rId1211"/>
    <hyperlink xmlns:r="http://schemas.openxmlformats.org/officeDocument/2006/relationships" ref="P797" r:id="rId1212"/>
    <hyperlink xmlns:r="http://schemas.openxmlformats.org/officeDocument/2006/relationships" ref="O798" r:id="rId1213"/>
    <hyperlink xmlns:r="http://schemas.openxmlformats.org/officeDocument/2006/relationships" ref="P798" r:id="rId1214"/>
    <hyperlink xmlns:r="http://schemas.openxmlformats.org/officeDocument/2006/relationships" ref="O799" r:id="rId1215"/>
    <hyperlink xmlns:r="http://schemas.openxmlformats.org/officeDocument/2006/relationships" ref="P799" r:id="rId1216"/>
    <hyperlink xmlns:r="http://schemas.openxmlformats.org/officeDocument/2006/relationships" ref="P800" r:id="rId1217"/>
    <hyperlink xmlns:r="http://schemas.openxmlformats.org/officeDocument/2006/relationships" ref="P801" r:id="rId1218"/>
    <hyperlink xmlns:r="http://schemas.openxmlformats.org/officeDocument/2006/relationships" ref="P802" r:id="rId1219"/>
    <hyperlink xmlns:r="http://schemas.openxmlformats.org/officeDocument/2006/relationships" ref="P803" r:id="rId1220"/>
    <hyperlink xmlns:r="http://schemas.openxmlformats.org/officeDocument/2006/relationships" ref="P804" r:id="rId1221"/>
    <hyperlink xmlns:r="http://schemas.openxmlformats.org/officeDocument/2006/relationships" ref="P805" r:id="rId1222"/>
    <hyperlink xmlns:r="http://schemas.openxmlformats.org/officeDocument/2006/relationships" ref="P806" r:id="rId1223"/>
    <hyperlink xmlns:r="http://schemas.openxmlformats.org/officeDocument/2006/relationships" ref="P807" r:id="rId1224"/>
    <hyperlink xmlns:r="http://schemas.openxmlformats.org/officeDocument/2006/relationships" ref="P808" r:id="rId1225"/>
    <hyperlink xmlns:r="http://schemas.openxmlformats.org/officeDocument/2006/relationships" ref="P809" r:id="rId1226"/>
    <hyperlink xmlns:r="http://schemas.openxmlformats.org/officeDocument/2006/relationships" ref="P810" r:id="rId1227"/>
    <hyperlink xmlns:r="http://schemas.openxmlformats.org/officeDocument/2006/relationships" ref="P811" r:id="rId1228"/>
    <hyperlink xmlns:r="http://schemas.openxmlformats.org/officeDocument/2006/relationships" ref="P812" r:id="rId1229"/>
    <hyperlink xmlns:r="http://schemas.openxmlformats.org/officeDocument/2006/relationships" ref="P813" r:id="rId1230"/>
    <hyperlink xmlns:r="http://schemas.openxmlformats.org/officeDocument/2006/relationships" ref="P814" r:id="rId1231"/>
    <hyperlink xmlns:r="http://schemas.openxmlformats.org/officeDocument/2006/relationships" ref="P815" r:id="rId1232"/>
    <hyperlink xmlns:r="http://schemas.openxmlformats.org/officeDocument/2006/relationships" ref="P816" r:id="rId1233"/>
    <hyperlink xmlns:r="http://schemas.openxmlformats.org/officeDocument/2006/relationships" ref="P817" r:id="rId1234"/>
    <hyperlink xmlns:r="http://schemas.openxmlformats.org/officeDocument/2006/relationships" ref="P818" r:id="rId1235"/>
    <hyperlink xmlns:r="http://schemas.openxmlformats.org/officeDocument/2006/relationships" ref="O819" r:id="rId1236"/>
    <hyperlink xmlns:r="http://schemas.openxmlformats.org/officeDocument/2006/relationships" ref="P819" r:id="rId1237"/>
    <hyperlink xmlns:r="http://schemas.openxmlformats.org/officeDocument/2006/relationships" ref="O820" r:id="rId1238"/>
    <hyperlink xmlns:r="http://schemas.openxmlformats.org/officeDocument/2006/relationships" ref="P820" r:id="rId1239"/>
    <hyperlink xmlns:r="http://schemas.openxmlformats.org/officeDocument/2006/relationships" ref="P821" r:id="rId1240"/>
    <hyperlink xmlns:r="http://schemas.openxmlformats.org/officeDocument/2006/relationships" ref="P822" r:id="rId1241"/>
    <hyperlink xmlns:r="http://schemas.openxmlformats.org/officeDocument/2006/relationships" ref="O823" r:id="rId1242"/>
    <hyperlink xmlns:r="http://schemas.openxmlformats.org/officeDocument/2006/relationships" ref="P823" r:id="rId1243"/>
    <hyperlink xmlns:r="http://schemas.openxmlformats.org/officeDocument/2006/relationships" ref="O824" r:id="rId1244"/>
    <hyperlink xmlns:r="http://schemas.openxmlformats.org/officeDocument/2006/relationships" ref="P824" r:id="rId1245"/>
    <hyperlink xmlns:r="http://schemas.openxmlformats.org/officeDocument/2006/relationships" ref="O825" r:id="rId1246"/>
    <hyperlink xmlns:r="http://schemas.openxmlformats.org/officeDocument/2006/relationships" ref="P825" r:id="rId1247"/>
    <hyperlink xmlns:r="http://schemas.openxmlformats.org/officeDocument/2006/relationships" ref="O826" r:id="rId1248"/>
    <hyperlink xmlns:r="http://schemas.openxmlformats.org/officeDocument/2006/relationships" ref="P826" r:id="rId1249"/>
    <hyperlink xmlns:r="http://schemas.openxmlformats.org/officeDocument/2006/relationships" ref="O827" r:id="rId1250"/>
    <hyperlink xmlns:r="http://schemas.openxmlformats.org/officeDocument/2006/relationships" ref="P827" r:id="rId1251"/>
    <hyperlink xmlns:r="http://schemas.openxmlformats.org/officeDocument/2006/relationships" ref="O828" r:id="rId1252"/>
    <hyperlink xmlns:r="http://schemas.openxmlformats.org/officeDocument/2006/relationships" ref="P828" r:id="rId1253"/>
    <hyperlink xmlns:r="http://schemas.openxmlformats.org/officeDocument/2006/relationships" ref="O829" r:id="rId1254"/>
    <hyperlink xmlns:r="http://schemas.openxmlformats.org/officeDocument/2006/relationships" ref="P829" r:id="rId1255"/>
    <hyperlink xmlns:r="http://schemas.openxmlformats.org/officeDocument/2006/relationships" ref="O830" r:id="rId1256"/>
    <hyperlink xmlns:r="http://schemas.openxmlformats.org/officeDocument/2006/relationships" ref="P830" r:id="rId1257"/>
    <hyperlink xmlns:r="http://schemas.openxmlformats.org/officeDocument/2006/relationships" ref="P831" r:id="rId1258"/>
    <hyperlink xmlns:r="http://schemas.openxmlformats.org/officeDocument/2006/relationships" ref="O832" r:id="rId1259"/>
    <hyperlink xmlns:r="http://schemas.openxmlformats.org/officeDocument/2006/relationships" ref="P832" r:id="rId1260"/>
    <hyperlink xmlns:r="http://schemas.openxmlformats.org/officeDocument/2006/relationships" ref="O833" r:id="rId1261"/>
    <hyperlink xmlns:r="http://schemas.openxmlformats.org/officeDocument/2006/relationships" ref="P833" r:id="rId1262"/>
    <hyperlink xmlns:r="http://schemas.openxmlformats.org/officeDocument/2006/relationships" ref="O834" r:id="rId1263"/>
    <hyperlink xmlns:r="http://schemas.openxmlformats.org/officeDocument/2006/relationships" ref="P834" r:id="rId1264"/>
    <hyperlink xmlns:r="http://schemas.openxmlformats.org/officeDocument/2006/relationships" ref="O835" r:id="rId1265"/>
    <hyperlink xmlns:r="http://schemas.openxmlformats.org/officeDocument/2006/relationships" ref="P835" r:id="rId1266"/>
    <hyperlink xmlns:r="http://schemas.openxmlformats.org/officeDocument/2006/relationships" ref="O836" r:id="rId1267"/>
    <hyperlink xmlns:r="http://schemas.openxmlformats.org/officeDocument/2006/relationships" ref="P836" r:id="rId1268"/>
    <hyperlink xmlns:r="http://schemas.openxmlformats.org/officeDocument/2006/relationships" ref="O837" r:id="rId1269"/>
    <hyperlink xmlns:r="http://schemas.openxmlformats.org/officeDocument/2006/relationships" ref="P837" r:id="rId1270"/>
    <hyperlink xmlns:r="http://schemas.openxmlformats.org/officeDocument/2006/relationships" ref="P838" r:id="rId1271"/>
    <hyperlink xmlns:r="http://schemas.openxmlformats.org/officeDocument/2006/relationships" ref="P839" r:id="rId1272"/>
    <hyperlink xmlns:r="http://schemas.openxmlformats.org/officeDocument/2006/relationships" ref="P840" r:id="rId1273"/>
    <hyperlink xmlns:r="http://schemas.openxmlformats.org/officeDocument/2006/relationships" ref="P841" r:id="rId1274"/>
    <hyperlink xmlns:r="http://schemas.openxmlformats.org/officeDocument/2006/relationships" ref="O842" r:id="rId1275"/>
    <hyperlink xmlns:r="http://schemas.openxmlformats.org/officeDocument/2006/relationships" ref="P842" r:id="rId1276"/>
    <hyperlink xmlns:r="http://schemas.openxmlformats.org/officeDocument/2006/relationships" ref="P843" r:id="rId1277"/>
    <hyperlink xmlns:r="http://schemas.openxmlformats.org/officeDocument/2006/relationships" ref="O844" r:id="rId1278"/>
    <hyperlink xmlns:r="http://schemas.openxmlformats.org/officeDocument/2006/relationships" ref="P844" r:id="rId1279"/>
    <hyperlink xmlns:r="http://schemas.openxmlformats.org/officeDocument/2006/relationships" ref="O845" r:id="rId1280"/>
    <hyperlink xmlns:r="http://schemas.openxmlformats.org/officeDocument/2006/relationships" ref="P845" r:id="rId1281"/>
    <hyperlink xmlns:r="http://schemas.openxmlformats.org/officeDocument/2006/relationships" ref="O846" r:id="rId1282"/>
    <hyperlink xmlns:r="http://schemas.openxmlformats.org/officeDocument/2006/relationships" ref="P846" r:id="rId1283"/>
    <hyperlink xmlns:r="http://schemas.openxmlformats.org/officeDocument/2006/relationships" ref="O847" r:id="rId1284"/>
    <hyperlink xmlns:r="http://schemas.openxmlformats.org/officeDocument/2006/relationships" ref="P847" r:id="rId1285"/>
    <hyperlink xmlns:r="http://schemas.openxmlformats.org/officeDocument/2006/relationships" ref="O848" r:id="rId1286"/>
    <hyperlink xmlns:r="http://schemas.openxmlformats.org/officeDocument/2006/relationships" ref="P848" r:id="rId1287"/>
    <hyperlink xmlns:r="http://schemas.openxmlformats.org/officeDocument/2006/relationships" ref="O849" r:id="rId1288"/>
    <hyperlink xmlns:r="http://schemas.openxmlformats.org/officeDocument/2006/relationships" ref="P849" r:id="rId1289"/>
    <hyperlink xmlns:r="http://schemas.openxmlformats.org/officeDocument/2006/relationships" ref="O850" r:id="rId1290"/>
    <hyperlink xmlns:r="http://schemas.openxmlformats.org/officeDocument/2006/relationships" ref="P850" r:id="rId1291"/>
    <hyperlink xmlns:r="http://schemas.openxmlformats.org/officeDocument/2006/relationships" ref="P851" r:id="rId1292"/>
    <hyperlink xmlns:r="http://schemas.openxmlformats.org/officeDocument/2006/relationships" ref="P852" r:id="rId1293"/>
    <hyperlink xmlns:r="http://schemas.openxmlformats.org/officeDocument/2006/relationships" ref="P853" r:id="rId1294"/>
    <hyperlink xmlns:r="http://schemas.openxmlformats.org/officeDocument/2006/relationships" ref="O854" r:id="rId1295"/>
    <hyperlink xmlns:r="http://schemas.openxmlformats.org/officeDocument/2006/relationships" ref="P854" r:id="rId1296"/>
    <hyperlink xmlns:r="http://schemas.openxmlformats.org/officeDocument/2006/relationships" ref="O855" r:id="rId1297"/>
    <hyperlink xmlns:r="http://schemas.openxmlformats.org/officeDocument/2006/relationships" ref="P855" r:id="rId1298"/>
    <hyperlink xmlns:r="http://schemas.openxmlformats.org/officeDocument/2006/relationships" ref="O856" r:id="rId1299"/>
    <hyperlink xmlns:r="http://schemas.openxmlformats.org/officeDocument/2006/relationships" ref="P856" r:id="rId1300"/>
    <hyperlink xmlns:r="http://schemas.openxmlformats.org/officeDocument/2006/relationships" ref="O857" r:id="rId1301"/>
    <hyperlink xmlns:r="http://schemas.openxmlformats.org/officeDocument/2006/relationships" ref="P857" r:id="rId1302"/>
    <hyperlink xmlns:r="http://schemas.openxmlformats.org/officeDocument/2006/relationships" ref="O858" r:id="rId1303"/>
    <hyperlink xmlns:r="http://schemas.openxmlformats.org/officeDocument/2006/relationships" ref="P858" r:id="rId1304"/>
    <hyperlink xmlns:r="http://schemas.openxmlformats.org/officeDocument/2006/relationships" ref="P859" r:id="rId1305"/>
    <hyperlink xmlns:r="http://schemas.openxmlformats.org/officeDocument/2006/relationships" ref="P860" r:id="rId1306"/>
    <hyperlink xmlns:r="http://schemas.openxmlformats.org/officeDocument/2006/relationships" ref="O861" r:id="rId1307"/>
    <hyperlink xmlns:r="http://schemas.openxmlformats.org/officeDocument/2006/relationships" ref="P861" r:id="rId1308"/>
    <hyperlink xmlns:r="http://schemas.openxmlformats.org/officeDocument/2006/relationships" ref="O862" r:id="rId1309"/>
    <hyperlink xmlns:r="http://schemas.openxmlformats.org/officeDocument/2006/relationships" ref="P862" r:id="rId1310"/>
    <hyperlink xmlns:r="http://schemas.openxmlformats.org/officeDocument/2006/relationships" ref="O863" r:id="rId1311"/>
    <hyperlink xmlns:r="http://schemas.openxmlformats.org/officeDocument/2006/relationships" ref="P863" r:id="rId1312"/>
    <hyperlink xmlns:r="http://schemas.openxmlformats.org/officeDocument/2006/relationships" ref="O864" r:id="rId1313"/>
    <hyperlink xmlns:r="http://schemas.openxmlformats.org/officeDocument/2006/relationships" ref="P864" r:id="rId1314"/>
    <hyperlink xmlns:r="http://schemas.openxmlformats.org/officeDocument/2006/relationships" ref="O865" r:id="rId1315"/>
    <hyperlink xmlns:r="http://schemas.openxmlformats.org/officeDocument/2006/relationships" ref="P865" r:id="rId1316"/>
    <hyperlink xmlns:r="http://schemas.openxmlformats.org/officeDocument/2006/relationships" ref="O866" r:id="rId1317"/>
    <hyperlink xmlns:r="http://schemas.openxmlformats.org/officeDocument/2006/relationships" ref="P866" r:id="rId1318"/>
    <hyperlink xmlns:r="http://schemas.openxmlformats.org/officeDocument/2006/relationships" ref="O867" r:id="rId1319"/>
    <hyperlink xmlns:r="http://schemas.openxmlformats.org/officeDocument/2006/relationships" ref="P867" r:id="rId1320"/>
    <hyperlink xmlns:r="http://schemas.openxmlformats.org/officeDocument/2006/relationships" ref="P868" r:id="rId1321"/>
    <hyperlink xmlns:r="http://schemas.openxmlformats.org/officeDocument/2006/relationships" ref="P869" r:id="rId1322"/>
    <hyperlink xmlns:r="http://schemas.openxmlformats.org/officeDocument/2006/relationships" ref="P870" r:id="rId1323"/>
    <hyperlink xmlns:r="http://schemas.openxmlformats.org/officeDocument/2006/relationships" ref="P871" r:id="rId1324"/>
    <hyperlink xmlns:r="http://schemas.openxmlformats.org/officeDocument/2006/relationships" ref="O872" r:id="rId1325"/>
    <hyperlink xmlns:r="http://schemas.openxmlformats.org/officeDocument/2006/relationships" ref="P872" r:id="rId1326"/>
    <hyperlink xmlns:r="http://schemas.openxmlformats.org/officeDocument/2006/relationships" ref="O873" r:id="rId1327"/>
    <hyperlink xmlns:r="http://schemas.openxmlformats.org/officeDocument/2006/relationships" ref="P873" r:id="rId1328"/>
    <hyperlink xmlns:r="http://schemas.openxmlformats.org/officeDocument/2006/relationships" ref="O874" r:id="rId1329"/>
    <hyperlink xmlns:r="http://schemas.openxmlformats.org/officeDocument/2006/relationships" ref="P874" r:id="rId1330"/>
    <hyperlink xmlns:r="http://schemas.openxmlformats.org/officeDocument/2006/relationships" ref="P875" r:id="rId1331"/>
    <hyperlink xmlns:r="http://schemas.openxmlformats.org/officeDocument/2006/relationships" ref="O876" r:id="rId1332"/>
    <hyperlink xmlns:r="http://schemas.openxmlformats.org/officeDocument/2006/relationships" ref="P876" r:id="rId1333"/>
    <hyperlink xmlns:r="http://schemas.openxmlformats.org/officeDocument/2006/relationships" ref="O877" r:id="rId1334"/>
    <hyperlink xmlns:r="http://schemas.openxmlformats.org/officeDocument/2006/relationships" ref="P877" r:id="rId1335"/>
    <hyperlink xmlns:r="http://schemas.openxmlformats.org/officeDocument/2006/relationships" ref="P878" r:id="rId1336"/>
    <hyperlink xmlns:r="http://schemas.openxmlformats.org/officeDocument/2006/relationships" ref="P879" r:id="rId1337"/>
    <hyperlink xmlns:r="http://schemas.openxmlformats.org/officeDocument/2006/relationships" ref="P880" r:id="rId1338"/>
    <hyperlink xmlns:r="http://schemas.openxmlformats.org/officeDocument/2006/relationships" ref="P881" r:id="rId1339"/>
    <hyperlink xmlns:r="http://schemas.openxmlformats.org/officeDocument/2006/relationships" ref="O882" r:id="rId1340"/>
    <hyperlink xmlns:r="http://schemas.openxmlformats.org/officeDocument/2006/relationships" ref="P882" r:id="rId1341"/>
    <hyperlink xmlns:r="http://schemas.openxmlformats.org/officeDocument/2006/relationships" ref="P883" r:id="rId1342"/>
    <hyperlink xmlns:r="http://schemas.openxmlformats.org/officeDocument/2006/relationships" ref="O884" r:id="rId1343"/>
    <hyperlink xmlns:r="http://schemas.openxmlformats.org/officeDocument/2006/relationships" ref="P884" r:id="rId1344"/>
    <hyperlink xmlns:r="http://schemas.openxmlformats.org/officeDocument/2006/relationships" ref="O885" r:id="rId1345"/>
    <hyperlink xmlns:r="http://schemas.openxmlformats.org/officeDocument/2006/relationships" ref="P885" r:id="rId1346"/>
    <hyperlink xmlns:r="http://schemas.openxmlformats.org/officeDocument/2006/relationships" ref="O886" r:id="rId1347"/>
    <hyperlink xmlns:r="http://schemas.openxmlformats.org/officeDocument/2006/relationships" ref="P886" r:id="rId1348"/>
    <hyperlink xmlns:r="http://schemas.openxmlformats.org/officeDocument/2006/relationships" ref="O887" r:id="rId1349"/>
    <hyperlink xmlns:r="http://schemas.openxmlformats.org/officeDocument/2006/relationships" ref="P887" r:id="rId1350"/>
    <hyperlink xmlns:r="http://schemas.openxmlformats.org/officeDocument/2006/relationships" ref="P888" r:id="rId1351"/>
    <hyperlink xmlns:r="http://schemas.openxmlformats.org/officeDocument/2006/relationships" ref="O889" r:id="rId1352"/>
    <hyperlink xmlns:r="http://schemas.openxmlformats.org/officeDocument/2006/relationships" ref="P889" r:id="rId1353"/>
    <hyperlink xmlns:r="http://schemas.openxmlformats.org/officeDocument/2006/relationships" ref="O890" r:id="rId1354"/>
    <hyperlink xmlns:r="http://schemas.openxmlformats.org/officeDocument/2006/relationships" ref="P890" r:id="rId1355"/>
    <hyperlink xmlns:r="http://schemas.openxmlformats.org/officeDocument/2006/relationships" ref="O891" r:id="rId1356"/>
    <hyperlink xmlns:r="http://schemas.openxmlformats.org/officeDocument/2006/relationships" ref="P891" r:id="rId1357"/>
    <hyperlink xmlns:r="http://schemas.openxmlformats.org/officeDocument/2006/relationships" ref="O892" r:id="rId1358"/>
    <hyperlink xmlns:r="http://schemas.openxmlformats.org/officeDocument/2006/relationships" ref="P892" r:id="rId1359"/>
    <hyperlink xmlns:r="http://schemas.openxmlformats.org/officeDocument/2006/relationships" ref="O893" r:id="rId1360"/>
    <hyperlink xmlns:r="http://schemas.openxmlformats.org/officeDocument/2006/relationships" ref="P893" r:id="rId1361"/>
    <hyperlink xmlns:r="http://schemas.openxmlformats.org/officeDocument/2006/relationships" ref="O894" r:id="rId1362"/>
    <hyperlink xmlns:r="http://schemas.openxmlformats.org/officeDocument/2006/relationships" ref="P894" r:id="rId1363"/>
    <hyperlink xmlns:r="http://schemas.openxmlformats.org/officeDocument/2006/relationships" ref="P895" r:id="rId1364"/>
    <hyperlink xmlns:r="http://schemas.openxmlformats.org/officeDocument/2006/relationships" ref="P896" r:id="rId1365"/>
    <hyperlink xmlns:r="http://schemas.openxmlformats.org/officeDocument/2006/relationships" ref="P897" r:id="rId1366"/>
    <hyperlink xmlns:r="http://schemas.openxmlformats.org/officeDocument/2006/relationships" ref="P898" r:id="rId1367"/>
    <hyperlink xmlns:r="http://schemas.openxmlformats.org/officeDocument/2006/relationships" ref="P899" r:id="rId1368"/>
    <hyperlink xmlns:r="http://schemas.openxmlformats.org/officeDocument/2006/relationships" ref="P900" r:id="rId1369"/>
    <hyperlink xmlns:r="http://schemas.openxmlformats.org/officeDocument/2006/relationships" ref="P901" r:id="rId1370"/>
    <hyperlink xmlns:r="http://schemas.openxmlformats.org/officeDocument/2006/relationships" ref="P902" r:id="rId1371"/>
    <hyperlink xmlns:r="http://schemas.openxmlformats.org/officeDocument/2006/relationships" ref="P903" r:id="rId1372"/>
    <hyperlink xmlns:r="http://schemas.openxmlformats.org/officeDocument/2006/relationships" ref="O904" r:id="rId1373"/>
    <hyperlink xmlns:r="http://schemas.openxmlformats.org/officeDocument/2006/relationships" ref="P904" r:id="rId1374"/>
    <hyperlink xmlns:r="http://schemas.openxmlformats.org/officeDocument/2006/relationships" ref="O905" r:id="rId1375"/>
    <hyperlink xmlns:r="http://schemas.openxmlformats.org/officeDocument/2006/relationships" ref="P905" r:id="rId1376"/>
    <hyperlink xmlns:r="http://schemas.openxmlformats.org/officeDocument/2006/relationships" ref="O906" r:id="rId1377"/>
    <hyperlink xmlns:r="http://schemas.openxmlformats.org/officeDocument/2006/relationships" ref="P906" r:id="rId1378"/>
    <hyperlink xmlns:r="http://schemas.openxmlformats.org/officeDocument/2006/relationships" ref="O907" r:id="rId1379"/>
    <hyperlink xmlns:r="http://schemas.openxmlformats.org/officeDocument/2006/relationships" ref="P907" r:id="rId1380"/>
    <hyperlink xmlns:r="http://schemas.openxmlformats.org/officeDocument/2006/relationships" ref="P908" r:id="rId1381"/>
    <hyperlink xmlns:r="http://schemas.openxmlformats.org/officeDocument/2006/relationships" ref="P909" r:id="rId1382"/>
    <hyperlink xmlns:r="http://schemas.openxmlformats.org/officeDocument/2006/relationships" ref="P910" r:id="rId1383"/>
    <hyperlink xmlns:r="http://schemas.openxmlformats.org/officeDocument/2006/relationships" ref="O911" r:id="rId1384"/>
    <hyperlink xmlns:r="http://schemas.openxmlformats.org/officeDocument/2006/relationships" ref="P911" r:id="rId1385"/>
    <hyperlink xmlns:r="http://schemas.openxmlformats.org/officeDocument/2006/relationships" ref="O912" r:id="rId1386"/>
    <hyperlink xmlns:r="http://schemas.openxmlformats.org/officeDocument/2006/relationships" ref="P912" r:id="rId1387"/>
    <hyperlink xmlns:r="http://schemas.openxmlformats.org/officeDocument/2006/relationships" ref="O913" r:id="rId1388"/>
    <hyperlink xmlns:r="http://schemas.openxmlformats.org/officeDocument/2006/relationships" ref="P913" r:id="rId1389"/>
    <hyperlink xmlns:r="http://schemas.openxmlformats.org/officeDocument/2006/relationships" ref="O914" r:id="rId1390"/>
    <hyperlink xmlns:r="http://schemas.openxmlformats.org/officeDocument/2006/relationships" ref="P914" r:id="rId1391"/>
    <hyperlink xmlns:r="http://schemas.openxmlformats.org/officeDocument/2006/relationships" ref="P915" r:id="rId1392"/>
    <hyperlink xmlns:r="http://schemas.openxmlformats.org/officeDocument/2006/relationships" ref="O916" r:id="rId1393"/>
    <hyperlink xmlns:r="http://schemas.openxmlformats.org/officeDocument/2006/relationships" ref="P916" r:id="rId1394"/>
    <hyperlink xmlns:r="http://schemas.openxmlformats.org/officeDocument/2006/relationships" ref="O917" r:id="rId1395"/>
    <hyperlink xmlns:r="http://schemas.openxmlformats.org/officeDocument/2006/relationships" ref="P917" r:id="rId1396"/>
    <hyperlink xmlns:r="http://schemas.openxmlformats.org/officeDocument/2006/relationships" ref="O918" r:id="rId1397"/>
    <hyperlink xmlns:r="http://schemas.openxmlformats.org/officeDocument/2006/relationships" ref="P918" r:id="rId1398"/>
    <hyperlink xmlns:r="http://schemas.openxmlformats.org/officeDocument/2006/relationships" ref="O919" r:id="rId1399"/>
    <hyperlink xmlns:r="http://schemas.openxmlformats.org/officeDocument/2006/relationships" ref="P919" r:id="rId1400"/>
    <hyperlink xmlns:r="http://schemas.openxmlformats.org/officeDocument/2006/relationships" ref="O920" r:id="rId1401"/>
    <hyperlink xmlns:r="http://schemas.openxmlformats.org/officeDocument/2006/relationships" ref="P920" r:id="rId1402"/>
    <hyperlink xmlns:r="http://schemas.openxmlformats.org/officeDocument/2006/relationships" ref="O921" r:id="rId1403"/>
    <hyperlink xmlns:r="http://schemas.openxmlformats.org/officeDocument/2006/relationships" ref="P921" r:id="rId1404"/>
    <hyperlink xmlns:r="http://schemas.openxmlformats.org/officeDocument/2006/relationships" ref="O922" r:id="rId1405"/>
    <hyperlink xmlns:r="http://schemas.openxmlformats.org/officeDocument/2006/relationships" ref="P922" r:id="rId1406"/>
    <hyperlink xmlns:r="http://schemas.openxmlformats.org/officeDocument/2006/relationships" ref="O923" r:id="rId1407"/>
    <hyperlink xmlns:r="http://schemas.openxmlformats.org/officeDocument/2006/relationships" ref="P923" r:id="rId1408"/>
    <hyperlink xmlns:r="http://schemas.openxmlformats.org/officeDocument/2006/relationships" ref="O924" r:id="rId1409"/>
    <hyperlink xmlns:r="http://schemas.openxmlformats.org/officeDocument/2006/relationships" ref="P924" r:id="rId1410"/>
    <hyperlink xmlns:r="http://schemas.openxmlformats.org/officeDocument/2006/relationships" ref="O925" r:id="rId1411"/>
    <hyperlink xmlns:r="http://schemas.openxmlformats.org/officeDocument/2006/relationships" ref="P925" r:id="rId1412"/>
    <hyperlink xmlns:r="http://schemas.openxmlformats.org/officeDocument/2006/relationships" ref="O926" r:id="rId1413"/>
    <hyperlink xmlns:r="http://schemas.openxmlformats.org/officeDocument/2006/relationships" ref="P926" r:id="rId1414"/>
    <hyperlink xmlns:r="http://schemas.openxmlformats.org/officeDocument/2006/relationships" ref="O927" r:id="rId1415"/>
    <hyperlink xmlns:r="http://schemas.openxmlformats.org/officeDocument/2006/relationships" ref="P927" r:id="rId1416"/>
    <hyperlink xmlns:r="http://schemas.openxmlformats.org/officeDocument/2006/relationships" ref="O928" r:id="rId1417"/>
    <hyperlink xmlns:r="http://schemas.openxmlformats.org/officeDocument/2006/relationships" ref="P928" r:id="rId1418"/>
    <hyperlink xmlns:r="http://schemas.openxmlformats.org/officeDocument/2006/relationships" ref="O929" r:id="rId1419"/>
    <hyperlink xmlns:r="http://schemas.openxmlformats.org/officeDocument/2006/relationships" ref="P929" r:id="rId1420"/>
    <hyperlink xmlns:r="http://schemas.openxmlformats.org/officeDocument/2006/relationships" ref="O930" r:id="rId1421"/>
    <hyperlink xmlns:r="http://schemas.openxmlformats.org/officeDocument/2006/relationships" ref="P930" r:id="rId1422"/>
    <hyperlink xmlns:r="http://schemas.openxmlformats.org/officeDocument/2006/relationships" ref="O931" r:id="rId1423"/>
    <hyperlink xmlns:r="http://schemas.openxmlformats.org/officeDocument/2006/relationships" ref="P931" r:id="rId1424"/>
    <hyperlink xmlns:r="http://schemas.openxmlformats.org/officeDocument/2006/relationships" ref="O932" r:id="rId1425"/>
    <hyperlink xmlns:r="http://schemas.openxmlformats.org/officeDocument/2006/relationships" ref="P932" r:id="rId1426"/>
    <hyperlink xmlns:r="http://schemas.openxmlformats.org/officeDocument/2006/relationships" ref="O933" r:id="rId1427"/>
    <hyperlink xmlns:r="http://schemas.openxmlformats.org/officeDocument/2006/relationships" ref="P933" r:id="rId1428"/>
    <hyperlink xmlns:r="http://schemas.openxmlformats.org/officeDocument/2006/relationships" ref="O934" r:id="rId1429"/>
    <hyperlink xmlns:r="http://schemas.openxmlformats.org/officeDocument/2006/relationships" ref="P934" r:id="rId1430"/>
    <hyperlink xmlns:r="http://schemas.openxmlformats.org/officeDocument/2006/relationships" ref="O935" r:id="rId1431"/>
    <hyperlink xmlns:r="http://schemas.openxmlformats.org/officeDocument/2006/relationships" ref="P935" r:id="rId1432"/>
    <hyperlink xmlns:r="http://schemas.openxmlformats.org/officeDocument/2006/relationships" ref="O936" r:id="rId1433"/>
    <hyperlink xmlns:r="http://schemas.openxmlformats.org/officeDocument/2006/relationships" ref="P936" r:id="rId1434"/>
    <hyperlink xmlns:r="http://schemas.openxmlformats.org/officeDocument/2006/relationships" ref="O937" r:id="rId1435"/>
    <hyperlink xmlns:r="http://schemas.openxmlformats.org/officeDocument/2006/relationships" ref="P937" r:id="rId1436"/>
    <hyperlink xmlns:r="http://schemas.openxmlformats.org/officeDocument/2006/relationships" ref="O938" r:id="rId1437"/>
    <hyperlink xmlns:r="http://schemas.openxmlformats.org/officeDocument/2006/relationships" ref="P938" r:id="rId1438"/>
    <hyperlink xmlns:r="http://schemas.openxmlformats.org/officeDocument/2006/relationships" ref="O939" r:id="rId1439"/>
    <hyperlink xmlns:r="http://schemas.openxmlformats.org/officeDocument/2006/relationships" ref="P939" r:id="rId1440"/>
    <hyperlink xmlns:r="http://schemas.openxmlformats.org/officeDocument/2006/relationships" ref="O940" r:id="rId1441"/>
    <hyperlink xmlns:r="http://schemas.openxmlformats.org/officeDocument/2006/relationships" ref="P940" r:id="rId1442"/>
    <hyperlink xmlns:r="http://schemas.openxmlformats.org/officeDocument/2006/relationships" ref="O941" r:id="rId1443"/>
    <hyperlink xmlns:r="http://schemas.openxmlformats.org/officeDocument/2006/relationships" ref="P941" r:id="rId1444"/>
    <hyperlink xmlns:r="http://schemas.openxmlformats.org/officeDocument/2006/relationships" ref="O942" r:id="rId1445"/>
    <hyperlink xmlns:r="http://schemas.openxmlformats.org/officeDocument/2006/relationships" ref="P942" r:id="rId1446"/>
    <hyperlink xmlns:r="http://schemas.openxmlformats.org/officeDocument/2006/relationships" ref="O943" r:id="rId1447"/>
    <hyperlink xmlns:r="http://schemas.openxmlformats.org/officeDocument/2006/relationships" ref="P943" r:id="rId1448"/>
    <hyperlink xmlns:r="http://schemas.openxmlformats.org/officeDocument/2006/relationships" ref="P944" r:id="rId1449"/>
    <hyperlink xmlns:r="http://schemas.openxmlformats.org/officeDocument/2006/relationships" ref="P945" r:id="rId1450"/>
    <hyperlink xmlns:r="http://schemas.openxmlformats.org/officeDocument/2006/relationships" ref="O946" r:id="rId1451"/>
    <hyperlink xmlns:r="http://schemas.openxmlformats.org/officeDocument/2006/relationships" ref="P946" r:id="rId1452"/>
    <hyperlink xmlns:r="http://schemas.openxmlformats.org/officeDocument/2006/relationships" ref="O947" r:id="rId1453"/>
    <hyperlink xmlns:r="http://schemas.openxmlformats.org/officeDocument/2006/relationships" ref="P947" r:id="rId1454"/>
    <hyperlink xmlns:r="http://schemas.openxmlformats.org/officeDocument/2006/relationships" ref="P948" r:id="rId1455"/>
    <hyperlink xmlns:r="http://schemas.openxmlformats.org/officeDocument/2006/relationships" ref="O949" r:id="rId1456"/>
    <hyperlink xmlns:r="http://schemas.openxmlformats.org/officeDocument/2006/relationships" ref="P949" r:id="rId1457"/>
    <hyperlink xmlns:r="http://schemas.openxmlformats.org/officeDocument/2006/relationships" ref="O950" r:id="rId1458"/>
    <hyperlink xmlns:r="http://schemas.openxmlformats.org/officeDocument/2006/relationships" ref="P950" r:id="rId1459"/>
    <hyperlink xmlns:r="http://schemas.openxmlformats.org/officeDocument/2006/relationships" ref="P951" r:id="rId1460"/>
    <hyperlink xmlns:r="http://schemas.openxmlformats.org/officeDocument/2006/relationships" ref="O952" r:id="rId1461"/>
    <hyperlink xmlns:r="http://schemas.openxmlformats.org/officeDocument/2006/relationships" ref="P952" r:id="rId1462"/>
    <hyperlink xmlns:r="http://schemas.openxmlformats.org/officeDocument/2006/relationships" ref="O953" r:id="rId1463"/>
    <hyperlink xmlns:r="http://schemas.openxmlformats.org/officeDocument/2006/relationships" ref="P953" r:id="rId1464"/>
    <hyperlink xmlns:r="http://schemas.openxmlformats.org/officeDocument/2006/relationships" ref="O954" r:id="rId1465"/>
    <hyperlink xmlns:r="http://schemas.openxmlformats.org/officeDocument/2006/relationships" ref="P954" r:id="rId1466"/>
    <hyperlink xmlns:r="http://schemas.openxmlformats.org/officeDocument/2006/relationships" ref="O955" r:id="rId1467"/>
    <hyperlink xmlns:r="http://schemas.openxmlformats.org/officeDocument/2006/relationships" ref="P955" r:id="rId1468"/>
    <hyperlink xmlns:r="http://schemas.openxmlformats.org/officeDocument/2006/relationships" ref="O956" r:id="rId1469"/>
    <hyperlink xmlns:r="http://schemas.openxmlformats.org/officeDocument/2006/relationships" ref="P956" r:id="rId1470"/>
    <hyperlink xmlns:r="http://schemas.openxmlformats.org/officeDocument/2006/relationships" ref="O957" r:id="rId1471"/>
    <hyperlink xmlns:r="http://schemas.openxmlformats.org/officeDocument/2006/relationships" ref="P957" r:id="rId1472"/>
    <hyperlink xmlns:r="http://schemas.openxmlformats.org/officeDocument/2006/relationships" ref="O958" r:id="rId1473"/>
    <hyperlink xmlns:r="http://schemas.openxmlformats.org/officeDocument/2006/relationships" ref="P958" r:id="rId1474"/>
    <hyperlink xmlns:r="http://schemas.openxmlformats.org/officeDocument/2006/relationships" ref="O959" r:id="rId1475"/>
    <hyperlink xmlns:r="http://schemas.openxmlformats.org/officeDocument/2006/relationships" ref="P959" r:id="rId1476"/>
    <hyperlink xmlns:r="http://schemas.openxmlformats.org/officeDocument/2006/relationships" ref="O960" r:id="rId1477"/>
    <hyperlink xmlns:r="http://schemas.openxmlformats.org/officeDocument/2006/relationships" ref="P960" r:id="rId1478"/>
    <hyperlink xmlns:r="http://schemas.openxmlformats.org/officeDocument/2006/relationships" ref="O961" r:id="rId1479"/>
    <hyperlink xmlns:r="http://schemas.openxmlformats.org/officeDocument/2006/relationships" ref="P961" r:id="rId1480"/>
    <hyperlink xmlns:r="http://schemas.openxmlformats.org/officeDocument/2006/relationships" ref="O962" r:id="rId1481"/>
    <hyperlink xmlns:r="http://schemas.openxmlformats.org/officeDocument/2006/relationships" ref="P962" r:id="rId1482"/>
    <hyperlink xmlns:r="http://schemas.openxmlformats.org/officeDocument/2006/relationships" ref="O963" r:id="rId1483"/>
    <hyperlink xmlns:r="http://schemas.openxmlformats.org/officeDocument/2006/relationships" ref="P963" r:id="rId1484"/>
    <hyperlink xmlns:r="http://schemas.openxmlformats.org/officeDocument/2006/relationships" ref="O964" r:id="rId1485"/>
    <hyperlink xmlns:r="http://schemas.openxmlformats.org/officeDocument/2006/relationships" ref="P964" r:id="rId1486"/>
    <hyperlink xmlns:r="http://schemas.openxmlformats.org/officeDocument/2006/relationships" ref="O965" r:id="rId1487"/>
    <hyperlink xmlns:r="http://schemas.openxmlformats.org/officeDocument/2006/relationships" ref="P965" r:id="rId1488"/>
    <hyperlink xmlns:r="http://schemas.openxmlformats.org/officeDocument/2006/relationships" ref="O966" r:id="rId1489"/>
    <hyperlink xmlns:r="http://schemas.openxmlformats.org/officeDocument/2006/relationships" ref="P966" r:id="rId1490"/>
    <hyperlink xmlns:r="http://schemas.openxmlformats.org/officeDocument/2006/relationships" ref="O967" r:id="rId1491"/>
    <hyperlink xmlns:r="http://schemas.openxmlformats.org/officeDocument/2006/relationships" ref="P967" r:id="rId1492"/>
    <hyperlink xmlns:r="http://schemas.openxmlformats.org/officeDocument/2006/relationships" ref="O968" r:id="rId1493"/>
    <hyperlink xmlns:r="http://schemas.openxmlformats.org/officeDocument/2006/relationships" ref="P968" r:id="rId1494"/>
    <hyperlink xmlns:r="http://schemas.openxmlformats.org/officeDocument/2006/relationships" ref="O969" r:id="rId1495"/>
    <hyperlink xmlns:r="http://schemas.openxmlformats.org/officeDocument/2006/relationships" ref="P969" r:id="rId1496"/>
    <hyperlink xmlns:r="http://schemas.openxmlformats.org/officeDocument/2006/relationships" ref="O970" r:id="rId1497"/>
    <hyperlink xmlns:r="http://schemas.openxmlformats.org/officeDocument/2006/relationships" ref="P970" r:id="rId1498"/>
    <hyperlink xmlns:r="http://schemas.openxmlformats.org/officeDocument/2006/relationships" ref="O971" r:id="rId1499"/>
    <hyperlink xmlns:r="http://schemas.openxmlformats.org/officeDocument/2006/relationships" ref="P971" r:id="rId1500"/>
    <hyperlink xmlns:r="http://schemas.openxmlformats.org/officeDocument/2006/relationships" ref="O972" r:id="rId1501"/>
    <hyperlink xmlns:r="http://schemas.openxmlformats.org/officeDocument/2006/relationships" ref="P972" r:id="rId1502"/>
    <hyperlink xmlns:r="http://schemas.openxmlformats.org/officeDocument/2006/relationships" ref="O973" r:id="rId1503"/>
    <hyperlink xmlns:r="http://schemas.openxmlformats.org/officeDocument/2006/relationships" ref="P973" r:id="rId1504"/>
    <hyperlink xmlns:r="http://schemas.openxmlformats.org/officeDocument/2006/relationships" ref="O974" r:id="rId1505"/>
    <hyperlink xmlns:r="http://schemas.openxmlformats.org/officeDocument/2006/relationships" ref="P974" r:id="rId1506"/>
    <hyperlink xmlns:r="http://schemas.openxmlformats.org/officeDocument/2006/relationships" ref="O975" r:id="rId1507"/>
    <hyperlink xmlns:r="http://schemas.openxmlformats.org/officeDocument/2006/relationships" ref="P975" r:id="rId1508"/>
    <hyperlink xmlns:r="http://schemas.openxmlformats.org/officeDocument/2006/relationships" ref="O976" r:id="rId1509"/>
    <hyperlink xmlns:r="http://schemas.openxmlformats.org/officeDocument/2006/relationships" ref="P976" r:id="rId1510"/>
    <hyperlink xmlns:r="http://schemas.openxmlformats.org/officeDocument/2006/relationships" ref="P977" r:id="rId1511"/>
    <hyperlink xmlns:r="http://schemas.openxmlformats.org/officeDocument/2006/relationships" ref="O978" r:id="rId1512"/>
    <hyperlink xmlns:r="http://schemas.openxmlformats.org/officeDocument/2006/relationships" ref="P978" r:id="rId1513"/>
    <hyperlink xmlns:r="http://schemas.openxmlformats.org/officeDocument/2006/relationships" ref="O979" r:id="rId1514"/>
    <hyperlink xmlns:r="http://schemas.openxmlformats.org/officeDocument/2006/relationships" ref="P979" r:id="rId1515"/>
    <hyperlink xmlns:r="http://schemas.openxmlformats.org/officeDocument/2006/relationships" ref="O980" r:id="rId1516"/>
    <hyperlink xmlns:r="http://schemas.openxmlformats.org/officeDocument/2006/relationships" ref="P980" r:id="rId1517"/>
    <hyperlink xmlns:r="http://schemas.openxmlformats.org/officeDocument/2006/relationships" ref="O981" r:id="rId1518"/>
    <hyperlink xmlns:r="http://schemas.openxmlformats.org/officeDocument/2006/relationships" ref="P981" r:id="rId1519"/>
    <hyperlink xmlns:r="http://schemas.openxmlformats.org/officeDocument/2006/relationships" ref="O982" r:id="rId1520"/>
    <hyperlink xmlns:r="http://schemas.openxmlformats.org/officeDocument/2006/relationships" ref="P982" r:id="rId1521"/>
    <hyperlink xmlns:r="http://schemas.openxmlformats.org/officeDocument/2006/relationships" ref="O983" r:id="rId1522"/>
    <hyperlink xmlns:r="http://schemas.openxmlformats.org/officeDocument/2006/relationships" ref="P983" r:id="rId1523"/>
    <hyperlink xmlns:r="http://schemas.openxmlformats.org/officeDocument/2006/relationships" ref="O984" r:id="rId1524"/>
    <hyperlink xmlns:r="http://schemas.openxmlformats.org/officeDocument/2006/relationships" ref="P984" r:id="rId1525"/>
    <hyperlink xmlns:r="http://schemas.openxmlformats.org/officeDocument/2006/relationships" ref="O985" r:id="rId1526"/>
    <hyperlink xmlns:r="http://schemas.openxmlformats.org/officeDocument/2006/relationships" ref="P985" r:id="rId1527"/>
    <hyperlink xmlns:r="http://schemas.openxmlformats.org/officeDocument/2006/relationships" ref="O986" r:id="rId1528"/>
    <hyperlink xmlns:r="http://schemas.openxmlformats.org/officeDocument/2006/relationships" ref="P986" r:id="rId1529"/>
    <hyperlink xmlns:r="http://schemas.openxmlformats.org/officeDocument/2006/relationships" ref="O987" r:id="rId1530"/>
    <hyperlink xmlns:r="http://schemas.openxmlformats.org/officeDocument/2006/relationships" ref="P987" r:id="rId1531"/>
    <hyperlink xmlns:r="http://schemas.openxmlformats.org/officeDocument/2006/relationships" ref="O988" r:id="rId1532"/>
    <hyperlink xmlns:r="http://schemas.openxmlformats.org/officeDocument/2006/relationships" ref="P988" r:id="rId1533"/>
    <hyperlink xmlns:r="http://schemas.openxmlformats.org/officeDocument/2006/relationships" ref="P989" r:id="rId1534"/>
    <hyperlink xmlns:r="http://schemas.openxmlformats.org/officeDocument/2006/relationships" ref="O990" r:id="rId1535"/>
    <hyperlink xmlns:r="http://schemas.openxmlformats.org/officeDocument/2006/relationships" ref="P990" r:id="rId1536"/>
    <hyperlink xmlns:r="http://schemas.openxmlformats.org/officeDocument/2006/relationships" ref="O991" r:id="rId1537"/>
    <hyperlink xmlns:r="http://schemas.openxmlformats.org/officeDocument/2006/relationships" ref="P991" r:id="rId1538"/>
    <hyperlink xmlns:r="http://schemas.openxmlformats.org/officeDocument/2006/relationships" ref="O992" r:id="rId1539"/>
    <hyperlink xmlns:r="http://schemas.openxmlformats.org/officeDocument/2006/relationships" ref="P992" r:id="rId1540"/>
    <hyperlink xmlns:r="http://schemas.openxmlformats.org/officeDocument/2006/relationships" ref="O993" r:id="rId1541"/>
    <hyperlink xmlns:r="http://schemas.openxmlformats.org/officeDocument/2006/relationships" ref="P993" r:id="rId1542"/>
    <hyperlink xmlns:r="http://schemas.openxmlformats.org/officeDocument/2006/relationships" ref="O994" r:id="rId1543"/>
    <hyperlink xmlns:r="http://schemas.openxmlformats.org/officeDocument/2006/relationships" ref="P994" r:id="rId1544"/>
    <hyperlink xmlns:r="http://schemas.openxmlformats.org/officeDocument/2006/relationships" ref="O995" r:id="rId1545"/>
    <hyperlink xmlns:r="http://schemas.openxmlformats.org/officeDocument/2006/relationships" ref="P995" r:id="rId1546"/>
    <hyperlink xmlns:r="http://schemas.openxmlformats.org/officeDocument/2006/relationships" ref="O996" r:id="rId1547"/>
    <hyperlink xmlns:r="http://schemas.openxmlformats.org/officeDocument/2006/relationships" ref="P996" r:id="rId1548"/>
    <hyperlink xmlns:r="http://schemas.openxmlformats.org/officeDocument/2006/relationships" ref="O997" r:id="rId1549"/>
    <hyperlink xmlns:r="http://schemas.openxmlformats.org/officeDocument/2006/relationships" ref="P997" r:id="rId1550"/>
    <hyperlink xmlns:r="http://schemas.openxmlformats.org/officeDocument/2006/relationships" ref="O998" r:id="rId1551"/>
    <hyperlink xmlns:r="http://schemas.openxmlformats.org/officeDocument/2006/relationships" ref="P998" r:id="rId1552"/>
    <hyperlink xmlns:r="http://schemas.openxmlformats.org/officeDocument/2006/relationships" ref="O999" r:id="rId1553"/>
    <hyperlink xmlns:r="http://schemas.openxmlformats.org/officeDocument/2006/relationships" ref="P999" r:id="rId1554"/>
    <hyperlink xmlns:r="http://schemas.openxmlformats.org/officeDocument/2006/relationships" ref="O1000" r:id="rId1555"/>
    <hyperlink xmlns:r="http://schemas.openxmlformats.org/officeDocument/2006/relationships" ref="P1000" r:id="rId1556"/>
    <hyperlink xmlns:r="http://schemas.openxmlformats.org/officeDocument/2006/relationships" ref="O1001" r:id="rId1557"/>
    <hyperlink xmlns:r="http://schemas.openxmlformats.org/officeDocument/2006/relationships" ref="P1001" r:id="rId1558"/>
    <hyperlink xmlns:r="http://schemas.openxmlformats.org/officeDocument/2006/relationships" ref="O1002" r:id="rId1559"/>
    <hyperlink xmlns:r="http://schemas.openxmlformats.org/officeDocument/2006/relationships" ref="P1002" r:id="rId1560"/>
    <hyperlink xmlns:r="http://schemas.openxmlformats.org/officeDocument/2006/relationships" ref="O1003" r:id="rId1561"/>
    <hyperlink xmlns:r="http://schemas.openxmlformats.org/officeDocument/2006/relationships" ref="P1003" r:id="rId1562"/>
    <hyperlink xmlns:r="http://schemas.openxmlformats.org/officeDocument/2006/relationships" ref="O1004" r:id="rId1563"/>
    <hyperlink xmlns:r="http://schemas.openxmlformats.org/officeDocument/2006/relationships" ref="P1004" r:id="rId1564"/>
    <hyperlink xmlns:r="http://schemas.openxmlformats.org/officeDocument/2006/relationships" ref="O1005" r:id="rId1565"/>
    <hyperlink xmlns:r="http://schemas.openxmlformats.org/officeDocument/2006/relationships" ref="P1005" r:id="rId1566"/>
    <hyperlink xmlns:r="http://schemas.openxmlformats.org/officeDocument/2006/relationships" ref="O1006" r:id="rId1567"/>
    <hyperlink xmlns:r="http://schemas.openxmlformats.org/officeDocument/2006/relationships" ref="P1006" r:id="rId1568"/>
    <hyperlink xmlns:r="http://schemas.openxmlformats.org/officeDocument/2006/relationships" ref="O1007" r:id="rId1569"/>
    <hyperlink xmlns:r="http://schemas.openxmlformats.org/officeDocument/2006/relationships" ref="P1007" r:id="rId1570"/>
    <hyperlink xmlns:r="http://schemas.openxmlformats.org/officeDocument/2006/relationships" ref="O1008" r:id="rId1571"/>
    <hyperlink xmlns:r="http://schemas.openxmlformats.org/officeDocument/2006/relationships" ref="P1008" r:id="rId1572"/>
    <hyperlink xmlns:r="http://schemas.openxmlformats.org/officeDocument/2006/relationships" ref="O1009" r:id="rId1573"/>
    <hyperlink xmlns:r="http://schemas.openxmlformats.org/officeDocument/2006/relationships" ref="P1009" r:id="rId1574"/>
    <hyperlink xmlns:r="http://schemas.openxmlformats.org/officeDocument/2006/relationships" ref="O1010" r:id="rId1575"/>
    <hyperlink xmlns:r="http://schemas.openxmlformats.org/officeDocument/2006/relationships" ref="P1010" r:id="rId1576"/>
    <hyperlink xmlns:r="http://schemas.openxmlformats.org/officeDocument/2006/relationships" ref="O1011" r:id="rId1577"/>
    <hyperlink xmlns:r="http://schemas.openxmlformats.org/officeDocument/2006/relationships" ref="P1011" r:id="rId1578"/>
    <hyperlink xmlns:r="http://schemas.openxmlformats.org/officeDocument/2006/relationships" ref="O1012" r:id="rId1579"/>
    <hyperlink xmlns:r="http://schemas.openxmlformats.org/officeDocument/2006/relationships" ref="P1012" r:id="rId1580"/>
    <hyperlink xmlns:r="http://schemas.openxmlformats.org/officeDocument/2006/relationships" ref="O1013" r:id="rId1581"/>
    <hyperlink xmlns:r="http://schemas.openxmlformats.org/officeDocument/2006/relationships" ref="P1013" r:id="rId1582"/>
    <hyperlink xmlns:r="http://schemas.openxmlformats.org/officeDocument/2006/relationships" ref="O1014" r:id="rId1583"/>
    <hyperlink xmlns:r="http://schemas.openxmlformats.org/officeDocument/2006/relationships" ref="P1014" r:id="rId1584"/>
    <hyperlink xmlns:r="http://schemas.openxmlformats.org/officeDocument/2006/relationships" ref="O1015" r:id="rId1585"/>
    <hyperlink xmlns:r="http://schemas.openxmlformats.org/officeDocument/2006/relationships" ref="P1015" r:id="rId1586"/>
    <hyperlink xmlns:r="http://schemas.openxmlformats.org/officeDocument/2006/relationships" ref="O1016" r:id="rId1587"/>
    <hyperlink xmlns:r="http://schemas.openxmlformats.org/officeDocument/2006/relationships" ref="P1016" r:id="rId1588"/>
    <hyperlink xmlns:r="http://schemas.openxmlformats.org/officeDocument/2006/relationships" ref="O1017" r:id="rId1589"/>
    <hyperlink xmlns:r="http://schemas.openxmlformats.org/officeDocument/2006/relationships" ref="P1017" r:id="rId1590"/>
    <hyperlink xmlns:r="http://schemas.openxmlformats.org/officeDocument/2006/relationships" ref="O1018" r:id="rId1591"/>
    <hyperlink xmlns:r="http://schemas.openxmlformats.org/officeDocument/2006/relationships" ref="P1018" r:id="rId1592"/>
    <hyperlink xmlns:r="http://schemas.openxmlformats.org/officeDocument/2006/relationships" ref="P1019" r:id="rId1593"/>
    <hyperlink xmlns:r="http://schemas.openxmlformats.org/officeDocument/2006/relationships" ref="P1020" r:id="rId1594"/>
    <hyperlink xmlns:r="http://schemas.openxmlformats.org/officeDocument/2006/relationships" ref="P1021" r:id="rId1595"/>
    <hyperlink xmlns:r="http://schemas.openxmlformats.org/officeDocument/2006/relationships" ref="P1022" r:id="rId1596"/>
    <hyperlink xmlns:r="http://schemas.openxmlformats.org/officeDocument/2006/relationships" ref="O1023" r:id="rId1597"/>
    <hyperlink xmlns:r="http://schemas.openxmlformats.org/officeDocument/2006/relationships" ref="P1023" r:id="rId1598"/>
    <hyperlink xmlns:r="http://schemas.openxmlformats.org/officeDocument/2006/relationships" ref="O1024" r:id="rId1599"/>
    <hyperlink xmlns:r="http://schemas.openxmlformats.org/officeDocument/2006/relationships" ref="P1024" r:id="rId1600"/>
    <hyperlink xmlns:r="http://schemas.openxmlformats.org/officeDocument/2006/relationships" ref="O1025" r:id="rId1601"/>
    <hyperlink xmlns:r="http://schemas.openxmlformats.org/officeDocument/2006/relationships" ref="P1025" r:id="rId1602"/>
    <hyperlink xmlns:r="http://schemas.openxmlformats.org/officeDocument/2006/relationships" ref="O1026" r:id="rId1603"/>
    <hyperlink xmlns:r="http://schemas.openxmlformats.org/officeDocument/2006/relationships" ref="P1026" r:id="rId1604"/>
    <hyperlink xmlns:r="http://schemas.openxmlformats.org/officeDocument/2006/relationships" ref="O1027" r:id="rId1605"/>
    <hyperlink xmlns:r="http://schemas.openxmlformats.org/officeDocument/2006/relationships" ref="P1027" r:id="rId1606"/>
    <hyperlink xmlns:r="http://schemas.openxmlformats.org/officeDocument/2006/relationships" ref="O1028" r:id="rId1607"/>
    <hyperlink xmlns:r="http://schemas.openxmlformats.org/officeDocument/2006/relationships" ref="P1028" r:id="rId1608"/>
    <hyperlink xmlns:r="http://schemas.openxmlformats.org/officeDocument/2006/relationships" ref="P1029" r:id="rId1609"/>
    <hyperlink xmlns:r="http://schemas.openxmlformats.org/officeDocument/2006/relationships" ref="P1030" r:id="rId1610"/>
    <hyperlink xmlns:r="http://schemas.openxmlformats.org/officeDocument/2006/relationships" ref="P1031" r:id="rId1611"/>
    <hyperlink xmlns:r="http://schemas.openxmlformats.org/officeDocument/2006/relationships" ref="P1032" r:id="rId1612"/>
    <hyperlink xmlns:r="http://schemas.openxmlformats.org/officeDocument/2006/relationships" ref="P1033" r:id="rId1613"/>
    <hyperlink xmlns:r="http://schemas.openxmlformats.org/officeDocument/2006/relationships" ref="O1034" r:id="rId1614"/>
    <hyperlink xmlns:r="http://schemas.openxmlformats.org/officeDocument/2006/relationships" ref="P1034" r:id="rId1615"/>
    <hyperlink xmlns:r="http://schemas.openxmlformats.org/officeDocument/2006/relationships" ref="O1035" r:id="rId1616"/>
    <hyperlink xmlns:r="http://schemas.openxmlformats.org/officeDocument/2006/relationships" ref="P1035" r:id="rId1617"/>
    <hyperlink xmlns:r="http://schemas.openxmlformats.org/officeDocument/2006/relationships" ref="O1036" r:id="rId1618"/>
    <hyperlink xmlns:r="http://schemas.openxmlformats.org/officeDocument/2006/relationships" ref="P1036" r:id="rId1619"/>
    <hyperlink xmlns:r="http://schemas.openxmlformats.org/officeDocument/2006/relationships" ref="O1037" r:id="rId1620"/>
    <hyperlink xmlns:r="http://schemas.openxmlformats.org/officeDocument/2006/relationships" ref="P1037" r:id="rId1621"/>
    <hyperlink xmlns:r="http://schemas.openxmlformats.org/officeDocument/2006/relationships" ref="O1038" r:id="rId1622"/>
    <hyperlink xmlns:r="http://schemas.openxmlformats.org/officeDocument/2006/relationships" ref="P1038" r:id="rId1623"/>
    <hyperlink xmlns:r="http://schemas.openxmlformats.org/officeDocument/2006/relationships" ref="O1039" r:id="rId1624"/>
    <hyperlink xmlns:r="http://schemas.openxmlformats.org/officeDocument/2006/relationships" ref="P1039" r:id="rId1625"/>
    <hyperlink xmlns:r="http://schemas.openxmlformats.org/officeDocument/2006/relationships" ref="O1040" r:id="rId1626"/>
    <hyperlink xmlns:r="http://schemas.openxmlformats.org/officeDocument/2006/relationships" ref="P1040" r:id="rId1627"/>
    <hyperlink xmlns:r="http://schemas.openxmlformats.org/officeDocument/2006/relationships" ref="O1041" r:id="rId1628"/>
    <hyperlink xmlns:r="http://schemas.openxmlformats.org/officeDocument/2006/relationships" ref="P1041" r:id="rId1629"/>
    <hyperlink xmlns:r="http://schemas.openxmlformats.org/officeDocument/2006/relationships" ref="O1042" r:id="rId1630"/>
    <hyperlink xmlns:r="http://schemas.openxmlformats.org/officeDocument/2006/relationships" ref="P1042" r:id="rId1631"/>
    <hyperlink xmlns:r="http://schemas.openxmlformats.org/officeDocument/2006/relationships" ref="O1043" r:id="rId1632"/>
    <hyperlink xmlns:r="http://schemas.openxmlformats.org/officeDocument/2006/relationships" ref="P1043" r:id="rId1633"/>
    <hyperlink xmlns:r="http://schemas.openxmlformats.org/officeDocument/2006/relationships" ref="O1044" r:id="rId1634"/>
    <hyperlink xmlns:r="http://schemas.openxmlformats.org/officeDocument/2006/relationships" ref="P1044" r:id="rId1635"/>
    <hyperlink xmlns:r="http://schemas.openxmlformats.org/officeDocument/2006/relationships" ref="O1045" r:id="rId1636"/>
    <hyperlink xmlns:r="http://schemas.openxmlformats.org/officeDocument/2006/relationships" ref="P1045" r:id="rId1637"/>
    <hyperlink xmlns:r="http://schemas.openxmlformats.org/officeDocument/2006/relationships" ref="O1046" r:id="rId1638"/>
    <hyperlink xmlns:r="http://schemas.openxmlformats.org/officeDocument/2006/relationships" ref="P1046" r:id="rId1639"/>
    <hyperlink xmlns:r="http://schemas.openxmlformats.org/officeDocument/2006/relationships" ref="O1047" r:id="rId1640"/>
    <hyperlink xmlns:r="http://schemas.openxmlformats.org/officeDocument/2006/relationships" ref="P1047" r:id="rId1641"/>
    <hyperlink xmlns:r="http://schemas.openxmlformats.org/officeDocument/2006/relationships" ref="O1048" r:id="rId1642"/>
    <hyperlink xmlns:r="http://schemas.openxmlformats.org/officeDocument/2006/relationships" ref="P1048" r:id="rId1643"/>
    <hyperlink xmlns:r="http://schemas.openxmlformats.org/officeDocument/2006/relationships" ref="O1049" r:id="rId1644"/>
    <hyperlink xmlns:r="http://schemas.openxmlformats.org/officeDocument/2006/relationships" ref="P1049" r:id="rId1645"/>
    <hyperlink xmlns:r="http://schemas.openxmlformats.org/officeDocument/2006/relationships" ref="O1050" r:id="rId1646"/>
    <hyperlink xmlns:r="http://schemas.openxmlformats.org/officeDocument/2006/relationships" ref="P1050" r:id="rId1647"/>
    <hyperlink xmlns:r="http://schemas.openxmlformats.org/officeDocument/2006/relationships" ref="O1051" r:id="rId1648"/>
    <hyperlink xmlns:r="http://schemas.openxmlformats.org/officeDocument/2006/relationships" ref="P1051" r:id="rId1649"/>
    <hyperlink xmlns:r="http://schemas.openxmlformats.org/officeDocument/2006/relationships" ref="O1052" r:id="rId1650"/>
    <hyperlink xmlns:r="http://schemas.openxmlformats.org/officeDocument/2006/relationships" ref="P1052" r:id="rId1651"/>
    <hyperlink xmlns:r="http://schemas.openxmlformats.org/officeDocument/2006/relationships" ref="O1053" r:id="rId1652"/>
    <hyperlink xmlns:r="http://schemas.openxmlformats.org/officeDocument/2006/relationships" ref="P1053" r:id="rId1653"/>
    <hyperlink xmlns:r="http://schemas.openxmlformats.org/officeDocument/2006/relationships" ref="O1054" r:id="rId1654"/>
    <hyperlink xmlns:r="http://schemas.openxmlformats.org/officeDocument/2006/relationships" ref="P1054" r:id="rId1655"/>
    <hyperlink xmlns:r="http://schemas.openxmlformats.org/officeDocument/2006/relationships" ref="O1055" r:id="rId1656"/>
    <hyperlink xmlns:r="http://schemas.openxmlformats.org/officeDocument/2006/relationships" ref="P1055" r:id="rId1657"/>
    <hyperlink xmlns:r="http://schemas.openxmlformats.org/officeDocument/2006/relationships" ref="O1056" r:id="rId1658"/>
    <hyperlink xmlns:r="http://schemas.openxmlformats.org/officeDocument/2006/relationships" ref="P1056" r:id="rId1659"/>
    <hyperlink xmlns:r="http://schemas.openxmlformats.org/officeDocument/2006/relationships" ref="O1057" r:id="rId1660"/>
    <hyperlink xmlns:r="http://schemas.openxmlformats.org/officeDocument/2006/relationships" ref="P1057" r:id="rId1661"/>
    <hyperlink xmlns:r="http://schemas.openxmlformats.org/officeDocument/2006/relationships" ref="O1058" r:id="rId1662"/>
    <hyperlink xmlns:r="http://schemas.openxmlformats.org/officeDocument/2006/relationships" ref="P1058" r:id="rId1663"/>
    <hyperlink xmlns:r="http://schemas.openxmlformats.org/officeDocument/2006/relationships" ref="O1059" r:id="rId1664"/>
    <hyperlink xmlns:r="http://schemas.openxmlformats.org/officeDocument/2006/relationships" ref="P1059" r:id="rId1665"/>
    <hyperlink xmlns:r="http://schemas.openxmlformats.org/officeDocument/2006/relationships" ref="O1060" r:id="rId1666"/>
    <hyperlink xmlns:r="http://schemas.openxmlformats.org/officeDocument/2006/relationships" ref="P1060" r:id="rId1667"/>
    <hyperlink xmlns:r="http://schemas.openxmlformats.org/officeDocument/2006/relationships" ref="O1061" r:id="rId1668"/>
    <hyperlink xmlns:r="http://schemas.openxmlformats.org/officeDocument/2006/relationships" ref="P1061" r:id="rId1669"/>
    <hyperlink xmlns:r="http://schemas.openxmlformats.org/officeDocument/2006/relationships" ref="O1062" r:id="rId1670"/>
    <hyperlink xmlns:r="http://schemas.openxmlformats.org/officeDocument/2006/relationships" ref="P1062" r:id="rId1671"/>
    <hyperlink xmlns:r="http://schemas.openxmlformats.org/officeDocument/2006/relationships" ref="O1063" r:id="rId1672"/>
    <hyperlink xmlns:r="http://schemas.openxmlformats.org/officeDocument/2006/relationships" ref="P1063" r:id="rId1673"/>
    <hyperlink xmlns:r="http://schemas.openxmlformats.org/officeDocument/2006/relationships" ref="O1064" r:id="rId1674"/>
    <hyperlink xmlns:r="http://schemas.openxmlformats.org/officeDocument/2006/relationships" ref="P1064" r:id="rId1675"/>
    <hyperlink xmlns:r="http://schemas.openxmlformats.org/officeDocument/2006/relationships" ref="O1065" r:id="rId1676"/>
    <hyperlink xmlns:r="http://schemas.openxmlformats.org/officeDocument/2006/relationships" ref="P1065" r:id="rId1677"/>
    <hyperlink xmlns:r="http://schemas.openxmlformats.org/officeDocument/2006/relationships" ref="O1066" r:id="rId1678"/>
    <hyperlink xmlns:r="http://schemas.openxmlformats.org/officeDocument/2006/relationships" ref="P1066" r:id="rId1679"/>
    <hyperlink xmlns:r="http://schemas.openxmlformats.org/officeDocument/2006/relationships" ref="O1067" r:id="rId1680"/>
    <hyperlink xmlns:r="http://schemas.openxmlformats.org/officeDocument/2006/relationships" ref="P1067" r:id="rId1681"/>
    <hyperlink xmlns:r="http://schemas.openxmlformats.org/officeDocument/2006/relationships" ref="P1068" r:id="rId1682"/>
    <hyperlink xmlns:r="http://schemas.openxmlformats.org/officeDocument/2006/relationships" ref="P1069" r:id="rId1683"/>
    <hyperlink xmlns:r="http://schemas.openxmlformats.org/officeDocument/2006/relationships" ref="O1070" r:id="rId1684"/>
    <hyperlink xmlns:r="http://schemas.openxmlformats.org/officeDocument/2006/relationships" ref="P1070" r:id="rId1685"/>
    <hyperlink xmlns:r="http://schemas.openxmlformats.org/officeDocument/2006/relationships" ref="O1071" r:id="rId1686"/>
    <hyperlink xmlns:r="http://schemas.openxmlformats.org/officeDocument/2006/relationships" ref="P1071" r:id="rId1687"/>
    <hyperlink xmlns:r="http://schemas.openxmlformats.org/officeDocument/2006/relationships" ref="O1072" r:id="rId1688"/>
    <hyperlink xmlns:r="http://schemas.openxmlformats.org/officeDocument/2006/relationships" ref="P1072" r:id="rId1689"/>
    <hyperlink xmlns:r="http://schemas.openxmlformats.org/officeDocument/2006/relationships" ref="O1073" r:id="rId1690"/>
    <hyperlink xmlns:r="http://schemas.openxmlformats.org/officeDocument/2006/relationships" ref="P1073" r:id="rId1691"/>
    <hyperlink xmlns:r="http://schemas.openxmlformats.org/officeDocument/2006/relationships" ref="P1074" r:id="rId1692"/>
    <hyperlink xmlns:r="http://schemas.openxmlformats.org/officeDocument/2006/relationships" ref="O1075" r:id="rId1693"/>
    <hyperlink xmlns:r="http://schemas.openxmlformats.org/officeDocument/2006/relationships" ref="P1075" r:id="rId1694"/>
    <hyperlink xmlns:r="http://schemas.openxmlformats.org/officeDocument/2006/relationships" ref="O1076" r:id="rId1695"/>
    <hyperlink xmlns:r="http://schemas.openxmlformats.org/officeDocument/2006/relationships" ref="P1076" r:id="rId1696"/>
    <hyperlink xmlns:r="http://schemas.openxmlformats.org/officeDocument/2006/relationships" ref="O1077" r:id="rId1697"/>
    <hyperlink xmlns:r="http://schemas.openxmlformats.org/officeDocument/2006/relationships" ref="P1077" r:id="rId1698"/>
    <hyperlink xmlns:r="http://schemas.openxmlformats.org/officeDocument/2006/relationships" ref="O1078" r:id="rId1699"/>
    <hyperlink xmlns:r="http://schemas.openxmlformats.org/officeDocument/2006/relationships" ref="P1078" r:id="rId1700"/>
    <hyperlink xmlns:r="http://schemas.openxmlformats.org/officeDocument/2006/relationships" ref="O1079" r:id="rId1701"/>
    <hyperlink xmlns:r="http://schemas.openxmlformats.org/officeDocument/2006/relationships" ref="P1079" r:id="rId1702"/>
    <hyperlink xmlns:r="http://schemas.openxmlformats.org/officeDocument/2006/relationships" ref="O1080" r:id="rId1703"/>
    <hyperlink xmlns:r="http://schemas.openxmlformats.org/officeDocument/2006/relationships" ref="P1080" r:id="rId1704"/>
    <hyperlink xmlns:r="http://schemas.openxmlformats.org/officeDocument/2006/relationships" ref="O1081" r:id="rId1705"/>
    <hyperlink xmlns:r="http://schemas.openxmlformats.org/officeDocument/2006/relationships" ref="P1081" r:id="rId1706"/>
    <hyperlink xmlns:r="http://schemas.openxmlformats.org/officeDocument/2006/relationships" ref="O1082" r:id="rId1707"/>
    <hyperlink xmlns:r="http://schemas.openxmlformats.org/officeDocument/2006/relationships" ref="P1082" r:id="rId1708"/>
    <hyperlink xmlns:r="http://schemas.openxmlformats.org/officeDocument/2006/relationships" ref="O1083" r:id="rId1709"/>
    <hyperlink xmlns:r="http://schemas.openxmlformats.org/officeDocument/2006/relationships" ref="P1083" r:id="rId1710"/>
    <hyperlink xmlns:r="http://schemas.openxmlformats.org/officeDocument/2006/relationships" ref="O1084" r:id="rId1711"/>
    <hyperlink xmlns:r="http://schemas.openxmlformats.org/officeDocument/2006/relationships" ref="P1084" r:id="rId1712"/>
    <hyperlink xmlns:r="http://schemas.openxmlformats.org/officeDocument/2006/relationships" ref="P1085" r:id="rId1713"/>
    <hyperlink xmlns:r="http://schemas.openxmlformats.org/officeDocument/2006/relationships" ref="P1086" r:id="rId1714"/>
    <hyperlink xmlns:r="http://schemas.openxmlformats.org/officeDocument/2006/relationships" ref="O1087" r:id="rId1715"/>
    <hyperlink xmlns:r="http://schemas.openxmlformats.org/officeDocument/2006/relationships" ref="P1087" r:id="rId1716"/>
    <hyperlink xmlns:r="http://schemas.openxmlformats.org/officeDocument/2006/relationships" ref="O1088" r:id="rId1717"/>
    <hyperlink xmlns:r="http://schemas.openxmlformats.org/officeDocument/2006/relationships" ref="P1088" r:id="rId1718"/>
    <hyperlink xmlns:r="http://schemas.openxmlformats.org/officeDocument/2006/relationships" ref="O1089" r:id="rId1719"/>
    <hyperlink xmlns:r="http://schemas.openxmlformats.org/officeDocument/2006/relationships" ref="P1089" r:id="rId1720"/>
    <hyperlink xmlns:r="http://schemas.openxmlformats.org/officeDocument/2006/relationships" ref="O1090" r:id="rId1721"/>
    <hyperlink xmlns:r="http://schemas.openxmlformats.org/officeDocument/2006/relationships" ref="P1090" r:id="rId1722"/>
    <hyperlink xmlns:r="http://schemas.openxmlformats.org/officeDocument/2006/relationships" ref="O1091" r:id="rId1723"/>
    <hyperlink xmlns:r="http://schemas.openxmlformats.org/officeDocument/2006/relationships" ref="P1091" r:id="rId1724"/>
    <hyperlink xmlns:r="http://schemas.openxmlformats.org/officeDocument/2006/relationships" ref="O1092" r:id="rId1725"/>
    <hyperlink xmlns:r="http://schemas.openxmlformats.org/officeDocument/2006/relationships" ref="P1092" r:id="rId1726"/>
    <hyperlink xmlns:r="http://schemas.openxmlformats.org/officeDocument/2006/relationships" ref="O1093" r:id="rId1727"/>
    <hyperlink xmlns:r="http://schemas.openxmlformats.org/officeDocument/2006/relationships" ref="P1093" r:id="rId1728"/>
    <hyperlink xmlns:r="http://schemas.openxmlformats.org/officeDocument/2006/relationships" ref="O1094" r:id="rId1729"/>
    <hyperlink xmlns:r="http://schemas.openxmlformats.org/officeDocument/2006/relationships" ref="P1094" r:id="rId1730"/>
    <hyperlink xmlns:r="http://schemas.openxmlformats.org/officeDocument/2006/relationships" ref="P1095" r:id="rId1731"/>
    <hyperlink xmlns:r="http://schemas.openxmlformats.org/officeDocument/2006/relationships" ref="O1096" r:id="rId1732"/>
    <hyperlink xmlns:r="http://schemas.openxmlformats.org/officeDocument/2006/relationships" ref="P1096" r:id="rId1733"/>
    <hyperlink xmlns:r="http://schemas.openxmlformats.org/officeDocument/2006/relationships" ref="P1097" r:id="rId1734"/>
    <hyperlink xmlns:r="http://schemas.openxmlformats.org/officeDocument/2006/relationships" ref="P1098" r:id="rId1735"/>
    <hyperlink xmlns:r="http://schemas.openxmlformats.org/officeDocument/2006/relationships" ref="P1099" r:id="rId1736"/>
    <hyperlink xmlns:r="http://schemas.openxmlformats.org/officeDocument/2006/relationships" ref="P1100" r:id="rId1737"/>
    <hyperlink xmlns:r="http://schemas.openxmlformats.org/officeDocument/2006/relationships" ref="P1101" r:id="rId1738"/>
    <hyperlink xmlns:r="http://schemas.openxmlformats.org/officeDocument/2006/relationships" ref="P1102" r:id="rId1739"/>
    <hyperlink xmlns:r="http://schemas.openxmlformats.org/officeDocument/2006/relationships" ref="P1103" r:id="rId1740"/>
    <hyperlink xmlns:r="http://schemas.openxmlformats.org/officeDocument/2006/relationships" ref="P1104" r:id="rId1741"/>
    <hyperlink xmlns:r="http://schemas.openxmlformats.org/officeDocument/2006/relationships" ref="P1105" r:id="rId1742"/>
    <hyperlink xmlns:r="http://schemas.openxmlformats.org/officeDocument/2006/relationships" ref="P1106" r:id="rId1743"/>
    <hyperlink xmlns:r="http://schemas.openxmlformats.org/officeDocument/2006/relationships" ref="P1107" r:id="rId1744"/>
    <hyperlink xmlns:r="http://schemas.openxmlformats.org/officeDocument/2006/relationships" ref="P1108" r:id="rId1745"/>
    <hyperlink xmlns:r="http://schemas.openxmlformats.org/officeDocument/2006/relationships" ref="P1109" r:id="rId1746"/>
    <hyperlink xmlns:r="http://schemas.openxmlformats.org/officeDocument/2006/relationships" ref="P1110" r:id="rId1747"/>
    <hyperlink xmlns:r="http://schemas.openxmlformats.org/officeDocument/2006/relationships" ref="P1111" r:id="rId1748"/>
    <hyperlink xmlns:r="http://schemas.openxmlformats.org/officeDocument/2006/relationships" ref="P1112" r:id="rId1749"/>
    <hyperlink xmlns:r="http://schemas.openxmlformats.org/officeDocument/2006/relationships" ref="P1113" r:id="rId1750"/>
    <hyperlink xmlns:r="http://schemas.openxmlformats.org/officeDocument/2006/relationships" ref="O1114" r:id="rId1751"/>
    <hyperlink xmlns:r="http://schemas.openxmlformats.org/officeDocument/2006/relationships" ref="P1114" r:id="rId1752"/>
    <hyperlink xmlns:r="http://schemas.openxmlformats.org/officeDocument/2006/relationships" ref="O1115" r:id="rId1753"/>
    <hyperlink xmlns:r="http://schemas.openxmlformats.org/officeDocument/2006/relationships" ref="P1115" r:id="rId1754"/>
    <hyperlink xmlns:r="http://schemas.openxmlformats.org/officeDocument/2006/relationships" ref="O1116" r:id="rId1755"/>
    <hyperlink xmlns:r="http://schemas.openxmlformats.org/officeDocument/2006/relationships" ref="P1116" r:id="rId1756"/>
    <hyperlink xmlns:r="http://schemas.openxmlformats.org/officeDocument/2006/relationships" ref="O1117" r:id="rId1757"/>
    <hyperlink xmlns:r="http://schemas.openxmlformats.org/officeDocument/2006/relationships" ref="P1117" r:id="rId1758"/>
    <hyperlink xmlns:r="http://schemas.openxmlformats.org/officeDocument/2006/relationships" ref="O1118" r:id="rId1759"/>
    <hyperlink xmlns:r="http://schemas.openxmlformats.org/officeDocument/2006/relationships" ref="P1118" r:id="rId1760"/>
    <hyperlink xmlns:r="http://schemas.openxmlformats.org/officeDocument/2006/relationships" ref="O1119" r:id="rId1761"/>
    <hyperlink xmlns:r="http://schemas.openxmlformats.org/officeDocument/2006/relationships" ref="P1119" r:id="rId1762"/>
    <hyperlink xmlns:r="http://schemas.openxmlformats.org/officeDocument/2006/relationships" ref="O1120" r:id="rId1763"/>
    <hyperlink xmlns:r="http://schemas.openxmlformats.org/officeDocument/2006/relationships" ref="P1120" r:id="rId1764"/>
    <hyperlink xmlns:r="http://schemas.openxmlformats.org/officeDocument/2006/relationships" ref="O1121" r:id="rId1765"/>
    <hyperlink xmlns:r="http://schemas.openxmlformats.org/officeDocument/2006/relationships" ref="P1121" r:id="rId1766"/>
    <hyperlink xmlns:r="http://schemas.openxmlformats.org/officeDocument/2006/relationships" ref="O1122" r:id="rId1767"/>
    <hyperlink xmlns:r="http://schemas.openxmlformats.org/officeDocument/2006/relationships" ref="P1122" r:id="rId1768"/>
    <hyperlink xmlns:r="http://schemas.openxmlformats.org/officeDocument/2006/relationships" ref="O1123" r:id="rId1769"/>
    <hyperlink xmlns:r="http://schemas.openxmlformats.org/officeDocument/2006/relationships" ref="P1123" r:id="rId1770"/>
    <hyperlink xmlns:r="http://schemas.openxmlformats.org/officeDocument/2006/relationships" ref="O1124" r:id="rId1771"/>
    <hyperlink xmlns:r="http://schemas.openxmlformats.org/officeDocument/2006/relationships" ref="P1124" r:id="rId1772"/>
    <hyperlink xmlns:r="http://schemas.openxmlformats.org/officeDocument/2006/relationships" ref="O1125" r:id="rId1773"/>
    <hyperlink xmlns:r="http://schemas.openxmlformats.org/officeDocument/2006/relationships" ref="P1125" r:id="rId1774"/>
    <hyperlink xmlns:r="http://schemas.openxmlformats.org/officeDocument/2006/relationships" ref="O1126" r:id="rId1775"/>
    <hyperlink xmlns:r="http://schemas.openxmlformats.org/officeDocument/2006/relationships" ref="P1126" r:id="rId1776"/>
    <hyperlink xmlns:r="http://schemas.openxmlformats.org/officeDocument/2006/relationships" ref="O1127" r:id="rId1777"/>
    <hyperlink xmlns:r="http://schemas.openxmlformats.org/officeDocument/2006/relationships" ref="P1127" r:id="rId1778"/>
    <hyperlink xmlns:r="http://schemas.openxmlformats.org/officeDocument/2006/relationships" ref="O1128" r:id="rId1779"/>
    <hyperlink xmlns:r="http://schemas.openxmlformats.org/officeDocument/2006/relationships" ref="P1128" r:id="rId1780"/>
    <hyperlink xmlns:r="http://schemas.openxmlformats.org/officeDocument/2006/relationships" ref="O1129" r:id="rId1781"/>
    <hyperlink xmlns:r="http://schemas.openxmlformats.org/officeDocument/2006/relationships" ref="P1129" r:id="rId1782"/>
    <hyperlink xmlns:r="http://schemas.openxmlformats.org/officeDocument/2006/relationships" ref="O1130" r:id="rId1783"/>
    <hyperlink xmlns:r="http://schemas.openxmlformats.org/officeDocument/2006/relationships" ref="P1130" r:id="rId1784"/>
    <hyperlink xmlns:r="http://schemas.openxmlformats.org/officeDocument/2006/relationships" ref="O1131" r:id="rId1785"/>
    <hyperlink xmlns:r="http://schemas.openxmlformats.org/officeDocument/2006/relationships" ref="P1131" r:id="rId1786"/>
    <hyperlink xmlns:r="http://schemas.openxmlformats.org/officeDocument/2006/relationships" ref="P1132" r:id="rId1787"/>
    <hyperlink xmlns:r="http://schemas.openxmlformats.org/officeDocument/2006/relationships" ref="P1133" r:id="rId1788"/>
    <hyperlink xmlns:r="http://schemas.openxmlformats.org/officeDocument/2006/relationships" ref="P1134" r:id="rId1789"/>
    <hyperlink xmlns:r="http://schemas.openxmlformats.org/officeDocument/2006/relationships" ref="P1135" r:id="rId1790"/>
    <hyperlink xmlns:r="http://schemas.openxmlformats.org/officeDocument/2006/relationships" ref="P1136" r:id="rId1791"/>
    <hyperlink xmlns:r="http://schemas.openxmlformats.org/officeDocument/2006/relationships" ref="P1137" r:id="rId1792"/>
    <hyperlink xmlns:r="http://schemas.openxmlformats.org/officeDocument/2006/relationships" ref="P1138" r:id="rId1793"/>
    <hyperlink xmlns:r="http://schemas.openxmlformats.org/officeDocument/2006/relationships" ref="P1139" r:id="rId1794"/>
    <hyperlink xmlns:r="http://schemas.openxmlformats.org/officeDocument/2006/relationships" ref="P1140" r:id="rId1795"/>
    <hyperlink xmlns:r="http://schemas.openxmlformats.org/officeDocument/2006/relationships" ref="P1141" r:id="rId1796"/>
    <hyperlink xmlns:r="http://schemas.openxmlformats.org/officeDocument/2006/relationships" ref="P1142" r:id="rId1797"/>
    <hyperlink xmlns:r="http://schemas.openxmlformats.org/officeDocument/2006/relationships" ref="P1143" r:id="rId1798"/>
    <hyperlink xmlns:r="http://schemas.openxmlformats.org/officeDocument/2006/relationships" ref="P1144" r:id="rId1799"/>
    <hyperlink xmlns:r="http://schemas.openxmlformats.org/officeDocument/2006/relationships" ref="P1145" r:id="rId1800"/>
    <hyperlink xmlns:r="http://schemas.openxmlformats.org/officeDocument/2006/relationships" ref="P1146" r:id="rId1801"/>
    <hyperlink xmlns:r="http://schemas.openxmlformats.org/officeDocument/2006/relationships" ref="O1147" r:id="rId1802"/>
    <hyperlink xmlns:r="http://schemas.openxmlformats.org/officeDocument/2006/relationships" ref="P1147" r:id="rId1803"/>
    <hyperlink xmlns:r="http://schemas.openxmlformats.org/officeDocument/2006/relationships" ref="O1148" r:id="rId1804"/>
    <hyperlink xmlns:r="http://schemas.openxmlformats.org/officeDocument/2006/relationships" ref="P1148" r:id="rId1805"/>
    <hyperlink xmlns:r="http://schemas.openxmlformats.org/officeDocument/2006/relationships" ref="P1149" r:id="rId1806"/>
    <hyperlink xmlns:r="http://schemas.openxmlformats.org/officeDocument/2006/relationships" ref="P1150" r:id="rId1807"/>
    <hyperlink xmlns:r="http://schemas.openxmlformats.org/officeDocument/2006/relationships" ref="O1151" r:id="rId1808"/>
    <hyperlink xmlns:r="http://schemas.openxmlformats.org/officeDocument/2006/relationships" ref="P1151" r:id="rId1809"/>
    <hyperlink xmlns:r="http://schemas.openxmlformats.org/officeDocument/2006/relationships" ref="O1152" r:id="rId1810"/>
    <hyperlink xmlns:r="http://schemas.openxmlformats.org/officeDocument/2006/relationships" ref="P1152" r:id="rId1811"/>
    <hyperlink xmlns:r="http://schemas.openxmlformats.org/officeDocument/2006/relationships" ref="O1153" r:id="rId1812"/>
    <hyperlink xmlns:r="http://schemas.openxmlformats.org/officeDocument/2006/relationships" ref="P1153" r:id="rId1813"/>
    <hyperlink xmlns:r="http://schemas.openxmlformats.org/officeDocument/2006/relationships" ref="O1154" r:id="rId1814"/>
    <hyperlink xmlns:r="http://schemas.openxmlformats.org/officeDocument/2006/relationships" ref="P1154" r:id="rId1815"/>
    <hyperlink xmlns:r="http://schemas.openxmlformats.org/officeDocument/2006/relationships" ref="O1155" r:id="rId1816"/>
    <hyperlink xmlns:r="http://schemas.openxmlformats.org/officeDocument/2006/relationships" ref="P1155" r:id="rId1817"/>
    <hyperlink xmlns:r="http://schemas.openxmlformats.org/officeDocument/2006/relationships" ref="O1156" r:id="rId1818"/>
    <hyperlink xmlns:r="http://schemas.openxmlformats.org/officeDocument/2006/relationships" ref="P1156" r:id="rId1819"/>
    <hyperlink xmlns:r="http://schemas.openxmlformats.org/officeDocument/2006/relationships" ref="O1157" r:id="rId1820"/>
    <hyperlink xmlns:r="http://schemas.openxmlformats.org/officeDocument/2006/relationships" ref="P1157" r:id="rId1821"/>
    <hyperlink xmlns:r="http://schemas.openxmlformats.org/officeDocument/2006/relationships" ref="O1158" r:id="rId1822"/>
    <hyperlink xmlns:r="http://schemas.openxmlformats.org/officeDocument/2006/relationships" ref="P1158" r:id="rId1823"/>
    <hyperlink xmlns:r="http://schemas.openxmlformats.org/officeDocument/2006/relationships" ref="O1159" r:id="rId1824"/>
    <hyperlink xmlns:r="http://schemas.openxmlformats.org/officeDocument/2006/relationships" ref="P1159" r:id="rId1825"/>
    <hyperlink xmlns:r="http://schemas.openxmlformats.org/officeDocument/2006/relationships" ref="O1160" r:id="rId1826"/>
    <hyperlink xmlns:r="http://schemas.openxmlformats.org/officeDocument/2006/relationships" ref="P1160" r:id="rId1827"/>
    <hyperlink xmlns:r="http://schemas.openxmlformats.org/officeDocument/2006/relationships" ref="O1161" r:id="rId1828"/>
    <hyperlink xmlns:r="http://schemas.openxmlformats.org/officeDocument/2006/relationships" ref="P1161" r:id="rId1829"/>
    <hyperlink xmlns:r="http://schemas.openxmlformats.org/officeDocument/2006/relationships" ref="P1162" r:id="rId1830"/>
    <hyperlink xmlns:r="http://schemas.openxmlformats.org/officeDocument/2006/relationships" ref="O1163" r:id="rId1831"/>
    <hyperlink xmlns:r="http://schemas.openxmlformats.org/officeDocument/2006/relationships" ref="P1163" r:id="rId1832"/>
    <hyperlink xmlns:r="http://schemas.openxmlformats.org/officeDocument/2006/relationships" ref="O1164" r:id="rId1833"/>
    <hyperlink xmlns:r="http://schemas.openxmlformats.org/officeDocument/2006/relationships" ref="P1164" r:id="rId1834"/>
    <hyperlink xmlns:r="http://schemas.openxmlformats.org/officeDocument/2006/relationships" ref="P1165" r:id="rId1835"/>
    <hyperlink xmlns:r="http://schemas.openxmlformats.org/officeDocument/2006/relationships" ref="O1166" r:id="rId1836"/>
    <hyperlink xmlns:r="http://schemas.openxmlformats.org/officeDocument/2006/relationships" ref="P1166" r:id="rId1837"/>
    <hyperlink xmlns:r="http://schemas.openxmlformats.org/officeDocument/2006/relationships" ref="P1167" r:id="rId1838"/>
    <hyperlink xmlns:r="http://schemas.openxmlformats.org/officeDocument/2006/relationships" ref="P1168" r:id="rId1839"/>
    <hyperlink xmlns:r="http://schemas.openxmlformats.org/officeDocument/2006/relationships" ref="P1169" r:id="rId1840"/>
    <hyperlink xmlns:r="http://schemas.openxmlformats.org/officeDocument/2006/relationships" ref="O1170" r:id="rId1841"/>
    <hyperlink xmlns:r="http://schemas.openxmlformats.org/officeDocument/2006/relationships" ref="P1170" r:id="rId1842"/>
    <hyperlink xmlns:r="http://schemas.openxmlformats.org/officeDocument/2006/relationships" ref="O1171" r:id="rId1843"/>
    <hyperlink xmlns:r="http://schemas.openxmlformats.org/officeDocument/2006/relationships" ref="P1171" r:id="rId1844"/>
    <hyperlink xmlns:r="http://schemas.openxmlformats.org/officeDocument/2006/relationships" ref="P1172" r:id="rId1845"/>
    <hyperlink xmlns:r="http://schemas.openxmlformats.org/officeDocument/2006/relationships" ref="O1173" r:id="rId1846"/>
    <hyperlink xmlns:r="http://schemas.openxmlformats.org/officeDocument/2006/relationships" ref="P1173" r:id="rId1847"/>
    <hyperlink xmlns:r="http://schemas.openxmlformats.org/officeDocument/2006/relationships" ref="O1174" r:id="rId1848"/>
    <hyperlink xmlns:r="http://schemas.openxmlformats.org/officeDocument/2006/relationships" ref="P1174" r:id="rId1849"/>
    <hyperlink xmlns:r="http://schemas.openxmlformats.org/officeDocument/2006/relationships" ref="O1175" r:id="rId1850"/>
    <hyperlink xmlns:r="http://schemas.openxmlformats.org/officeDocument/2006/relationships" ref="P1175" r:id="rId1851"/>
    <hyperlink xmlns:r="http://schemas.openxmlformats.org/officeDocument/2006/relationships" ref="O1176" r:id="rId1852"/>
    <hyperlink xmlns:r="http://schemas.openxmlformats.org/officeDocument/2006/relationships" ref="P1176" r:id="rId1853"/>
    <hyperlink xmlns:r="http://schemas.openxmlformats.org/officeDocument/2006/relationships" ref="O1177" r:id="rId1854"/>
    <hyperlink xmlns:r="http://schemas.openxmlformats.org/officeDocument/2006/relationships" ref="P1177" r:id="rId1855"/>
    <hyperlink xmlns:r="http://schemas.openxmlformats.org/officeDocument/2006/relationships" ref="O1178" r:id="rId1856"/>
    <hyperlink xmlns:r="http://schemas.openxmlformats.org/officeDocument/2006/relationships" ref="P1178" r:id="rId1857"/>
    <hyperlink xmlns:r="http://schemas.openxmlformats.org/officeDocument/2006/relationships" ref="O1179" r:id="rId1858"/>
    <hyperlink xmlns:r="http://schemas.openxmlformats.org/officeDocument/2006/relationships" ref="P1179" r:id="rId1859"/>
    <hyperlink xmlns:r="http://schemas.openxmlformats.org/officeDocument/2006/relationships" ref="O1180" r:id="rId1860"/>
    <hyperlink xmlns:r="http://schemas.openxmlformats.org/officeDocument/2006/relationships" ref="P1180" r:id="rId1861"/>
    <hyperlink xmlns:r="http://schemas.openxmlformats.org/officeDocument/2006/relationships" ref="O1181" r:id="rId1862"/>
    <hyperlink xmlns:r="http://schemas.openxmlformats.org/officeDocument/2006/relationships" ref="P1181" r:id="rId1863"/>
    <hyperlink xmlns:r="http://schemas.openxmlformats.org/officeDocument/2006/relationships" ref="O1182" r:id="rId1864"/>
    <hyperlink xmlns:r="http://schemas.openxmlformats.org/officeDocument/2006/relationships" ref="P1182" r:id="rId1865"/>
    <hyperlink xmlns:r="http://schemas.openxmlformats.org/officeDocument/2006/relationships" ref="O1183" r:id="rId1866"/>
    <hyperlink xmlns:r="http://schemas.openxmlformats.org/officeDocument/2006/relationships" ref="P1183" r:id="rId1867"/>
    <hyperlink xmlns:r="http://schemas.openxmlformats.org/officeDocument/2006/relationships" ref="O1184" r:id="rId1868"/>
    <hyperlink xmlns:r="http://schemas.openxmlformats.org/officeDocument/2006/relationships" ref="P1184" r:id="rId1869"/>
    <hyperlink xmlns:r="http://schemas.openxmlformats.org/officeDocument/2006/relationships" ref="O1185" r:id="rId1870"/>
    <hyperlink xmlns:r="http://schemas.openxmlformats.org/officeDocument/2006/relationships" ref="P1185" r:id="rId1871"/>
    <hyperlink xmlns:r="http://schemas.openxmlformats.org/officeDocument/2006/relationships" ref="O1186" r:id="rId1872"/>
    <hyperlink xmlns:r="http://schemas.openxmlformats.org/officeDocument/2006/relationships" ref="P1186" r:id="rId1873"/>
    <hyperlink xmlns:r="http://schemas.openxmlformats.org/officeDocument/2006/relationships" ref="O1187" r:id="rId1874"/>
    <hyperlink xmlns:r="http://schemas.openxmlformats.org/officeDocument/2006/relationships" ref="P1187" r:id="rId1875"/>
    <hyperlink xmlns:r="http://schemas.openxmlformats.org/officeDocument/2006/relationships" ref="O1188" r:id="rId1876"/>
    <hyperlink xmlns:r="http://schemas.openxmlformats.org/officeDocument/2006/relationships" ref="P1188" r:id="rId1877"/>
    <hyperlink xmlns:r="http://schemas.openxmlformats.org/officeDocument/2006/relationships" ref="O1189" r:id="rId1878"/>
    <hyperlink xmlns:r="http://schemas.openxmlformats.org/officeDocument/2006/relationships" ref="P1189" r:id="rId1879"/>
    <hyperlink xmlns:r="http://schemas.openxmlformats.org/officeDocument/2006/relationships" ref="O1190" r:id="rId1880"/>
    <hyperlink xmlns:r="http://schemas.openxmlformats.org/officeDocument/2006/relationships" ref="P1190" r:id="rId1881"/>
    <hyperlink xmlns:r="http://schemas.openxmlformats.org/officeDocument/2006/relationships" ref="P1191" r:id="rId1882"/>
    <hyperlink xmlns:r="http://schemas.openxmlformats.org/officeDocument/2006/relationships" ref="P1192" r:id="rId1883"/>
    <hyperlink xmlns:r="http://schemas.openxmlformats.org/officeDocument/2006/relationships" ref="P1193" r:id="rId1884"/>
    <hyperlink xmlns:r="http://schemas.openxmlformats.org/officeDocument/2006/relationships" ref="P1194" r:id="rId1885"/>
    <hyperlink xmlns:r="http://schemas.openxmlformats.org/officeDocument/2006/relationships" ref="O1195" r:id="rId1886"/>
    <hyperlink xmlns:r="http://schemas.openxmlformats.org/officeDocument/2006/relationships" ref="P1195" r:id="rId1887"/>
    <hyperlink xmlns:r="http://schemas.openxmlformats.org/officeDocument/2006/relationships" ref="P1196" r:id="rId1888"/>
    <hyperlink xmlns:r="http://schemas.openxmlformats.org/officeDocument/2006/relationships" ref="O1197" r:id="rId1889"/>
    <hyperlink xmlns:r="http://schemas.openxmlformats.org/officeDocument/2006/relationships" ref="P1197" r:id="rId1890"/>
    <hyperlink xmlns:r="http://schemas.openxmlformats.org/officeDocument/2006/relationships" ref="P1198" r:id="rId1891"/>
    <hyperlink xmlns:r="http://schemas.openxmlformats.org/officeDocument/2006/relationships" ref="P1199" r:id="rId1892"/>
    <hyperlink xmlns:r="http://schemas.openxmlformats.org/officeDocument/2006/relationships" ref="O1200" r:id="rId1893"/>
    <hyperlink xmlns:r="http://schemas.openxmlformats.org/officeDocument/2006/relationships" ref="P1200" r:id="rId1894"/>
    <hyperlink xmlns:r="http://schemas.openxmlformats.org/officeDocument/2006/relationships" ref="O1201" r:id="rId1895"/>
    <hyperlink xmlns:r="http://schemas.openxmlformats.org/officeDocument/2006/relationships" ref="P1201" r:id="rId1896"/>
    <hyperlink xmlns:r="http://schemas.openxmlformats.org/officeDocument/2006/relationships" ref="O1202" r:id="rId1897"/>
    <hyperlink xmlns:r="http://schemas.openxmlformats.org/officeDocument/2006/relationships" ref="P1202" r:id="rId1898"/>
    <hyperlink xmlns:r="http://schemas.openxmlformats.org/officeDocument/2006/relationships" ref="O1203" r:id="rId1899"/>
    <hyperlink xmlns:r="http://schemas.openxmlformats.org/officeDocument/2006/relationships" ref="P1203" r:id="rId1900"/>
    <hyperlink xmlns:r="http://schemas.openxmlformats.org/officeDocument/2006/relationships" ref="O1204" r:id="rId1901"/>
    <hyperlink xmlns:r="http://schemas.openxmlformats.org/officeDocument/2006/relationships" ref="P1204" r:id="rId1902"/>
    <hyperlink xmlns:r="http://schemas.openxmlformats.org/officeDocument/2006/relationships" ref="O1205" r:id="rId1903"/>
    <hyperlink xmlns:r="http://schemas.openxmlformats.org/officeDocument/2006/relationships" ref="P1205" r:id="rId1904"/>
    <hyperlink xmlns:r="http://schemas.openxmlformats.org/officeDocument/2006/relationships" ref="O1206" r:id="rId1905"/>
    <hyperlink xmlns:r="http://schemas.openxmlformats.org/officeDocument/2006/relationships" ref="P1206" r:id="rId1906"/>
    <hyperlink xmlns:r="http://schemas.openxmlformats.org/officeDocument/2006/relationships" ref="O1207" r:id="rId1907"/>
    <hyperlink xmlns:r="http://schemas.openxmlformats.org/officeDocument/2006/relationships" ref="P1207" r:id="rId1908"/>
    <hyperlink xmlns:r="http://schemas.openxmlformats.org/officeDocument/2006/relationships" ref="P1208" r:id="rId1909"/>
    <hyperlink xmlns:r="http://schemas.openxmlformats.org/officeDocument/2006/relationships" ref="O1209" r:id="rId1910"/>
    <hyperlink xmlns:r="http://schemas.openxmlformats.org/officeDocument/2006/relationships" ref="P1209" r:id="rId1911"/>
    <hyperlink xmlns:r="http://schemas.openxmlformats.org/officeDocument/2006/relationships" ref="O1210" r:id="rId1912"/>
    <hyperlink xmlns:r="http://schemas.openxmlformats.org/officeDocument/2006/relationships" ref="P1210" r:id="rId1913"/>
    <hyperlink xmlns:r="http://schemas.openxmlformats.org/officeDocument/2006/relationships" ref="O1211" r:id="rId1914"/>
    <hyperlink xmlns:r="http://schemas.openxmlformats.org/officeDocument/2006/relationships" ref="P1211" r:id="rId1915"/>
    <hyperlink xmlns:r="http://schemas.openxmlformats.org/officeDocument/2006/relationships" ref="O1212" r:id="rId1916"/>
    <hyperlink xmlns:r="http://schemas.openxmlformats.org/officeDocument/2006/relationships" ref="P1212" r:id="rId1917"/>
    <hyperlink xmlns:r="http://schemas.openxmlformats.org/officeDocument/2006/relationships" ref="O1213" r:id="rId1918"/>
    <hyperlink xmlns:r="http://schemas.openxmlformats.org/officeDocument/2006/relationships" ref="P1213" r:id="rId1919"/>
    <hyperlink xmlns:r="http://schemas.openxmlformats.org/officeDocument/2006/relationships" ref="P1214" r:id="rId1920"/>
    <hyperlink xmlns:r="http://schemas.openxmlformats.org/officeDocument/2006/relationships" ref="O1215" r:id="rId1921"/>
    <hyperlink xmlns:r="http://schemas.openxmlformats.org/officeDocument/2006/relationships" ref="P1215" r:id="rId1922"/>
    <hyperlink xmlns:r="http://schemas.openxmlformats.org/officeDocument/2006/relationships" ref="O1216" r:id="rId1923"/>
    <hyperlink xmlns:r="http://schemas.openxmlformats.org/officeDocument/2006/relationships" ref="P1216" r:id="rId1924"/>
    <hyperlink xmlns:r="http://schemas.openxmlformats.org/officeDocument/2006/relationships" ref="O1217" r:id="rId1925"/>
    <hyperlink xmlns:r="http://schemas.openxmlformats.org/officeDocument/2006/relationships" ref="P1217" r:id="rId1926"/>
    <hyperlink xmlns:r="http://schemas.openxmlformats.org/officeDocument/2006/relationships" ref="O1218" r:id="rId1927"/>
    <hyperlink xmlns:r="http://schemas.openxmlformats.org/officeDocument/2006/relationships" ref="P1218" r:id="rId1928"/>
    <hyperlink xmlns:r="http://schemas.openxmlformats.org/officeDocument/2006/relationships" ref="O1219" r:id="rId1929"/>
    <hyperlink xmlns:r="http://schemas.openxmlformats.org/officeDocument/2006/relationships" ref="P1219" r:id="rId1930"/>
    <hyperlink xmlns:r="http://schemas.openxmlformats.org/officeDocument/2006/relationships" ref="O1220" r:id="rId1931"/>
    <hyperlink xmlns:r="http://schemas.openxmlformats.org/officeDocument/2006/relationships" ref="P1220" r:id="rId1932"/>
    <hyperlink xmlns:r="http://schemas.openxmlformats.org/officeDocument/2006/relationships" ref="O1221" r:id="rId1933"/>
    <hyperlink xmlns:r="http://schemas.openxmlformats.org/officeDocument/2006/relationships" ref="P1221" r:id="rId1934"/>
    <hyperlink xmlns:r="http://schemas.openxmlformats.org/officeDocument/2006/relationships" ref="O1222" r:id="rId1935"/>
    <hyperlink xmlns:r="http://schemas.openxmlformats.org/officeDocument/2006/relationships" ref="P1222" r:id="rId1936"/>
    <hyperlink xmlns:r="http://schemas.openxmlformats.org/officeDocument/2006/relationships" ref="O1223" r:id="rId1937"/>
    <hyperlink xmlns:r="http://schemas.openxmlformats.org/officeDocument/2006/relationships" ref="P1223" r:id="rId1938"/>
    <hyperlink xmlns:r="http://schemas.openxmlformats.org/officeDocument/2006/relationships" ref="P1224" r:id="rId1939"/>
    <hyperlink xmlns:r="http://schemas.openxmlformats.org/officeDocument/2006/relationships" ref="P1225" r:id="rId1940"/>
    <hyperlink xmlns:r="http://schemas.openxmlformats.org/officeDocument/2006/relationships" ref="P1226" r:id="rId1941"/>
    <hyperlink xmlns:r="http://schemas.openxmlformats.org/officeDocument/2006/relationships" ref="P1227" r:id="rId1942"/>
    <hyperlink xmlns:r="http://schemas.openxmlformats.org/officeDocument/2006/relationships" ref="P1228" r:id="rId1943"/>
    <hyperlink xmlns:r="http://schemas.openxmlformats.org/officeDocument/2006/relationships" ref="P1229" r:id="rId1944"/>
    <hyperlink xmlns:r="http://schemas.openxmlformats.org/officeDocument/2006/relationships" ref="O1230" r:id="rId1945"/>
    <hyperlink xmlns:r="http://schemas.openxmlformats.org/officeDocument/2006/relationships" ref="P1230" r:id="rId1946"/>
    <hyperlink xmlns:r="http://schemas.openxmlformats.org/officeDocument/2006/relationships" ref="O1231" r:id="rId1947"/>
    <hyperlink xmlns:r="http://schemas.openxmlformats.org/officeDocument/2006/relationships" ref="P1231" r:id="rId1948"/>
    <hyperlink xmlns:r="http://schemas.openxmlformats.org/officeDocument/2006/relationships" ref="P1232" r:id="rId1949"/>
    <hyperlink xmlns:r="http://schemas.openxmlformats.org/officeDocument/2006/relationships" ref="O1233" r:id="rId1950"/>
    <hyperlink xmlns:r="http://schemas.openxmlformats.org/officeDocument/2006/relationships" ref="P1233" r:id="rId1951"/>
    <hyperlink xmlns:r="http://schemas.openxmlformats.org/officeDocument/2006/relationships" ref="P1234" r:id="rId1952"/>
    <hyperlink xmlns:r="http://schemas.openxmlformats.org/officeDocument/2006/relationships" ref="P1235" r:id="rId1953"/>
    <hyperlink xmlns:r="http://schemas.openxmlformats.org/officeDocument/2006/relationships" ref="P1236" r:id="rId1954"/>
    <hyperlink xmlns:r="http://schemas.openxmlformats.org/officeDocument/2006/relationships" ref="P1237" r:id="rId1955"/>
    <hyperlink xmlns:r="http://schemas.openxmlformats.org/officeDocument/2006/relationships" ref="P1238" r:id="rId1956"/>
    <hyperlink xmlns:r="http://schemas.openxmlformats.org/officeDocument/2006/relationships" ref="P1239" r:id="rId1957"/>
    <hyperlink xmlns:r="http://schemas.openxmlformats.org/officeDocument/2006/relationships" ref="P1240" r:id="rId1958"/>
    <hyperlink xmlns:r="http://schemas.openxmlformats.org/officeDocument/2006/relationships" ref="P1241" r:id="rId1959"/>
    <hyperlink xmlns:r="http://schemas.openxmlformats.org/officeDocument/2006/relationships" ref="P1242" r:id="rId1960"/>
    <hyperlink xmlns:r="http://schemas.openxmlformats.org/officeDocument/2006/relationships" ref="P1243" r:id="rId1961"/>
    <hyperlink xmlns:r="http://schemas.openxmlformats.org/officeDocument/2006/relationships" ref="P1244" r:id="rId1962"/>
    <hyperlink xmlns:r="http://schemas.openxmlformats.org/officeDocument/2006/relationships" ref="P1245" r:id="rId1963"/>
    <hyperlink xmlns:r="http://schemas.openxmlformats.org/officeDocument/2006/relationships" ref="P1246" r:id="rId1964"/>
    <hyperlink xmlns:r="http://schemas.openxmlformats.org/officeDocument/2006/relationships" ref="P1247" r:id="rId1965"/>
    <hyperlink xmlns:r="http://schemas.openxmlformats.org/officeDocument/2006/relationships" ref="O1248" r:id="rId1966"/>
    <hyperlink xmlns:r="http://schemas.openxmlformats.org/officeDocument/2006/relationships" ref="P1248" r:id="rId1967"/>
    <hyperlink xmlns:r="http://schemas.openxmlformats.org/officeDocument/2006/relationships" ref="O1249" r:id="rId1968"/>
    <hyperlink xmlns:r="http://schemas.openxmlformats.org/officeDocument/2006/relationships" ref="P1249" r:id="rId1969"/>
    <hyperlink xmlns:r="http://schemas.openxmlformats.org/officeDocument/2006/relationships" ref="O1250" r:id="rId1970"/>
    <hyperlink xmlns:r="http://schemas.openxmlformats.org/officeDocument/2006/relationships" ref="P1250" r:id="rId1971"/>
    <hyperlink xmlns:r="http://schemas.openxmlformats.org/officeDocument/2006/relationships" ref="O1251" r:id="rId1972"/>
    <hyperlink xmlns:r="http://schemas.openxmlformats.org/officeDocument/2006/relationships" ref="P1251" r:id="rId1973"/>
    <hyperlink xmlns:r="http://schemas.openxmlformats.org/officeDocument/2006/relationships" ref="O1252" r:id="rId1974"/>
    <hyperlink xmlns:r="http://schemas.openxmlformats.org/officeDocument/2006/relationships" ref="P1252" r:id="rId1975"/>
    <hyperlink xmlns:r="http://schemas.openxmlformats.org/officeDocument/2006/relationships" ref="O1253" r:id="rId1976"/>
    <hyperlink xmlns:r="http://schemas.openxmlformats.org/officeDocument/2006/relationships" ref="P1253" r:id="rId1977"/>
    <hyperlink xmlns:r="http://schemas.openxmlformats.org/officeDocument/2006/relationships" ref="O1254" r:id="rId1978"/>
    <hyperlink xmlns:r="http://schemas.openxmlformats.org/officeDocument/2006/relationships" ref="P1254" r:id="rId1979"/>
    <hyperlink xmlns:r="http://schemas.openxmlformats.org/officeDocument/2006/relationships" ref="O1255" r:id="rId1980"/>
    <hyperlink xmlns:r="http://schemas.openxmlformats.org/officeDocument/2006/relationships" ref="P1255" r:id="rId1981"/>
    <hyperlink xmlns:r="http://schemas.openxmlformats.org/officeDocument/2006/relationships" ref="O1256" r:id="rId1982"/>
    <hyperlink xmlns:r="http://schemas.openxmlformats.org/officeDocument/2006/relationships" ref="P1256" r:id="rId1983"/>
    <hyperlink xmlns:r="http://schemas.openxmlformats.org/officeDocument/2006/relationships" ref="O1257" r:id="rId1984"/>
    <hyperlink xmlns:r="http://schemas.openxmlformats.org/officeDocument/2006/relationships" ref="P1257" r:id="rId1985"/>
    <hyperlink xmlns:r="http://schemas.openxmlformats.org/officeDocument/2006/relationships" ref="O1258" r:id="rId1986"/>
    <hyperlink xmlns:r="http://schemas.openxmlformats.org/officeDocument/2006/relationships" ref="P1258" r:id="rId1987"/>
    <hyperlink xmlns:r="http://schemas.openxmlformats.org/officeDocument/2006/relationships" ref="O1259" r:id="rId1988"/>
    <hyperlink xmlns:r="http://schemas.openxmlformats.org/officeDocument/2006/relationships" ref="P1259" r:id="rId1989"/>
    <hyperlink xmlns:r="http://schemas.openxmlformats.org/officeDocument/2006/relationships" ref="O1260" r:id="rId1990"/>
    <hyperlink xmlns:r="http://schemas.openxmlformats.org/officeDocument/2006/relationships" ref="P1260" r:id="rId1991"/>
    <hyperlink xmlns:r="http://schemas.openxmlformats.org/officeDocument/2006/relationships" ref="O1261" r:id="rId1992"/>
    <hyperlink xmlns:r="http://schemas.openxmlformats.org/officeDocument/2006/relationships" ref="P1261" r:id="rId1993"/>
    <hyperlink xmlns:r="http://schemas.openxmlformats.org/officeDocument/2006/relationships" ref="O1262" r:id="rId1994"/>
    <hyperlink xmlns:r="http://schemas.openxmlformats.org/officeDocument/2006/relationships" ref="P1262" r:id="rId1995"/>
    <hyperlink xmlns:r="http://schemas.openxmlformats.org/officeDocument/2006/relationships" ref="O1263" r:id="rId1996"/>
    <hyperlink xmlns:r="http://schemas.openxmlformats.org/officeDocument/2006/relationships" ref="P1263" r:id="rId1997"/>
    <hyperlink xmlns:r="http://schemas.openxmlformats.org/officeDocument/2006/relationships" ref="O1264" r:id="rId1998"/>
    <hyperlink xmlns:r="http://schemas.openxmlformats.org/officeDocument/2006/relationships" ref="P1264" r:id="rId1999"/>
    <hyperlink xmlns:r="http://schemas.openxmlformats.org/officeDocument/2006/relationships" ref="O1265" r:id="rId2000"/>
    <hyperlink xmlns:r="http://schemas.openxmlformats.org/officeDocument/2006/relationships" ref="P1265" r:id="rId2001"/>
    <hyperlink xmlns:r="http://schemas.openxmlformats.org/officeDocument/2006/relationships" ref="O1266" r:id="rId2002"/>
    <hyperlink xmlns:r="http://schemas.openxmlformats.org/officeDocument/2006/relationships" ref="P1266" r:id="rId2003"/>
    <hyperlink xmlns:r="http://schemas.openxmlformats.org/officeDocument/2006/relationships" ref="O1267" r:id="rId2004"/>
    <hyperlink xmlns:r="http://schemas.openxmlformats.org/officeDocument/2006/relationships" ref="P1267" r:id="rId2005"/>
    <hyperlink xmlns:r="http://schemas.openxmlformats.org/officeDocument/2006/relationships" ref="P1268" r:id="rId2006"/>
    <hyperlink xmlns:r="http://schemas.openxmlformats.org/officeDocument/2006/relationships" ref="P1269" r:id="rId2007"/>
    <hyperlink xmlns:r="http://schemas.openxmlformats.org/officeDocument/2006/relationships" ref="P1270" r:id="rId2008"/>
    <hyperlink xmlns:r="http://schemas.openxmlformats.org/officeDocument/2006/relationships" ref="P1271" r:id="rId2009"/>
    <hyperlink xmlns:r="http://schemas.openxmlformats.org/officeDocument/2006/relationships" ref="O1272" r:id="rId2010"/>
    <hyperlink xmlns:r="http://schemas.openxmlformats.org/officeDocument/2006/relationships" ref="P1272" r:id="rId2011"/>
    <hyperlink xmlns:r="http://schemas.openxmlformats.org/officeDocument/2006/relationships" ref="O1273" r:id="rId2012"/>
    <hyperlink xmlns:r="http://schemas.openxmlformats.org/officeDocument/2006/relationships" ref="P1273" r:id="rId2013"/>
    <hyperlink xmlns:r="http://schemas.openxmlformats.org/officeDocument/2006/relationships" ref="O1274" r:id="rId2014"/>
    <hyperlink xmlns:r="http://schemas.openxmlformats.org/officeDocument/2006/relationships" ref="P1274" r:id="rId2015"/>
    <hyperlink xmlns:r="http://schemas.openxmlformats.org/officeDocument/2006/relationships" ref="O1275" r:id="rId2016"/>
    <hyperlink xmlns:r="http://schemas.openxmlformats.org/officeDocument/2006/relationships" ref="P1275" r:id="rId2017"/>
    <hyperlink xmlns:r="http://schemas.openxmlformats.org/officeDocument/2006/relationships" ref="O1276" r:id="rId2018"/>
    <hyperlink xmlns:r="http://schemas.openxmlformats.org/officeDocument/2006/relationships" ref="P1276" r:id="rId2019"/>
    <hyperlink xmlns:r="http://schemas.openxmlformats.org/officeDocument/2006/relationships" ref="O1277" r:id="rId2020"/>
    <hyperlink xmlns:r="http://schemas.openxmlformats.org/officeDocument/2006/relationships" ref="P1277" r:id="rId2021"/>
    <hyperlink xmlns:r="http://schemas.openxmlformats.org/officeDocument/2006/relationships" ref="O1278" r:id="rId2022"/>
    <hyperlink xmlns:r="http://schemas.openxmlformats.org/officeDocument/2006/relationships" ref="P1278" r:id="rId2023"/>
    <hyperlink xmlns:r="http://schemas.openxmlformats.org/officeDocument/2006/relationships" ref="O1279" r:id="rId2024"/>
    <hyperlink xmlns:r="http://schemas.openxmlformats.org/officeDocument/2006/relationships" ref="P1279" r:id="rId2025"/>
    <hyperlink xmlns:r="http://schemas.openxmlformats.org/officeDocument/2006/relationships" ref="O1280" r:id="rId2026"/>
    <hyperlink xmlns:r="http://schemas.openxmlformats.org/officeDocument/2006/relationships" ref="P1280" r:id="rId2027"/>
    <hyperlink xmlns:r="http://schemas.openxmlformats.org/officeDocument/2006/relationships" ref="O1281" r:id="rId2028"/>
    <hyperlink xmlns:r="http://schemas.openxmlformats.org/officeDocument/2006/relationships" ref="P1281" r:id="rId2029"/>
    <hyperlink xmlns:r="http://schemas.openxmlformats.org/officeDocument/2006/relationships" ref="O1282" r:id="rId2030"/>
    <hyperlink xmlns:r="http://schemas.openxmlformats.org/officeDocument/2006/relationships" ref="P1282" r:id="rId2031"/>
    <hyperlink xmlns:r="http://schemas.openxmlformats.org/officeDocument/2006/relationships" ref="O1283" r:id="rId2032"/>
    <hyperlink xmlns:r="http://schemas.openxmlformats.org/officeDocument/2006/relationships" ref="P1283" r:id="rId2033"/>
    <hyperlink xmlns:r="http://schemas.openxmlformats.org/officeDocument/2006/relationships" ref="O1284" r:id="rId2034"/>
    <hyperlink xmlns:r="http://schemas.openxmlformats.org/officeDocument/2006/relationships" ref="P1284" r:id="rId2035"/>
    <hyperlink xmlns:r="http://schemas.openxmlformats.org/officeDocument/2006/relationships" ref="P1285" r:id="rId2036"/>
    <hyperlink xmlns:r="http://schemas.openxmlformats.org/officeDocument/2006/relationships" ref="O1286" r:id="rId2037"/>
    <hyperlink xmlns:r="http://schemas.openxmlformats.org/officeDocument/2006/relationships" ref="P1286" r:id="rId2038"/>
    <hyperlink xmlns:r="http://schemas.openxmlformats.org/officeDocument/2006/relationships" ref="P1287" r:id="rId2039"/>
    <hyperlink xmlns:r="http://schemas.openxmlformats.org/officeDocument/2006/relationships" ref="P1288" r:id="rId2040"/>
    <hyperlink xmlns:r="http://schemas.openxmlformats.org/officeDocument/2006/relationships" ref="P1289" r:id="rId2041"/>
    <hyperlink xmlns:r="http://schemas.openxmlformats.org/officeDocument/2006/relationships" ref="P1290" r:id="rId2042"/>
    <hyperlink xmlns:r="http://schemas.openxmlformats.org/officeDocument/2006/relationships" ref="P1291" r:id="rId2043"/>
    <hyperlink xmlns:r="http://schemas.openxmlformats.org/officeDocument/2006/relationships" ref="P1292" r:id="rId2044"/>
    <hyperlink xmlns:r="http://schemas.openxmlformats.org/officeDocument/2006/relationships" ref="P1293" r:id="rId2045"/>
    <hyperlink xmlns:r="http://schemas.openxmlformats.org/officeDocument/2006/relationships" ref="P1294" r:id="rId2046"/>
    <hyperlink xmlns:r="http://schemas.openxmlformats.org/officeDocument/2006/relationships" ref="O1295" r:id="rId2047"/>
    <hyperlink xmlns:r="http://schemas.openxmlformats.org/officeDocument/2006/relationships" ref="P1295" r:id="rId2048"/>
    <hyperlink xmlns:r="http://schemas.openxmlformats.org/officeDocument/2006/relationships" ref="O1296" r:id="rId2049"/>
    <hyperlink xmlns:r="http://schemas.openxmlformats.org/officeDocument/2006/relationships" ref="P1296" r:id="rId2050"/>
    <hyperlink xmlns:r="http://schemas.openxmlformats.org/officeDocument/2006/relationships" ref="O1297" r:id="rId2051"/>
    <hyperlink xmlns:r="http://schemas.openxmlformats.org/officeDocument/2006/relationships" ref="P1297" r:id="rId2052"/>
    <hyperlink xmlns:r="http://schemas.openxmlformats.org/officeDocument/2006/relationships" ref="O1298" r:id="rId2053"/>
    <hyperlink xmlns:r="http://schemas.openxmlformats.org/officeDocument/2006/relationships" ref="P1298" r:id="rId2054"/>
    <hyperlink xmlns:r="http://schemas.openxmlformats.org/officeDocument/2006/relationships" ref="O1299" r:id="rId2055"/>
    <hyperlink xmlns:r="http://schemas.openxmlformats.org/officeDocument/2006/relationships" ref="P1299" r:id="rId2056"/>
    <hyperlink xmlns:r="http://schemas.openxmlformats.org/officeDocument/2006/relationships" ref="O1300" r:id="rId2057"/>
    <hyperlink xmlns:r="http://schemas.openxmlformats.org/officeDocument/2006/relationships" ref="P1300" r:id="rId2058"/>
    <hyperlink xmlns:r="http://schemas.openxmlformats.org/officeDocument/2006/relationships" ref="O1301" r:id="rId2059"/>
    <hyperlink xmlns:r="http://schemas.openxmlformats.org/officeDocument/2006/relationships" ref="P1301" r:id="rId2060"/>
    <hyperlink xmlns:r="http://schemas.openxmlformats.org/officeDocument/2006/relationships" ref="O1302" r:id="rId2061"/>
    <hyperlink xmlns:r="http://schemas.openxmlformats.org/officeDocument/2006/relationships" ref="P1302" r:id="rId2062"/>
    <hyperlink xmlns:r="http://schemas.openxmlformats.org/officeDocument/2006/relationships" ref="O1303" r:id="rId2063"/>
    <hyperlink xmlns:r="http://schemas.openxmlformats.org/officeDocument/2006/relationships" ref="P1303" r:id="rId2064"/>
    <hyperlink xmlns:r="http://schemas.openxmlformats.org/officeDocument/2006/relationships" ref="O1304" r:id="rId2065"/>
    <hyperlink xmlns:r="http://schemas.openxmlformats.org/officeDocument/2006/relationships" ref="P1304" r:id="rId2066"/>
    <hyperlink xmlns:r="http://schemas.openxmlformats.org/officeDocument/2006/relationships" ref="O1305" r:id="rId2067"/>
    <hyperlink xmlns:r="http://schemas.openxmlformats.org/officeDocument/2006/relationships" ref="P1305" r:id="rId2068"/>
    <hyperlink xmlns:r="http://schemas.openxmlformats.org/officeDocument/2006/relationships" ref="O1306" r:id="rId2069"/>
    <hyperlink xmlns:r="http://schemas.openxmlformats.org/officeDocument/2006/relationships" ref="P1306" r:id="rId2070"/>
    <hyperlink xmlns:r="http://schemas.openxmlformats.org/officeDocument/2006/relationships" ref="O1307" r:id="rId2071"/>
    <hyperlink xmlns:r="http://schemas.openxmlformats.org/officeDocument/2006/relationships" ref="P1307" r:id="rId2072"/>
    <hyperlink xmlns:r="http://schemas.openxmlformats.org/officeDocument/2006/relationships" ref="O1308" r:id="rId2073"/>
    <hyperlink xmlns:r="http://schemas.openxmlformats.org/officeDocument/2006/relationships" ref="P1308" r:id="rId2074"/>
    <hyperlink xmlns:r="http://schemas.openxmlformats.org/officeDocument/2006/relationships" ref="O1309" r:id="rId2075"/>
    <hyperlink xmlns:r="http://schemas.openxmlformats.org/officeDocument/2006/relationships" ref="P1309" r:id="rId2076"/>
    <hyperlink xmlns:r="http://schemas.openxmlformats.org/officeDocument/2006/relationships" ref="O1310" r:id="rId2077"/>
    <hyperlink xmlns:r="http://schemas.openxmlformats.org/officeDocument/2006/relationships" ref="P1310" r:id="rId2078"/>
    <hyperlink xmlns:r="http://schemas.openxmlformats.org/officeDocument/2006/relationships" ref="O1311" r:id="rId2079"/>
    <hyperlink xmlns:r="http://schemas.openxmlformats.org/officeDocument/2006/relationships" ref="P1311" r:id="rId2080"/>
    <hyperlink xmlns:r="http://schemas.openxmlformats.org/officeDocument/2006/relationships" ref="O1312" r:id="rId2081"/>
    <hyperlink xmlns:r="http://schemas.openxmlformats.org/officeDocument/2006/relationships" ref="P1312" r:id="rId2082"/>
    <hyperlink xmlns:r="http://schemas.openxmlformats.org/officeDocument/2006/relationships" ref="O1313" r:id="rId2083"/>
    <hyperlink xmlns:r="http://schemas.openxmlformats.org/officeDocument/2006/relationships" ref="P1313" r:id="rId2084"/>
    <hyperlink xmlns:r="http://schemas.openxmlformats.org/officeDocument/2006/relationships" ref="O1314" r:id="rId2085"/>
    <hyperlink xmlns:r="http://schemas.openxmlformats.org/officeDocument/2006/relationships" ref="P1314" r:id="rId2086"/>
    <hyperlink xmlns:r="http://schemas.openxmlformats.org/officeDocument/2006/relationships" ref="O1315" r:id="rId2087"/>
    <hyperlink xmlns:r="http://schemas.openxmlformats.org/officeDocument/2006/relationships" ref="P1315" r:id="rId2088"/>
    <hyperlink xmlns:r="http://schemas.openxmlformats.org/officeDocument/2006/relationships" ref="O1316" r:id="rId2089"/>
    <hyperlink xmlns:r="http://schemas.openxmlformats.org/officeDocument/2006/relationships" ref="P1316" r:id="rId2090"/>
    <hyperlink xmlns:r="http://schemas.openxmlformats.org/officeDocument/2006/relationships" ref="O1317" r:id="rId2091"/>
    <hyperlink xmlns:r="http://schemas.openxmlformats.org/officeDocument/2006/relationships" ref="P1317" r:id="rId2092"/>
    <hyperlink xmlns:r="http://schemas.openxmlformats.org/officeDocument/2006/relationships" ref="O1318" r:id="rId2093"/>
    <hyperlink xmlns:r="http://schemas.openxmlformats.org/officeDocument/2006/relationships" ref="P1318" r:id="rId2094"/>
    <hyperlink xmlns:r="http://schemas.openxmlformats.org/officeDocument/2006/relationships" ref="O1319" r:id="rId2095"/>
    <hyperlink xmlns:r="http://schemas.openxmlformats.org/officeDocument/2006/relationships" ref="P1319" r:id="rId2096"/>
    <hyperlink xmlns:r="http://schemas.openxmlformats.org/officeDocument/2006/relationships" ref="O1320" r:id="rId2097"/>
    <hyperlink xmlns:r="http://schemas.openxmlformats.org/officeDocument/2006/relationships" ref="P1320" r:id="rId2098"/>
    <hyperlink xmlns:r="http://schemas.openxmlformats.org/officeDocument/2006/relationships" ref="O1321" r:id="rId2099"/>
    <hyperlink xmlns:r="http://schemas.openxmlformats.org/officeDocument/2006/relationships" ref="P1321" r:id="rId2100"/>
    <hyperlink xmlns:r="http://schemas.openxmlformats.org/officeDocument/2006/relationships" ref="O1322" r:id="rId2101"/>
    <hyperlink xmlns:r="http://schemas.openxmlformats.org/officeDocument/2006/relationships" ref="P1322" r:id="rId2102"/>
    <hyperlink xmlns:r="http://schemas.openxmlformats.org/officeDocument/2006/relationships" ref="O1323" r:id="rId2103"/>
    <hyperlink xmlns:r="http://schemas.openxmlformats.org/officeDocument/2006/relationships" ref="P1323" r:id="rId2104"/>
    <hyperlink xmlns:r="http://schemas.openxmlformats.org/officeDocument/2006/relationships" ref="O1324" r:id="rId2105"/>
    <hyperlink xmlns:r="http://schemas.openxmlformats.org/officeDocument/2006/relationships" ref="P1324" r:id="rId2106"/>
    <hyperlink xmlns:r="http://schemas.openxmlformats.org/officeDocument/2006/relationships" ref="O1325" r:id="rId2107"/>
    <hyperlink xmlns:r="http://schemas.openxmlformats.org/officeDocument/2006/relationships" ref="P1325" r:id="rId2108"/>
    <hyperlink xmlns:r="http://schemas.openxmlformats.org/officeDocument/2006/relationships" ref="O1326" r:id="rId2109"/>
    <hyperlink xmlns:r="http://schemas.openxmlformats.org/officeDocument/2006/relationships" ref="P1326" r:id="rId2110"/>
    <hyperlink xmlns:r="http://schemas.openxmlformats.org/officeDocument/2006/relationships" ref="O1327" r:id="rId2111"/>
    <hyperlink xmlns:r="http://schemas.openxmlformats.org/officeDocument/2006/relationships" ref="P1327" r:id="rId2112"/>
    <hyperlink xmlns:r="http://schemas.openxmlformats.org/officeDocument/2006/relationships" ref="O1328" r:id="rId2113"/>
    <hyperlink xmlns:r="http://schemas.openxmlformats.org/officeDocument/2006/relationships" ref="P1328" r:id="rId2114"/>
    <hyperlink xmlns:r="http://schemas.openxmlformats.org/officeDocument/2006/relationships" ref="O1329" r:id="rId2115"/>
    <hyperlink xmlns:r="http://schemas.openxmlformats.org/officeDocument/2006/relationships" ref="P1329" r:id="rId2116"/>
    <hyperlink xmlns:r="http://schemas.openxmlformats.org/officeDocument/2006/relationships" ref="O1330" r:id="rId2117"/>
    <hyperlink xmlns:r="http://schemas.openxmlformats.org/officeDocument/2006/relationships" ref="P1330" r:id="rId2118"/>
    <hyperlink xmlns:r="http://schemas.openxmlformats.org/officeDocument/2006/relationships" ref="O1331" r:id="rId2119"/>
    <hyperlink xmlns:r="http://schemas.openxmlformats.org/officeDocument/2006/relationships" ref="P1331" r:id="rId2120"/>
    <hyperlink xmlns:r="http://schemas.openxmlformats.org/officeDocument/2006/relationships" ref="O1332" r:id="rId2121"/>
    <hyperlink xmlns:r="http://schemas.openxmlformats.org/officeDocument/2006/relationships" ref="P1332" r:id="rId2122"/>
    <hyperlink xmlns:r="http://schemas.openxmlformats.org/officeDocument/2006/relationships" ref="O1333" r:id="rId2123"/>
    <hyperlink xmlns:r="http://schemas.openxmlformats.org/officeDocument/2006/relationships" ref="P1333" r:id="rId2124"/>
    <hyperlink xmlns:r="http://schemas.openxmlformats.org/officeDocument/2006/relationships" ref="O1334" r:id="rId2125"/>
    <hyperlink xmlns:r="http://schemas.openxmlformats.org/officeDocument/2006/relationships" ref="P1334" r:id="rId2126"/>
    <hyperlink xmlns:r="http://schemas.openxmlformats.org/officeDocument/2006/relationships" ref="O1335" r:id="rId2127"/>
    <hyperlink xmlns:r="http://schemas.openxmlformats.org/officeDocument/2006/relationships" ref="P1335" r:id="rId2128"/>
    <hyperlink xmlns:r="http://schemas.openxmlformats.org/officeDocument/2006/relationships" ref="O1336" r:id="rId2129"/>
    <hyperlink xmlns:r="http://schemas.openxmlformats.org/officeDocument/2006/relationships" ref="P1336" r:id="rId2130"/>
    <hyperlink xmlns:r="http://schemas.openxmlformats.org/officeDocument/2006/relationships" ref="O1337" r:id="rId2131"/>
    <hyperlink xmlns:r="http://schemas.openxmlformats.org/officeDocument/2006/relationships" ref="P1337" r:id="rId2132"/>
    <hyperlink xmlns:r="http://schemas.openxmlformats.org/officeDocument/2006/relationships" ref="O1338" r:id="rId2133"/>
    <hyperlink xmlns:r="http://schemas.openxmlformats.org/officeDocument/2006/relationships" ref="P1338" r:id="rId2134"/>
    <hyperlink xmlns:r="http://schemas.openxmlformats.org/officeDocument/2006/relationships" ref="O1339" r:id="rId2135"/>
    <hyperlink xmlns:r="http://schemas.openxmlformats.org/officeDocument/2006/relationships" ref="P1339" r:id="rId2136"/>
    <hyperlink xmlns:r="http://schemas.openxmlformats.org/officeDocument/2006/relationships" ref="O1340" r:id="rId2137"/>
    <hyperlink xmlns:r="http://schemas.openxmlformats.org/officeDocument/2006/relationships" ref="P1340" r:id="rId2138"/>
    <hyperlink xmlns:r="http://schemas.openxmlformats.org/officeDocument/2006/relationships" ref="O1341" r:id="rId2139"/>
    <hyperlink xmlns:r="http://schemas.openxmlformats.org/officeDocument/2006/relationships" ref="P1341" r:id="rId2140"/>
    <hyperlink xmlns:r="http://schemas.openxmlformats.org/officeDocument/2006/relationships" ref="O1342" r:id="rId2141"/>
    <hyperlink xmlns:r="http://schemas.openxmlformats.org/officeDocument/2006/relationships" ref="P1342" r:id="rId2142"/>
    <hyperlink xmlns:r="http://schemas.openxmlformats.org/officeDocument/2006/relationships" ref="O1343" r:id="rId2143"/>
    <hyperlink xmlns:r="http://schemas.openxmlformats.org/officeDocument/2006/relationships" ref="P1343" r:id="rId2144"/>
    <hyperlink xmlns:r="http://schemas.openxmlformats.org/officeDocument/2006/relationships" ref="O1344" r:id="rId2145"/>
    <hyperlink xmlns:r="http://schemas.openxmlformats.org/officeDocument/2006/relationships" ref="P1344" r:id="rId2146"/>
    <hyperlink xmlns:r="http://schemas.openxmlformats.org/officeDocument/2006/relationships" ref="O1345" r:id="rId2147"/>
    <hyperlink xmlns:r="http://schemas.openxmlformats.org/officeDocument/2006/relationships" ref="P1345" r:id="rId2148"/>
    <hyperlink xmlns:r="http://schemas.openxmlformats.org/officeDocument/2006/relationships" ref="O1346" r:id="rId2149"/>
    <hyperlink xmlns:r="http://schemas.openxmlformats.org/officeDocument/2006/relationships" ref="P1346" r:id="rId2150"/>
    <hyperlink xmlns:r="http://schemas.openxmlformats.org/officeDocument/2006/relationships" ref="O1347" r:id="rId2151"/>
    <hyperlink xmlns:r="http://schemas.openxmlformats.org/officeDocument/2006/relationships" ref="P1347" r:id="rId2152"/>
    <hyperlink xmlns:r="http://schemas.openxmlformats.org/officeDocument/2006/relationships" ref="O1348" r:id="rId2153"/>
    <hyperlink xmlns:r="http://schemas.openxmlformats.org/officeDocument/2006/relationships" ref="P1348" r:id="rId2154"/>
    <hyperlink xmlns:r="http://schemas.openxmlformats.org/officeDocument/2006/relationships" ref="O1349" r:id="rId2155"/>
    <hyperlink xmlns:r="http://schemas.openxmlformats.org/officeDocument/2006/relationships" ref="P1349" r:id="rId2156"/>
    <hyperlink xmlns:r="http://schemas.openxmlformats.org/officeDocument/2006/relationships" ref="O1350" r:id="rId2157"/>
    <hyperlink xmlns:r="http://schemas.openxmlformats.org/officeDocument/2006/relationships" ref="P1350" r:id="rId2158"/>
    <hyperlink xmlns:r="http://schemas.openxmlformats.org/officeDocument/2006/relationships" ref="O1351" r:id="rId2159"/>
    <hyperlink xmlns:r="http://schemas.openxmlformats.org/officeDocument/2006/relationships" ref="P1351" r:id="rId2160"/>
    <hyperlink xmlns:r="http://schemas.openxmlformats.org/officeDocument/2006/relationships" ref="O1352" r:id="rId2161"/>
    <hyperlink xmlns:r="http://schemas.openxmlformats.org/officeDocument/2006/relationships" ref="P1352" r:id="rId2162"/>
    <hyperlink xmlns:r="http://schemas.openxmlformats.org/officeDocument/2006/relationships" ref="O1353" r:id="rId2163"/>
    <hyperlink xmlns:r="http://schemas.openxmlformats.org/officeDocument/2006/relationships" ref="P1353" r:id="rId2164"/>
    <hyperlink xmlns:r="http://schemas.openxmlformats.org/officeDocument/2006/relationships" ref="O1354" r:id="rId2165"/>
    <hyperlink xmlns:r="http://schemas.openxmlformats.org/officeDocument/2006/relationships" ref="P1354" r:id="rId2166"/>
    <hyperlink xmlns:r="http://schemas.openxmlformats.org/officeDocument/2006/relationships" ref="O1355" r:id="rId2167"/>
    <hyperlink xmlns:r="http://schemas.openxmlformats.org/officeDocument/2006/relationships" ref="P1355" r:id="rId2168"/>
    <hyperlink xmlns:r="http://schemas.openxmlformats.org/officeDocument/2006/relationships" ref="O1356" r:id="rId2169"/>
    <hyperlink xmlns:r="http://schemas.openxmlformats.org/officeDocument/2006/relationships" ref="P1356" r:id="rId2170"/>
    <hyperlink xmlns:r="http://schemas.openxmlformats.org/officeDocument/2006/relationships" ref="O1357" r:id="rId2171"/>
    <hyperlink xmlns:r="http://schemas.openxmlformats.org/officeDocument/2006/relationships" ref="P1357" r:id="rId2172"/>
    <hyperlink xmlns:r="http://schemas.openxmlformats.org/officeDocument/2006/relationships" ref="O1358" r:id="rId2173"/>
    <hyperlink xmlns:r="http://schemas.openxmlformats.org/officeDocument/2006/relationships" ref="P1358" r:id="rId2174"/>
    <hyperlink xmlns:r="http://schemas.openxmlformats.org/officeDocument/2006/relationships" ref="O1359" r:id="rId2175"/>
    <hyperlink xmlns:r="http://schemas.openxmlformats.org/officeDocument/2006/relationships" ref="P1359" r:id="rId2176"/>
    <hyperlink xmlns:r="http://schemas.openxmlformats.org/officeDocument/2006/relationships" ref="O1360" r:id="rId2177"/>
    <hyperlink xmlns:r="http://schemas.openxmlformats.org/officeDocument/2006/relationships" ref="P1360" r:id="rId2178"/>
    <hyperlink xmlns:r="http://schemas.openxmlformats.org/officeDocument/2006/relationships" ref="O1361" r:id="rId2179"/>
    <hyperlink xmlns:r="http://schemas.openxmlformats.org/officeDocument/2006/relationships" ref="P1361" r:id="rId2180"/>
    <hyperlink xmlns:r="http://schemas.openxmlformats.org/officeDocument/2006/relationships" ref="O1362" r:id="rId2181"/>
    <hyperlink xmlns:r="http://schemas.openxmlformats.org/officeDocument/2006/relationships" ref="P1362" r:id="rId2182"/>
    <hyperlink xmlns:r="http://schemas.openxmlformats.org/officeDocument/2006/relationships" ref="O1363" r:id="rId2183"/>
    <hyperlink xmlns:r="http://schemas.openxmlformats.org/officeDocument/2006/relationships" ref="P1363" r:id="rId2184"/>
    <hyperlink xmlns:r="http://schemas.openxmlformats.org/officeDocument/2006/relationships" ref="O1364" r:id="rId2185"/>
    <hyperlink xmlns:r="http://schemas.openxmlformats.org/officeDocument/2006/relationships" ref="P1364" r:id="rId2186"/>
    <hyperlink xmlns:r="http://schemas.openxmlformats.org/officeDocument/2006/relationships" ref="O1365" r:id="rId2187"/>
    <hyperlink xmlns:r="http://schemas.openxmlformats.org/officeDocument/2006/relationships" ref="P1365" r:id="rId2188"/>
    <hyperlink xmlns:r="http://schemas.openxmlformats.org/officeDocument/2006/relationships" ref="O1366" r:id="rId2189"/>
    <hyperlink xmlns:r="http://schemas.openxmlformats.org/officeDocument/2006/relationships" ref="P1366" r:id="rId2190"/>
    <hyperlink xmlns:r="http://schemas.openxmlformats.org/officeDocument/2006/relationships" ref="O1367" r:id="rId2191"/>
    <hyperlink xmlns:r="http://schemas.openxmlformats.org/officeDocument/2006/relationships" ref="P1367" r:id="rId2192"/>
    <hyperlink xmlns:r="http://schemas.openxmlformats.org/officeDocument/2006/relationships" ref="O1368" r:id="rId2193"/>
    <hyperlink xmlns:r="http://schemas.openxmlformats.org/officeDocument/2006/relationships" ref="P1368" r:id="rId2194"/>
    <hyperlink xmlns:r="http://schemas.openxmlformats.org/officeDocument/2006/relationships" ref="O1369" r:id="rId2195"/>
    <hyperlink xmlns:r="http://schemas.openxmlformats.org/officeDocument/2006/relationships" ref="P1369" r:id="rId2196"/>
    <hyperlink xmlns:r="http://schemas.openxmlformats.org/officeDocument/2006/relationships" ref="O1370" r:id="rId2197"/>
    <hyperlink xmlns:r="http://schemas.openxmlformats.org/officeDocument/2006/relationships" ref="P1370" r:id="rId2198"/>
    <hyperlink xmlns:r="http://schemas.openxmlformats.org/officeDocument/2006/relationships" ref="O1371" r:id="rId2199"/>
    <hyperlink xmlns:r="http://schemas.openxmlformats.org/officeDocument/2006/relationships" ref="P1371" r:id="rId2200"/>
    <hyperlink xmlns:r="http://schemas.openxmlformats.org/officeDocument/2006/relationships" ref="O1372" r:id="rId2201"/>
    <hyperlink xmlns:r="http://schemas.openxmlformats.org/officeDocument/2006/relationships" ref="P1372" r:id="rId2202"/>
    <hyperlink xmlns:r="http://schemas.openxmlformats.org/officeDocument/2006/relationships" ref="O1373" r:id="rId2203"/>
    <hyperlink xmlns:r="http://schemas.openxmlformats.org/officeDocument/2006/relationships" ref="P1373" r:id="rId2204"/>
    <hyperlink xmlns:r="http://schemas.openxmlformats.org/officeDocument/2006/relationships" ref="O1374" r:id="rId2205"/>
    <hyperlink xmlns:r="http://schemas.openxmlformats.org/officeDocument/2006/relationships" ref="P1374" r:id="rId2206"/>
    <hyperlink xmlns:r="http://schemas.openxmlformats.org/officeDocument/2006/relationships" ref="O1375" r:id="rId2207"/>
    <hyperlink xmlns:r="http://schemas.openxmlformats.org/officeDocument/2006/relationships" ref="P1375" r:id="rId2208"/>
    <hyperlink xmlns:r="http://schemas.openxmlformats.org/officeDocument/2006/relationships" ref="O1376" r:id="rId2209"/>
    <hyperlink xmlns:r="http://schemas.openxmlformats.org/officeDocument/2006/relationships" ref="P1376" r:id="rId2210"/>
    <hyperlink xmlns:r="http://schemas.openxmlformats.org/officeDocument/2006/relationships" ref="O1377" r:id="rId2211"/>
    <hyperlink xmlns:r="http://schemas.openxmlformats.org/officeDocument/2006/relationships" ref="P1377" r:id="rId2212"/>
    <hyperlink xmlns:r="http://schemas.openxmlformats.org/officeDocument/2006/relationships" ref="O1378" r:id="rId2213"/>
    <hyperlink xmlns:r="http://schemas.openxmlformats.org/officeDocument/2006/relationships" ref="P1378" r:id="rId2214"/>
    <hyperlink xmlns:r="http://schemas.openxmlformats.org/officeDocument/2006/relationships" ref="O1379" r:id="rId2215"/>
    <hyperlink xmlns:r="http://schemas.openxmlformats.org/officeDocument/2006/relationships" ref="P1379" r:id="rId2216"/>
    <hyperlink xmlns:r="http://schemas.openxmlformats.org/officeDocument/2006/relationships" ref="O1380" r:id="rId2217"/>
    <hyperlink xmlns:r="http://schemas.openxmlformats.org/officeDocument/2006/relationships" ref="P1380" r:id="rId2218"/>
    <hyperlink xmlns:r="http://schemas.openxmlformats.org/officeDocument/2006/relationships" ref="O1381" r:id="rId2219"/>
    <hyperlink xmlns:r="http://schemas.openxmlformats.org/officeDocument/2006/relationships" ref="P1381" r:id="rId2220"/>
    <hyperlink xmlns:r="http://schemas.openxmlformats.org/officeDocument/2006/relationships" ref="O1382" r:id="rId2221"/>
    <hyperlink xmlns:r="http://schemas.openxmlformats.org/officeDocument/2006/relationships" ref="P1382" r:id="rId2222"/>
    <hyperlink xmlns:r="http://schemas.openxmlformats.org/officeDocument/2006/relationships" ref="O1383" r:id="rId2223"/>
    <hyperlink xmlns:r="http://schemas.openxmlformats.org/officeDocument/2006/relationships" ref="P1383" r:id="rId2224"/>
    <hyperlink xmlns:r="http://schemas.openxmlformats.org/officeDocument/2006/relationships" ref="O1384" r:id="rId2225"/>
    <hyperlink xmlns:r="http://schemas.openxmlformats.org/officeDocument/2006/relationships" ref="P1384" r:id="rId2226"/>
    <hyperlink xmlns:r="http://schemas.openxmlformats.org/officeDocument/2006/relationships" ref="O1385" r:id="rId2227"/>
    <hyperlink xmlns:r="http://schemas.openxmlformats.org/officeDocument/2006/relationships" ref="P1385" r:id="rId2228"/>
    <hyperlink xmlns:r="http://schemas.openxmlformats.org/officeDocument/2006/relationships" ref="O1386" r:id="rId2229"/>
    <hyperlink xmlns:r="http://schemas.openxmlformats.org/officeDocument/2006/relationships" ref="P1386" r:id="rId2230"/>
    <hyperlink xmlns:r="http://schemas.openxmlformats.org/officeDocument/2006/relationships" ref="O1387" r:id="rId2231"/>
    <hyperlink xmlns:r="http://schemas.openxmlformats.org/officeDocument/2006/relationships" ref="P1387" r:id="rId2232"/>
    <hyperlink xmlns:r="http://schemas.openxmlformats.org/officeDocument/2006/relationships" ref="O1388" r:id="rId2233"/>
    <hyperlink xmlns:r="http://schemas.openxmlformats.org/officeDocument/2006/relationships" ref="P1388" r:id="rId2234"/>
    <hyperlink xmlns:r="http://schemas.openxmlformats.org/officeDocument/2006/relationships" ref="O1389" r:id="rId2235"/>
    <hyperlink xmlns:r="http://schemas.openxmlformats.org/officeDocument/2006/relationships" ref="P1389" r:id="rId2236"/>
    <hyperlink xmlns:r="http://schemas.openxmlformats.org/officeDocument/2006/relationships" ref="O1390" r:id="rId2237"/>
    <hyperlink xmlns:r="http://schemas.openxmlformats.org/officeDocument/2006/relationships" ref="P1390" r:id="rId2238"/>
    <hyperlink xmlns:r="http://schemas.openxmlformats.org/officeDocument/2006/relationships" ref="O1391" r:id="rId2239"/>
    <hyperlink xmlns:r="http://schemas.openxmlformats.org/officeDocument/2006/relationships" ref="P1391" r:id="rId2240"/>
    <hyperlink xmlns:r="http://schemas.openxmlformats.org/officeDocument/2006/relationships" ref="O1392" r:id="rId2241"/>
    <hyperlink xmlns:r="http://schemas.openxmlformats.org/officeDocument/2006/relationships" ref="P1392" r:id="rId2242"/>
    <hyperlink xmlns:r="http://schemas.openxmlformats.org/officeDocument/2006/relationships" ref="O1393" r:id="rId2243"/>
    <hyperlink xmlns:r="http://schemas.openxmlformats.org/officeDocument/2006/relationships" ref="P1393" r:id="rId2244"/>
    <hyperlink xmlns:r="http://schemas.openxmlformats.org/officeDocument/2006/relationships" ref="O1394" r:id="rId2245"/>
    <hyperlink xmlns:r="http://schemas.openxmlformats.org/officeDocument/2006/relationships" ref="P1394" r:id="rId2246"/>
    <hyperlink xmlns:r="http://schemas.openxmlformats.org/officeDocument/2006/relationships" ref="O1395" r:id="rId2247"/>
    <hyperlink xmlns:r="http://schemas.openxmlformats.org/officeDocument/2006/relationships" ref="P1395" r:id="rId2248"/>
    <hyperlink xmlns:r="http://schemas.openxmlformats.org/officeDocument/2006/relationships" ref="O1396" r:id="rId2249"/>
    <hyperlink xmlns:r="http://schemas.openxmlformats.org/officeDocument/2006/relationships" ref="P1396" r:id="rId2250"/>
    <hyperlink xmlns:r="http://schemas.openxmlformats.org/officeDocument/2006/relationships" ref="O1397" r:id="rId2251"/>
    <hyperlink xmlns:r="http://schemas.openxmlformats.org/officeDocument/2006/relationships" ref="P1397" r:id="rId2252"/>
    <hyperlink xmlns:r="http://schemas.openxmlformats.org/officeDocument/2006/relationships" ref="O1398" r:id="rId2253"/>
    <hyperlink xmlns:r="http://schemas.openxmlformats.org/officeDocument/2006/relationships" ref="P1398" r:id="rId2254"/>
    <hyperlink xmlns:r="http://schemas.openxmlformats.org/officeDocument/2006/relationships" ref="O1399" r:id="rId2255"/>
    <hyperlink xmlns:r="http://schemas.openxmlformats.org/officeDocument/2006/relationships" ref="P1399" r:id="rId2256"/>
    <hyperlink xmlns:r="http://schemas.openxmlformats.org/officeDocument/2006/relationships" ref="O1400" r:id="rId2257"/>
    <hyperlink xmlns:r="http://schemas.openxmlformats.org/officeDocument/2006/relationships" ref="P1400" r:id="rId2258"/>
    <hyperlink xmlns:r="http://schemas.openxmlformats.org/officeDocument/2006/relationships" ref="O1401" r:id="rId2259"/>
    <hyperlink xmlns:r="http://schemas.openxmlformats.org/officeDocument/2006/relationships" ref="P1401" r:id="rId2260"/>
    <hyperlink xmlns:r="http://schemas.openxmlformats.org/officeDocument/2006/relationships" ref="O1402" r:id="rId2261"/>
    <hyperlink xmlns:r="http://schemas.openxmlformats.org/officeDocument/2006/relationships" ref="P1402" r:id="rId2262"/>
    <hyperlink xmlns:r="http://schemas.openxmlformats.org/officeDocument/2006/relationships" ref="O1403" r:id="rId2263"/>
    <hyperlink xmlns:r="http://schemas.openxmlformats.org/officeDocument/2006/relationships" ref="P1403" r:id="rId2264"/>
    <hyperlink xmlns:r="http://schemas.openxmlformats.org/officeDocument/2006/relationships" ref="O1404" r:id="rId2265"/>
    <hyperlink xmlns:r="http://schemas.openxmlformats.org/officeDocument/2006/relationships" ref="P1404" r:id="rId2266"/>
    <hyperlink xmlns:r="http://schemas.openxmlformats.org/officeDocument/2006/relationships" ref="O1405" r:id="rId2267"/>
    <hyperlink xmlns:r="http://schemas.openxmlformats.org/officeDocument/2006/relationships" ref="P1405" r:id="rId2268"/>
    <hyperlink xmlns:r="http://schemas.openxmlformats.org/officeDocument/2006/relationships" ref="O1406" r:id="rId2269"/>
    <hyperlink xmlns:r="http://schemas.openxmlformats.org/officeDocument/2006/relationships" ref="P1406" r:id="rId2270"/>
    <hyperlink xmlns:r="http://schemas.openxmlformats.org/officeDocument/2006/relationships" ref="O1407" r:id="rId2271"/>
    <hyperlink xmlns:r="http://schemas.openxmlformats.org/officeDocument/2006/relationships" ref="P1407" r:id="rId2272"/>
    <hyperlink xmlns:r="http://schemas.openxmlformats.org/officeDocument/2006/relationships" ref="O1408" r:id="rId2273"/>
    <hyperlink xmlns:r="http://schemas.openxmlformats.org/officeDocument/2006/relationships" ref="P1408" r:id="rId2274"/>
    <hyperlink xmlns:r="http://schemas.openxmlformats.org/officeDocument/2006/relationships" ref="O1409" r:id="rId2275"/>
    <hyperlink xmlns:r="http://schemas.openxmlformats.org/officeDocument/2006/relationships" ref="P1409" r:id="rId2276"/>
    <hyperlink xmlns:r="http://schemas.openxmlformats.org/officeDocument/2006/relationships" ref="O1410" r:id="rId2277"/>
    <hyperlink xmlns:r="http://schemas.openxmlformats.org/officeDocument/2006/relationships" ref="P1410" r:id="rId2278"/>
    <hyperlink xmlns:r="http://schemas.openxmlformats.org/officeDocument/2006/relationships" ref="O1411" r:id="rId2279"/>
    <hyperlink xmlns:r="http://schemas.openxmlformats.org/officeDocument/2006/relationships" ref="P1411" r:id="rId2280"/>
    <hyperlink xmlns:r="http://schemas.openxmlformats.org/officeDocument/2006/relationships" ref="O1412" r:id="rId2281"/>
    <hyperlink xmlns:r="http://schemas.openxmlformats.org/officeDocument/2006/relationships" ref="P1412" r:id="rId2282"/>
    <hyperlink xmlns:r="http://schemas.openxmlformats.org/officeDocument/2006/relationships" ref="O1413" r:id="rId2283"/>
    <hyperlink xmlns:r="http://schemas.openxmlformats.org/officeDocument/2006/relationships" ref="P1413" r:id="rId2284"/>
    <hyperlink xmlns:r="http://schemas.openxmlformats.org/officeDocument/2006/relationships" ref="O1414" r:id="rId2285"/>
    <hyperlink xmlns:r="http://schemas.openxmlformats.org/officeDocument/2006/relationships" ref="P1414" r:id="rId2286"/>
    <hyperlink xmlns:r="http://schemas.openxmlformats.org/officeDocument/2006/relationships" ref="O1415" r:id="rId2287"/>
    <hyperlink xmlns:r="http://schemas.openxmlformats.org/officeDocument/2006/relationships" ref="P1415" r:id="rId2288"/>
    <hyperlink xmlns:r="http://schemas.openxmlformats.org/officeDocument/2006/relationships" ref="O1416" r:id="rId2289"/>
    <hyperlink xmlns:r="http://schemas.openxmlformats.org/officeDocument/2006/relationships" ref="P1416" r:id="rId2290"/>
    <hyperlink xmlns:r="http://schemas.openxmlformats.org/officeDocument/2006/relationships" ref="O1417" r:id="rId2291"/>
    <hyperlink xmlns:r="http://schemas.openxmlformats.org/officeDocument/2006/relationships" ref="P1417" r:id="rId2292"/>
    <hyperlink xmlns:r="http://schemas.openxmlformats.org/officeDocument/2006/relationships" ref="O1418" r:id="rId2293"/>
    <hyperlink xmlns:r="http://schemas.openxmlformats.org/officeDocument/2006/relationships" ref="P1418" r:id="rId2294"/>
    <hyperlink xmlns:r="http://schemas.openxmlformats.org/officeDocument/2006/relationships" ref="O1419" r:id="rId2295"/>
    <hyperlink xmlns:r="http://schemas.openxmlformats.org/officeDocument/2006/relationships" ref="P1419" r:id="rId2296"/>
    <hyperlink xmlns:r="http://schemas.openxmlformats.org/officeDocument/2006/relationships" ref="O1420" r:id="rId2297"/>
    <hyperlink xmlns:r="http://schemas.openxmlformats.org/officeDocument/2006/relationships" ref="P1420" r:id="rId2298"/>
    <hyperlink xmlns:r="http://schemas.openxmlformats.org/officeDocument/2006/relationships" ref="O1421" r:id="rId2299"/>
    <hyperlink xmlns:r="http://schemas.openxmlformats.org/officeDocument/2006/relationships" ref="P1421" r:id="rId2300"/>
    <hyperlink xmlns:r="http://schemas.openxmlformats.org/officeDocument/2006/relationships" ref="O1422" r:id="rId2301"/>
    <hyperlink xmlns:r="http://schemas.openxmlformats.org/officeDocument/2006/relationships" ref="P1422" r:id="rId2302"/>
    <hyperlink xmlns:r="http://schemas.openxmlformats.org/officeDocument/2006/relationships" ref="O1423" r:id="rId2303"/>
    <hyperlink xmlns:r="http://schemas.openxmlformats.org/officeDocument/2006/relationships" ref="P1423" r:id="rId2304"/>
    <hyperlink xmlns:r="http://schemas.openxmlformats.org/officeDocument/2006/relationships" ref="O1424" r:id="rId2305"/>
    <hyperlink xmlns:r="http://schemas.openxmlformats.org/officeDocument/2006/relationships" ref="P1424" r:id="rId2306"/>
    <hyperlink xmlns:r="http://schemas.openxmlformats.org/officeDocument/2006/relationships" ref="O1425" r:id="rId2307"/>
    <hyperlink xmlns:r="http://schemas.openxmlformats.org/officeDocument/2006/relationships" ref="P1425" r:id="rId2308"/>
    <hyperlink xmlns:r="http://schemas.openxmlformats.org/officeDocument/2006/relationships" ref="O1426" r:id="rId2309"/>
    <hyperlink xmlns:r="http://schemas.openxmlformats.org/officeDocument/2006/relationships" ref="P1426" r:id="rId2310"/>
    <hyperlink xmlns:r="http://schemas.openxmlformats.org/officeDocument/2006/relationships" ref="O1427" r:id="rId2311"/>
    <hyperlink xmlns:r="http://schemas.openxmlformats.org/officeDocument/2006/relationships" ref="P1427" r:id="rId2312"/>
    <hyperlink xmlns:r="http://schemas.openxmlformats.org/officeDocument/2006/relationships" ref="O1428" r:id="rId2313"/>
    <hyperlink xmlns:r="http://schemas.openxmlformats.org/officeDocument/2006/relationships" ref="P1428" r:id="rId2314"/>
    <hyperlink xmlns:r="http://schemas.openxmlformats.org/officeDocument/2006/relationships" ref="O1429" r:id="rId2315"/>
    <hyperlink xmlns:r="http://schemas.openxmlformats.org/officeDocument/2006/relationships" ref="P1429" r:id="rId2316"/>
    <hyperlink xmlns:r="http://schemas.openxmlformats.org/officeDocument/2006/relationships" ref="O1430" r:id="rId2317"/>
    <hyperlink xmlns:r="http://schemas.openxmlformats.org/officeDocument/2006/relationships" ref="P1430" r:id="rId2318"/>
    <hyperlink xmlns:r="http://schemas.openxmlformats.org/officeDocument/2006/relationships" ref="O1431" r:id="rId2319"/>
    <hyperlink xmlns:r="http://schemas.openxmlformats.org/officeDocument/2006/relationships" ref="P1431" r:id="rId2320"/>
    <hyperlink xmlns:r="http://schemas.openxmlformats.org/officeDocument/2006/relationships" ref="O1432" r:id="rId2321"/>
    <hyperlink xmlns:r="http://schemas.openxmlformats.org/officeDocument/2006/relationships" ref="P1432" r:id="rId2322"/>
    <hyperlink xmlns:r="http://schemas.openxmlformats.org/officeDocument/2006/relationships" ref="O1433" r:id="rId2323"/>
    <hyperlink xmlns:r="http://schemas.openxmlformats.org/officeDocument/2006/relationships" ref="P1433" r:id="rId2324"/>
    <hyperlink xmlns:r="http://schemas.openxmlformats.org/officeDocument/2006/relationships" ref="O1434" r:id="rId2325"/>
    <hyperlink xmlns:r="http://schemas.openxmlformats.org/officeDocument/2006/relationships" ref="P1434" r:id="rId2326"/>
    <hyperlink xmlns:r="http://schemas.openxmlformats.org/officeDocument/2006/relationships" ref="O1435" r:id="rId2327"/>
    <hyperlink xmlns:r="http://schemas.openxmlformats.org/officeDocument/2006/relationships" ref="P1435" r:id="rId2328"/>
    <hyperlink xmlns:r="http://schemas.openxmlformats.org/officeDocument/2006/relationships" ref="O1436" r:id="rId2329"/>
    <hyperlink xmlns:r="http://schemas.openxmlformats.org/officeDocument/2006/relationships" ref="P1436" r:id="rId2330"/>
    <hyperlink xmlns:r="http://schemas.openxmlformats.org/officeDocument/2006/relationships" ref="O1437" r:id="rId2331"/>
    <hyperlink xmlns:r="http://schemas.openxmlformats.org/officeDocument/2006/relationships" ref="P1437" r:id="rId2332"/>
    <hyperlink xmlns:r="http://schemas.openxmlformats.org/officeDocument/2006/relationships" ref="O1438" r:id="rId2333"/>
    <hyperlink xmlns:r="http://schemas.openxmlformats.org/officeDocument/2006/relationships" ref="P1438" r:id="rId2334"/>
    <hyperlink xmlns:r="http://schemas.openxmlformats.org/officeDocument/2006/relationships" ref="O1439" r:id="rId2335"/>
    <hyperlink xmlns:r="http://schemas.openxmlformats.org/officeDocument/2006/relationships" ref="P1439" r:id="rId2336"/>
    <hyperlink xmlns:r="http://schemas.openxmlformats.org/officeDocument/2006/relationships" ref="O1440" r:id="rId2337"/>
    <hyperlink xmlns:r="http://schemas.openxmlformats.org/officeDocument/2006/relationships" ref="P1440" r:id="rId2338"/>
    <hyperlink xmlns:r="http://schemas.openxmlformats.org/officeDocument/2006/relationships" ref="O1441" r:id="rId2339"/>
    <hyperlink xmlns:r="http://schemas.openxmlformats.org/officeDocument/2006/relationships" ref="P1441" r:id="rId2340"/>
    <hyperlink xmlns:r="http://schemas.openxmlformats.org/officeDocument/2006/relationships" ref="O1442" r:id="rId2341"/>
    <hyperlink xmlns:r="http://schemas.openxmlformats.org/officeDocument/2006/relationships" ref="P1442" r:id="rId2342"/>
    <hyperlink xmlns:r="http://schemas.openxmlformats.org/officeDocument/2006/relationships" ref="O1443" r:id="rId2343"/>
    <hyperlink xmlns:r="http://schemas.openxmlformats.org/officeDocument/2006/relationships" ref="P1443" r:id="rId2344"/>
    <hyperlink xmlns:r="http://schemas.openxmlformats.org/officeDocument/2006/relationships" ref="O1444" r:id="rId2345"/>
    <hyperlink xmlns:r="http://schemas.openxmlformats.org/officeDocument/2006/relationships" ref="P1444" r:id="rId2346"/>
    <hyperlink xmlns:r="http://schemas.openxmlformats.org/officeDocument/2006/relationships" ref="O1445" r:id="rId2347"/>
    <hyperlink xmlns:r="http://schemas.openxmlformats.org/officeDocument/2006/relationships" ref="P1445" r:id="rId2348"/>
    <hyperlink xmlns:r="http://schemas.openxmlformats.org/officeDocument/2006/relationships" ref="O1446" r:id="rId2349"/>
    <hyperlink xmlns:r="http://schemas.openxmlformats.org/officeDocument/2006/relationships" ref="P1446" r:id="rId2350"/>
    <hyperlink xmlns:r="http://schemas.openxmlformats.org/officeDocument/2006/relationships" ref="O1447" r:id="rId2351"/>
    <hyperlink xmlns:r="http://schemas.openxmlformats.org/officeDocument/2006/relationships" ref="P1447" r:id="rId2352"/>
    <hyperlink xmlns:r="http://schemas.openxmlformats.org/officeDocument/2006/relationships" ref="O1448" r:id="rId2353"/>
    <hyperlink xmlns:r="http://schemas.openxmlformats.org/officeDocument/2006/relationships" ref="P1448" r:id="rId2354"/>
    <hyperlink xmlns:r="http://schemas.openxmlformats.org/officeDocument/2006/relationships" ref="O1449" r:id="rId2355"/>
    <hyperlink xmlns:r="http://schemas.openxmlformats.org/officeDocument/2006/relationships" ref="P1449" r:id="rId2356"/>
    <hyperlink xmlns:r="http://schemas.openxmlformats.org/officeDocument/2006/relationships" ref="O1450" r:id="rId2357"/>
    <hyperlink xmlns:r="http://schemas.openxmlformats.org/officeDocument/2006/relationships" ref="P1450" r:id="rId2358"/>
    <hyperlink xmlns:r="http://schemas.openxmlformats.org/officeDocument/2006/relationships" ref="O1451" r:id="rId2359"/>
    <hyperlink xmlns:r="http://schemas.openxmlformats.org/officeDocument/2006/relationships" ref="P1451" r:id="rId2360"/>
    <hyperlink xmlns:r="http://schemas.openxmlformats.org/officeDocument/2006/relationships" ref="O1452" r:id="rId2361"/>
    <hyperlink xmlns:r="http://schemas.openxmlformats.org/officeDocument/2006/relationships" ref="P1452" r:id="rId2362"/>
    <hyperlink xmlns:r="http://schemas.openxmlformats.org/officeDocument/2006/relationships" ref="O1453" r:id="rId2363"/>
    <hyperlink xmlns:r="http://schemas.openxmlformats.org/officeDocument/2006/relationships" ref="P1453" r:id="rId2364"/>
    <hyperlink xmlns:r="http://schemas.openxmlformats.org/officeDocument/2006/relationships" ref="O1454" r:id="rId2365"/>
    <hyperlink xmlns:r="http://schemas.openxmlformats.org/officeDocument/2006/relationships" ref="P1454" r:id="rId2366"/>
    <hyperlink xmlns:r="http://schemas.openxmlformats.org/officeDocument/2006/relationships" ref="O1455" r:id="rId2367"/>
    <hyperlink xmlns:r="http://schemas.openxmlformats.org/officeDocument/2006/relationships" ref="P1455" r:id="rId2368"/>
    <hyperlink xmlns:r="http://schemas.openxmlformats.org/officeDocument/2006/relationships" ref="O1456" r:id="rId2369"/>
    <hyperlink xmlns:r="http://schemas.openxmlformats.org/officeDocument/2006/relationships" ref="P1456" r:id="rId2370"/>
    <hyperlink xmlns:r="http://schemas.openxmlformats.org/officeDocument/2006/relationships" ref="O1457" r:id="rId2371"/>
    <hyperlink xmlns:r="http://schemas.openxmlformats.org/officeDocument/2006/relationships" ref="P1457" r:id="rId2372"/>
    <hyperlink xmlns:r="http://schemas.openxmlformats.org/officeDocument/2006/relationships" ref="O1458" r:id="rId2373"/>
    <hyperlink xmlns:r="http://schemas.openxmlformats.org/officeDocument/2006/relationships" ref="P1458" r:id="rId2374"/>
    <hyperlink xmlns:r="http://schemas.openxmlformats.org/officeDocument/2006/relationships" ref="O1459" r:id="rId2375"/>
    <hyperlink xmlns:r="http://schemas.openxmlformats.org/officeDocument/2006/relationships" ref="P1459" r:id="rId2376"/>
    <hyperlink xmlns:r="http://schemas.openxmlformats.org/officeDocument/2006/relationships" ref="O1460" r:id="rId2377"/>
    <hyperlink xmlns:r="http://schemas.openxmlformats.org/officeDocument/2006/relationships" ref="P1460" r:id="rId2378"/>
    <hyperlink xmlns:r="http://schemas.openxmlformats.org/officeDocument/2006/relationships" ref="O1461" r:id="rId2379"/>
    <hyperlink xmlns:r="http://schemas.openxmlformats.org/officeDocument/2006/relationships" ref="P1461" r:id="rId2380"/>
    <hyperlink xmlns:r="http://schemas.openxmlformats.org/officeDocument/2006/relationships" ref="O1462" r:id="rId2381"/>
    <hyperlink xmlns:r="http://schemas.openxmlformats.org/officeDocument/2006/relationships" ref="P1462" r:id="rId2382"/>
    <hyperlink xmlns:r="http://schemas.openxmlformats.org/officeDocument/2006/relationships" ref="O1463" r:id="rId2383"/>
    <hyperlink xmlns:r="http://schemas.openxmlformats.org/officeDocument/2006/relationships" ref="P1463" r:id="rId2384"/>
    <hyperlink xmlns:r="http://schemas.openxmlformats.org/officeDocument/2006/relationships" ref="O1464" r:id="rId2385"/>
    <hyperlink xmlns:r="http://schemas.openxmlformats.org/officeDocument/2006/relationships" ref="P1464" r:id="rId2386"/>
    <hyperlink xmlns:r="http://schemas.openxmlformats.org/officeDocument/2006/relationships" ref="O1465" r:id="rId2387"/>
    <hyperlink xmlns:r="http://schemas.openxmlformats.org/officeDocument/2006/relationships" ref="P1465" r:id="rId2388"/>
    <hyperlink xmlns:r="http://schemas.openxmlformats.org/officeDocument/2006/relationships" ref="O1466" r:id="rId2389"/>
    <hyperlink xmlns:r="http://schemas.openxmlformats.org/officeDocument/2006/relationships" ref="P1466" r:id="rId2390"/>
    <hyperlink xmlns:r="http://schemas.openxmlformats.org/officeDocument/2006/relationships" ref="O1467" r:id="rId2391"/>
    <hyperlink xmlns:r="http://schemas.openxmlformats.org/officeDocument/2006/relationships" ref="P1467" r:id="rId2392"/>
    <hyperlink xmlns:r="http://schemas.openxmlformats.org/officeDocument/2006/relationships" ref="O1468" r:id="rId2393"/>
    <hyperlink xmlns:r="http://schemas.openxmlformats.org/officeDocument/2006/relationships" ref="P1468" r:id="rId2394"/>
    <hyperlink xmlns:r="http://schemas.openxmlformats.org/officeDocument/2006/relationships" ref="O1469" r:id="rId2395"/>
    <hyperlink xmlns:r="http://schemas.openxmlformats.org/officeDocument/2006/relationships" ref="P1469" r:id="rId2396"/>
    <hyperlink xmlns:r="http://schemas.openxmlformats.org/officeDocument/2006/relationships" ref="O1470" r:id="rId2397"/>
    <hyperlink xmlns:r="http://schemas.openxmlformats.org/officeDocument/2006/relationships" ref="P1470" r:id="rId2398"/>
    <hyperlink xmlns:r="http://schemas.openxmlformats.org/officeDocument/2006/relationships" ref="O1471" r:id="rId2399"/>
    <hyperlink xmlns:r="http://schemas.openxmlformats.org/officeDocument/2006/relationships" ref="P1471" r:id="rId2400"/>
    <hyperlink xmlns:r="http://schemas.openxmlformats.org/officeDocument/2006/relationships" ref="O1472" r:id="rId2401"/>
    <hyperlink xmlns:r="http://schemas.openxmlformats.org/officeDocument/2006/relationships" ref="P1472" r:id="rId2402"/>
    <hyperlink xmlns:r="http://schemas.openxmlformats.org/officeDocument/2006/relationships" ref="O1473" r:id="rId2403"/>
    <hyperlink xmlns:r="http://schemas.openxmlformats.org/officeDocument/2006/relationships" ref="P1473" r:id="rId2404"/>
    <hyperlink xmlns:r="http://schemas.openxmlformats.org/officeDocument/2006/relationships" ref="O1474" r:id="rId2405"/>
    <hyperlink xmlns:r="http://schemas.openxmlformats.org/officeDocument/2006/relationships" ref="P1474" r:id="rId2406"/>
    <hyperlink xmlns:r="http://schemas.openxmlformats.org/officeDocument/2006/relationships" ref="O1475" r:id="rId2407"/>
    <hyperlink xmlns:r="http://schemas.openxmlformats.org/officeDocument/2006/relationships" ref="P1475" r:id="rId2408"/>
    <hyperlink xmlns:r="http://schemas.openxmlformats.org/officeDocument/2006/relationships" ref="O1476" r:id="rId2409"/>
    <hyperlink xmlns:r="http://schemas.openxmlformats.org/officeDocument/2006/relationships" ref="P1476" r:id="rId2410"/>
    <hyperlink xmlns:r="http://schemas.openxmlformats.org/officeDocument/2006/relationships" ref="O1477" r:id="rId2411"/>
    <hyperlink xmlns:r="http://schemas.openxmlformats.org/officeDocument/2006/relationships" ref="P1477" r:id="rId2412"/>
    <hyperlink xmlns:r="http://schemas.openxmlformats.org/officeDocument/2006/relationships" ref="O1478" r:id="rId2413"/>
    <hyperlink xmlns:r="http://schemas.openxmlformats.org/officeDocument/2006/relationships" ref="P1478" r:id="rId2414"/>
    <hyperlink xmlns:r="http://schemas.openxmlformats.org/officeDocument/2006/relationships" ref="O1479" r:id="rId2415"/>
    <hyperlink xmlns:r="http://schemas.openxmlformats.org/officeDocument/2006/relationships" ref="P1479" r:id="rId2416"/>
    <hyperlink xmlns:r="http://schemas.openxmlformats.org/officeDocument/2006/relationships" ref="O1480" r:id="rId2417"/>
    <hyperlink xmlns:r="http://schemas.openxmlformats.org/officeDocument/2006/relationships" ref="P1480" r:id="rId2418"/>
    <hyperlink xmlns:r="http://schemas.openxmlformats.org/officeDocument/2006/relationships" ref="O1481" r:id="rId2419"/>
    <hyperlink xmlns:r="http://schemas.openxmlformats.org/officeDocument/2006/relationships" ref="P1481" r:id="rId2420"/>
    <hyperlink xmlns:r="http://schemas.openxmlformats.org/officeDocument/2006/relationships" ref="O1482" r:id="rId2421"/>
    <hyperlink xmlns:r="http://schemas.openxmlformats.org/officeDocument/2006/relationships" ref="P1482" r:id="rId2422"/>
    <hyperlink xmlns:r="http://schemas.openxmlformats.org/officeDocument/2006/relationships" ref="O1483" r:id="rId2423"/>
    <hyperlink xmlns:r="http://schemas.openxmlformats.org/officeDocument/2006/relationships" ref="P1483" r:id="rId2424"/>
    <hyperlink xmlns:r="http://schemas.openxmlformats.org/officeDocument/2006/relationships" ref="O1484" r:id="rId2425"/>
    <hyperlink xmlns:r="http://schemas.openxmlformats.org/officeDocument/2006/relationships" ref="P1484" r:id="rId2426"/>
    <hyperlink xmlns:r="http://schemas.openxmlformats.org/officeDocument/2006/relationships" ref="O1485" r:id="rId2427"/>
    <hyperlink xmlns:r="http://schemas.openxmlformats.org/officeDocument/2006/relationships" ref="P1485" r:id="rId2428"/>
    <hyperlink xmlns:r="http://schemas.openxmlformats.org/officeDocument/2006/relationships" ref="O1486" r:id="rId2429"/>
    <hyperlink xmlns:r="http://schemas.openxmlformats.org/officeDocument/2006/relationships" ref="P1486" r:id="rId2430"/>
    <hyperlink xmlns:r="http://schemas.openxmlformats.org/officeDocument/2006/relationships" ref="O1487" r:id="rId2431"/>
    <hyperlink xmlns:r="http://schemas.openxmlformats.org/officeDocument/2006/relationships" ref="P1487" r:id="rId2432"/>
    <hyperlink xmlns:r="http://schemas.openxmlformats.org/officeDocument/2006/relationships" ref="O1488" r:id="rId2433"/>
    <hyperlink xmlns:r="http://schemas.openxmlformats.org/officeDocument/2006/relationships" ref="P1488" r:id="rId2434"/>
    <hyperlink xmlns:r="http://schemas.openxmlformats.org/officeDocument/2006/relationships" ref="O1489" r:id="rId2435"/>
    <hyperlink xmlns:r="http://schemas.openxmlformats.org/officeDocument/2006/relationships" ref="P1489" r:id="rId2436"/>
    <hyperlink xmlns:r="http://schemas.openxmlformats.org/officeDocument/2006/relationships" ref="O1490" r:id="rId2437"/>
    <hyperlink xmlns:r="http://schemas.openxmlformats.org/officeDocument/2006/relationships" ref="P1490" r:id="rId2438"/>
    <hyperlink xmlns:r="http://schemas.openxmlformats.org/officeDocument/2006/relationships" ref="O1491" r:id="rId2439"/>
    <hyperlink xmlns:r="http://schemas.openxmlformats.org/officeDocument/2006/relationships" ref="P1491" r:id="rId2440"/>
    <hyperlink xmlns:r="http://schemas.openxmlformats.org/officeDocument/2006/relationships" ref="O1492" r:id="rId2441"/>
    <hyperlink xmlns:r="http://schemas.openxmlformats.org/officeDocument/2006/relationships" ref="P1492" r:id="rId2442"/>
    <hyperlink xmlns:r="http://schemas.openxmlformats.org/officeDocument/2006/relationships" ref="O1493" r:id="rId2443"/>
    <hyperlink xmlns:r="http://schemas.openxmlformats.org/officeDocument/2006/relationships" ref="P1493" r:id="rId2444"/>
    <hyperlink xmlns:r="http://schemas.openxmlformats.org/officeDocument/2006/relationships" ref="O1494" r:id="rId2445"/>
    <hyperlink xmlns:r="http://schemas.openxmlformats.org/officeDocument/2006/relationships" ref="P1494" r:id="rId2446"/>
    <hyperlink xmlns:r="http://schemas.openxmlformats.org/officeDocument/2006/relationships" ref="O1495" r:id="rId2447"/>
    <hyperlink xmlns:r="http://schemas.openxmlformats.org/officeDocument/2006/relationships" ref="P1495" r:id="rId2448"/>
    <hyperlink xmlns:r="http://schemas.openxmlformats.org/officeDocument/2006/relationships" ref="O1496" r:id="rId2449"/>
    <hyperlink xmlns:r="http://schemas.openxmlformats.org/officeDocument/2006/relationships" ref="P1496" r:id="rId2450"/>
    <hyperlink xmlns:r="http://schemas.openxmlformats.org/officeDocument/2006/relationships" ref="O1497" r:id="rId2451"/>
    <hyperlink xmlns:r="http://schemas.openxmlformats.org/officeDocument/2006/relationships" ref="P1497" r:id="rId2452"/>
    <hyperlink xmlns:r="http://schemas.openxmlformats.org/officeDocument/2006/relationships" ref="O1498" r:id="rId2453"/>
    <hyperlink xmlns:r="http://schemas.openxmlformats.org/officeDocument/2006/relationships" ref="P1498" r:id="rId2454"/>
    <hyperlink xmlns:r="http://schemas.openxmlformats.org/officeDocument/2006/relationships" ref="O1499" r:id="rId2455"/>
    <hyperlink xmlns:r="http://schemas.openxmlformats.org/officeDocument/2006/relationships" ref="P1499" r:id="rId2456"/>
    <hyperlink xmlns:r="http://schemas.openxmlformats.org/officeDocument/2006/relationships" ref="O1500" r:id="rId2457"/>
    <hyperlink xmlns:r="http://schemas.openxmlformats.org/officeDocument/2006/relationships" ref="P1500" r:id="rId2458"/>
    <hyperlink xmlns:r="http://schemas.openxmlformats.org/officeDocument/2006/relationships" ref="O1501" r:id="rId2459"/>
    <hyperlink xmlns:r="http://schemas.openxmlformats.org/officeDocument/2006/relationships" ref="P1501" r:id="rId2460"/>
    <hyperlink xmlns:r="http://schemas.openxmlformats.org/officeDocument/2006/relationships" ref="O1502" r:id="rId2461"/>
    <hyperlink xmlns:r="http://schemas.openxmlformats.org/officeDocument/2006/relationships" ref="P1502" r:id="rId2462"/>
    <hyperlink xmlns:r="http://schemas.openxmlformats.org/officeDocument/2006/relationships" ref="O1503" r:id="rId2463"/>
    <hyperlink xmlns:r="http://schemas.openxmlformats.org/officeDocument/2006/relationships" ref="P1503" r:id="rId2464"/>
    <hyperlink xmlns:r="http://schemas.openxmlformats.org/officeDocument/2006/relationships" ref="O1504" r:id="rId2465"/>
    <hyperlink xmlns:r="http://schemas.openxmlformats.org/officeDocument/2006/relationships" ref="P1504" r:id="rId2466"/>
    <hyperlink xmlns:r="http://schemas.openxmlformats.org/officeDocument/2006/relationships" ref="O1505" r:id="rId2467"/>
    <hyperlink xmlns:r="http://schemas.openxmlformats.org/officeDocument/2006/relationships" ref="P1505" r:id="rId2468"/>
    <hyperlink xmlns:r="http://schemas.openxmlformats.org/officeDocument/2006/relationships" ref="O1506" r:id="rId2469"/>
    <hyperlink xmlns:r="http://schemas.openxmlformats.org/officeDocument/2006/relationships" ref="P1506" r:id="rId2470"/>
    <hyperlink xmlns:r="http://schemas.openxmlformats.org/officeDocument/2006/relationships" ref="O1507" r:id="rId2471"/>
    <hyperlink xmlns:r="http://schemas.openxmlformats.org/officeDocument/2006/relationships" ref="P1507" r:id="rId2472"/>
    <hyperlink xmlns:r="http://schemas.openxmlformats.org/officeDocument/2006/relationships" ref="O1508" r:id="rId2473"/>
    <hyperlink xmlns:r="http://schemas.openxmlformats.org/officeDocument/2006/relationships" ref="P1508" r:id="rId2474"/>
    <hyperlink xmlns:r="http://schemas.openxmlformats.org/officeDocument/2006/relationships" ref="O1509" r:id="rId2475"/>
    <hyperlink xmlns:r="http://schemas.openxmlformats.org/officeDocument/2006/relationships" ref="P1509" r:id="rId2476"/>
    <hyperlink xmlns:r="http://schemas.openxmlformats.org/officeDocument/2006/relationships" ref="O1510" r:id="rId2477"/>
    <hyperlink xmlns:r="http://schemas.openxmlformats.org/officeDocument/2006/relationships" ref="P1510" r:id="rId2478"/>
    <hyperlink xmlns:r="http://schemas.openxmlformats.org/officeDocument/2006/relationships" ref="O1511" r:id="rId2479"/>
    <hyperlink xmlns:r="http://schemas.openxmlformats.org/officeDocument/2006/relationships" ref="P1511" r:id="rId2480"/>
    <hyperlink xmlns:r="http://schemas.openxmlformats.org/officeDocument/2006/relationships" ref="O1512" r:id="rId2481"/>
    <hyperlink xmlns:r="http://schemas.openxmlformats.org/officeDocument/2006/relationships" ref="P1512" r:id="rId2482"/>
    <hyperlink xmlns:r="http://schemas.openxmlformats.org/officeDocument/2006/relationships" ref="O1513" r:id="rId2483"/>
    <hyperlink xmlns:r="http://schemas.openxmlformats.org/officeDocument/2006/relationships" ref="P1513" r:id="rId2484"/>
    <hyperlink xmlns:r="http://schemas.openxmlformats.org/officeDocument/2006/relationships" ref="O1514" r:id="rId2485"/>
    <hyperlink xmlns:r="http://schemas.openxmlformats.org/officeDocument/2006/relationships" ref="P1514" r:id="rId2486"/>
    <hyperlink xmlns:r="http://schemas.openxmlformats.org/officeDocument/2006/relationships" ref="O1515" r:id="rId2487"/>
    <hyperlink xmlns:r="http://schemas.openxmlformats.org/officeDocument/2006/relationships" ref="P1515" r:id="rId2488"/>
    <hyperlink xmlns:r="http://schemas.openxmlformats.org/officeDocument/2006/relationships" ref="O1516" r:id="rId2489"/>
    <hyperlink xmlns:r="http://schemas.openxmlformats.org/officeDocument/2006/relationships" ref="P1516" r:id="rId2490"/>
    <hyperlink xmlns:r="http://schemas.openxmlformats.org/officeDocument/2006/relationships" ref="O1517" r:id="rId2491"/>
    <hyperlink xmlns:r="http://schemas.openxmlformats.org/officeDocument/2006/relationships" ref="P1517" r:id="rId2492"/>
    <hyperlink xmlns:r="http://schemas.openxmlformats.org/officeDocument/2006/relationships" ref="O1518" r:id="rId2493"/>
    <hyperlink xmlns:r="http://schemas.openxmlformats.org/officeDocument/2006/relationships" ref="P1518" r:id="rId2494"/>
    <hyperlink xmlns:r="http://schemas.openxmlformats.org/officeDocument/2006/relationships" ref="O1519" r:id="rId2495"/>
    <hyperlink xmlns:r="http://schemas.openxmlformats.org/officeDocument/2006/relationships" ref="P1519" r:id="rId2496"/>
    <hyperlink xmlns:r="http://schemas.openxmlformats.org/officeDocument/2006/relationships" ref="O1520" r:id="rId2497"/>
    <hyperlink xmlns:r="http://schemas.openxmlformats.org/officeDocument/2006/relationships" ref="P1520" r:id="rId2498"/>
    <hyperlink xmlns:r="http://schemas.openxmlformats.org/officeDocument/2006/relationships" ref="O1521" r:id="rId2499"/>
    <hyperlink xmlns:r="http://schemas.openxmlformats.org/officeDocument/2006/relationships" ref="P1521" r:id="rId2500"/>
    <hyperlink xmlns:r="http://schemas.openxmlformats.org/officeDocument/2006/relationships" ref="O1522" r:id="rId2501"/>
    <hyperlink xmlns:r="http://schemas.openxmlformats.org/officeDocument/2006/relationships" ref="P1522" r:id="rId2502"/>
    <hyperlink xmlns:r="http://schemas.openxmlformats.org/officeDocument/2006/relationships" ref="O1523" r:id="rId2503"/>
    <hyperlink xmlns:r="http://schemas.openxmlformats.org/officeDocument/2006/relationships" ref="P1523" r:id="rId2504"/>
    <hyperlink xmlns:r="http://schemas.openxmlformats.org/officeDocument/2006/relationships" ref="O1524" r:id="rId2505"/>
    <hyperlink xmlns:r="http://schemas.openxmlformats.org/officeDocument/2006/relationships" ref="P1524" r:id="rId2506"/>
    <hyperlink xmlns:r="http://schemas.openxmlformats.org/officeDocument/2006/relationships" ref="O1525" r:id="rId2507"/>
    <hyperlink xmlns:r="http://schemas.openxmlformats.org/officeDocument/2006/relationships" ref="P1525" r:id="rId2508"/>
    <hyperlink xmlns:r="http://schemas.openxmlformats.org/officeDocument/2006/relationships" ref="O1526" r:id="rId2509"/>
    <hyperlink xmlns:r="http://schemas.openxmlformats.org/officeDocument/2006/relationships" ref="P1526" r:id="rId2510"/>
    <hyperlink xmlns:r="http://schemas.openxmlformats.org/officeDocument/2006/relationships" ref="O1527" r:id="rId2511"/>
    <hyperlink xmlns:r="http://schemas.openxmlformats.org/officeDocument/2006/relationships" ref="P1527" r:id="rId2512"/>
    <hyperlink xmlns:r="http://schemas.openxmlformats.org/officeDocument/2006/relationships" ref="O1528" r:id="rId2513"/>
    <hyperlink xmlns:r="http://schemas.openxmlformats.org/officeDocument/2006/relationships" ref="P1528" r:id="rId2514"/>
    <hyperlink xmlns:r="http://schemas.openxmlformats.org/officeDocument/2006/relationships" ref="O1529" r:id="rId2515"/>
    <hyperlink xmlns:r="http://schemas.openxmlformats.org/officeDocument/2006/relationships" ref="P1529" r:id="rId2516"/>
    <hyperlink xmlns:r="http://schemas.openxmlformats.org/officeDocument/2006/relationships" ref="O1530" r:id="rId2517"/>
    <hyperlink xmlns:r="http://schemas.openxmlformats.org/officeDocument/2006/relationships" ref="P1530" r:id="rId2518"/>
    <hyperlink xmlns:r="http://schemas.openxmlformats.org/officeDocument/2006/relationships" ref="O1531" r:id="rId2519"/>
    <hyperlink xmlns:r="http://schemas.openxmlformats.org/officeDocument/2006/relationships" ref="P1531" r:id="rId2520"/>
    <hyperlink xmlns:r="http://schemas.openxmlformats.org/officeDocument/2006/relationships" ref="O1532" r:id="rId2521"/>
    <hyperlink xmlns:r="http://schemas.openxmlformats.org/officeDocument/2006/relationships" ref="P1532" r:id="rId2522"/>
    <hyperlink xmlns:r="http://schemas.openxmlformats.org/officeDocument/2006/relationships" ref="O1533" r:id="rId2523"/>
    <hyperlink xmlns:r="http://schemas.openxmlformats.org/officeDocument/2006/relationships" ref="P1533" r:id="rId2524"/>
    <hyperlink xmlns:r="http://schemas.openxmlformats.org/officeDocument/2006/relationships" ref="O1534" r:id="rId2525"/>
    <hyperlink xmlns:r="http://schemas.openxmlformats.org/officeDocument/2006/relationships" ref="P1534" r:id="rId2526"/>
    <hyperlink xmlns:r="http://schemas.openxmlformats.org/officeDocument/2006/relationships" ref="O1535" r:id="rId2527"/>
    <hyperlink xmlns:r="http://schemas.openxmlformats.org/officeDocument/2006/relationships" ref="P1535" r:id="rId2528"/>
    <hyperlink xmlns:r="http://schemas.openxmlformats.org/officeDocument/2006/relationships" ref="O1536" r:id="rId2529"/>
    <hyperlink xmlns:r="http://schemas.openxmlformats.org/officeDocument/2006/relationships" ref="P1536" r:id="rId2530"/>
    <hyperlink xmlns:r="http://schemas.openxmlformats.org/officeDocument/2006/relationships" ref="O1537" r:id="rId2531"/>
    <hyperlink xmlns:r="http://schemas.openxmlformats.org/officeDocument/2006/relationships" ref="P1537" r:id="rId2532"/>
    <hyperlink xmlns:r="http://schemas.openxmlformats.org/officeDocument/2006/relationships" ref="O1538" r:id="rId2533"/>
    <hyperlink xmlns:r="http://schemas.openxmlformats.org/officeDocument/2006/relationships" ref="P1538" r:id="rId2534"/>
    <hyperlink xmlns:r="http://schemas.openxmlformats.org/officeDocument/2006/relationships" ref="O1539" r:id="rId2535"/>
    <hyperlink xmlns:r="http://schemas.openxmlformats.org/officeDocument/2006/relationships" ref="P1539" r:id="rId2536"/>
    <hyperlink xmlns:r="http://schemas.openxmlformats.org/officeDocument/2006/relationships" ref="O1540" r:id="rId2537"/>
    <hyperlink xmlns:r="http://schemas.openxmlformats.org/officeDocument/2006/relationships" ref="P1540" r:id="rId2538"/>
    <hyperlink xmlns:r="http://schemas.openxmlformats.org/officeDocument/2006/relationships" ref="O1541" r:id="rId2539"/>
    <hyperlink xmlns:r="http://schemas.openxmlformats.org/officeDocument/2006/relationships" ref="P1541" r:id="rId2540"/>
    <hyperlink xmlns:r="http://schemas.openxmlformats.org/officeDocument/2006/relationships" ref="O1542" r:id="rId2541"/>
    <hyperlink xmlns:r="http://schemas.openxmlformats.org/officeDocument/2006/relationships" ref="P1542" r:id="rId2542"/>
    <hyperlink xmlns:r="http://schemas.openxmlformats.org/officeDocument/2006/relationships" ref="O1543" r:id="rId2543"/>
    <hyperlink xmlns:r="http://schemas.openxmlformats.org/officeDocument/2006/relationships" ref="P1543" r:id="rId2544"/>
    <hyperlink xmlns:r="http://schemas.openxmlformats.org/officeDocument/2006/relationships" ref="O1544" r:id="rId2545"/>
    <hyperlink xmlns:r="http://schemas.openxmlformats.org/officeDocument/2006/relationships" ref="P1544" r:id="rId2546"/>
    <hyperlink xmlns:r="http://schemas.openxmlformats.org/officeDocument/2006/relationships" ref="O1545" r:id="rId2547"/>
    <hyperlink xmlns:r="http://schemas.openxmlformats.org/officeDocument/2006/relationships" ref="P1545" r:id="rId2548"/>
    <hyperlink xmlns:r="http://schemas.openxmlformats.org/officeDocument/2006/relationships" ref="O1546" r:id="rId2549"/>
    <hyperlink xmlns:r="http://schemas.openxmlformats.org/officeDocument/2006/relationships" ref="P1546" r:id="rId2550"/>
    <hyperlink xmlns:r="http://schemas.openxmlformats.org/officeDocument/2006/relationships" ref="O1547" r:id="rId2551"/>
    <hyperlink xmlns:r="http://schemas.openxmlformats.org/officeDocument/2006/relationships" ref="P1547" r:id="rId2552"/>
    <hyperlink xmlns:r="http://schemas.openxmlformats.org/officeDocument/2006/relationships" ref="O1548" r:id="rId2553"/>
    <hyperlink xmlns:r="http://schemas.openxmlformats.org/officeDocument/2006/relationships" ref="P1548" r:id="rId2554"/>
    <hyperlink xmlns:r="http://schemas.openxmlformats.org/officeDocument/2006/relationships" ref="O1549" r:id="rId2555"/>
    <hyperlink xmlns:r="http://schemas.openxmlformats.org/officeDocument/2006/relationships" ref="P1549" r:id="rId2556"/>
    <hyperlink xmlns:r="http://schemas.openxmlformats.org/officeDocument/2006/relationships" ref="O1550" r:id="rId2557"/>
    <hyperlink xmlns:r="http://schemas.openxmlformats.org/officeDocument/2006/relationships" ref="P1550" r:id="rId2558"/>
    <hyperlink xmlns:r="http://schemas.openxmlformats.org/officeDocument/2006/relationships" ref="O1551" r:id="rId2559"/>
    <hyperlink xmlns:r="http://schemas.openxmlformats.org/officeDocument/2006/relationships" ref="P1551" r:id="rId2560"/>
    <hyperlink xmlns:r="http://schemas.openxmlformats.org/officeDocument/2006/relationships" ref="O1552" r:id="rId2561"/>
    <hyperlink xmlns:r="http://schemas.openxmlformats.org/officeDocument/2006/relationships" ref="P1552" r:id="rId2562"/>
    <hyperlink xmlns:r="http://schemas.openxmlformats.org/officeDocument/2006/relationships" ref="O1553" r:id="rId2563"/>
    <hyperlink xmlns:r="http://schemas.openxmlformats.org/officeDocument/2006/relationships" ref="P1553" r:id="rId2564"/>
    <hyperlink xmlns:r="http://schemas.openxmlformats.org/officeDocument/2006/relationships" ref="O1554" r:id="rId2565"/>
    <hyperlink xmlns:r="http://schemas.openxmlformats.org/officeDocument/2006/relationships" ref="P1554" r:id="rId2566"/>
    <hyperlink xmlns:r="http://schemas.openxmlformats.org/officeDocument/2006/relationships" ref="O1555" r:id="rId2567"/>
    <hyperlink xmlns:r="http://schemas.openxmlformats.org/officeDocument/2006/relationships" ref="P1555" r:id="rId2568"/>
    <hyperlink xmlns:r="http://schemas.openxmlformats.org/officeDocument/2006/relationships" ref="O1556" r:id="rId2569"/>
    <hyperlink xmlns:r="http://schemas.openxmlformats.org/officeDocument/2006/relationships" ref="P1556" r:id="rId2570"/>
    <hyperlink xmlns:r="http://schemas.openxmlformats.org/officeDocument/2006/relationships" ref="O1557" r:id="rId2571"/>
    <hyperlink xmlns:r="http://schemas.openxmlformats.org/officeDocument/2006/relationships" ref="P1557" r:id="rId2572"/>
    <hyperlink xmlns:r="http://schemas.openxmlformats.org/officeDocument/2006/relationships" ref="O1558" r:id="rId2573"/>
    <hyperlink xmlns:r="http://schemas.openxmlformats.org/officeDocument/2006/relationships" ref="P1558" r:id="rId2574"/>
    <hyperlink xmlns:r="http://schemas.openxmlformats.org/officeDocument/2006/relationships" ref="O1559" r:id="rId2575"/>
    <hyperlink xmlns:r="http://schemas.openxmlformats.org/officeDocument/2006/relationships" ref="P1559" r:id="rId2576"/>
    <hyperlink xmlns:r="http://schemas.openxmlformats.org/officeDocument/2006/relationships" ref="O1560" r:id="rId2577"/>
    <hyperlink xmlns:r="http://schemas.openxmlformats.org/officeDocument/2006/relationships" ref="P1560" r:id="rId2578"/>
    <hyperlink xmlns:r="http://schemas.openxmlformats.org/officeDocument/2006/relationships" ref="O1561" r:id="rId2579"/>
    <hyperlink xmlns:r="http://schemas.openxmlformats.org/officeDocument/2006/relationships" ref="P1561" r:id="rId2580"/>
    <hyperlink xmlns:r="http://schemas.openxmlformats.org/officeDocument/2006/relationships" ref="O1562" r:id="rId2581"/>
    <hyperlink xmlns:r="http://schemas.openxmlformats.org/officeDocument/2006/relationships" ref="P1562" r:id="rId2582"/>
    <hyperlink xmlns:r="http://schemas.openxmlformats.org/officeDocument/2006/relationships" ref="O1563" r:id="rId2583"/>
    <hyperlink xmlns:r="http://schemas.openxmlformats.org/officeDocument/2006/relationships" ref="P1563" r:id="rId2584"/>
    <hyperlink xmlns:r="http://schemas.openxmlformats.org/officeDocument/2006/relationships" ref="O1564" r:id="rId2585"/>
    <hyperlink xmlns:r="http://schemas.openxmlformats.org/officeDocument/2006/relationships" ref="P1564" r:id="rId2586"/>
    <hyperlink xmlns:r="http://schemas.openxmlformats.org/officeDocument/2006/relationships" ref="O1565" r:id="rId2587"/>
    <hyperlink xmlns:r="http://schemas.openxmlformats.org/officeDocument/2006/relationships" ref="P1565" r:id="rId2588"/>
    <hyperlink xmlns:r="http://schemas.openxmlformats.org/officeDocument/2006/relationships" ref="O1566" r:id="rId2589"/>
    <hyperlink xmlns:r="http://schemas.openxmlformats.org/officeDocument/2006/relationships" ref="P1566" r:id="rId2590"/>
    <hyperlink xmlns:r="http://schemas.openxmlformats.org/officeDocument/2006/relationships" ref="O1567" r:id="rId2591"/>
    <hyperlink xmlns:r="http://schemas.openxmlformats.org/officeDocument/2006/relationships" ref="P1567" r:id="rId2592"/>
    <hyperlink xmlns:r="http://schemas.openxmlformats.org/officeDocument/2006/relationships" ref="O1568" r:id="rId2593"/>
    <hyperlink xmlns:r="http://schemas.openxmlformats.org/officeDocument/2006/relationships" ref="P1568" r:id="rId2594"/>
    <hyperlink xmlns:r="http://schemas.openxmlformats.org/officeDocument/2006/relationships" ref="O1569" r:id="rId2595"/>
    <hyperlink xmlns:r="http://schemas.openxmlformats.org/officeDocument/2006/relationships" ref="P1569" r:id="rId2596"/>
    <hyperlink xmlns:r="http://schemas.openxmlformats.org/officeDocument/2006/relationships" ref="O1570" r:id="rId2597"/>
    <hyperlink xmlns:r="http://schemas.openxmlformats.org/officeDocument/2006/relationships" ref="P1570" r:id="rId2598"/>
    <hyperlink xmlns:r="http://schemas.openxmlformats.org/officeDocument/2006/relationships" ref="O1571" r:id="rId2599"/>
    <hyperlink xmlns:r="http://schemas.openxmlformats.org/officeDocument/2006/relationships" ref="P1571" r:id="rId2600"/>
    <hyperlink xmlns:r="http://schemas.openxmlformats.org/officeDocument/2006/relationships" ref="O1572" r:id="rId2601"/>
    <hyperlink xmlns:r="http://schemas.openxmlformats.org/officeDocument/2006/relationships" ref="P1572" r:id="rId2602"/>
    <hyperlink xmlns:r="http://schemas.openxmlformats.org/officeDocument/2006/relationships" ref="O1573" r:id="rId2603"/>
    <hyperlink xmlns:r="http://schemas.openxmlformats.org/officeDocument/2006/relationships" ref="P1573" r:id="rId2604"/>
    <hyperlink xmlns:r="http://schemas.openxmlformats.org/officeDocument/2006/relationships" ref="O1574" r:id="rId2605"/>
    <hyperlink xmlns:r="http://schemas.openxmlformats.org/officeDocument/2006/relationships" ref="P1574" r:id="rId2606"/>
    <hyperlink xmlns:r="http://schemas.openxmlformats.org/officeDocument/2006/relationships" ref="O1575" r:id="rId2607"/>
    <hyperlink xmlns:r="http://schemas.openxmlformats.org/officeDocument/2006/relationships" ref="P1575" r:id="rId2608"/>
    <hyperlink xmlns:r="http://schemas.openxmlformats.org/officeDocument/2006/relationships" ref="O1576" r:id="rId2609"/>
    <hyperlink xmlns:r="http://schemas.openxmlformats.org/officeDocument/2006/relationships" ref="P1576" r:id="rId2610"/>
    <hyperlink xmlns:r="http://schemas.openxmlformats.org/officeDocument/2006/relationships" ref="O1577" r:id="rId2611"/>
    <hyperlink xmlns:r="http://schemas.openxmlformats.org/officeDocument/2006/relationships" ref="P1577" r:id="rId2612"/>
    <hyperlink xmlns:r="http://schemas.openxmlformats.org/officeDocument/2006/relationships" ref="O1578" r:id="rId2613"/>
    <hyperlink xmlns:r="http://schemas.openxmlformats.org/officeDocument/2006/relationships" ref="P1578" r:id="rId2614"/>
    <hyperlink xmlns:r="http://schemas.openxmlformats.org/officeDocument/2006/relationships" ref="O1579" r:id="rId2615"/>
    <hyperlink xmlns:r="http://schemas.openxmlformats.org/officeDocument/2006/relationships" ref="P1579" r:id="rId2616"/>
    <hyperlink xmlns:r="http://schemas.openxmlformats.org/officeDocument/2006/relationships" ref="O1580" r:id="rId2617"/>
    <hyperlink xmlns:r="http://schemas.openxmlformats.org/officeDocument/2006/relationships" ref="P1580" r:id="rId2618"/>
    <hyperlink xmlns:r="http://schemas.openxmlformats.org/officeDocument/2006/relationships" ref="O1581" r:id="rId2619"/>
    <hyperlink xmlns:r="http://schemas.openxmlformats.org/officeDocument/2006/relationships" ref="P1581" r:id="rId2620"/>
    <hyperlink xmlns:r="http://schemas.openxmlformats.org/officeDocument/2006/relationships" ref="O1582" r:id="rId2621"/>
    <hyperlink xmlns:r="http://schemas.openxmlformats.org/officeDocument/2006/relationships" ref="P1582" r:id="rId2622"/>
    <hyperlink xmlns:r="http://schemas.openxmlformats.org/officeDocument/2006/relationships" ref="O1583" r:id="rId2623"/>
    <hyperlink xmlns:r="http://schemas.openxmlformats.org/officeDocument/2006/relationships" ref="P1583" r:id="rId2624"/>
    <hyperlink xmlns:r="http://schemas.openxmlformats.org/officeDocument/2006/relationships" ref="O1584" r:id="rId2625"/>
    <hyperlink xmlns:r="http://schemas.openxmlformats.org/officeDocument/2006/relationships" ref="P1584" r:id="rId2626"/>
    <hyperlink xmlns:r="http://schemas.openxmlformats.org/officeDocument/2006/relationships" ref="O1585" r:id="rId2627"/>
    <hyperlink xmlns:r="http://schemas.openxmlformats.org/officeDocument/2006/relationships" ref="P1585" r:id="rId2628"/>
    <hyperlink xmlns:r="http://schemas.openxmlformats.org/officeDocument/2006/relationships" ref="O1586" r:id="rId2629"/>
    <hyperlink xmlns:r="http://schemas.openxmlformats.org/officeDocument/2006/relationships" ref="P1586" r:id="rId2630"/>
    <hyperlink xmlns:r="http://schemas.openxmlformats.org/officeDocument/2006/relationships" ref="O1587" r:id="rId2631"/>
    <hyperlink xmlns:r="http://schemas.openxmlformats.org/officeDocument/2006/relationships" ref="P1587" r:id="rId2632"/>
    <hyperlink xmlns:r="http://schemas.openxmlformats.org/officeDocument/2006/relationships" ref="O1588" r:id="rId2633"/>
    <hyperlink xmlns:r="http://schemas.openxmlformats.org/officeDocument/2006/relationships" ref="P1588" r:id="rId2634"/>
    <hyperlink xmlns:r="http://schemas.openxmlformats.org/officeDocument/2006/relationships" ref="O1589" r:id="rId2635"/>
    <hyperlink xmlns:r="http://schemas.openxmlformats.org/officeDocument/2006/relationships" ref="P1589" r:id="rId2636"/>
    <hyperlink xmlns:r="http://schemas.openxmlformats.org/officeDocument/2006/relationships" ref="O1590" r:id="rId2637"/>
    <hyperlink xmlns:r="http://schemas.openxmlformats.org/officeDocument/2006/relationships" ref="P1590" r:id="rId2638"/>
    <hyperlink xmlns:r="http://schemas.openxmlformats.org/officeDocument/2006/relationships" ref="O1591" r:id="rId2639"/>
    <hyperlink xmlns:r="http://schemas.openxmlformats.org/officeDocument/2006/relationships" ref="P1591" r:id="rId2640"/>
    <hyperlink xmlns:r="http://schemas.openxmlformats.org/officeDocument/2006/relationships" ref="O1592" r:id="rId2641"/>
    <hyperlink xmlns:r="http://schemas.openxmlformats.org/officeDocument/2006/relationships" ref="P1592" r:id="rId2642"/>
    <hyperlink xmlns:r="http://schemas.openxmlformats.org/officeDocument/2006/relationships" ref="O1593" r:id="rId2643"/>
    <hyperlink xmlns:r="http://schemas.openxmlformats.org/officeDocument/2006/relationships" ref="P1593" r:id="rId2644"/>
    <hyperlink xmlns:r="http://schemas.openxmlformats.org/officeDocument/2006/relationships" ref="O1594" r:id="rId2645"/>
    <hyperlink xmlns:r="http://schemas.openxmlformats.org/officeDocument/2006/relationships" ref="P1594" r:id="rId2646"/>
    <hyperlink xmlns:r="http://schemas.openxmlformats.org/officeDocument/2006/relationships" ref="O1595" r:id="rId2647"/>
    <hyperlink xmlns:r="http://schemas.openxmlformats.org/officeDocument/2006/relationships" ref="P1595" r:id="rId2648"/>
    <hyperlink xmlns:r="http://schemas.openxmlformats.org/officeDocument/2006/relationships" ref="O1596" r:id="rId2649"/>
    <hyperlink xmlns:r="http://schemas.openxmlformats.org/officeDocument/2006/relationships" ref="P1596" r:id="rId2650"/>
    <hyperlink xmlns:r="http://schemas.openxmlformats.org/officeDocument/2006/relationships" ref="O1597" r:id="rId2651"/>
    <hyperlink xmlns:r="http://schemas.openxmlformats.org/officeDocument/2006/relationships" ref="P1597" r:id="rId2652"/>
    <hyperlink xmlns:r="http://schemas.openxmlformats.org/officeDocument/2006/relationships" ref="O1598" r:id="rId2653"/>
    <hyperlink xmlns:r="http://schemas.openxmlformats.org/officeDocument/2006/relationships" ref="P1598" r:id="rId2654"/>
    <hyperlink xmlns:r="http://schemas.openxmlformats.org/officeDocument/2006/relationships" ref="O1599" r:id="rId2655"/>
    <hyperlink xmlns:r="http://schemas.openxmlformats.org/officeDocument/2006/relationships" ref="P1599" r:id="rId2656"/>
    <hyperlink xmlns:r="http://schemas.openxmlformats.org/officeDocument/2006/relationships" ref="O1600" r:id="rId2657"/>
    <hyperlink xmlns:r="http://schemas.openxmlformats.org/officeDocument/2006/relationships" ref="P1600" r:id="rId2658"/>
    <hyperlink xmlns:r="http://schemas.openxmlformats.org/officeDocument/2006/relationships" ref="O1601" r:id="rId2659"/>
    <hyperlink xmlns:r="http://schemas.openxmlformats.org/officeDocument/2006/relationships" ref="P1601" r:id="rId2660"/>
    <hyperlink xmlns:r="http://schemas.openxmlformats.org/officeDocument/2006/relationships" ref="O1602" r:id="rId2661"/>
    <hyperlink xmlns:r="http://schemas.openxmlformats.org/officeDocument/2006/relationships" ref="P1602" r:id="rId2662"/>
    <hyperlink xmlns:r="http://schemas.openxmlformats.org/officeDocument/2006/relationships" ref="O1603" r:id="rId2663"/>
    <hyperlink xmlns:r="http://schemas.openxmlformats.org/officeDocument/2006/relationships" ref="P1603" r:id="rId2664"/>
    <hyperlink xmlns:r="http://schemas.openxmlformats.org/officeDocument/2006/relationships" ref="O1604" r:id="rId2665"/>
    <hyperlink xmlns:r="http://schemas.openxmlformats.org/officeDocument/2006/relationships" ref="P1604" r:id="rId2666"/>
    <hyperlink xmlns:r="http://schemas.openxmlformats.org/officeDocument/2006/relationships" ref="O1605" r:id="rId2667"/>
    <hyperlink xmlns:r="http://schemas.openxmlformats.org/officeDocument/2006/relationships" ref="P1605" r:id="rId2668"/>
    <hyperlink xmlns:r="http://schemas.openxmlformats.org/officeDocument/2006/relationships" ref="O1606" r:id="rId2669"/>
    <hyperlink xmlns:r="http://schemas.openxmlformats.org/officeDocument/2006/relationships" ref="P1606" r:id="rId2670"/>
    <hyperlink xmlns:r="http://schemas.openxmlformats.org/officeDocument/2006/relationships" ref="O1607" r:id="rId2671"/>
    <hyperlink xmlns:r="http://schemas.openxmlformats.org/officeDocument/2006/relationships" ref="P1607" r:id="rId2672"/>
    <hyperlink xmlns:r="http://schemas.openxmlformats.org/officeDocument/2006/relationships" ref="O1608" r:id="rId2673"/>
    <hyperlink xmlns:r="http://schemas.openxmlformats.org/officeDocument/2006/relationships" ref="P1608" r:id="rId2674"/>
    <hyperlink xmlns:r="http://schemas.openxmlformats.org/officeDocument/2006/relationships" ref="O1609" r:id="rId2675"/>
    <hyperlink xmlns:r="http://schemas.openxmlformats.org/officeDocument/2006/relationships" ref="P1609" r:id="rId2676"/>
    <hyperlink xmlns:r="http://schemas.openxmlformats.org/officeDocument/2006/relationships" ref="O1610" r:id="rId2677"/>
    <hyperlink xmlns:r="http://schemas.openxmlformats.org/officeDocument/2006/relationships" ref="P1610" r:id="rId2678"/>
    <hyperlink xmlns:r="http://schemas.openxmlformats.org/officeDocument/2006/relationships" ref="O1611" r:id="rId2679"/>
    <hyperlink xmlns:r="http://schemas.openxmlformats.org/officeDocument/2006/relationships" ref="P1611" r:id="rId2680"/>
    <hyperlink xmlns:r="http://schemas.openxmlformats.org/officeDocument/2006/relationships" ref="O1612" r:id="rId2681"/>
    <hyperlink xmlns:r="http://schemas.openxmlformats.org/officeDocument/2006/relationships" ref="P1612" r:id="rId2682"/>
    <hyperlink xmlns:r="http://schemas.openxmlformats.org/officeDocument/2006/relationships" ref="O1613" r:id="rId2683"/>
    <hyperlink xmlns:r="http://schemas.openxmlformats.org/officeDocument/2006/relationships" ref="P1613" r:id="rId2684"/>
    <hyperlink xmlns:r="http://schemas.openxmlformats.org/officeDocument/2006/relationships" ref="O1614" r:id="rId2685"/>
    <hyperlink xmlns:r="http://schemas.openxmlformats.org/officeDocument/2006/relationships" ref="P1614" r:id="rId2686"/>
    <hyperlink xmlns:r="http://schemas.openxmlformats.org/officeDocument/2006/relationships" ref="O1615" r:id="rId2687"/>
    <hyperlink xmlns:r="http://schemas.openxmlformats.org/officeDocument/2006/relationships" ref="P1615" r:id="rId2688"/>
    <hyperlink xmlns:r="http://schemas.openxmlformats.org/officeDocument/2006/relationships" ref="O1616" r:id="rId2689"/>
    <hyperlink xmlns:r="http://schemas.openxmlformats.org/officeDocument/2006/relationships" ref="P1616" r:id="rId2690"/>
    <hyperlink xmlns:r="http://schemas.openxmlformats.org/officeDocument/2006/relationships" ref="O1617" r:id="rId2691"/>
    <hyperlink xmlns:r="http://schemas.openxmlformats.org/officeDocument/2006/relationships" ref="P1617" r:id="rId2692"/>
    <hyperlink xmlns:r="http://schemas.openxmlformats.org/officeDocument/2006/relationships" ref="O1618" r:id="rId2693"/>
    <hyperlink xmlns:r="http://schemas.openxmlformats.org/officeDocument/2006/relationships" ref="P1618" r:id="rId2694"/>
    <hyperlink xmlns:r="http://schemas.openxmlformats.org/officeDocument/2006/relationships" ref="O1619" r:id="rId2695"/>
    <hyperlink xmlns:r="http://schemas.openxmlformats.org/officeDocument/2006/relationships" ref="P1619" r:id="rId2696"/>
    <hyperlink xmlns:r="http://schemas.openxmlformats.org/officeDocument/2006/relationships" ref="O1620" r:id="rId2697"/>
    <hyperlink xmlns:r="http://schemas.openxmlformats.org/officeDocument/2006/relationships" ref="P1620" r:id="rId2698"/>
    <hyperlink xmlns:r="http://schemas.openxmlformats.org/officeDocument/2006/relationships" ref="O1621" r:id="rId2699"/>
    <hyperlink xmlns:r="http://schemas.openxmlformats.org/officeDocument/2006/relationships" ref="P1621" r:id="rId2700"/>
    <hyperlink xmlns:r="http://schemas.openxmlformats.org/officeDocument/2006/relationships" ref="O1622" r:id="rId2701"/>
    <hyperlink xmlns:r="http://schemas.openxmlformats.org/officeDocument/2006/relationships" ref="P1622" r:id="rId2702"/>
    <hyperlink xmlns:r="http://schemas.openxmlformats.org/officeDocument/2006/relationships" ref="O1623" r:id="rId2703"/>
    <hyperlink xmlns:r="http://schemas.openxmlformats.org/officeDocument/2006/relationships" ref="P1623" r:id="rId2704"/>
    <hyperlink xmlns:r="http://schemas.openxmlformats.org/officeDocument/2006/relationships" ref="O1624" r:id="rId2705"/>
    <hyperlink xmlns:r="http://schemas.openxmlformats.org/officeDocument/2006/relationships" ref="P1624" r:id="rId2706"/>
    <hyperlink xmlns:r="http://schemas.openxmlformats.org/officeDocument/2006/relationships" ref="O1625" r:id="rId2707"/>
    <hyperlink xmlns:r="http://schemas.openxmlformats.org/officeDocument/2006/relationships" ref="P1625" r:id="rId2708"/>
    <hyperlink xmlns:r="http://schemas.openxmlformats.org/officeDocument/2006/relationships" ref="O1626" r:id="rId2709"/>
    <hyperlink xmlns:r="http://schemas.openxmlformats.org/officeDocument/2006/relationships" ref="P1626" r:id="rId2710"/>
    <hyperlink xmlns:r="http://schemas.openxmlformats.org/officeDocument/2006/relationships" ref="O1627" r:id="rId2711"/>
    <hyperlink xmlns:r="http://schemas.openxmlformats.org/officeDocument/2006/relationships" ref="P1627" r:id="rId2712"/>
    <hyperlink xmlns:r="http://schemas.openxmlformats.org/officeDocument/2006/relationships" ref="O1628" r:id="rId2713"/>
    <hyperlink xmlns:r="http://schemas.openxmlformats.org/officeDocument/2006/relationships" ref="P1628" r:id="rId2714"/>
    <hyperlink xmlns:r="http://schemas.openxmlformats.org/officeDocument/2006/relationships" ref="O1629" r:id="rId2715"/>
    <hyperlink xmlns:r="http://schemas.openxmlformats.org/officeDocument/2006/relationships" ref="P1629" r:id="rId2716"/>
    <hyperlink xmlns:r="http://schemas.openxmlformats.org/officeDocument/2006/relationships" ref="O1630" r:id="rId2717"/>
    <hyperlink xmlns:r="http://schemas.openxmlformats.org/officeDocument/2006/relationships" ref="P1630" r:id="rId2718"/>
    <hyperlink xmlns:r="http://schemas.openxmlformats.org/officeDocument/2006/relationships" ref="O1631" r:id="rId2719"/>
    <hyperlink xmlns:r="http://schemas.openxmlformats.org/officeDocument/2006/relationships" ref="P1631" r:id="rId2720"/>
    <hyperlink xmlns:r="http://schemas.openxmlformats.org/officeDocument/2006/relationships" ref="O1632" r:id="rId2721"/>
    <hyperlink xmlns:r="http://schemas.openxmlformats.org/officeDocument/2006/relationships" ref="P1632" r:id="rId2722"/>
    <hyperlink xmlns:r="http://schemas.openxmlformats.org/officeDocument/2006/relationships" ref="O1633" r:id="rId2723"/>
    <hyperlink xmlns:r="http://schemas.openxmlformats.org/officeDocument/2006/relationships" ref="P1633" r:id="rId2724"/>
    <hyperlink xmlns:r="http://schemas.openxmlformats.org/officeDocument/2006/relationships" ref="O1634" r:id="rId2725"/>
    <hyperlink xmlns:r="http://schemas.openxmlformats.org/officeDocument/2006/relationships" ref="P1634" r:id="rId2726"/>
    <hyperlink xmlns:r="http://schemas.openxmlformats.org/officeDocument/2006/relationships" ref="O1635" r:id="rId2727"/>
    <hyperlink xmlns:r="http://schemas.openxmlformats.org/officeDocument/2006/relationships" ref="P1635" r:id="rId2728"/>
    <hyperlink xmlns:r="http://schemas.openxmlformats.org/officeDocument/2006/relationships" ref="O1636" r:id="rId2729"/>
    <hyperlink xmlns:r="http://schemas.openxmlformats.org/officeDocument/2006/relationships" ref="P1636" r:id="rId2730"/>
    <hyperlink xmlns:r="http://schemas.openxmlformats.org/officeDocument/2006/relationships" ref="O1637" r:id="rId2731"/>
    <hyperlink xmlns:r="http://schemas.openxmlformats.org/officeDocument/2006/relationships" ref="P1637" r:id="rId2732"/>
    <hyperlink xmlns:r="http://schemas.openxmlformats.org/officeDocument/2006/relationships" ref="O1638" r:id="rId2733"/>
    <hyperlink xmlns:r="http://schemas.openxmlformats.org/officeDocument/2006/relationships" ref="P1638" r:id="rId2734"/>
    <hyperlink xmlns:r="http://schemas.openxmlformats.org/officeDocument/2006/relationships" ref="O1639" r:id="rId2735"/>
    <hyperlink xmlns:r="http://schemas.openxmlformats.org/officeDocument/2006/relationships" ref="P1639" r:id="rId2736"/>
    <hyperlink xmlns:r="http://schemas.openxmlformats.org/officeDocument/2006/relationships" ref="O1640" r:id="rId2737"/>
    <hyperlink xmlns:r="http://schemas.openxmlformats.org/officeDocument/2006/relationships" ref="P1640" r:id="rId2738"/>
    <hyperlink xmlns:r="http://schemas.openxmlformats.org/officeDocument/2006/relationships" ref="O1641" r:id="rId2739"/>
    <hyperlink xmlns:r="http://schemas.openxmlformats.org/officeDocument/2006/relationships" ref="P1641" r:id="rId2740"/>
    <hyperlink xmlns:r="http://schemas.openxmlformats.org/officeDocument/2006/relationships" ref="O1642" r:id="rId2741"/>
    <hyperlink xmlns:r="http://schemas.openxmlformats.org/officeDocument/2006/relationships" ref="P1642" r:id="rId2742"/>
    <hyperlink xmlns:r="http://schemas.openxmlformats.org/officeDocument/2006/relationships" ref="O1643" r:id="rId2743"/>
    <hyperlink xmlns:r="http://schemas.openxmlformats.org/officeDocument/2006/relationships" ref="P1643" r:id="rId2744"/>
    <hyperlink xmlns:r="http://schemas.openxmlformats.org/officeDocument/2006/relationships" ref="O1644" r:id="rId2745"/>
    <hyperlink xmlns:r="http://schemas.openxmlformats.org/officeDocument/2006/relationships" ref="P1644" r:id="rId2746"/>
    <hyperlink xmlns:r="http://schemas.openxmlformats.org/officeDocument/2006/relationships" ref="O1645" r:id="rId2747"/>
    <hyperlink xmlns:r="http://schemas.openxmlformats.org/officeDocument/2006/relationships" ref="P1645" r:id="rId2748"/>
    <hyperlink xmlns:r="http://schemas.openxmlformats.org/officeDocument/2006/relationships" ref="O1646" r:id="rId2749"/>
    <hyperlink xmlns:r="http://schemas.openxmlformats.org/officeDocument/2006/relationships" ref="P1646" r:id="rId2750"/>
    <hyperlink xmlns:r="http://schemas.openxmlformats.org/officeDocument/2006/relationships" ref="O1647" r:id="rId2751"/>
    <hyperlink xmlns:r="http://schemas.openxmlformats.org/officeDocument/2006/relationships" ref="P1647" r:id="rId2752"/>
    <hyperlink xmlns:r="http://schemas.openxmlformats.org/officeDocument/2006/relationships" ref="O1648" r:id="rId2753"/>
    <hyperlink xmlns:r="http://schemas.openxmlformats.org/officeDocument/2006/relationships" ref="P1648" r:id="rId2754"/>
    <hyperlink xmlns:r="http://schemas.openxmlformats.org/officeDocument/2006/relationships" ref="O1649" r:id="rId2755"/>
    <hyperlink xmlns:r="http://schemas.openxmlformats.org/officeDocument/2006/relationships" ref="P1649" r:id="rId2756"/>
    <hyperlink xmlns:r="http://schemas.openxmlformats.org/officeDocument/2006/relationships" ref="O1650" r:id="rId2757"/>
    <hyperlink xmlns:r="http://schemas.openxmlformats.org/officeDocument/2006/relationships" ref="P1650" r:id="rId2758"/>
    <hyperlink xmlns:r="http://schemas.openxmlformats.org/officeDocument/2006/relationships" ref="O1651" r:id="rId2759"/>
    <hyperlink xmlns:r="http://schemas.openxmlformats.org/officeDocument/2006/relationships" ref="P1651" r:id="rId2760"/>
    <hyperlink xmlns:r="http://schemas.openxmlformats.org/officeDocument/2006/relationships" ref="O1652" r:id="rId2761"/>
    <hyperlink xmlns:r="http://schemas.openxmlformats.org/officeDocument/2006/relationships" ref="P1652" r:id="rId2762"/>
    <hyperlink xmlns:r="http://schemas.openxmlformats.org/officeDocument/2006/relationships" ref="O1653" r:id="rId2763"/>
    <hyperlink xmlns:r="http://schemas.openxmlformats.org/officeDocument/2006/relationships" ref="P1653" r:id="rId2764"/>
    <hyperlink xmlns:r="http://schemas.openxmlformats.org/officeDocument/2006/relationships" ref="O1654" r:id="rId2765"/>
    <hyperlink xmlns:r="http://schemas.openxmlformats.org/officeDocument/2006/relationships" ref="P1654" r:id="rId2766"/>
    <hyperlink xmlns:r="http://schemas.openxmlformats.org/officeDocument/2006/relationships" ref="O1655" r:id="rId2767"/>
    <hyperlink xmlns:r="http://schemas.openxmlformats.org/officeDocument/2006/relationships" ref="P1655" r:id="rId2768"/>
    <hyperlink xmlns:r="http://schemas.openxmlformats.org/officeDocument/2006/relationships" ref="O1656" r:id="rId2769"/>
    <hyperlink xmlns:r="http://schemas.openxmlformats.org/officeDocument/2006/relationships" ref="P1656" r:id="rId2770"/>
    <hyperlink xmlns:r="http://schemas.openxmlformats.org/officeDocument/2006/relationships" ref="O1657" r:id="rId2771"/>
    <hyperlink xmlns:r="http://schemas.openxmlformats.org/officeDocument/2006/relationships" ref="P1657" r:id="rId2772"/>
    <hyperlink xmlns:r="http://schemas.openxmlformats.org/officeDocument/2006/relationships" ref="O1658" r:id="rId2773"/>
    <hyperlink xmlns:r="http://schemas.openxmlformats.org/officeDocument/2006/relationships" ref="P1658" r:id="rId2774"/>
    <hyperlink xmlns:r="http://schemas.openxmlformats.org/officeDocument/2006/relationships" ref="O1659" r:id="rId2775"/>
    <hyperlink xmlns:r="http://schemas.openxmlformats.org/officeDocument/2006/relationships" ref="P1659" r:id="rId2776"/>
    <hyperlink xmlns:r="http://schemas.openxmlformats.org/officeDocument/2006/relationships" ref="O1660" r:id="rId2777"/>
    <hyperlink xmlns:r="http://schemas.openxmlformats.org/officeDocument/2006/relationships" ref="P1660" r:id="rId2778"/>
    <hyperlink xmlns:r="http://schemas.openxmlformats.org/officeDocument/2006/relationships" ref="O1661" r:id="rId2779"/>
    <hyperlink xmlns:r="http://schemas.openxmlformats.org/officeDocument/2006/relationships" ref="P1661" r:id="rId2780"/>
    <hyperlink xmlns:r="http://schemas.openxmlformats.org/officeDocument/2006/relationships" ref="O1662" r:id="rId2781"/>
    <hyperlink xmlns:r="http://schemas.openxmlformats.org/officeDocument/2006/relationships" ref="P1662" r:id="rId2782"/>
    <hyperlink xmlns:r="http://schemas.openxmlformats.org/officeDocument/2006/relationships" ref="O1663" r:id="rId2783"/>
    <hyperlink xmlns:r="http://schemas.openxmlformats.org/officeDocument/2006/relationships" ref="P1663" r:id="rId2784"/>
    <hyperlink xmlns:r="http://schemas.openxmlformats.org/officeDocument/2006/relationships" ref="O1664" r:id="rId2785"/>
    <hyperlink xmlns:r="http://schemas.openxmlformats.org/officeDocument/2006/relationships" ref="P1664" r:id="rId2786"/>
    <hyperlink xmlns:r="http://schemas.openxmlformats.org/officeDocument/2006/relationships" ref="O1665" r:id="rId2787"/>
    <hyperlink xmlns:r="http://schemas.openxmlformats.org/officeDocument/2006/relationships" ref="P1665" r:id="rId2788"/>
    <hyperlink xmlns:r="http://schemas.openxmlformats.org/officeDocument/2006/relationships" ref="O1666" r:id="rId2789"/>
    <hyperlink xmlns:r="http://schemas.openxmlformats.org/officeDocument/2006/relationships" ref="P1666" r:id="rId2790"/>
    <hyperlink xmlns:r="http://schemas.openxmlformats.org/officeDocument/2006/relationships" ref="O1667" r:id="rId2791"/>
    <hyperlink xmlns:r="http://schemas.openxmlformats.org/officeDocument/2006/relationships" ref="P1667" r:id="rId2792"/>
    <hyperlink xmlns:r="http://schemas.openxmlformats.org/officeDocument/2006/relationships" ref="O1668" r:id="rId2793"/>
    <hyperlink xmlns:r="http://schemas.openxmlformats.org/officeDocument/2006/relationships" ref="P1668" r:id="rId2794"/>
    <hyperlink xmlns:r="http://schemas.openxmlformats.org/officeDocument/2006/relationships" ref="O1669" r:id="rId2795"/>
    <hyperlink xmlns:r="http://schemas.openxmlformats.org/officeDocument/2006/relationships" ref="P1669" r:id="rId2796"/>
    <hyperlink xmlns:r="http://schemas.openxmlformats.org/officeDocument/2006/relationships" ref="O1670" r:id="rId2797"/>
    <hyperlink xmlns:r="http://schemas.openxmlformats.org/officeDocument/2006/relationships" ref="P1670" r:id="rId2798"/>
    <hyperlink xmlns:r="http://schemas.openxmlformats.org/officeDocument/2006/relationships" ref="O1671" r:id="rId2799"/>
    <hyperlink xmlns:r="http://schemas.openxmlformats.org/officeDocument/2006/relationships" ref="P1671" r:id="rId2800"/>
    <hyperlink xmlns:r="http://schemas.openxmlformats.org/officeDocument/2006/relationships" ref="O1672" r:id="rId2801"/>
    <hyperlink xmlns:r="http://schemas.openxmlformats.org/officeDocument/2006/relationships" ref="P1672" r:id="rId2802"/>
    <hyperlink xmlns:r="http://schemas.openxmlformats.org/officeDocument/2006/relationships" ref="O1673" r:id="rId2803"/>
    <hyperlink xmlns:r="http://schemas.openxmlformats.org/officeDocument/2006/relationships" ref="P1673" r:id="rId2804"/>
    <hyperlink xmlns:r="http://schemas.openxmlformats.org/officeDocument/2006/relationships" ref="O1674" r:id="rId2805"/>
    <hyperlink xmlns:r="http://schemas.openxmlformats.org/officeDocument/2006/relationships" ref="P1674" r:id="rId2806"/>
    <hyperlink xmlns:r="http://schemas.openxmlformats.org/officeDocument/2006/relationships" ref="O1675" r:id="rId2807"/>
    <hyperlink xmlns:r="http://schemas.openxmlformats.org/officeDocument/2006/relationships" ref="P1675" r:id="rId2808"/>
    <hyperlink xmlns:r="http://schemas.openxmlformats.org/officeDocument/2006/relationships" ref="O1676" r:id="rId2809"/>
    <hyperlink xmlns:r="http://schemas.openxmlformats.org/officeDocument/2006/relationships" ref="P1676" r:id="rId2810"/>
    <hyperlink xmlns:r="http://schemas.openxmlformats.org/officeDocument/2006/relationships" ref="O1677" r:id="rId2811"/>
    <hyperlink xmlns:r="http://schemas.openxmlformats.org/officeDocument/2006/relationships" ref="P1677" r:id="rId2812"/>
    <hyperlink xmlns:r="http://schemas.openxmlformats.org/officeDocument/2006/relationships" ref="O1678" r:id="rId2813"/>
    <hyperlink xmlns:r="http://schemas.openxmlformats.org/officeDocument/2006/relationships" ref="P1678" r:id="rId2814"/>
    <hyperlink xmlns:r="http://schemas.openxmlformats.org/officeDocument/2006/relationships" ref="O1679" r:id="rId2815"/>
    <hyperlink xmlns:r="http://schemas.openxmlformats.org/officeDocument/2006/relationships" ref="P1679" r:id="rId2816"/>
    <hyperlink xmlns:r="http://schemas.openxmlformats.org/officeDocument/2006/relationships" ref="O1680" r:id="rId2817"/>
    <hyperlink xmlns:r="http://schemas.openxmlformats.org/officeDocument/2006/relationships" ref="P1680" r:id="rId2818"/>
    <hyperlink xmlns:r="http://schemas.openxmlformats.org/officeDocument/2006/relationships" ref="O1681" r:id="rId2819"/>
    <hyperlink xmlns:r="http://schemas.openxmlformats.org/officeDocument/2006/relationships" ref="P1681" r:id="rId2820"/>
    <hyperlink xmlns:r="http://schemas.openxmlformats.org/officeDocument/2006/relationships" ref="O1682" r:id="rId2821"/>
    <hyperlink xmlns:r="http://schemas.openxmlformats.org/officeDocument/2006/relationships" ref="P1682" r:id="rId2822"/>
    <hyperlink xmlns:r="http://schemas.openxmlformats.org/officeDocument/2006/relationships" ref="O1683" r:id="rId2823"/>
    <hyperlink xmlns:r="http://schemas.openxmlformats.org/officeDocument/2006/relationships" ref="P1683" r:id="rId2824"/>
    <hyperlink xmlns:r="http://schemas.openxmlformats.org/officeDocument/2006/relationships" ref="O1684" r:id="rId2825"/>
    <hyperlink xmlns:r="http://schemas.openxmlformats.org/officeDocument/2006/relationships" ref="P1684" r:id="rId2826"/>
    <hyperlink xmlns:r="http://schemas.openxmlformats.org/officeDocument/2006/relationships" ref="O1685" r:id="rId2827"/>
    <hyperlink xmlns:r="http://schemas.openxmlformats.org/officeDocument/2006/relationships" ref="P1685" r:id="rId2828"/>
    <hyperlink xmlns:r="http://schemas.openxmlformats.org/officeDocument/2006/relationships" ref="O1686" r:id="rId2829"/>
    <hyperlink xmlns:r="http://schemas.openxmlformats.org/officeDocument/2006/relationships" ref="P1686" r:id="rId2830"/>
    <hyperlink xmlns:r="http://schemas.openxmlformats.org/officeDocument/2006/relationships" ref="O1687" r:id="rId2831"/>
    <hyperlink xmlns:r="http://schemas.openxmlformats.org/officeDocument/2006/relationships" ref="P1687" r:id="rId2832"/>
    <hyperlink xmlns:r="http://schemas.openxmlformats.org/officeDocument/2006/relationships" ref="O1688" r:id="rId2833"/>
    <hyperlink xmlns:r="http://schemas.openxmlformats.org/officeDocument/2006/relationships" ref="P1688" r:id="rId2834"/>
    <hyperlink xmlns:r="http://schemas.openxmlformats.org/officeDocument/2006/relationships" ref="O1689" r:id="rId2835"/>
    <hyperlink xmlns:r="http://schemas.openxmlformats.org/officeDocument/2006/relationships" ref="P1689" r:id="rId2836"/>
    <hyperlink xmlns:r="http://schemas.openxmlformats.org/officeDocument/2006/relationships" ref="O1690" r:id="rId2837"/>
    <hyperlink xmlns:r="http://schemas.openxmlformats.org/officeDocument/2006/relationships" ref="P1690" r:id="rId2838"/>
    <hyperlink xmlns:r="http://schemas.openxmlformats.org/officeDocument/2006/relationships" ref="O1691" r:id="rId2839"/>
    <hyperlink xmlns:r="http://schemas.openxmlformats.org/officeDocument/2006/relationships" ref="P1691" r:id="rId2840"/>
    <hyperlink xmlns:r="http://schemas.openxmlformats.org/officeDocument/2006/relationships" ref="O1692" r:id="rId2841"/>
    <hyperlink xmlns:r="http://schemas.openxmlformats.org/officeDocument/2006/relationships" ref="P1692" r:id="rId2842"/>
    <hyperlink xmlns:r="http://schemas.openxmlformats.org/officeDocument/2006/relationships" ref="O1693" r:id="rId2843"/>
    <hyperlink xmlns:r="http://schemas.openxmlformats.org/officeDocument/2006/relationships" ref="P1693" r:id="rId2844"/>
    <hyperlink xmlns:r="http://schemas.openxmlformats.org/officeDocument/2006/relationships" ref="O1694" r:id="rId2845"/>
    <hyperlink xmlns:r="http://schemas.openxmlformats.org/officeDocument/2006/relationships" ref="P1694" r:id="rId2846"/>
    <hyperlink xmlns:r="http://schemas.openxmlformats.org/officeDocument/2006/relationships" ref="O1695" r:id="rId2847"/>
    <hyperlink xmlns:r="http://schemas.openxmlformats.org/officeDocument/2006/relationships" ref="P1695" r:id="rId2848"/>
    <hyperlink xmlns:r="http://schemas.openxmlformats.org/officeDocument/2006/relationships" ref="O1696" r:id="rId2849"/>
    <hyperlink xmlns:r="http://schemas.openxmlformats.org/officeDocument/2006/relationships" ref="P1696" r:id="rId2850"/>
    <hyperlink xmlns:r="http://schemas.openxmlformats.org/officeDocument/2006/relationships" ref="O1697" r:id="rId2851"/>
    <hyperlink xmlns:r="http://schemas.openxmlformats.org/officeDocument/2006/relationships" ref="P1697" r:id="rId2852"/>
    <hyperlink xmlns:r="http://schemas.openxmlformats.org/officeDocument/2006/relationships" ref="O1698" r:id="rId2853"/>
    <hyperlink xmlns:r="http://schemas.openxmlformats.org/officeDocument/2006/relationships" ref="P1698" r:id="rId2854"/>
    <hyperlink xmlns:r="http://schemas.openxmlformats.org/officeDocument/2006/relationships" ref="O1699" r:id="rId2855"/>
    <hyperlink xmlns:r="http://schemas.openxmlformats.org/officeDocument/2006/relationships" ref="P1699" r:id="rId2856"/>
    <hyperlink xmlns:r="http://schemas.openxmlformats.org/officeDocument/2006/relationships" ref="O1700" r:id="rId2857"/>
    <hyperlink xmlns:r="http://schemas.openxmlformats.org/officeDocument/2006/relationships" ref="P1700" r:id="rId2858"/>
    <hyperlink xmlns:r="http://schemas.openxmlformats.org/officeDocument/2006/relationships" ref="O1701" r:id="rId2859"/>
    <hyperlink xmlns:r="http://schemas.openxmlformats.org/officeDocument/2006/relationships" ref="P1701" r:id="rId2860"/>
    <hyperlink xmlns:r="http://schemas.openxmlformats.org/officeDocument/2006/relationships" ref="O1702" r:id="rId2861"/>
    <hyperlink xmlns:r="http://schemas.openxmlformats.org/officeDocument/2006/relationships" ref="P1702" r:id="rId2862"/>
    <hyperlink xmlns:r="http://schemas.openxmlformats.org/officeDocument/2006/relationships" ref="O1703" r:id="rId2863"/>
    <hyperlink xmlns:r="http://schemas.openxmlformats.org/officeDocument/2006/relationships" ref="P1703" r:id="rId2864"/>
    <hyperlink xmlns:r="http://schemas.openxmlformats.org/officeDocument/2006/relationships" ref="O1704" r:id="rId2865"/>
    <hyperlink xmlns:r="http://schemas.openxmlformats.org/officeDocument/2006/relationships" ref="P1704" r:id="rId2866"/>
    <hyperlink xmlns:r="http://schemas.openxmlformats.org/officeDocument/2006/relationships" ref="O1705" r:id="rId2867"/>
    <hyperlink xmlns:r="http://schemas.openxmlformats.org/officeDocument/2006/relationships" ref="P1705" r:id="rId2868"/>
    <hyperlink xmlns:r="http://schemas.openxmlformats.org/officeDocument/2006/relationships" ref="O1706" r:id="rId2869"/>
    <hyperlink xmlns:r="http://schemas.openxmlformats.org/officeDocument/2006/relationships" ref="P1706" r:id="rId2870"/>
    <hyperlink xmlns:r="http://schemas.openxmlformats.org/officeDocument/2006/relationships" ref="O1707" r:id="rId2871"/>
    <hyperlink xmlns:r="http://schemas.openxmlformats.org/officeDocument/2006/relationships" ref="P1707" r:id="rId2872"/>
    <hyperlink xmlns:r="http://schemas.openxmlformats.org/officeDocument/2006/relationships" ref="O1708" r:id="rId2873"/>
    <hyperlink xmlns:r="http://schemas.openxmlformats.org/officeDocument/2006/relationships" ref="P1708" r:id="rId2874"/>
    <hyperlink xmlns:r="http://schemas.openxmlformats.org/officeDocument/2006/relationships" ref="O1709" r:id="rId2875"/>
    <hyperlink xmlns:r="http://schemas.openxmlformats.org/officeDocument/2006/relationships" ref="P1709" r:id="rId2876"/>
    <hyperlink xmlns:r="http://schemas.openxmlformats.org/officeDocument/2006/relationships" ref="O1710" r:id="rId2877"/>
    <hyperlink xmlns:r="http://schemas.openxmlformats.org/officeDocument/2006/relationships" ref="P1710" r:id="rId2878"/>
    <hyperlink xmlns:r="http://schemas.openxmlformats.org/officeDocument/2006/relationships" ref="O1711" r:id="rId2879"/>
    <hyperlink xmlns:r="http://schemas.openxmlformats.org/officeDocument/2006/relationships" ref="P1711" r:id="rId2880"/>
    <hyperlink xmlns:r="http://schemas.openxmlformats.org/officeDocument/2006/relationships" ref="O1712" r:id="rId2881"/>
    <hyperlink xmlns:r="http://schemas.openxmlformats.org/officeDocument/2006/relationships" ref="P1712" r:id="rId2882"/>
    <hyperlink xmlns:r="http://schemas.openxmlformats.org/officeDocument/2006/relationships" ref="O1713" r:id="rId2883"/>
    <hyperlink xmlns:r="http://schemas.openxmlformats.org/officeDocument/2006/relationships" ref="P1713" r:id="rId2884"/>
    <hyperlink xmlns:r="http://schemas.openxmlformats.org/officeDocument/2006/relationships" ref="O1714" r:id="rId2885"/>
    <hyperlink xmlns:r="http://schemas.openxmlformats.org/officeDocument/2006/relationships" ref="P1714" r:id="rId2886"/>
    <hyperlink xmlns:r="http://schemas.openxmlformats.org/officeDocument/2006/relationships" ref="O1715" r:id="rId2887"/>
    <hyperlink xmlns:r="http://schemas.openxmlformats.org/officeDocument/2006/relationships" ref="P1715" r:id="rId2888"/>
    <hyperlink xmlns:r="http://schemas.openxmlformats.org/officeDocument/2006/relationships" ref="O1716" r:id="rId2889"/>
    <hyperlink xmlns:r="http://schemas.openxmlformats.org/officeDocument/2006/relationships" ref="P1716" r:id="rId2890"/>
    <hyperlink xmlns:r="http://schemas.openxmlformats.org/officeDocument/2006/relationships" ref="O1717" r:id="rId2891"/>
    <hyperlink xmlns:r="http://schemas.openxmlformats.org/officeDocument/2006/relationships" ref="P1717" r:id="rId2892"/>
    <hyperlink xmlns:r="http://schemas.openxmlformats.org/officeDocument/2006/relationships" ref="O1718" r:id="rId2893"/>
    <hyperlink xmlns:r="http://schemas.openxmlformats.org/officeDocument/2006/relationships" ref="P1718" r:id="rId2894"/>
    <hyperlink xmlns:r="http://schemas.openxmlformats.org/officeDocument/2006/relationships" ref="O1719" r:id="rId2895"/>
    <hyperlink xmlns:r="http://schemas.openxmlformats.org/officeDocument/2006/relationships" ref="P1719" r:id="rId2896"/>
    <hyperlink xmlns:r="http://schemas.openxmlformats.org/officeDocument/2006/relationships" ref="O1720" r:id="rId2897"/>
    <hyperlink xmlns:r="http://schemas.openxmlformats.org/officeDocument/2006/relationships" ref="P1720" r:id="rId2898"/>
    <hyperlink xmlns:r="http://schemas.openxmlformats.org/officeDocument/2006/relationships" ref="O1721" r:id="rId2899"/>
    <hyperlink xmlns:r="http://schemas.openxmlformats.org/officeDocument/2006/relationships" ref="P1721" r:id="rId2900"/>
    <hyperlink xmlns:r="http://schemas.openxmlformats.org/officeDocument/2006/relationships" ref="O1722" r:id="rId2901"/>
    <hyperlink xmlns:r="http://schemas.openxmlformats.org/officeDocument/2006/relationships" ref="P1722" r:id="rId2902"/>
    <hyperlink xmlns:r="http://schemas.openxmlformats.org/officeDocument/2006/relationships" ref="O1723" r:id="rId2903"/>
    <hyperlink xmlns:r="http://schemas.openxmlformats.org/officeDocument/2006/relationships" ref="P1723" r:id="rId2904"/>
    <hyperlink xmlns:r="http://schemas.openxmlformats.org/officeDocument/2006/relationships" ref="O1724" r:id="rId2905"/>
    <hyperlink xmlns:r="http://schemas.openxmlformats.org/officeDocument/2006/relationships" ref="P1724" r:id="rId2906"/>
    <hyperlink xmlns:r="http://schemas.openxmlformats.org/officeDocument/2006/relationships" ref="O1725" r:id="rId2907"/>
    <hyperlink xmlns:r="http://schemas.openxmlformats.org/officeDocument/2006/relationships" ref="P1725" r:id="rId2908"/>
    <hyperlink xmlns:r="http://schemas.openxmlformats.org/officeDocument/2006/relationships" ref="O1726" r:id="rId2909"/>
    <hyperlink xmlns:r="http://schemas.openxmlformats.org/officeDocument/2006/relationships" ref="P1726" r:id="rId2910"/>
    <hyperlink xmlns:r="http://schemas.openxmlformats.org/officeDocument/2006/relationships" ref="O1727" r:id="rId2911"/>
    <hyperlink xmlns:r="http://schemas.openxmlformats.org/officeDocument/2006/relationships" ref="P1727" r:id="rId2912"/>
    <hyperlink xmlns:r="http://schemas.openxmlformats.org/officeDocument/2006/relationships" ref="O1728" r:id="rId2913"/>
    <hyperlink xmlns:r="http://schemas.openxmlformats.org/officeDocument/2006/relationships" ref="P1728" r:id="rId2914"/>
    <hyperlink xmlns:r="http://schemas.openxmlformats.org/officeDocument/2006/relationships" ref="O1729" r:id="rId2915"/>
    <hyperlink xmlns:r="http://schemas.openxmlformats.org/officeDocument/2006/relationships" ref="P1729" r:id="rId2916"/>
    <hyperlink xmlns:r="http://schemas.openxmlformats.org/officeDocument/2006/relationships" ref="O1730" r:id="rId2917"/>
    <hyperlink xmlns:r="http://schemas.openxmlformats.org/officeDocument/2006/relationships" ref="P1730" r:id="rId2918"/>
    <hyperlink xmlns:r="http://schemas.openxmlformats.org/officeDocument/2006/relationships" ref="O1731" r:id="rId2919"/>
    <hyperlink xmlns:r="http://schemas.openxmlformats.org/officeDocument/2006/relationships" ref="P1731" r:id="rId2920"/>
    <hyperlink xmlns:r="http://schemas.openxmlformats.org/officeDocument/2006/relationships" ref="O1732" r:id="rId2921"/>
    <hyperlink xmlns:r="http://schemas.openxmlformats.org/officeDocument/2006/relationships" ref="P1732" r:id="rId2922"/>
    <hyperlink xmlns:r="http://schemas.openxmlformats.org/officeDocument/2006/relationships" ref="O1733" r:id="rId2923"/>
    <hyperlink xmlns:r="http://schemas.openxmlformats.org/officeDocument/2006/relationships" ref="P1733" r:id="rId2924"/>
    <hyperlink xmlns:r="http://schemas.openxmlformats.org/officeDocument/2006/relationships" ref="O1734" r:id="rId2925"/>
    <hyperlink xmlns:r="http://schemas.openxmlformats.org/officeDocument/2006/relationships" ref="P1734" r:id="rId2926"/>
    <hyperlink xmlns:r="http://schemas.openxmlformats.org/officeDocument/2006/relationships" ref="O1735" r:id="rId2927"/>
    <hyperlink xmlns:r="http://schemas.openxmlformats.org/officeDocument/2006/relationships" ref="P1735" r:id="rId2928"/>
    <hyperlink xmlns:r="http://schemas.openxmlformats.org/officeDocument/2006/relationships" ref="O1736" r:id="rId2929"/>
    <hyperlink xmlns:r="http://schemas.openxmlformats.org/officeDocument/2006/relationships" ref="P1736" r:id="rId2930"/>
    <hyperlink xmlns:r="http://schemas.openxmlformats.org/officeDocument/2006/relationships" ref="O1737" r:id="rId2931"/>
    <hyperlink xmlns:r="http://schemas.openxmlformats.org/officeDocument/2006/relationships" ref="P1737" r:id="rId2932"/>
    <hyperlink xmlns:r="http://schemas.openxmlformats.org/officeDocument/2006/relationships" ref="O1738" r:id="rId2933"/>
    <hyperlink xmlns:r="http://schemas.openxmlformats.org/officeDocument/2006/relationships" ref="P1738" r:id="rId2934"/>
    <hyperlink xmlns:r="http://schemas.openxmlformats.org/officeDocument/2006/relationships" ref="O1739" r:id="rId2935"/>
    <hyperlink xmlns:r="http://schemas.openxmlformats.org/officeDocument/2006/relationships" ref="P1739" r:id="rId2936"/>
    <hyperlink xmlns:r="http://schemas.openxmlformats.org/officeDocument/2006/relationships" ref="O1740" r:id="rId2937"/>
    <hyperlink xmlns:r="http://schemas.openxmlformats.org/officeDocument/2006/relationships" ref="P1740" r:id="rId2938"/>
    <hyperlink xmlns:r="http://schemas.openxmlformats.org/officeDocument/2006/relationships" ref="O1741" r:id="rId2939"/>
    <hyperlink xmlns:r="http://schemas.openxmlformats.org/officeDocument/2006/relationships" ref="P1741" r:id="rId2940"/>
    <hyperlink xmlns:r="http://schemas.openxmlformats.org/officeDocument/2006/relationships" ref="O1742" r:id="rId2941"/>
    <hyperlink xmlns:r="http://schemas.openxmlformats.org/officeDocument/2006/relationships" ref="P1742" r:id="rId2942"/>
    <hyperlink xmlns:r="http://schemas.openxmlformats.org/officeDocument/2006/relationships" ref="O1743" r:id="rId2943"/>
    <hyperlink xmlns:r="http://schemas.openxmlformats.org/officeDocument/2006/relationships" ref="P1743" r:id="rId2944"/>
    <hyperlink xmlns:r="http://schemas.openxmlformats.org/officeDocument/2006/relationships" ref="O1744" r:id="rId2945"/>
    <hyperlink xmlns:r="http://schemas.openxmlformats.org/officeDocument/2006/relationships" ref="P1744" r:id="rId2946"/>
    <hyperlink xmlns:r="http://schemas.openxmlformats.org/officeDocument/2006/relationships" ref="O1745" r:id="rId2947"/>
    <hyperlink xmlns:r="http://schemas.openxmlformats.org/officeDocument/2006/relationships" ref="P1745" r:id="rId2948"/>
    <hyperlink xmlns:r="http://schemas.openxmlformats.org/officeDocument/2006/relationships" ref="O1746" r:id="rId2949"/>
    <hyperlink xmlns:r="http://schemas.openxmlformats.org/officeDocument/2006/relationships" ref="P1746" r:id="rId2950"/>
    <hyperlink xmlns:r="http://schemas.openxmlformats.org/officeDocument/2006/relationships" ref="O1747" r:id="rId2951"/>
    <hyperlink xmlns:r="http://schemas.openxmlformats.org/officeDocument/2006/relationships" ref="P1747" r:id="rId2952"/>
    <hyperlink xmlns:r="http://schemas.openxmlformats.org/officeDocument/2006/relationships" ref="O1748" r:id="rId2953"/>
    <hyperlink xmlns:r="http://schemas.openxmlformats.org/officeDocument/2006/relationships" ref="P1748" r:id="rId2954"/>
    <hyperlink xmlns:r="http://schemas.openxmlformats.org/officeDocument/2006/relationships" ref="O1749" r:id="rId2955"/>
    <hyperlink xmlns:r="http://schemas.openxmlformats.org/officeDocument/2006/relationships" ref="P1749" r:id="rId2956"/>
    <hyperlink xmlns:r="http://schemas.openxmlformats.org/officeDocument/2006/relationships" ref="O1750" r:id="rId2957"/>
    <hyperlink xmlns:r="http://schemas.openxmlformats.org/officeDocument/2006/relationships" ref="P1750" r:id="rId2958"/>
    <hyperlink xmlns:r="http://schemas.openxmlformats.org/officeDocument/2006/relationships" ref="O1751" r:id="rId2959"/>
    <hyperlink xmlns:r="http://schemas.openxmlformats.org/officeDocument/2006/relationships" ref="P1751" r:id="rId2960"/>
    <hyperlink xmlns:r="http://schemas.openxmlformats.org/officeDocument/2006/relationships" ref="O1752" r:id="rId2961"/>
    <hyperlink xmlns:r="http://schemas.openxmlformats.org/officeDocument/2006/relationships" ref="P1752" r:id="rId2962"/>
    <hyperlink xmlns:r="http://schemas.openxmlformats.org/officeDocument/2006/relationships" ref="O1753" r:id="rId2963"/>
    <hyperlink xmlns:r="http://schemas.openxmlformats.org/officeDocument/2006/relationships" ref="P1753" r:id="rId2964"/>
    <hyperlink xmlns:r="http://schemas.openxmlformats.org/officeDocument/2006/relationships" ref="O1754" r:id="rId2965"/>
    <hyperlink xmlns:r="http://schemas.openxmlformats.org/officeDocument/2006/relationships" ref="P1754" r:id="rId2966"/>
    <hyperlink xmlns:r="http://schemas.openxmlformats.org/officeDocument/2006/relationships" ref="O1755" r:id="rId2967"/>
    <hyperlink xmlns:r="http://schemas.openxmlformats.org/officeDocument/2006/relationships" ref="P1755" r:id="rId2968"/>
    <hyperlink xmlns:r="http://schemas.openxmlformats.org/officeDocument/2006/relationships" ref="O1756" r:id="rId2969"/>
    <hyperlink xmlns:r="http://schemas.openxmlformats.org/officeDocument/2006/relationships" ref="P1756" r:id="rId2970"/>
    <hyperlink xmlns:r="http://schemas.openxmlformats.org/officeDocument/2006/relationships" ref="O1757" r:id="rId2971"/>
    <hyperlink xmlns:r="http://schemas.openxmlformats.org/officeDocument/2006/relationships" ref="P1757" r:id="rId2972"/>
    <hyperlink xmlns:r="http://schemas.openxmlformats.org/officeDocument/2006/relationships" ref="O1758" r:id="rId2973"/>
    <hyperlink xmlns:r="http://schemas.openxmlformats.org/officeDocument/2006/relationships" ref="P1758" r:id="rId2974"/>
    <hyperlink xmlns:r="http://schemas.openxmlformats.org/officeDocument/2006/relationships" ref="O1759" r:id="rId2975"/>
    <hyperlink xmlns:r="http://schemas.openxmlformats.org/officeDocument/2006/relationships" ref="P1759" r:id="rId2976"/>
    <hyperlink xmlns:r="http://schemas.openxmlformats.org/officeDocument/2006/relationships" ref="O1760" r:id="rId2977"/>
    <hyperlink xmlns:r="http://schemas.openxmlformats.org/officeDocument/2006/relationships" ref="P1760" r:id="rId2978"/>
    <hyperlink xmlns:r="http://schemas.openxmlformats.org/officeDocument/2006/relationships" ref="O1761" r:id="rId2979"/>
    <hyperlink xmlns:r="http://schemas.openxmlformats.org/officeDocument/2006/relationships" ref="P1761" r:id="rId2980"/>
    <hyperlink xmlns:r="http://schemas.openxmlformats.org/officeDocument/2006/relationships" ref="O1762" r:id="rId2981"/>
    <hyperlink xmlns:r="http://schemas.openxmlformats.org/officeDocument/2006/relationships" ref="P1762" r:id="rId2982"/>
    <hyperlink xmlns:r="http://schemas.openxmlformats.org/officeDocument/2006/relationships" ref="O1763" r:id="rId2983"/>
    <hyperlink xmlns:r="http://schemas.openxmlformats.org/officeDocument/2006/relationships" ref="P1763" r:id="rId2984"/>
    <hyperlink xmlns:r="http://schemas.openxmlformats.org/officeDocument/2006/relationships" ref="O1764" r:id="rId2985"/>
    <hyperlink xmlns:r="http://schemas.openxmlformats.org/officeDocument/2006/relationships" ref="P1764" r:id="rId2986"/>
    <hyperlink xmlns:r="http://schemas.openxmlformats.org/officeDocument/2006/relationships" ref="O1765" r:id="rId2987"/>
    <hyperlink xmlns:r="http://schemas.openxmlformats.org/officeDocument/2006/relationships" ref="P1765" r:id="rId2988"/>
    <hyperlink xmlns:r="http://schemas.openxmlformats.org/officeDocument/2006/relationships" ref="O1766" r:id="rId2989"/>
    <hyperlink xmlns:r="http://schemas.openxmlformats.org/officeDocument/2006/relationships" ref="P1766" r:id="rId2990"/>
    <hyperlink xmlns:r="http://schemas.openxmlformats.org/officeDocument/2006/relationships" ref="O1767" r:id="rId2991"/>
    <hyperlink xmlns:r="http://schemas.openxmlformats.org/officeDocument/2006/relationships" ref="P1767" r:id="rId2992"/>
    <hyperlink xmlns:r="http://schemas.openxmlformats.org/officeDocument/2006/relationships" ref="O1768" r:id="rId2993"/>
    <hyperlink xmlns:r="http://schemas.openxmlformats.org/officeDocument/2006/relationships" ref="P1768" r:id="rId2994"/>
    <hyperlink xmlns:r="http://schemas.openxmlformats.org/officeDocument/2006/relationships" ref="O1769" r:id="rId2995"/>
    <hyperlink xmlns:r="http://schemas.openxmlformats.org/officeDocument/2006/relationships" ref="P1769" r:id="rId2996"/>
    <hyperlink xmlns:r="http://schemas.openxmlformats.org/officeDocument/2006/relationships" ref="O1770" r:id="rId2997"/>
    <hyperlink xmlns:r="http://schemas.openxmlformats.org/officeDocument/2006/relationships" ref="P1770" r:id="rId2998"/>
    <hyperlink xmlns:r="http://schemas.openxmlformats.org/officeDocument/2006/relationships" ref="O1771" r:id="rId2999"/>
    <hyperlink xmlns:r="http://schemas.openxmlformats.org/officeDocument/2006/relationships" ref="P1771" r:id="rId3000"/>
    <hyperlink xmlns:r="http://schemas.openxmlformats.org/officeDocument/2006/relationships" ref="O1772" r:id="rId3001"/>
    <hyperlink xmlns:r="http://schemas.openxmlformats.org/officeDocument/2006/relationships" ref="P1772" r:id="rId3002"/>
    <hyperlink xmlns:r="http://schemas.openxmlformats.org/officeDocument/2006/relationships" ref="O1773" r:id="rId3003"/>
    <hyperlink xmlns:r="http://schemas.openxmlformats.org/officeDocument/2006/relationships" ref="P1773" r:id="rId3004"/>
    <hyperlink xmlns:r="http://schemas.openxmlformats.org/officeDocument/2006/relationships" ref="O1774" r:id="rId3005"/>
    <hyperlink xmlns:r="http://schemas.openxmlformats.org/officeDocument/2006/relationships" ref="P1774" r:id="rId3006"/>
    <hyperlink xmlns:r="http://schemas.openxmlformats.org/officeDocument/2006/relationships" ref="O1775" r:id="rId3007"/>
    <hyperlink xmlns:r="http://schemas.openxmlformats.org/officeDocument/2006/relationships" ref="P1775" r:id="rId3008"/>
    <hyperlink xmlns:r="http://schemas.openxmlformats.org/officeDocument/2006/relationships" ref="O1776" r:id="rId3009"/>
    <hyperlink xmlns:r="http://schemas.openxmlformats.org/officeDocument/2006/relationships" ref="P1776" r:id="rId3010"/>
    <hyperlink xmlns:r="http://schemas.openxmlformats.org/officeDocument/2006/relationships" ref="O1777" r:id="rId3011"/>
    <hyperlink xmlns:r="http://schemas.openxmlformats.org/officeDocument/2006/relationships" ref="P1777" r:id="rId3012"/>
    <hyperlink xmlns:r="http://schemas.openxmlformats.org/officeDocument/2006/relationships" ref="O1778" r:id="rId3013"/>
    <hyperlink xmlns:r="http://schemas.openxmlformats.org/officeDocument/2006/relationships" ref="P1778" r:id="rId3014"/>
    <hyperlink xmlns:r="http://schemas.openxmlformats.org/officeDocument/2006/relationships" ref="O1779" r:id="rId3015"/>
    <hyperlink xmlns:r="http://schemas.openxmlformats.org/officeDocument/2006/relationships" ref="P1779" r:id="rId3016"/>
    <hyperlink xmlns:r="http://schemas.openxmlformats.org/officeDocument/2006/relationships" ref="O1780" r:id="rId3017"/>
    <hyperlink xmlns:r="http://schemas.openxmlformats.org/officeDocument/2006/relationships" ref="P1780" r:id="rId3018"/>
    <hyperlink xmlns:r="http://schemas.openxmlformats.org/officeDocument/2006/relationships" ref="O1781" r:id="rId3019"/>
    <hyperlink xmlns:r="http://schemas.openxmlformats.org/officeDocument/2006/relationships" ref="P1781" r:id="rId3020"/>
    <hyperlink xmlns:r="http://schemas.openxmlformats.org/officeDocument/2006/relationships" ref="O1782" r:id="rId3021"/>
    <hyperlink xmlns:r="http://schemas.openxmlformats.org/officeDocument/2006/relationships" ref="P1782" r:id="rId3022"/>
    <hyperlink xmlns:r="http://schemas.openxmlformats.org/officeDocument/2006/relationships" ref="O1783" r:id="rId3023"/>
    <hyperlink xmlns:r="http://schemas.openxmlformats.org/officeDocument/2006/relationships" ref="P1783" r:id="rId3024"/>
    <hyperlink xmlns:r="http://schemas.openxmlformats.org/officeDocument/2006/relationships" ref="O1784" r:id="rId3025"/>
    <hyperlink xmlns:r="http://schemas.openxmlformats.org/officeDocument/2006/relationships" ref="P1784" r:id="rId3026"/>
    <hyperlink xmlns:r="http://schemas.openxmlformats.org/officeDocument/2006/relationships" ref="O1785" r:id="rId3027"/>
    <hyperlink xmlns:r="http://schemas.openxmlformats.org/officeDocument/2006/relationships" ref="P1785" r:id="rId3028"/>
    <hyperlink xmlns:r="http://schemas.openxmlformats.org/officeDocument/2006/relationships" ref="O1786" r:id="rId3029"/>
    <hyperlink xmlns:r="http://schemas.openxmlformats.org/officeDocument/2006/relationships" ref="P1786" r:id="rId3030"/>
    <hyperlink xmlns:r="http://schemas.openxmlformats.org/officeDocument/2006/relationships" ref="O1787" r:id="rId3031"/>
    <hyperlink xmlns:r="http://schemas.openxmlformats.org/officeDocument/2006/relationships" ref="P1787" r:id="rId3032"/>
    <hyperlink xmlns:r="http://schemas.openxmlformats.org/officeDocument/2006/relationships" ref="O1788" r:id="rId3033"/>
    <hyperlink xmlns:r="http://schemas.openxmlformats.org/officeDocument/2006/relationships" ref="P1788" r:id="rId3034"/>
    <hyperlink xmlns:r="http://schemas.openxmlformats.org/officeDocument/2006/relationships" ref="O1789" r:id="rId3035"/>
    <hyperlink xmlns:r="http://schemas.openxmlformats.org/officeDocument/2006/relationships" ref="P1789" r:id="rId3036"/>
    <hyperlink xmlns:r="http://schemas.openxmlformats.org/officeDocument/2006/relationships" ref="O1790" r:id="rId3037"/>
    <hyperlink xmlns:r="http://schemas.openxmlformats.org/officeDocument/2006/relationships" ref="P1790" r:id="rId3038"/>
    <hyperlink xmlns:r="http://schemas.openxmlformats.org/officeDocument/2006/relationships" ref="O1791" r:id="rId3039"/>
    <hyperlink xmlns:r="http://schemas.openxmlformats.org/officeDocument/2006/relationships" ref="P1791" r:id="rId3040"/>
    <hyperlink xmlns:r="http://schemas.openxmlformats.org/officeDocument/2006/relationships" ref="O1792" r:id="rId3041"/>
    <hyperlink xmlns:r="http://schemas.openxmlformats.org/officeDocument/2006/relationships" ref="P1792" r:id="rId3042"/>
    <hyperlink xmlns:r="http://schemas.openxmlformats.org/officeDocument/2006/relationships" ref="O1793" r:id="rId3043"/>
    <hyperlink xmlns:r="http://schemas.openxmlformats.org/officeDocument/2006/relationships" ref="P1793" r:id="rId3044"/>
    <hyperlink xmlns:r="http://schemas.openxmlformats.org/officeDocument/2006/relationships" ref="O1794" r:id="rId3045"/>
    <hyperlink xmlns:r="http://schemas.openxmlformats.org/officeDocument/2006/relationships" ref="P1794" r:id="rId3046"/>
    <hyperlink xmlns:r="http://schemas.openxmlformats.org/officeDocument/2006/relationships" ref="O1795" r:id="rId3047"/>
    <hyperlink xmlns:r="http://schemas.openxmlformats.org/officeDocument/2006/relationships" ref="P1795" r:id="rId3048"/>
    <hyperlink xmlns:r="http://schemas.openxmlformats.org/officeDocument/2006/relationships" ref="O1796" r:id="rId3049"/>
    <hyperlink xmlns:r="http://schemas.openxmlformats.org/officeDocument/2006/relationships" ref="P1796" r:id="rId3050"/>
    <hyperlink xmlns:r="http://schemas.openxmlformats.org/officeDocument/2006/relationships" ref="O1797" r:id="rId3051"/>
    <hyperlink xmlns:r="http://schemas.openxmlformats.org/officeDocument/2006/relationships" ref="P1797" r:id="rId3052"/>
    <hyperlink xmlns:r="http://schemas.openxmlformats.org/officeDocument/2006/relationships" ref="O1798" r:id="rId3053"/>
    <hyperlink xmlns:r="http://schemas.openxmlformats.org/officeDocument/2006/relationships" ref="P1798" r:id="rId3054"/>
    <hyperlink xmlns:r="http://schemas.openxmlformats.org/officeDocument/2006/relationships" ref="O1799" r:id="rId3055"/>
    <hyperlink xmlns:r="http://schemas.openxmlformats.org/officeDocument/2006/relationships" ref="P1799" r:id="rId3056"/>
    <hyperlink xmlns:r="http://schemas.openxmlformats.org/officeDocument/2006/relationships" ref="O1800" r:id="rId3057"/>
    <hyperlink xmlns:r="http://schemas.openxmlformats.org/officeDocument/2006/relationships" ref="P1800" r:id="rId3058"/>
    <hyperlink xmlns:r="http://schemas.openxmlformats.org/officeDocument/2006/relationships" ref="O1801" r:id="rId3059"/>
    <hyperlink xmlns:r="http://schemas.openxmlformats.org/officeDocument/2006/relationships" ref="P1801" r:id="rId3060"/>
    <hyperlink xmlns:r="http://schemas.openxmlformats.org/officeDocument/2006/relationships" ref="O1802" r:id="rId3061"/>
    <hyperlink xmlns:r="http://schemas.openxmlformats.org/officeDocument/2006/relationships" ref="P1802" r:id="rId3062"/>
    <hyperlink xmlns:r="http://schemas.openxmlformats.org/officeDocument/2006/relationships" ref="O1803" r:id="rId3063"/>
    <hyperlink xmlns:r="http://schemas.openxmlformats.org/officeDocument/2006/relationships" ref="P1803" r:id="rId3064"/>
    <hyperlink xmlns:r="http://schemas.openxmlformats.org/officeDocument/2006/relationships" ref="O1804" r:id="rId3065"/>
    <hyperlink xmlns:r="http://schemas.openxmlformats.org/officeDocument/2006/relationships" ref="P1804" r:id="rId3066"/>
    <hyperlink xmlns:r="http://schemas.openxmlformats.org/officeDocument/2006/relationships" ref="O1805" r:id="rId3067"/>
    <hyperlink xmlns:r="http://schemas.openxmlformats.org/officeDocument/2006/relationships" ref="P1805" r:id="rId3068"/>
    <hyperlink xmlns:r="http://schemas.openxmlformats.org/officeDocument/2006/relationships" ref="O1806" r:id="rId3069"/>
    <hyperlink xmlns:r="http://schemas.openxmlformats.org/officeDocument/2006/relationships" ref="P1806" r:id="rId3070"/>
    <hyperlink xmlns:r="http://schemas.openxmlformats.org/officeDocument/2006/relationships" ref="O1807" r:id="rId3071"/>
    <hyperlink xmlns:r="http://schemas.openxmlformats.org/officeDocument/2006/relationships" ref="P1807" r:id="rId3072"/>
    <hyperlink xmlns:r="http://schemas.openxmlformats.org/officeDocument/2006/relationships" ref="O1808" r:id="rId3073"/>
    <hyperlink xmlns:r="http://schemas.openxmlformats.org/officeDocument/2006/relationships" ref="P1808" r:id="rId3074"/>
    <hyperlink xmlns:r="http://schemas.openxmlformats.org/officeDocument/2006/relationships" ref="O1809" r:id="rId3075"/>
    <hyperlink xmlns:r="http://schemas.openxmlformats.org/officeDocument/2006/relationships" ref="P1809" r:id="rId3076"/>
    <hyperlink xmlns:r="http://schemas.openxmlformats.org/officeDocument/2006/relationships" ref="O1810" r:id="rId3077"/>
    <hyperlink xmlns:r="http://schemas.openxmlformats.org/officeDocument/2006/relationships" ref="P1810" r:id="rId3078"/>
    <hyperlink xmlns:r="http://schemas.openxmlformats.org/officeDocument/2006/relationships" ref="O1811" r:id="rId3079"/>
    <hyperlink xmlns:r="http://schemas.openxmlformats.org/officeDocument/2006/relationships" ref="P1811" r:id="rId3080"/>
    <hyperlink xmlns:r="http://schemas.openxmlformats.org/officeDocument/2006/relationships" ref="O1812" r:id="rId3081"/>
    <hyperlink xmlns:r="http://schemas.openxmlformats.org/officeDocument/2006/relationships" ref="P1812" r:id="rId3082"/>
    <hyperlink xmlns:r="http://schemas.openxmlformats.org/officeDocument/2006/relationships" ref="O1813" r:id="rId3083"/>
    <hyperlink xmlns:r="http://schemas.openxmlformats.org/officeDocument/2006/relationships" ref="P1813" r:id="rId3084"/>
    <hyperlink xmlns:r="http://schemas.openxmlformats.org/officeDocument/2006/relationships" ref="O1814" r:id="rId3085"/>
    <hyperlink xmlns:r="http://schemas.openxmlformats.org/officeDocument/2006/relationships" ref="P1814" r:id="rId3086"/>
    <hyperlink xmlns:r="http://schemas.openxmlformats.org/officeDocument/2006/relationships" ref="O1815" r:id="rId3087"/>
    <hyperlink xmlns:r="http://schemas.openxmlformats.org/officeDocument/2006/relationships" ref="P1815" r:id="rId3088"/>
    <hyperlink xmlns:r="http://schemas.openxmlformats.org/officeDocument/2006/relationships" ref="O1816" r:id="rId3089"/>
    <hyperlink xmlns:r="http://schemas.openxmlformats.org/officeDocument/2006/relationships" ref="P1816" r:id="rId3090"/>
    <hyperlink xmlns:r="http://schemas.openxmlformats.org/officeDocument/2006/relationships" ref="O1817" r:id="rId3091"/>
    <hyperlink xmlns:r="http://schemas.openxmlformats.org/officeDocument/2006/relationships" ref="P1817" r:id="rId3092"/>
    <hyperlink xmlns:r="http://schemas.openxmlformats.org/officeDocument/2006/relationships" ref="O1818" r:id="rId3093"/>
    <hyperlink xmlns:r="http://schemas.openxmlformats.org/officeDocument/2006/relationships" ref="P1818" r:id="rId3094"/>
    <hyperlink xmlns:r="http://schemas.openxmlformats.org/officeDocument/2006/relationships" ref="O1819" r:id="rId3095"/>
    <hyperlink xmlns:r="http://schemas.openxmlformats.org/officeDocument/2006/relationships" ref="P1819" r:id="rId3096"/>
    <hyperlink xmlns:r="http://schemas.openxmlformats.org/officeDocument/2006/relationships" ref="O1820" r:id="rId3097"/>
    <hyperlink xmlns:r="http://schemas.openxmlformats.org/officeDocument/2006/relationships" ref="P1820" r:id="rId3098"/>
    <hyperlink xmlns:r="http://schemas.openxmlformats.org/officeDocument/2006/relationships" ref="O1821" r:id="rId3099"/>
    <hyperlink xmlns:r="http://schemas.openxmlformats.org/officeDocument/2006/relationships" ref="P1821" r:id="rId3100"/>
    <hyperlink xmlns:r="http://schemas.openxmlformats.org/officeDocument/2006/relationships" ref="O1822" r:id="rId3101"/>
    <hyperlink xmlns:r="http://schemas.openxmlformats.org/officeDocument/2006/relationships" ref="P1822" r:id="rId3102"/>
    <hyperlink xmlns:r="http://schemas.openxmlformats.org/officeDocument/2006/relationships" ref="O1823" r:id="rId3103"/>
    <hyperlink xmlns:r="http://schemas.openxmlformats.org/officeDocument/2006/relationships" ref="P1823" r:id="rId3104"/>
    <hyperlink xmlns:r="http://schemas.openxmlformats.org/officeDocument/2006/relationships" ref="O1824" r:id="rId3105"/>
    <hyperlink xmlns:r="http://schemas.openxmlformats.org/officeDocument/2006/relationships" ref="P1824" r:id="rId3106"/>
    <hyperlink xmlns:r="http://schemas.openxmlformats.org/officeDocument/2006/relationships" ref="O1825" r:id="rId3107"/>
    <hyperlink xmlns:r="http://schemas.openxmlformats.org/officeDocument/2006/relationships" ref="P1825" r:id="rId3108"/>
    <hyperlink xmlns:r="http://schemas.openxmlformats.org/officeDocument/2006/relationships" ref="O1826" r:id="rId3109"/>
    <hyperlink xmlns:r="http://schemas.openxmlformats.org/officeDocument/2006/relationships" ref="P1826" r:id="rId3110"/>
    <hyperlink xmlns:r="http://schemas.openxmlformats.org/officeDocument/2006/relationships" ref="O1827" r:id="rId3111"/>
    <hyperlink xmlns:r="http://schemas.openxmlformats.org/officeDocument/2006/relationships" ref="P1827" r:id="rId3112"/>
    <hyperlink xmlns:r="http://schemas.openxmlformats.org/officeDocument/2006/relationships" ref="O1828" r:id="rId3113"/>
    <hyperlink xmlns:r="http://schemas.openxmlformats.org/officeDocument/2006/relationships" ref="P1828" r:id="rId3114"/>
    <hyperlink xmlns:r="http://schemas.openxmlformats.org/officeDocument/2006/relationships" ref="O1829" r:id="rId3115"/>
    <hyperlink xmlns:r="http://schemas.openxmlformats.org/officeDocument/2006/relationships" ref="P1829" r:id="rId3116"/>
    <hyperlink xmlns:r="http://schemas.openxmlformats.org/officeDocument/2006/relationships" ref="O1830" r:id="rId3117"/>
    <hyperlink xmlns:r="http://schemas.openxmlformats.org/officeDocument/2006/relationships" ref="P1830" r:id="rId3118"/>
    <hyperlink xmlns:r="http://schemas.openxmlformats.org/officeDocument/2006/relationships" ref="O1831" r:id="rId3119"/>
    <hyperlink xmlns:r="http://schemas.openxmlformats.org/officeDocument/2006/relationships" ref="P1831" r:id="rId3120"/>
    <hyperlink xmlns:r="http://schemas.openxmlformats.org/officeDocument/2006/relationships" ref="O1832" r:id="rId3121"/>
    <hyperlink xmlns:r="http://schemas.openxmlformats.org/officeDocument/2006/relationships" ref="P1832" r:id="rId3122"/>
    <hyperlink xmlns:r="http://schemas.openxmlformats.org/officeDocument/2006/relationships" ref="O1833" r:id="rId3123"/>
    <hyperlink xmlns:r="http://schemas.openxmlformats.org/officeDocument/2006/relationships" ref="P1833" r:id="rId3124"/>
    <hyperlink xmlns:r="http://schemas.openxmlformats.org/officeDocument/2006/relationships" ref="O1834" r:id="rId3125"/>
    <hyperlink xmlns:r="http://schemas.openxmlformats.org/officeDocument/2006/relationships" ref="P1834" r:id="rId3126"/>
    <hyperlink xmlns:r="http://schemas.openxmlformats.org/officeDocument/2006/relationships" ref="O1835" r:id="rId3127"/>
    <hyperlink xmlns:r="http://schemas.openxmlformats.org/officeDocument/2006/relationships" ref="P1835" r:id="rId3128"/>
    <hyperlink xmlns:r="http://schemas.openxmlformats.org/officeDocument/2006/relationships" ref="O1836" r:id="rId3129"/>
    <hyperlink xmlns:r="http://schemas.openxmlformats.org/officeDocument/2006/relationships" ref="P1836" r:id="rId3130"/>
    <hyperlink xmlns:r="http://schemas.openxmlformats.org/officeDocument/2006/relationships" ref="O1837" r:id="rId3131"/>
    <hyperlink xmlns:r="http://schemas.openxmlformats.org/officeDocument/2006/relationships" ref="P1837" r:id="rId3132"/>
    <hyperlink xmlns:r="http://schemas.openxmlformats.org/officeDocument/2006/relationships" ref="O1838" r:id="rId3133"/>
    <hyperlink xmlns:r="http://schemas.openxmlformats.org/officeDocument/2006/relationships" ref="P1838" r:id="rId3134"/>
    <hyperlink xmlns:r="http://schemas.openxmlformats.org/officeDocument/2006/relationships" ref="O1839" r:id="rId3135"/>
    <hyperlink xmlns:r="http://schemas.openxmlformats.org/officeDocument/2006/relationships" ref="P1839" r:id="rId3136"/>
    <hyperlink xmlns:r="http://schemas.openxmlformats.org/officeDocument/2006/relationships" ref="O1840" r:id="rId3137"/>
    <hyperlink xmlns:r="http://schemas.openxmlformats.org/officeDocument/2006/relationships" ref="P1840" r:id="rId3138"/>
    <hyperlink xmlns:r="http://schemas.openxmlformats.org/officeDocument/2006/relationships" ref="O1841" r:id="rId3139"/>
    <hyperlink xmlns:r="http://schemas.openxmlformats.org/officeDocument/2006/relationships" ref="P1841" r:id="rId3140"/>
    <hyperlink xmlns:r="http://schemas.openxmlformats.org/officeDocument/2006/relationships" ref="O1842" r:id="rId3141"/>
    <hyperlink xmlns:r="http://schemas.openxmlformats.org/officeDocument/2006/relationships" ref="P1842" r:id="rId3142"/>
    <hyperlink xmlns:r="http://schemas.openxmlformats.org/officeDocument/2006/relationships" ref="O1843" r:id="rId3143"/>
    <hyperlink xmlns:r="http://schemas.openxmlformats.org/officeDocument/2006/relationships" ref="P1843" r:id="rId3144"/>
    <hyperlink xmlns:r="http://schemas.openxmlformats.org/officeDocument/2006/relationships" ref="O1844" r:id="rId3145"/>
    <hyperlink xmlns:r="http://schemas.openxmlformats.org/officeDocument/2006/relationships" ref="P1844" r:id="rId3146"/>
    <hyperlink xmlns:r="http://schemas.openxmlformats.org/officeDocument/2006/relationships" ref="O1845" r:id="rId3147"/>
    <hyperlink xmlns:r="http://schemas.openxmlformats.org/officeDocument/2006/relationships" ref="P1845" r:id="rId3148"/>
    <hyperlink xmlns:r="http://schemas.openxmlformats.org/officeDocument/2006/relationships" ref="O1846" r:id="rId3149"/>
    <hyperlink xmlns:r="http://schemas.openxmlformats.org/officeDocument/2006/relationships" ref="P1846" r:id="rId3150"/>
    <hyperlink xmlns:r="http://schemas.openxmlformats.org/officeDocument/2006/relationships" ref="O1847" r:id="rId3151"/>
    <hyperlink xmlns:r="http://schemas.openxmlformats.org/officeDocument/2006/relationships" ref="P1847" r:id="rId3152"/>
    <hyperlink xmlns:r="http://schemas.openxmlformats.org/officeDocument/2006/relationships" ref="O1848" r:id="rId3153"/>
    <hyperlink xmlns:r="http://schemas.openxmlformats.org/officeDocument/2006/relationships" ref="P1848" r:id="rId3154"/>
    <hyperlink xmlns:r="http://schemas.openxmlformats.org/officeDocument/2006/relationships" ref="O1849" r:id="rId3155"/>
    <hyperlink xmlns:r="http://schemas.openxmlformats.org/officeDocument/2006/relationships" ref="P1849" r:id="rId3156"/>
    <hyperlink xmlns:r="http://schemas.openxmlformats.org/officeDocument/2006/relationships" ref="O1850" r:id="rId3157"/>
    <hyperlink xmlns:r="http://schemas.openxmlformats.org/officeDocument/2006/relationships" ref="P1850" r:id="rId3158"/>
    <hyperlink xmlns:r="http://schemas.openxmlformats.org/officeDocument/2006/relationships" ref="O1851" r:id="rId3159"/>
    <hyperlink xmlns:r="http://schemas.openxmlformats.org/officeDocument/2006/relationships" ref="P1851" r:id="rId3160"/>
    <hyperlink xmlns:r="http://schemas.openxmlformats.org/officeDocument/2006/relationships" ref="O1852" r:id="rId3161"/>
    <hyperlink xmlns:r="http://schemas.openxmlformats.org/officeDocument/2006/relationships" ref="P1852" r:id="rId3162"/>
    <hyperlink xmlns:r="http://schemas.openxmlformats.org/officeDocument/2006/relationships" ref="O1853" r:id="rId3163"/>
    <hyperlink xmlns:r="http://schemas.openxmlformats.org/officeDocument/2006/relationships" ref="P1853" r:id="rId3164"/>
    <hyperlink xmlns:r="http://schemas.openxmlformats.org/officeDocument/2006/relationships" ref="O1854" r:id="rId3165"/>
    <hyperlink xmlns:r="http://schemas.openxmlformats.org/officeDocument/2006/relationships" ref="P1854" r:id="rId3166"/>
    <hyperlink xmlns:r="http://schemas.openxmlformats.org/officeDocument/2006/relationships" ref="O1855" r:id="rId3167"/>
    <hyperlink xmlns:r="http://schemas.openxmlformats.org/officeDocument/2006/relationships" ref="P1855" r:id="rId3168"/>
    <hyperlink xmlns:r="http://schemas.openxmlformats.org/officeDocument/2006/relationships" ref="O1856" r:id="rId3169"/>
    <hyperlink xmlns:r="http://schemas.openxmlformats.org/officeDocument/2006/relationships" ref="P1856" r:id="rId3170"/>
    <hyperlink xmlns:r="http://schemas.openxmlformats.org/officeDocument/2006/relationships" ref="O1857" r:id="rId3171"/>
    <hyperlink xmlns:r="http://schemas.openxmlformats.org/officeDocument/2006/relationships" ref="P1857" r:id="rId3172"/>
    <hyperlink xmlns:r="http://schemas.openxmlformats.org/officeDocument/2006/relationships" ref="O1858" r:id="rId3173"/>
    <hyperlink xmlns:r="http://schemas.openxmlformats.org/officeDocument/2006/relationships" ref="P1858" r:id="rId3174"/>
    <hyperlink xmlns:r="http://schemas.openxmlformats.org/officeDocument/2006/relationships" ref="O1859" r:id="rId3175"/>
    <hyperlink xmlns:r="http://schemas.openxmlformats.org/officeDocument/2006/relationships" ref="P1859" r:id="rId3176"/>
    <hyperlink xmlns:r="http://schemas.openxmlformats.org/officeDocument/2006/relationships" ref="O1860" r:id="rId3177"/>
    <hyperlink xmlns:r="http://schemas.openxmlformats.org/officeDocument/2006/relationships" ref="P1860" r:id="rId3178"/>
    <hyperlink xmlns:r="http://schemas.openxmlformats.org/officeDocument/2006/relationships" ref="O1861" r:id="rId3179"/>
    <hyperlink xmlns:r="http://schemas.openxmlformats.org/officeDocument/2006/relationships" ref="P1861" r:id="rId3180"/>
    <hyperlink xmlns:r="http://schemas.openxmlformats.org/officeDocument/2006/relationships" ref="O1862" r:id="rId3181"/>
    <hyperlink xmlns:r="http://schemas.openxmlformats.org/officeDocument/2006/relationships" ref="P1862" r:id="rId3182"/>
    <hyperlink xmlns:r="http://schemas.openxmlformats.org/officeDocument/2006/relationships" ref="O1863" r:id="rId3183"/>
    <hyperlink xmlns:r="http://schemas.openxmlformats.org/officeDocument/2006/relationships" ref="P1863" r:id="rId3184"/>
    <hyperlink xmlns:r="http://schemas.openxmlformats.org/officeDocument/2006/relationships" ref="O1864" r:id="rId3185"/>
    <hyperlink xmlns:r="http://schemas.openxmlformats.org/officeDocument/2006/relationships" ref="P1864" r:id="rId3186"/>
    <hyperlink xmlns:r="http://schemas.openxmlformats.org/officeDocument/2006/relationships" ref="O1865" r:id="rId3187"/>
    <hyperlink xmlns:r="http://schemas.openxmlformats.org/officeDocument/2006/relationships" ref="P1865" r:id="rId3188"/>
    <hyperlink xmlns:r="http://schemas.openxmlformats.org/officeDocument/2006/relationships" ref="O1866" r:id="rId3189"/>
    <hyperlink xmlns:r="http://schemas.openxmlformats.org/officeDocument/2006/relationships" ref="P1866" r:id="rId3190"/>
    <hyperlink xmlns:r="http://schemas.openxmlformats.org/officeDocument/2006/relationships" ref="O1867" r:id="rId3191"/>
    <hyperlink xmlns:r="http://schemas.openxmlformats.org/officeDocument/2006/relationships" ref="P1867" r:id="rId3192"/>
    <hyperlink xmlns:r="http://schemas.openxmlformats.org/officeDocument/2006/relationships" ref="O1868" r:id="rId3193"/>
    <hyperlink xmlns:r="http://schemas.openxmlformats.org/officeDocument/2006/relationships" ref="P1868" r:id="rId3194"/>
    <hyperlink xmlns:r="http://schemas.openxmlformats.org/officeDocument/2006/relationships" ref="O1869" r:id="rId3195"/>
    <hyperlink xmlns:r="http://schemas.openxmlformats.org/officeDocument/2006/relationships" ref="P1869" r:id="rId3196"/>
    <hyperlink xmlns:r="http://schemas.openxmlformats.org/officeDocument/2006/relationships" ref="O1870" r:id="rId3197"/>
    <hyperlink xmlns:r="http://schemas.openxmlformats.org/officeDocument/2006/relationships" ref="P1870" r:id="rId3198"/>
    <hyperlink xmlns:r="http://schemas.openxmlformats.org/officeDocument/2006/relationships" ref="O1871" r:id="rId3199"/>
    <hyperlink xmlns:r="http://schemas.openxmlformats.org/officeDocument/2006/relationships" ref="P1871" r:id="rId3200"/>
    <hyperlink xmlns:r="http://schemas.openxmlformats.org/officeDocument/2006/relationships" ref="O1872" r:id="rId3201"/>
    <hyperlink xmlns:r="http://schemas.openxmlformats.org/officeDocument/2006/relationships" ref="P1872" r:id="rId3202"/>
    <hyperlink xmlns:r="http://schemas.openxmlformats.org/officeDocument/2006/relationships" ref="O1873" r:id="rId3203"/>
    <hyperlink xmlns:r="http://schemas.openxmlformats.org/officeDocument/2006/relationships" ref="P1873" r:id="rId3204"/>
    <hyperlink xmlns:r="http://schemas.openxmlformats.org/officeDocument/2006/relationships" ref="O1874" r:id="rId3205"/>
    <hyperlink xmlns:r="http://schemas.openxmlformats.org/officeDocument/2006/relationships" ref="P1874" r:id="rId3206"/>
    <hyperlink xmlns:r="http://schemas.openxmlformats.org/officeDocument/2006/relationships" ref="O1875" r:id="rId3207"/>
    <hyperlink xmlns:r="http://schemas.openxmlformats.org/officeDocument/2006/relationships" ref="P1875" r:id="rId3208"/>
    <hyperlink xmlns:r="http://schemas.openxmlformats.org/officeDocument/2006/relationships" ref="O1876" r:id="rId3209"/>
    <hyperlink xmlns:r="http://schemas.openxmlformats.org/officeDocument/2006/relationships" ref="P1876" r:id="rId3210"/>
    <hyperlink xmlns:r="http://schemas.openxmlformats.org/officeDocument/2006/relationships" ref="O1877" r:id="rId3211"/>
    <hyperlink xmlns:r="http://schemas.openxmlformats.org/officeDocument/2006/relationships" ref="P1877" r:id="rId3212"/>
    <hyperlink xmlns:r="http://schemas.openxmlformats.org/officeDocument/2006/relationships" ref="O1878" r:id="rId3213"/>
    <hyperlink xmlns:r="http://schemas.openxmlformats.org/officeDocument/2006/relationships" ref="P1878" r:id="rId3214"/>
    <hyperlink xmlns:r="http://schemas.openxmlformats.org/officeDocument/2006/relationships" ref="O1879" r:id="rId3215"/>
    <hyperlink xmlns:r="http://schemas.openxmlformats.org/officeDocument/2006/relationships" ref="P1879" r:id="rId3216"/>
    <hyperlink xmlns:r="http://schemas.openxmlformats.org/officeDocument/2006/relationships" ref="O1880" r:id="rId3217"/>
    <hyperlink xmlns:r="http://schemas.openxmlformats.org/officeDocument/2006/relationships" ref="P1880" r:id="rId3218"/>
    <hyperlink xmlns:r="http://schemas.openxmlformats.org/officeDocument/2006/relationships" ref="O1881" r:id="rId3219"/>
    <hyperlink xmlns:r="http://schemas.openxmlformats.org/officeDocument/2006/relationships" ref="P1881" r:id="rId3220"/>
    <hyperlink xmlns:r="http://schemas.openxmlformats.org/officeDocument/2006/relationships" ref="O1882" r:id="rId3221"/>
    <hyperlink xmlns:r="http://schemas.openxmlformats.org/officeDocument/2006/relationships" ref="P1882" r:id="rId3222"/>
    <hyperlink xmlns:r="http://schemas.openxmlformats.org/officeDocument/2006/relationships" ref="O1883" r:id="rId3223"/>
    <hyperlink xmlns:r="http://schemas.openxmlformats.org/officeDocument/2006/relationships" ref="P1883" r:id="rId3224"/>
    <hyperlink xmlns:r="http://schemas.openxmlformats.org/officeDocument/2006/relationships" ref="O1884" r:id="rId3225"/>
    <hyperlink xmlns:r="http://schemas.openxmlformats.org/officeDocument/2006/relationships" ref="P1884" r:id="rId3226"/>
    <hyperlink xmlns:r="http://schemas.openxmlformats.org/officeDocument/2006/relationships" ref="O1885" r:id="rId3227"/>
    <hyperlink xmlns:r="http://schemas.openxmlformats.org/officeDocument/2006/relationships" ref="P1885" r:id="rId3228"/>
    <hyperlink xmlns:r="http://schemas.openxmlformats.org/officeDocument/2006/relationships" ref="O1886" r:id="rId3229"/>
    <hyperlink xmlns:r="http://schemas.openxmlformats.org/officeDocument/2006/relationships" ref="P1886" r:id="rId3230"/>
    <hyperlink xmlns:r="http://schemas.openxmlformats.org/officeDocument/2006/relationships" ref="O1887" r:id="rId3231"/>
    <hyperlink xmlns:r="http://schemas.openxmlformats.org/officeDocument/2006/relationships" ref="P1887" r:id="rId3232"/>
    <hyperlink xmlns:r="http://schemas.openxmlformats.org/officeDocument/2006/relationships" ref="O1888" r:id="rId3233"/>
    <hyperlink xmlns:r="http://schemas.openxmlformats.org/officeDocument/2006/relationships" ref="P1888" r:id="rId3234"/>
    <hyperlink xmlns:r="http://schemas.openxmlformats.org/officeDocument/2006/relationships" ref="O1889" r:id="rId3235"/>
    <hyperlink xmlns:r="http://schemas.openxmlformats.org/officeDocument/2006/relationships" ref="P1889" r:id="rId3236"/>
    <hyperlink xmlns:r="http://schemas.openxmlformats.org/officeDocument/2006/relationships" ref="O1890" r:id="rId3237"/>
    <hyperlink xmlns:r="http://schemas.openxmlformats.org/officeDocument/2006/relationships" ref="P1890" r:id="rId3238"/>
    <hyperlink xmlns:r="http://schemas.openxmlformats.org/officeDocument/2006/relationships" ref="O1891" r:id="rId3239"/>
    <hyperlink xmlns:r="http://schemas.openxmlformats.org/officeDocument/2006/relationships" ref="P1891" r:id="rId3240"/>
    <hyperlink xmlns:r="http://schemas.openxmlformats.org/officeDocument/2006/relationships" ref="O1892" r:id="rId3241"/>
    <hyperlink xmlns:r="http://schemas.openxmlformats.org/officeDocument/2006/relationships" ref="P1892" r:id="rId3242"/>
    <hyperlink xmlns:r="http://schemas.openxmlformats.org/officeDocument/2006/relationships" ref="O1893" r:id="rId3243"/>
    <hyperlink xmlns:r="http://schemas.openxmlformats.org/officeDocument/2006/relationships" ref="P1893" r:id="rId3244"/>
    <hyperlink xmlns:r="http://schemas.openxmlformats.org/officeDocument/2006/relationships" ref="O1894" r:id="rId3245"/>
    <hyperlink xmlns:r="http://schemas.openxmlformats.org/officeDocument/2006/relationships" ref="P1894" r:id="rId3246"/>
    <hyperlink xmlns:r="http://schemas.openxmlformats.org/officeDocument/2006/relationships" ref="O1895" r:id="rId3247"/>
    <hyperlink xmlns:r="http://schemas.openxmlformats.org/officeDocument/2006/relationships" ref="P1895" r:id="rId3248"/>
    <hyperlink xmlns:r="http://schemas.openxmlformats.org/officeDocument/2006/relationships" ref="O1896" r:id="rId3249"/>
    <hyperlink xmlns:r="http://schemas.openxmlformats.org/officeDocument/2006/relationships" ref="P1896" r:id="rId3250"/>
    <hyperlink xmlns:r="http://schemas.openxmlformats.org/officeDocument/2006/relationships" ref="O1897" r:id="rId3251"/>
    <hyperlink xmlns:r="http://schemas.openxmlformats.org/officeDocument/2006/relationships" ref="P1897" r:id="rId3252"/>
    <hyperlink xmlns:r="http://schemas.openxmlformats.org/officeDocument/2006/relationships" ref="O1898" r:id="rId3253"/>
    <hyperlink xmlns:r="http://schemas.openxmlformats.org/officeDocument/2006/relationships" ref="P1898" r:id="rId3254"/>
    <hyperlink xmlns:r="http://schemas.openxmlformats.org/officeDocument/2006/relationships" ref="O1899" r:id="rId3255"/>
    <hyperlink xmlns:r="http://schemas.openxmlformats.org/officeDocument/2006/relationships" ref="P1899" r:id="rId3256"/>
    <hyperlink xmlns:r="http://schemas.openxmlformats.org/officeDocument/2006/relationships" ref="O1900" r:id="rId3257"/>
    <hyperlink xmlns:r="http://schemas.openxmlformats.org/officeDocument/2006/relationships" ref="P1900" r:id="rId3258"/>
    <hyperlink xmlns:r="http://schemas.openxmlformats.org/officeDocument/2006/relationships" ref="O1901" r:id="rId3259"/>
    <hyperlink xmlns:r="http://schemas.openxmlformats.org/officeDocument/2006/relationships" ref="P1901" r:id="rId3260"/>
    <hyperlink xmlns:r="http://schemas.openxmlformats.org/officeDocument/2006/relationships" ref="O1902" r:id="rId3261"/>
    <hyperlink xmlns:r="http://schemas.openxmlformats.org/officeDocument/2006/relationships" ref="P1902" r:id="rId3262"/>
    <hyperlink xmlns:r="http://schemas.openxmlformats.org/officeDocument/2006/relationships" ref="O1903" r:id="rId3263"/>
    <hyperlink xmlns:r="http://schemas.openxmlformats.org/officeDocument/2006/relationships" ref="P1903" r:id="rId3264"/>
    <hyperlink xmlns:r="http://schemas.openxmlformats.org/officeDocument/2006/relationships" ref="O1904" r:id="rId3265"/>
    <hyperlink xmlns:r="http://schemas.openxmlformats.org/officeDocument/2006/relationships" ref="P1904" r:id="rId3266"/>
    <hyperlink xmlns:r="http://schemas.openxmlformats.org/officeDocument/2006/relationships" ref="O1905" r:id="rId3267"/>
    <hyperlink xmlns:r="http://schemas.openxmlformats.org/officeDocument/2006/relationships" ref="P1905" r:id="rId3268"/>
    <hyperlink xmlns:r="http://schemas.openxmlformats.org/officeDocument/2006/relationships" ref="O1906" r:id="rId3269"/>
    <hyperlink xmlns:r="http://schemas.openxmlformats.org/officeDocument/2006/relationships" ref="P1906" r:id="rId3270"/>
    <hyperlink xmlns:r="http://schemas.openxmlformats.org/officeDocument/2006/relationships" ref="O1907" r:id="rId3271"/>
    <hyperlink xmlns:r="http://schemas.openxmlformats.org/officeDocument/2006/relationships" ref="P1907" r:id="rId3272"/>
    <hyperlink xmlns:r="http://schemas.openxmlformats.org/officeDocument/2006/relationships" ref="O1908" r:id="rId3273"/>
    <hyperlink xmlns:r="http://schemas.openxmlformats.org/officeDocument/2006/relationships" ref="P1908" r:id="rId3274"/>
    <hyperlink xmlns:r="http://schemas.openxmlformats.org/officeDocument/2006/relationships" ref="O1909" r:id="rId3275"/>
    <hyperlink xmlns:r="http://schemas.openxmlformats.org/officeDocument/2006/relationships" ref="P1909" r:id="rId3276"/>
    <hyperlink xmlns:r="http://schemas.openxmlformats.org/officeDocument/2006/relationships" ref="O1910" r:id="rId3277"/>
    <hyperlink xmlns:r="http://schemas.openxmlformats.org/officeDocument/2006/relationships" ref="P1910" r:id="rId3278"/>
    <hyperlink xmlns:r="http://schemas.openxmlformats.org/officeDocument/2006/relationships" ref="O1911" r:id="rId3279"/>
    <hyperlink xmlns:r="http://schemas.openxmlformats.org/officeDocument/2006/relationships" ref="P1911" r:id="rId3280"/>
    <hyperlink xmlns:r="http://schemas.openxmlformats.org/officeDocument/2006/relationships" ref="O1912" r:id="rId3281"/>
    <hyperlink xmlns:r="http://schemas.openxmlformats.org/officeDocument/2006/relationships" ref="P1912" r:id="rId3282"/>
    <hyperlink xmlns:r="http://schemas.openxmlformats.org/officeDocument/2006/relationships" ref="O1913" r:id="rId3283"/>
    <hyperlink xmlns:r="http://schemas.openxmlformats.org/officeDocument/2006/relationships" ref="P1913" r:id="rId3284"/>
    <hyperlink xmlns:r="http://schemas.openxmlformats.org/officeDocument/2006/relationships" ref="O1914" r:id="rId3285"/>
    <hyperlink xmlns:r="http://schemas.openxmlformats.org/officeDocument/2006/relationships" ref="P1914" r:id="rId3286"/>
    <hyperlink xmlns:r="http://schemas.openxmlformats.org/officeDocument/2006/relationships" ref="O1915" r:id="rId3287"/>
    <hyperlink xmlns:r="http://schemas.openxmlformats.org/officeDocument/2006/relationships" ref="P1915" r:id="rId3288"/>
    <hyperlink xmlns:r="http://schemas.openxmlformats.org/officeDocument/2006/relationships" ref="O1916" r:id="rId3289"/>
    <hyperlink xmlns:r="http://schemas.openxmlformats.org/officeDocument/2006/relationships" ref="P1916" r:id="rId3290"/>
    <hyperlink xmlns:r="http://schemas.openxmlformats.org/officeDocument/2006/relationships" ref="O1917" r:id="rId3291"/>
    <hyperlink xmlns:r="http://schemas.openxmlformats.org/officeDocument/2006/relationships" ref="P1917" r:id="rId3292"/>
    <hyperlink xmlns:r="http://schemas.openxmlformats.org/officeDocument/2006/relationships" ref="O1918" r:id="rId3293"/>
    <hyperlink xmlns:r="http://schemas.openxmlformats.org/officeDocument/2006/relationships" ref="P1918" r:id="rId3294"/>
    <hyperlink xmlns:r="http://schemas.openxmlformats.org/officeDocument/2006/relationships" ref="O1919" r:id="rId3295"/>
    <hyperlink xmlns:r="http://schemas.openxmlformats.org/officeDocument/2006/relationships" ref="P1919" r:id="rId3296"/>
    <hyperlink xmlns:r="http://schemas.openxmlformats.org/officeDocument/2006/relationships" ref="O1920" r:id="rId3297"/>
    <hyperlink xmlns:r="http://schemas.openxmlformats.org/officeDocument/2006/relationships" ref="P1920" r:id="rId3298"/>
    <hyperlink xmlns:r="http://schemas.openxmlformats.org/officeDocument/2006/relationships" ref="O1921" r:id="rId3299"/>
    <hyperlink xmlns:r="http://schemas.openxmlformats.org/officeDocument/2006/relationships" ref="P1921" r:id="rId3300"/>
    <hyperlink xmlns:r="http://schemas.openxmlformats.org/officeDocument/2006/relationships" ref="O1922" r:id="rId3301"/>
    <hyperlink xmlns:r="http://schemas.openxmlformats.org/officeDocument/2006/relationships" ref="P1922" r:id="rId3302"/>
    <hyperlink xmlns:r="http://schemas.openxmlformats.org/officeDocument/2006/relationships" ref="O1923" r:id="rId3303"/>
    <hyperlink xmlns:r="http://schemas.openxmlformats.org/officeDocument/2006/relationships" ref="P1923" r:id="rId3304"/>
    <hyperlink xmlns:r="http://schemas.openxmlformats.org/officeDocument/2006/relationships" ref="O1924" r:id="rId3305"/>
    <hyperlink xmlns:r="http://schemas.openxmlformats.org/officeDocument/2006/relationships" ref="P1924" r:id="rId3306"/>
    <hyperlink xmlns:r="http://schemas.openxmlformats.org/officeDocument/2006/relationships" ref="O1925" r:id="rId3307"/>
    <hyperlink xmlns:r="http://schemas.openxmlformats.org/officeDocument/2006/relationships" ref="P1925" r:id="rId3308"/>
    <hyperlink xmlns:r="http://schemas.openxmlformats.org/officeDocument/2006/relationships" ref="O1926" r:id="rId3309"/>
    <hyperlink xmlns:r="http://schemas.openxmlformats.org/officeDocument/2006/relationships" ref="P1926" r:id="rId3310"/>
    <hyperlink xmlns:r="http://schemas.openxmlformats.org/officeDocument/2006/relationships" ref="O1927" r:id="rId3311"/>
    <hyperlink xmlns:r="http://schemas.openxmlformats.org/officeDocument/2006/relationships" ref="P1927" r:id="rId3312"/>
    <hyperlink xmlns:r="http://schemas.openxmlformats.org/officeDocument/2006/relationships" ref="O1928" r:id="rId3313"/>
    <hyperlink xmlns:r="http://schemas.openxmlformats.org/officeDocument/2006/relationships" ref="P1928" r:id="rId3314"/>
    <hyperlink xmlns:r="http://schemas.openxmlformats.org/officeDocument/2006/relationships" ref="O1929" r:id="rId3315"/>
    <hyperlink xmlns:r="http://schemas.openxmlformats.org/officeDocument/2006/relationships" ref="P1929" r:id="rId3316"/>
    <hyperlink xmlns:r="http://schemas.openxmlformats.org/officeDocument/2006/relationships" ref="O1930" r:id="rId3317"/>
    <hyperlink xmlns:r="http://schemas.openxmlformats.org/officeDocument/2006/relationships" ref="P1930" r:id="rId3318"/>
    <hyperlink xmlns:r="http://schemas.openxmlformats.org/officeDocument/2006/relationships" ref="O1931" r:id="rId3319"/>
    <hyperlink xmlns:r="http://schemas.openxmlformats.org/officeDocument/2006/relationships" ref="P1931" r:id="rId3320"/>
    <hyperlink xmlns:r="http://schemas.openxmlformats.org/officeDocument/2006/relationships" ref="O1932" r:id="rId3321"/>
    <hyperlink xmlns:r="http://schemas.openxmlformats.org/officeDocument/2006/relationships" ref="P1932" r:id="rId3322"/>
    <hyperlink xmlns:r="http://schemas.openxmlformats.org/officeDocument/2006/relationships" ref="O1933" r:id="rId3323"/>
    <hyperlink xmlns:r="http://schemas.openxmlformats.org/officeDocument/2006/relationships" ref="P1933" r:id="rId3324"/>
    <hyperlink xmlns:r="http://schemas.openxmlformats.org/officeDocument/2006/relationships" ref="O1934" r:id="rId3325"/>
    <hyperlink xmlns:r="http://schemas.openxmlformats.org/officeDocument/2006/relationships" ref="P1934" r:id="rId3326"/>
    <hyperlink xmlns:r="http://schemas.openxmlformats.org/officeDocument/2006/relationships" ref="O1935" r:id="rId3327"/>
    <hyperlink xmlns:r="http://schemas.openxmlformats.org/officeDocument/2006/relationships" ref="P1935" r:id="rId3328"/>
    <hyperlink xmlns:r="http://schemas.openxmlformats.org/officeDocument/2006/relationships" ref="O1936" r:id="rId3329"/>
    <hyperlink xmlns:r="http://schemas.openxmlformats.org/officeDocument/2006/relationships" ref="P1936" r:id="rId3330"/>
    <hyperlink xmlns:r="http://schemas.openxmlformats.org/officeDocument/2006/relationships" ref="O1937" r:id="rId3331"/>
    <hyperlink xmlns:r="http://schemas.openxmlformats.org/officeDocument/2006/relationships" ref="P1937" r:id="rId3332"/>
    <hyperlink xmlns:r="http://schemas.openxmlformats.org/officeDocument/2006/relationships" ref="O1938" r:id="rId3333"/>
    <hyperlink xmlns:r="http://schemas.openxmlformats.org/officeDocument/2006/relationships" ref="P1938" r:id="rId3334"/>
    <hyperlink xmlns:r="http://schemas.openxmlformats.org/officeDocument/2006/relationships" ref="O1939" r:id="rId3335"/>
    <hyperlink xmlns:r="http://schemas.openxmlformats.org/officeDocument/2006/relationships" ref="P1939" r:id="rId3336"/>
    <hyperlink xmlns:r="http://schemas.openxmlformats.org/officeDocument/2006/relationships" ref="O1940" r:id="rId3337"/>
    <hyperlink xmlns:r="http://schemas.openxmlformats.org/officeDocument/2006/relationships" ref="P1940" r:id="rId3338"/>
    <hyperlink xmlns:r="http://schemas.openxmlformats.org/officeDocument/2006/relationships" ref="O1941" r:id="rId3339"/>
    <hyperlink xmlns:r="http://schemas.openxmlformats.org/officeDocument/2006/relationships" ref="P1941" r:id="rId3340"/>
    <hyperlink xmlns:r="http://schemas.openxmlformats.org/officeDocument/2006/relationships" ref="O1942" r:id="rId3341"/>
    <hyperlink xmlns:r="http://schemas.openxmlformats.org/officeDocument/2006/relationships" ref="P1942" r:id="rId3342"/>
    <hyperlink xmlns:r="http://schemas.openxmlformats.org/officeDocument/2006/relationships" ref="O1943" r:id="rId3343"/>
    <hyperlink xmlns:r="http://schemas.openxmlformats.org/officeDocument/2006/relationships" ref="P1943" r:id="rId3344"/>
    <hyperlink xmlns:r="http://schemas.openxmlformats.org/officeDocument/2006/relationships" ref="O1944" r:id="rId3345"/>
    <hyperlink xmlns:r="http://schemas.openxmlformats.org/officeDocument/2006/relationships" ref="P1944" r:id="rId3346"/>
    <hyperlink xmlns:r="http://schemas.openxmlformats.org/officeDocument/2006/relationships" ref="O1945" r:id="rId3347"/>
    <hyperlink xmlns:r="http://schemas.openxmlformats.org/officeDocument/2006/relationships" ref="P1945" r:id="rId3348"/>
    <hyperlink xmlns:r="http://schemas.openxmlformats.org/officeDocument/2006/relationships" ref="O1946" r:id="rId3349"/>
    <hyperlink xmlns:r="http://schemas.openxmlformats.org/officeDocument/2006/relationships" ref="P1946" r:id="rId3350"/>
    <hyperlink xmlns:r="http://schemas.openxmlformats.org/officeDocument/2006/relationships" ref="O1947" r:id="rId3351"/>
    <hyperlink xmlns:r="http://schemas.openxmlformats.org/officeDocument/2006/relationships" ref="P1947" r:id="rId3352"/>
    <hyperlink xmlns:r="http://schemas.openxmlformats.org/officeDocument/2006/relationships" ref="O1948" r:id="rId3353"/>
    <hyperlink xmlns:r="http://schemas.openxmlformats.org/officeDocument/2006/relationships" ref="P1948" r:id="rId3354"/>
    <hyperlink xmlns:r="http://schemas.openxmlformats.org/officeDocument/2006/relationships" ref="O1949" r:id="rId3355"/>
    <hyperlink xmlns:r="http://schemas.openxmlformats.org/officeDocument/2006/relationships" ref="P1949" r:id="rId3356"/>
    <hyperlink xmlns:r="http://schemas.openxmlformats.org/officeDocument/2006/relationships" ref="O1950" r:id="rId3357"/>
    <hyperlink xmlns:r="http://schemas.openxmlformats.org/officeDocument/2006/relationships" ref="P1950" r:id="rId3358"/>
    <hyperlink xmlns:r="http://schemas.openxmlformats.org/officeDocument/2006/relationships" ref="O1951" r:id="rId3359"/>
    <hyperlink xmlns:r="http://schemas.openxmlformats.org/officeDocument/2006/relationships" ref="P1951" r:id="rId3360"/>
    <hyperlink xmlns:r="http://schemas.openxmlformats.org/officeDocument/2006/relationships" ref="O1952" r:id="rId3361"/>
    <hyperlink xmlns:r="http://schemas.openxmlformats.org/officeDocument/2006/relationships" ref="P1952" r:id="rId3362"/>
    <hyperlink xmlns:r="http://schemas.openxmlformats.org/officeDocument/2006/relationships" ref="O1953" r:id="rId3363"/>
    <hyperlink xmlns:r="http://schemas.openxmlformats.org/officeDocument/2006/relationships" ref="P1953" r:id="rId3364"/>
    <hyperlink xmlns:r="http://schemas.openxmlformats.org/officeDocument/2006/relationships" ref="O1954" r:id="rId3365"/>
    <hyperlink xmlns:r="http://schemas.openxmlformats.org/officeDocument/2006/relationships" ref="P1954" r:id="rId3366"/>
    <hyperlink xmlns:r="http://schemas.openxmlformats.org/officeDocument/2006/relationships" ref="O1955" r:id="rId3367"/>
    <hyperlink xmlns:r="http://schemas.openxmlformats.org/officeDocument/2006/relationships" ref="P1955" r:id="rId3368"/>
    <hyperlink xmlns:r="http://schemas.openxmlformats.org/officeDocument/2006/relationships" ref="O1956" r:id="rId3369"/>
    <hyperlink xmlns:r="http://schemas.openxmlformats.org/officeDocument/2006/relationships" ref="P1956" r:id="rId3370"/>
    <hyperlink xmlns:r="http://schemas.openxmlformats.org/officeDocument/2006/relationships" ref="O1957" r:id="rId3371"/>
    <hyperlink xmlns:r="http://schemas.openxmlformats.org/officeDocument/2006/relationships" ref="P1957" r:id="rId3372"/>
    <hyperlink xmlns:r="http://schemas.openxmlformats.org/officeDocument/2006/relationships" ref="O1958" r:id="rId3373"/>
    <hyperlink xmlns:r="http://schemas.openxmlformats.org/officeDocument/2006/relationships" ref="P1958" r:id="rId3374"/>
    <hyperlink xmlns:r="http://schemas.openxmlformats.org/officeDocument/2006/relationships" ref="O1959" r:id="rId3375"/>
    <hyperlink xmlns:r="http://schemas.openxmlformats.org/officeDocument/2006/relationships" ref="P1959" r:id="rId3376"/>
    <hyperlink xmlns:r="http://schemas.openxmlformats.org/officeDocument/2006/relationships" ref="O1960" r:id="rId3377"/>
    <hyperlink xmlns:r="http://schemas.openxmlformats.org/officeDocument/2006/relationships" ref="P1960" r:id="rId3378"/>
    <hyperlink xmlns:r="http://schemas.openxmlformats.org/officeDocument/2006/relationships" ref="O1961" r:id="rId3379"/>
    <hyperlink xmlns:r="http://schemas.openxmlformats.org/officeDocument/2006/relationships" ref="P1961" r:id="rId3380"/>
    <hyperlink xmlns:r="http://schemas.openxmlformats.org/officeDocument/2006/relationships" ref="O1962" r:id="rId3381"/>
    <hyperlink xmlns:r="http://schemas.openxmlformats.org/officeDocument/2006/relationships" ref="P1962" r:id="rId3382"/>
    <hyperlink xmlns:r="http://schemas.openxmlformats.org/officeDocument/2006/relationships" ref="O1963" r:id="rId3383"/>
    <hyperlink xmlns:r="http://schemas.openxmlformats.org/officeDocument/2006/relationships" ref="P1963" r:id="rId3384"/>
    <hyperlink xmlns:r="http://schemas.openxmlformats.org/officeDocument/2006/relationships" ref="O1964" r:id="rId3385"/>
    <hyperlink xmlns:r="http://schemas.openxmlformats.org/officeDocument/2006/relationships" ref="P1964" r:id="rId3386"/>
    <hyperlink xmlns:r="http://schemas.openxmlformats.org/officeDocument/2006/relationships" ref="O1965" r:id="rId3387"/>
    <hyperlink xmlns:r="http://schemas.openxmlformats.org/officeDocument/2006/relationships" ref="P1965" r:id="rId3388"/>
    <hyperlink xmlns:r="http://schemas.openxmlformats.org/officeDocument/2006/relationships" ref="O1966" r:id="rId3389"/>
    <hyperlink xmlns:r="http://schemas.openxmlformats.org/officeDocument/2006/relationships" ref="P1966" r:id="rId3390"/>
    <hyperlink xmlns:r="http://schemas.openxmlformats.org/officeDocument/2006/relationships" ref="O1967" r:id="rId3391"/>
    <hyperlink xmlns:r="http://schemas.openxmlformats.org/officeDocument/2006/relationships" ref="P1967" r:id="rId3392"/>
    <hyperlink xmlns:r="http://schemas.openxmlformats.org/officeDocument/2006/relationships" ref="O1968" r:id="rId3393"/>
    <hyperlink xmlns:r="http://schemas.openxmlformats.org/officeDocument/2006/relationships" ref="P1968" r:id="rId3394"/>
    <hyperlink xmlns:r="http://schemas.openxmlformats.org/officeDocument/2006/relationships" ref="O1969" r:id="rId3395"/>
    <hyperlink xmlns:r="http://schemas.openxmlformats.org/officeDocument/2006/relationships" ref="P1969" r:id="rId3396"/>
    <hyperlink xmlns:r="http://schemas.openxmlformats.org/officeDocument/2006/relationships" ref="O1970" r:id="rId3397"/>
    <hyperlink xmlns:r="http://schemas.openxmlformats.org/officeDocument/2006/relationships" ref="P1970" r:id="rId3398"/>
    <hyperlink xmlns:r="http://schemas.openxmlformats.org/officeDocument/2006/relationships" ref="O1971" r:id="rId3399"/>
    <hyperlink xmlns:r="http://schemas.openxmlformats.org/officeDocument/2006/relationships" ref="P1971" r:id="rId3400"/>
    <hyperlink xmlns:r="http://schemas.openxmlformats.org/officeDocument/2006/relationships" ref="O1972" r:id="rId3401"/>
    <hyperlink xmlns:r="http://schemas.openxmlformats.org/officeDocument/2006/relationships" ref="P1972" r:id="rId3402"/>
    <hyperlink xmlns:r="http://schemas.openxmlformats.org/officeDocument/2006/relationships" ref="O1973" r:id="rId3403"/>
    <hyperlink xmlns:r="http://schemas.openxmlformats.org/officeDocument/2006/relationships" ref="P1973" r:id="rId3404"/>
    <hyperlink xmlns:r="http://schemas.openxmlformats.org/officeDocument/2006/relationships" ref="O1974" r:id="rId3405"/>
    <hyperlink xmlns:r="http://schemas.openxmlformats.org/officeDocument/2006/relationships" ref="P1974" r:id="rId3406"/>
    <hyperlink xmlns:r="http://schemas.openxmlformats.org/officeDocument/2006/relationships" ref="O1975" r:id="rId3407"/>
    <hyperlink xmlns:r="http://schemas.openxmlformats.org/officeDocument/2006/relationships" ref="P1975" r:id="rId3408"/>
    <hyperlink xmlns:r="http://schemas.openxmlformats.org/officeDocument/2006/relationships" ref="O1976" r:id="rId3409"/>
    <hyperlink xmlns:r="http://schemas.openxmlformats.org/officeDocument/2006/relationships" ref="P1976" r:id="rId3410"/>
    <hyperlink xmlns:r="http://schemas.openxmlformats.org/officeDocument/2006/relationships" ref="O1977" r:id="rId3411"/>
    <hyperlink xmlns:r="http://schemas.openxmlformats.org/officeDocument/2006/relationships" ref="P1977" r:id="rId3412"/>
    <hyperlink xmlns:r="http://schemas.openxmlformats.org/officeDocument/2006/relationships" ref="O1978" r:id="rId3413"/>
    <hyperlink xmlns:r="http://schemas.openxmlformats.org/officeDocument/2006/relationships" ref="P1978" r:id="rId3414"/>
    <hyperlink xmlns:r="http://schemas.openxmlformats.org/officeDocument/2006/relationships" ref="O1979" r:id="rId3415"/>
    <hyperlink xmlns:r="http://schemas.openxmlformats.org/officeDocument/2006/relationships" ref="P1979" r:id="rId3416"/>
    <hyperlink xmlns:r="http://schemas.openxmlformats.org/officeDocument/2006/relationships" ref="O1980" r:id="rId3417"/>
    <hyperlink xmlns:r="http://schemas.openxmlformats.org/officeDocument/2006/relationships" ref="P1980" r:id="rId3418"/>
    <hyperlink xmlns:r="http://schemas.openxmlformats.org/officeDocument/2006/relationships" ref="O1981" r:id="rId3419"/>
    <hyperlink xmlns:r="http://schemas.openxmlformats.org/officeDocument/2006/relationships" ref="P1981" r:id="rId3420"/>
    <hyperlink xmlns:r="http://schemas.openxmlformats.org/officeDocument/2006/relationships" ref="O1982" r:id="rId3421"/>
    <hyperlink xmlns:r="http://schemas.openxmlformats.org/officeDocument/2006/relationships" ref="P1982" r:id="rId3422"/>
    <hyperlink xmlns:r="http://schemas.openxmlformats.org/officeDocument/2006/relationships" ref="O1983" r:id="rId3423"/>
    <hyperlink xmlns:r="http://schemas.openxmlformats.org/officeDocument/2006/relationships" ref="P1983" r:id="rId3424"/>
    <hyperlink xmlns:r="http://schemas.openxmlformats.org/officeDocument/2006/relationships" ref="O1984" r:id="rId3425"/>
    <hyperlink xmlns:r="http://schemas.openxmlformats.org/officeDocument/2006/relationships" ref="P1984" r:id="rId342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2026-09-28T16:25:44Z</dcterms:created>
  <dcterms:modified xsi:type="dcterms:W3CDTF">2026-09-28T16:25:46Z</dcterms:modified>
</cp:coreProperties>
</file>