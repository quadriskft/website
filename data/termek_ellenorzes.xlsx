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Útmutató" sheetId="1" state="visible" r:id="rId1"/>
    <sheet name="Beszállítók" sheetId="2" state="visible" r:id="rId2"/>
    <sheet name="Termékek" sheetId="3" state="visible" r:id="rId3"/>
  </sheets>
  <definedNames>
    <definedName name="_xlnm._FilterDatabase" localSheetId="1" hidden="1">'Beszállítók'!$A$1:$G$43</definedName>
    <definedName name="_xlnm._FilterDatabase" localSheetId="2" hidden="1">'Termékek'!$A$1:$S$288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000000"/>
      <sz val="10"/>
    </font>
    <font>
      <name val="Arial"/>
      <b val="1"/>
      <color rgb="001F3864"/>
      <sz val="10"/>
    </font>
    <font>
      <name val="Arial"/>
      <color rgb="000563C1"/>
      <sz val="9"/>
      <u val="single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BF8F00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5" fillId="3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/>
    </xf>
    <xf numFmtId="0" fontId="7" fillId="0" borderId="1" applyAlignment="1" pivotButton="0" quotePrefix="0" xfId="0">
      <alignment vertical="top" wrapText="1"/>
    </xf>
    <xf numFmtId="0" fontId="5" fillId="4" borderId="0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top"/>
    </xf>
    <xf numFmtId="0" fontId="6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</cellXfs>
  <cellStyles count="1">
    <cellStyle name="Normal" xfId="0" builtinId="0" hidden="0"/>
  </cellStyles>
  <dxfs count="4">
    <dxf>
      <fill>
        <patternFill patternType="solid">
          <fgColor rgb="00FCE4D6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E2EFDA"/>
        </patternFill>
      </fill>
    </dxf>
    <dxf>
      <font>
        <strike val="1"/>
        <color rgb="0080808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ebsite-9ib.pages.dev/termek/351704-bill-rakonca-500-mm-elso-j-b/" TargetMode="External" Id="rId1" /><Relationship Type="http://schemas.openxmlformats.org/officeDocument/2006/relationships/hyperlink" Target="https://website-9ib.pages.dev/termek/351707-bill-rakonca-500-mm-hatso-j-b/" TargetMode="External" Id="rId2" /><Relationship Type="http://schemas.openxmlformats.org/officeDocument/2006/relationships/hyperlink" Target="https://website-9ib.pages.dev/termek/351706-bill-rakonca-500-mm-kozepso/" TargetMode="External" Id="rId3" /><Relationship Type="http://schemas.openxmlformats.org/officeDocument/2006/relationships/hyperlink" Target="https://website-9ib.pages.dev/termek/147443-st-perforal-acel-keret-27-mm-vallal-l-7500/" TargetMode="External" Id="rId4" /><Relationship Type="http://schemas.openxmlformats.org/officeDocument/2006/relationships/hyperlink" Target="https://website-9ib.pages.dev/termek/3510206-sp-41-billencs-kozepso-rakonca-400-120-mm/" TargetMode="External" Id="rId5" /><Relationship Type="http://schemas.openxmlformats.org/officeDocument/2006/relationships/hyperlink" Target="https://website-9ib.pages.dev/termek/3510204-sp-41-billencs-elso-rakonca-400-85-mm-b/" TargetMode="External" Id="rId6" /><Relationship Type="http://schemas.openxmlformats.org/officeDocument/2006/relationships/hyperlink" Target="https://website-9ib.pages.dev/termek/3510204-sp-41-billencs-elso-rakonca-400-85-mm-j/" TargetMode="External" Id="rId7" /><Relationship Type="http://schemas.openxmlformats.org/officeDocument/2006/relationships/hyperlink" Target="https://website-9ib.pages.dev/termek/3510207-sp-41-billencs-hatso-rakonca-400-120-mm-b/" TargetMode="External" Id="rId8" /><Relationship Type="http://schemas.openxmlformats.org/officeDocument/2006/relationships/hyperlink" Target="https://website-9ib.pages.dev/termek/3510207-sp-41-billencs-hatso-rakonca-400-120-mm-j/" TargetMode="External" Id="rId9" /><Relationship Type="http://schemas.openxmlformats.org/officeDocument/2006/relationships/hyperlink" Target="https://website-9ib.pages.dev/termek/hatso-ajto-alu-elox/" TargetMode="External" Id="rId10" /><Relationship Type="http://schemas.openxmlformats.org/officeDocument/2006/relationships/hyperlink" Target="https://website-9ib.pages.dev/termek/kit-hutos-doboz/" TargetMode="External" Id="rId11" /><Relationship Type="http://schemas.openxmlformats.org/officeDocument/2006/relationships/hyperlink" Target="https://website-9ib.pages.dev/termek/zartdobozos-felepitmeny-keszlet/" TargetMode="External" Id="rId12" /><Relationship Type="http://schemas.openxmlformats.org/officeDocument/2006/relationships/hyperlink" Target="https://website-9ib.pages.dev/termek/026801-ajtohatarolo-fix-konzol/" TargetMode="External" Id="rId13" /><Relationship Type="http://schemas.openxmlformats.org/officeDocument/2006/relationships/hyperlink" Target="https://website-9ib.pages.dev/termek/026822-gumis-ajtohatarolo-800kg/" TargetMode="External" Id="rId14" /><Relationship Type="http://schemas.openxmlformats.org/officeDocument/2006/relationships/hyperlink" Target="https://website-9ib.pages.dev/termek/052900-muanyag-zartakaro/" TargetMode="External" Id="rId15" /><Relationship Type="http://schemas.openxmlformats.org/officeDocument/2006/relationships/hyperlink" Target="https://website-9ib.pages.dev/termek/222139-n-h-szego-25-mm/" TargetMode="External" Id="rId16" /><Relationship Type="http://schemas.openxmlformats.org/officeDocument/2006/relationships/hyperlink" Target="https://website-9ib.pages.dev/termek/222139-h-szego-25-mm-elox/" TargetMode="External" Id="rId17" /><Relationship Type="http://schemas.openxmlformats.org/officeDocument/2006/relationships/hyperlink" Target="https://website-9ib.pages.dev/termek/222137-n-u-25-mm-szego-profil/" TargetMode="External" Id="rId18" /><Relationship Type="http://schemas.openxmlformats.org/officeDocument/2006/relationships/hyperlink" Target="https://website-9ib.pages.dev/termek/222137-u-25-mm-szego-profil-elox/" TargetMode="External" Id="rId19" /><Relationship Type="http://schemas.openxmlformats.org/officeDocument/2006/relationships/hyperlink" Target="https://website-9ib.pages.dev/termek/226115-also-tomiteses-200-mm-elox-profil/" TargetMode="External" Id="rId20" /><Relationship Type="http://schemas.openxmlformats.org/officeDocument/2006/relationships/hyperlink" Target="https://website-9ib.pages.dev/termek/388005-ponyvabeakaszto-alu-profil-70-mm-elox/" TargetMode="External" Id="rId21" /><Relationship Type="http://schemas.openxmlformats.org/officeDocument/2006/relationships/hyperlink" Target="https://website-9ib.pages.dev/termek/231309-an-h-ajtoszego-30-mm-elox/" TargetMode="External" Id="rId22" /><Relationship Type="http://schemas.openxmlformats.org/officeDocument/2006/relationships/hyperlink" Target="https://website-9ib.pages.dev/termek/231308-an-tomiteses-ajtoszego-30-mm-elox/" TargetMode="External" Id="rId23" /><Relationship Type="http://schemas.openxmlformats.org/officeDocument/2006/relationships/hyperlink" Target="https://website-9ib.pages.dev/termek/238066-cs-tomiteses-ajtoszego-25-mm-elox/" TargetMode="External" Id="rId24" /><Relationship Type="http://schemas.openxmlformats.org/officeDocument/2006/relationships/hyperlink" Target="https://website-9ib.pages.dev/termek/238067-tomites-a-szego-profilhoz/" TargetMode="External" Id="rId25" /><Relationship Type="http://schemas.openxmlformats.org/officeDocument/2006/relationships/hyperlink" Target="https://website-9ib.pages.dev/termek/351155-alu-rakonca-top-kuplung/" TargetMode="External" Id="rId26" /><Relationship Type="http://schemas.openxmlformats.org/officeDocument/2006/relationships/hyperlink" Target="https://website-9ib.pages.dev/termek/351142-alu-rakonca-magasito-elox/" TargetMode="External" Id="rId27" /><Relationship Type="http://schemas.openxmlformats.org/officeDocument/2006/relationships/hyperlink" Target="https://website-9ib.pages.dev/termek/357271-kg-hatso-alu-szegoprofil-elox/" TargetMode="External" Id="rId28" /><Relationship Type="http://schemas.openxmlformats.org/officeDocument/2006/relationships/hyperlink" Target="https://website-9ib.pages.dev/termek/357270-kg-oldalso-alu-szego-profil-elox/" TargetMode="External" Id="rId29" /><Relationship Type="http://schemas.openxmlformats.org/officeDocument/2006/relationships/hyperlink" Target="https://website-9ib.pages.dev/termek/502502-dupla-gorgos-gumiutkozo-222x115/" TargetMode="External" Id="rId30" /><Relationship Type="http://schemas.openxmlformats.org/officeDocument/2006/relationships/hyperlink" Target="https://website-9ib.pages.dev/termek/502501-szimpla-gorgos-gumiutkozo-d100-118/" TargetMode="External" Id="rId31" /><Relationship Type="http://schemas.openxmlformats.org/officeDocument/2006/relationships/hyperlink" Target="https://website-9ib.pages.dev/termek/103654-ontott-sarokelem/" TargetMode="External" Id="rId32" /><Relationship Type="http://schemas.openxmlformats.org/officeDocument/2006/relationships/hyperlink" Target="https://website-9ib.pages.dev/termek/66177147-max-os-elso-elox-oszlop-3000-mm/" TargetMode="External" Id="rId33" /><Relationship Type="http://schemas.openxmlformats.org/officeDocument/2006/relationships/hyperlink" Target="https://website-9ib.pages.dev/termek/66177137-max-os-elso-elox-oszlop-3150-mm/" TargetMode="External" Id="rId34" /><Relationship Type="http://schemas.openxmlformats.org/officeDocument/2006/relationships/hyperlink" Target="https://website-9ib.pages.dev/termek/66177300-max-os-elso-elox-oszlop-3300-mm/" TargetMode="External" Id="rId35" /><Relationship Type="http://schemas.openxmlformats.org/officeDocument/2006/relationships/hyperlink" Target="https://website-9ib.pages.dev/termek/6635245-max-os-hatso-elox-oszlop-3000-mm/" TargetMode="External" Id="rId36" /><Relationship Type="http://schemas.openxmlformats.org/officeDocument/2006/relationships/hyperlink" Target="https://website-9ib.pages.dev/termek/6635300-max-os-hatso-elox-oszlop-3300-mm/" TargetMode="External" Id="rId37" /><Relationship Type="http://schemas.openxmlformats.org/officeDocument/2006/relationships/hyperlink" Target="https://website-9ib.pages.dev/termek/6613576-mini-elso-flat-alu-oszlop-elox/" TargetMode="External" Id="rId38" /><Relationship Type="http://schemas.openxmlformats.org/officeDocument/2006/relationships/hyperlink" Target="https://website-9ib.pages.dev/termek/3515p23-aluminium-zar-ellendarab-uni-elox/" TargetMode="External" Id="rId39" /><Relationship Type="http://schemas.openxmlformats.org/officeDocument/2006/relationships/hyperlink" Target="https://website-9ib.pages.dev/termek/117773-kotoelem-csavar/" TargetMode="External" Id="rId40" /><Relationship Type="http://schemas.openxmlformats.org/officeDocument/2006/relationships/hyperlink" Target="https://website-9ib.pages.dev/termek/226915-n-30-mm-u-szego-profil/" TargetMode="External" Id="rId41" /><Relationship Type="http://schemas.openxmlformats.org/officeDocument/2006/relationships/hyperlink" Target="https://website-9ib.pages.dev/termek/121206-gyurus-rakomanyrogzito-400-dan-d40/" TargetMode="External" Id="rId42" /><Relationship Type="http://schemas.openxmlformats.org/officeDocument/2006/relationships/hyperlink" Target="https://website-9ib.pages.dev/termek/1263935-kombi-ponyvatarto-rakomanyrogzito-sin-acel/" TargetMode="External" Id="rId43" /><Relationship Type="http://schemas.openxmlformats.org/officeDocument/2006/relationships/hyperlink" Target="https://website-9ib.pages.dev/termek/127159-palcas-rakomanyrogzito-sin-sully-alu-5m/" TargetMode="External" Id="rId44" /><Relationship Type="http://schemas.openxmlformats.org/officeDocument/2006/relationships/hyperlink" Target="https://website-9ib.pages.dev/termek/122000-rakomanyrogzito-kengyel-1000-dan-p/" TargetMode="External" Id="rId45" /><Relationship Type="http://schemas.openxmlformats.org/officeDocument/2006/relationships/hyperlink" Target="https://website-9ib.pages.dev/termek/122263-sullyesztett-airline-sin-alu-3000mm/" TargetMode="External" Id="rId46" /><Relationship Type="http://schemas.openxmlformats.org/officeDocument/2006/relationships/hyperlink" Target="https://website-9ib.pages.dev/termek/231726-n-b-tomiteses-ajtoszego-25-mm/" TargetMode="External" Id="rId47" /><Relationship Type="http://schemas.openxmlformats.org/officeDocument/2006/relationships/hyperlink" Target="https://website-9ib.pages.dev/termek/233176-esocsatorna-elox-nagy-7500/" TargetMode="External" Id="rId48" /><Relationship Type="http://schemas.openxmlformats.org/officeDocument/2006/relationships/hyperlink" Target="https://website-9ib.pages.dev/termek/2015290-15-mm-keretprofil-elox/" TargetMode="External" Id="rId49" /><Relationship Type="http://schemas.openxmlformats.org/officeDocument/2006/relationships/hyperlink" Target="https://website-9ib.pages.dev/termek/2018290-18-mm-keretprofil-elox/" TargetMode="External" Id="rId50" /><Relationship Type="http://schemas.openxmlformats.org/officeDocument/2006/relationships/hyperlink" Target="https://website-9ib.pages.dev/termek/226821-21-padlo-profil-200-mm/" TargetMode="External" Id="rId51" /><Relationship Type="http://schemas.openxmlformats.org/officeDocument/2006/relationships/hyperlink" Target="https://website-9ib.pages.dev/termek/225455-n-u-35-mm-szego-profil/" TargetMode="External" Id="rId52" /><Relationship Type="http://schemas.openxmlformats.org/officeDocument/2006/relationships/hyperlink" Target="https://website-9ib.pages.dev/termek/225455-u-35-mm-szego-profil-elox/" TargetMode="External" Id="rId53" /><Relationship Type="http://schemas.openxmlformats.org/officeDocument/2006/relationships/hyperlink" Target="https://website-9ib.pages.dev/termek/226671-400-mm-gumis-oldalfal-elox/" TargetMode="External" Id="rId54" /><Relationship Type="http://schemas.openxmlformats.org/officeDocument/2006/relationships/hyperlink" Target="https://website-9ib.pages.dev/termek/226795-400-mm-peremes-gumis-oldalfal-elox/" TargetMode="External" Id="rId55" /><Relationship Type="http://schemas.openxmlformats.org/officeDocument/2006/relationships/hyperlink" Target="https://website-9ib.pages.dev/termek/226113-felso-200-mm-elox-profil-b/" TargetMode="External" Id="rId56" /><Relationship Type="http://schemas.openxmlformats.org/officeDocument/2006/relationships/hyperlink" Target="https://website-9ib.pages.dev/termek/226114-koztes-200-mm-elox-profil-b/" TargetMode="External" Id="rId57" /><Relationship Type="http://schemas.openxmlformats.org/officeDocument/2006/relationships/hyperlink" Target="https://website-9ib.pages.dev/termek/225040-koztes-250-mm-elox-profil/" TargetMode="External" Id="rId58" /><Relationship Type="http://schemas.openxmlformats.org/officeDocument/2006/relationships/hyperlink" Target="https://website-9ib.pages.dev/termek/225040-n-koztes-250-mm-profil/" TargetMode="External" Id="rId59" /><Relationship Type="http://schemas.openxmlformats.org/officeDocument/2006/relationships/hyperlink" Target="https://website-9ib.pages.dev/termek/226253-koztes-ponyvas-200-mm-elox-profil-b/" TargetMode="External" Id="rId60" /><Relationship Type="http://schemas.openxmlformats.org/officeDocument/2006/relationships/hyperlink" Target="https://website-9ib.pages.dev/termek/223032-spitz-profil-100-mm/" TargetMode="External" Id="rId61" /><Relationship Type="http://schemas.openxmlformats.org/officeDocument/2006/relationships/hyperlink" Target="https://website-9ib.pages.dev/termek/222005-spitz-profil-150-mm-magas-t/" TargetMode="External" Id="rId62" /><Relationship Type="http://schemas.openxmlformats.org/officeDocument/2006/relationships/hyperlink" Target="https://website-9ib.pages.dev/termek/235427-25x35-mm-specialis-teto-profil/" TargetMode="External" Id="rId63" /><Relationship Type="http://schemas.openxmlformats.org/officeDocument/2006/relationships/hyperlink" Target="https://website-9ib.pages.dev/termek/235339-25x35-mm-specialis-teto-profil-elox-ih/" TargetMode="External" Id="rId64" /><Relationship Type="http://schemas.openxmlformats.org/officeDocument/2006/relationships/hyperlink" Target="https://website-9ib.pages.dev/termek/2346457-35x35-mm-specialis-teto-profil-elox-ht/" TargetMode="External" Id="rId65" /><Relationship Type="http://schemas.openxmlformats.org/officeDocument/2006/relationships/hyperlink" Target="https://website-9ib.pages.dev/termek/235426-specialis-h-szego-profil/" TargetMode="External" Id="rId66" /><Relationship Type="http://schemas.openxmlformats.org/officeDocument/2006/relationships/hyperlink" Target="https://website-9ib.pages.dev/termek/m1-001-c-sin-aluminium/" TargetMode="External" Id="rId67" /><Relationship Type="http://schemas.openxmlformats.org/officeDocument/2006/relationships/hyperlink" Target="https://website-9ib.pages.dev/termek/221746-h-toldo-szego-profil-elox/" TargetMode="External" Id="rId68" /><Relationship Type="http://schemas.openxmlformats.org/officeDocument/2006/relationships/hyperlink" Target="https://website-9ib.pages.dev/termek/092901-muanyag-lepcsonyito-kicsi/" TargetMode="External" Id="rId69" /><Relationship Type="http://schemas.openxmlformats.org/officeDocument/2006/relationships/hyperlink" Target="https://website-9ib.pages.dev/termek/617280-zar-ellendarab-ivelt-lemez/" TargetMode="External" Id="rId70" /><Relationship Type="http://schemas.openxmlformats.org/officeDocument/2006/relationships/hyperlink" Target="https://website-9ib.pages.dev/termek/231729-b-front-tomiteses-u-ajtoszego-25-mm-elox/" TargetMode="External" Id="rId71" /><Relationship Type="http://schemas.openxmlformats.org/officeDocument/2006/relationships/hyperlink" Target="https://website-9ib.pages.dev/termek/235215-dobozos-keretprofil-ivelt-elox/" TargetMode="External" Id="rId72" /><Relationship Type="http://schemas.openxmlformats.org/officeDocument/2006/relationships/hyperlink" Target="https://website-9ib.pages.dev/termek/233901-dobozos-ives-also-keretprofil-elox-25-mm-panelhez/" TargetMode="External" Id="rId73" /><Relationship Type="http://schemas.openxmlformats.org/officeDocument/2006/relationships/hyperlink" Target="https://website-9ib.pages.dev/termek/100001-dugo-perforalt-acel-kerethez/" TargetMode="External" Id="rId74" /><Relationship Type="http://schemas.openxmlformats.org/officeDocument/2006/relationships/hyperlink" Target="https://website-9ib.pages.dev/termek/0157gr-pvc-saroktakaro-csik-szurke/" TargetMode="External" Id="rId75" /><Relationship Type="http://schemas.openxmlformats.org/officeDocument/2006/relationships/hyperlink" Target="https://website-9ib.pages.dev/termek/515727-55-mm-es-pvc-tomites-n-n/" TargetMode="External" Id="rId76" /><Relationship Type="http://schemas.openxmlformats.org/officeDocument/2006/relationships/hyperlink" Target="https://website-9ib.pages.dev/termek/516550-65-mm-es-pvc-tomites-g/" TargetMode="External" Id="rId77" /><Relationship Type="http://schemas.openxmlformats.org/officeDocument/2006/relationships/hyperlink" Target="https://website-9ib.pages.dev/termek/e87370-edscha-takaro-gumi-compact-110/" TargetMode="External" Id="rId78" /><Relationship Type="http://schemas.openxmlformats.org/officeDocument/2006/relationships/hyperlink" Target="https://website-9ib.pages.dev/termek/532200-55-mm-cc-tomites-l-2850-mm/" TargetMode="External" Id="rId79" /><Relationship Type="http://schemas.openxmlformats.org/officeDocument/2006/relationships/hyperlink" Target="https://website-9ib.pages.dev/termek/532231-55-mm-center-profil-l-2850-mm/" TargetMode="External" Id="rId80" /><Relationship Type="http://schemas.openxmlformats.org/officeDocument/2006/relationships/hyperlink" Target="https://website-9ib.pages.dev/termek/532941-85-mm-cc-tomites-l-2850-mm/" TargetMode="External" Id="rId81" /><Relationship Type="http://schemas.openxmlformats.org/officeDocument/2006/relationships/hyperlink" Target="https://website-9ib.pages.dev/termek/532925-85-mm-center-profil-l-2850-mm/" TargetMode="External" Id="rId82" /><Relationship Type="http://schemas.openxmlformats.org/officeDocument/2006/relationships/hyperlink" Target="https://website-9ib.pages.dev/termek/202387-i-70-kereszttarto/" TargetMode="External" Id="rId83" /><Relationship Type="http://schemas.openxmlformats.org/officeDocument/2006/relationships/hyperlink" Target="https://website-9ib.pages.dev/termek/2073902-i-90-csavarozhato-kereszttarto/" TargetMode="External" Id="rId84" /><Relationship Type="http://schemas.openxmlformats.org/officeDocument/2006/relationships/hyperlink" Target="https://website-9ib.pages.dev/termek/202386-u-130-hossztarto/" TargetMode="External" Id="rId85" /><Relationship Type="http://schemas.openxmlformats.org/officeDocument/2006/relationships/hyperlink" Target="https://website-9ib.pages.dev/termek/202388-15-70-mm-keretprofil-elox-cd/" TargetMode="External" Id="rId86" /><Relationship Type="http://schemas.openxmlformats.org/officeDocument/2006/relationships/hyperlink" Target="https://website-9ib.pages.dev/termek/2018652-18-mm-keretprofil-erositett-elox/" TargetMode="External" Id="rId87" /><Relationship Type="http://schemas.openxmlformats.org/officeDocument/2006/relationships/hyperlink" Target="https://website-9ib.pages.dev/termek/206941-cd-100x30-mm-alafutasgatlo-elox-profil/" TargetMode="External" Id="rId88" /><Relationship Type="http://schemas.openxmlformats.org/officeDocument/2006/relationships/hyperlink" Target="https://website-9ib.pages.dev/termek/208477-cd2-100x30-mm-alafutasgatlo-elox-profil/" TargetMode="External" Id="rId89" /><Relationship Type="http://schemas.openxmlformats.org/officeDocument/2006/relationships/hyperlink" Target="https://website-9ib.pages.dev/termek/208755-hossztarto-talpas-140-6-magas-120-10-60-8-mm/" TargetMode="External" Id="rId90" /><Relationship Type="http://schemas.openxmlformats.org/officeDocument/2006/relationships/hyperlink" Target="https://website-9ib.pages.dev/termek/227543-30-padlo-profil-200-mm/" TargetMode="External" Id="rId91" /><Relationship Type="http://schemas.openxmlformats.org/officeDocument/2006/relationships/hyperlink" Target="https://website-9ib.pages.dev/termek/227543-30-padlo-profil-200-mm-elox/" TargetMode="External" Id="rId92" /><Relationship Type="http://schemas.openxmlformats.org/officeDocument/2006/relationships/hyperlink" Target="https://website-9ib.pages.dev/termek/6612225-elso-oszlop-90-70-alu-elox-d/" TargetMode="External" Id="rId93" /><Relationship Type="http://schemas.openxmlformats.org/officeDocument/2006/relationships/hyperlink" Target="https://website-9ib.pages.dev/termek/6612226-hatso-oszlop-128-35-alu-elox-d/" TargetMode="External" Id="rId94" /><Relationship Type="http://schemas.openxmlformats.org/officeDocument/2006/relationships/hyperlink" Target="https://website-9ib.pages.dev/termek/227046-ck10-koztes-200-mm-elox-profil/" TargetMode="External" Id="rId95" /><Relationship Type="http://schemas.openxmlformats.org/officeDocument/2006/relationships/hyperlink" Target="https://website-9ib.pages.dev/termek/224230-koztes-250-mm-elox-profil-cd/" TargetMode="External" Id="rId96" /><Relationship Type="http://schemas.openxmlformats.org/officeDocument/2006/relationships/hyperlink" Target="https://website-9ib.pages.dev/termek/224230-n-koztes-250-mm-profil-cd/" TargetMode="External" Id="rId97" /><Relationship Type="http://schemas.openxmlformats.org/officeDocument/2006/relationships/hyperlink" Target="https://website-9ib.pages.dev/termek/237847-n-h-ajtoszego-30-mm-d/" TargetMode="External" Id="rId98" /><Relationship Type="http://schemas.openxmlformats.org/officeDocument/2006/relationships/hyperlink" Target="https://website-9ib.pages.dev/termek/231543-dobozos-keret-elox-134-80/" TargetMode="External" Id="rId99" /><Relationship Type="http://schemas.openxmlformats.org/officeDocument/2006/relationships/hyperlink" Target="https://website-9ib.pages.dev/termek/237971-hutos-keretprofil-nyitott-elox/" TargetMode="External" Id="rId100" /><Relationship Type="http://schemas.openxmlformats.org/officeDocument/2006/relationships/hyperlink" Target="https://website-9ib.pages.dev/termek/237846-n-tomiteses-ajtoszego-30-mm-d/" TargetMode="External" Id="rId101" /><Relationship Type="http://schemas.openxmlformats.org/officeDocument/2006/relationships/hyperlink" Target="https://website-9ib.pages.dev/termek/614603-b-oldalajto-zarszerkezet-fekete/" TargetMode="External" Id="rId102" /><Relationship Type="http://schemas.openxmlformats.org/officeDocument/2006/relationships/hyperlink" Target="https://website-9ib.pages.dev/termek/614602-j-oldalajto-zarszerkezet/" TargetMode="External" Id="rId103" /><Relationship Type="http://schemas.openxmlformats.org/officeDocument/2006/relationships/hyperlink" Target="https://website-9ib.pages.dev/termek/615003-belsozarszerk-oldalajtohoz-500-mm-kar-b/" TargetMode="External" Id="rId104" /><Relationship Type="http://schemas.openxmlformats.org/officeDocument/2006/relationships/hyperlink" Target="https://website-9ib.pages.dev/termek/700020-kulcs-zarbetet/" TargetMode="External" Id="rId105" /><Relationship Type="http://schemas.openxmlformats.org/officeDocument/2006/relationships/hyperlink" Target="https://website-9ib.pages.dev/termek/615102-kulso-oldalajto-kilincs/" TargetMode="External" Id="rId106" /><Relationship Type="http://schemas.openxmlformats.org/officeDocument/2006/relationships/hyperlink" Target="https://website-9ib.pages.dev/termek/700021-ladaajtozar-zart/" TargetMode="External" Id="rId107" /><Relationship Type="http://schemas.openxmlformats.org/officeDocument/2006/relationships/hyperlink" Target="https://website-9ib.pages.dev/termek/700011-ladaajtozar-zart-nyitott/" TargetMode="External" Id="rId108" /><Relationship Type="http://schemas.openxmlformats.org/officeDocument/2006/relationships/hyperlink" Target="https://website-9ib.pages.dev/termek/615104-oldalajtozar-belso-500-mm-kar-jobb/" TargetMode="External" Id="rId109" /><Relationship Type="http://schemas.openxmlformats.org/officeDocument/2006/relationships/hyperlink" Target="https://website-9ib.pages.dev/termek/615103-oldalajtozar-kompetten-bal/" TargetMode="External" Id="rId110" /><Relationship Type="http://schemas.openxmlformats.org/officeDocument/2006/relationships/hyperlink" Target="https://website-9ib.pages.dev/termek/615501-oldalso-zarszerkezet-ladazarhoz-bal-zarcsappal/" TargetMode="External" Id="rId111" /><Relationship Type="http://schemas.openxmlformats.org/officeDocument/2006/relationships/hyperlink" Target="https://website-9ib.pages.dev/termek/615502-oldalso-zarszerkezet-ladazarhoz-jobb-zarcsappal/" TargetMode="External" Id="rId112" /><Relationship Type="http://schemas.openxmlformats.org/officeDocument/2006/relationships/hyperlink" Target="https://website-9ib.pages.dev/termek/615000-zarcsap/" TargetMode="External" Id="rId113" /><Relationship Type="http://schemas.openxmlformats.org/officeDocument/2006/relationships/hyperlink" Target="https://website-9ib.pages.dev/termek/351208-dg-top/" TargetMode="External" Id="rId114" /><Relationship Type="http://schemas.openxmlformats.org/officeDocument/2006/relationships/hyperlink" Target="https://website-9ib.pages.dev/termek/352530-31-dg-400-rakonca-kozepso-szego-j-b/" TargetMode="External" Id="rId115" /><Relationship Type="http://schemas.openxmlformats.org/officeDocument/2006/relationships/hyperlink" Target="https://website-9ib.pages.dev/termek/35003-4-dg-500-elso-rakonca-j-b/" TargetMode="External" Id="rId116" /><Relationship Type="http://schemas.openxmlformats.org/officeDocument/2006/relationships/hyperlink" Target="https://website-9ib.pages.dev/termek/35001-2-dg-500-hatso-rakonca-j-b/" TargetMode="External" Id="rId117" /><Relationship Type="http://schemas.openxmlformats.org/officeDocument/2006/relationships/hyperlink" Target="https://website-9ib.pages.dev/termek/35000-dg-500-koztes-rakonca/" TargetMode="External" Id="rId118" /><Relationship Type="http://schemas.openxmlformats.org/officeDocument/2006/relationships/hyperlink" Target="https://website-9ib.pages.dev/termek/352500-10-dg-elso-400-mm-es-rakonca-j-b/" TargetMode="External" Id="rId119" /><Relationship Type="http://schemas.openxmlformats.org/officeDocument/2006/relationships/hyperlink" Target="https://website-9ib.pages.dev/termek/351263-4-dg-elso-600-mm-es-rakonca-j-b/" TargetMode="External" Id="rId120" /><Relationship Type="http://schemas.openxmlformats.org/officeDocument/2006/relationships/hyperlink" Target="https://website-9ib.pages.dev/termek/352532-33-dg-hatso-400-mm-rakonca-szego-j-b/" TargetMode="External" Id="rId121" /><Relationship Type="http://schemas.openxmlformats.org/officeDocument/2006/relationships/hyperlink" Target="https://website-9ib.pages.dev/termek/352550-60-dg-hatso-400-mm-es-rakonca-j-b/" TargetMode="External" Id="rId122" /><Relationship Type="http://schemas.openxmlformats.org/officeDocument/2006/relationships/hyperlink" Target="https://website-9ib.pages.dev/termek/351261-2-dg-hatso-600-mm-es-rakonca-j-b/" TargetMode="External" Id="rId123" /><Relationship Type="http://schemas.openxmlformats.org/officeDocument/2006/relationships/hyperlink" Target="https://website-9ib.pages.dev/termek/352570-dg-top-koztes-400-mm-es-rakonca/" TargetMode="External" Id="rId124" /><Relationship Type="http://schemas.openxmlformats.org/officeDocument/2006/relationships/hyperlink" Target="https://website-9ib.pages.dev/termek/351213-4-dg-elso-1000-mm-es-rakonca-j-b/" TargetMode="External" Id="rId125" /><Relationship Type="http://schemas.openxmlformats.org/officeDocument/2006/relationships/hyperlink" Target="https://website-9ib.pages.dev/termek/351283-4-dg-elso-800-mm-es-rakonca-j-b/" TargetMode="External" Id="rId126" /><Relationship Type="http://schemas.openxmlformats.org/officeDocument/2006/relationships/hyperlink" Target="https://website-9ib.pages.dev/termek/351281-2-dg-hatso-800-mm-es-rakonca-j-b/" TargetMode="External" Id="rId127" /><Relationship Type="http://schemas.openxmlformats.org/officeDocument/2006/relationships/hyperlink" Target="https://website-9ib.pages.dev/termek/351210-dg-koztes-1000-mm-es-rakonca/" TargetMode="External" Id="rId128" /><Relationship Type="http://schemas.openxmlformats.org/officeDocument/2006/relationships/hyperlink" Target="https://website-9ib.pages.dev/termek/352540-nt-dg-koztes-400-mm-es-rakonca/" TargetMode="External" Id="rId129" /><Relationship Type="http://schemas.openxmlformats.org/officeDocument/2006/relationships/hyperlink" Target="https://website-9ib.pages.dev/termek/351260-dg-koztes-600-mm-es-rakonca/" TargetMode="External" Id="rId130" /><Relationship Type="http://schemas.openxmlformats.org/officeDocument/2006/relationships/hyperlink" Target="https://website-9ib.pages.dev/termek/351280-dg-koztes-800-mm-es-rakonca/" TargetMode="External" Id="rId131" /><Relationship Type="http://schemas.openxmlformats.org/officeDocument/2006/relationships/hyperlink" Target="https://website-9ib.pages.dev/termek/351243-4-kdg-elso-400-mm-es-rakonca-j-b/" TargetMode="External" Id="rId132" /><Relationship Type="http://schemas.openxmlformats.org/officeDocument/2006/relationships/hyperlink" Target="https://website-9ib.pages.dev/termek/351241-2-kdg-hatso-400-mm-es-rakonca-j-b/" TargetMode="External" Id="rId133" /><Relationship Type="http://schemas.openxmlformats.org/officeDocument/2006/relationships/hyperlink" Target="https://website-9ib.pages.dev/termek/351240-kdg-koztes-400-mm-es-rakonca-nt/" TargetMode="External" Id="rId134" /><Relationship Type="http://schemas.openxmlformats.org/officeDocument/2006/relationships/hyperlink" Target="https://website-9ib.pages.dev/termek/356511-rakonca-ellendarab-hatso/" TargetMode="External" Id="rId135" /><Relationship Type="http://schemas.openxmlformats.org/officeDocument/2006/relationships/hyperlink" Target="https://website-9ib.pages.dev/termek/356510-rakonca-ellendarab-oldalso/" TargetMode="External" Id="rId136" /><Relationship Type="http://schemas.openxmlformats.org/officeDocument/2006/relationships/hyperlink" Target="https://website-9ib.pages.dev/termek/216516-ponyvagorgo-acel-sinhez-csapagyas/" TargetMode="External" Id="rId137" /><Relationship Type="http://schemas.openxmlformats.org/officeDocument/2006/relationships/hyperlink" Target="https://website-9ib.pages.dev/termek/mp-fex27-002-klcex11-kb1g-nyomolapos-rudzar-szett/" TargetMode="External" Id="rId138" /><Relationship Type="http://schemas.openxmlformats.org/officeDocument/2006/relationships/hyperlink" Target="https://website-9ib.pages.dev/termek/mp22-klc-ex41-rm-kampo-feszek/" TargetMode="External" Id="rId139" /><Relationship Type="http://schemas.openxmlformats.org/officeDocument/2006/relationships/hyperlink" Target="https://website-9ib.pages.dev/termek/mp22-klcb-ex41e-rm-kampo-feszek-omegak-kit/" TargetMode="External" Id="rId140" /><Relationship Type="http://schemas.openxmlformats.org/officeDocument/2006/relationships/hyperlink" Target="https://website-9ib.pages.dev/termek/102439-dugo-spitzprofilhoz-150-mm-magas/" TargetMode="External" Id="rId141" /><Relationship Type="http://schemas.openxmlformats.org/officeDocument/2006/relationships/hyperlink" Target="https://website-9ib.pages.dev/termek/203101-spanner-profil/" TargetMode="External" Id="rId142" /><Relationship Type="http://schemas.openxmlformats.org/officeDocument/2006/relationships/hyperlink" Target="https://website-9ib.pages.dev/termek/237005-142-mm-i-koptato-profil-elox/" TargetMode="External" Id="rId143" /><Relationship Type="http://schemas.openxmlformats.org/officeDocument/2006/relationships/hyperlink" Target="https://website-9ib.pages.dev/termek/234002-tomites-a-szego-profilhoz-or/" TargetMode="External" Id="rId144" /><Relationship Type="http://schemas.openxmlformats.org/officeDocument/2006/relationships/hyperlink" Target="https://website-9ib.pages.dev/termek/226887-spitz-profil-140-mm-magas/" TargetMode="External" Id="rId145" /><Relationship Type="http://schemas.openxmlformats.org/officeDocument/2006/relationships/hyperlink" Target="https://website-9ib.pages.dev/termek/222910-30-padlo-profil-200-mm-exl/" TargetMode="External" Id="rId146" /><Relationship Type="http://schemas.openxmlformats.org/officeDocument/2006/relationships/hyperlink" Target="https://website-9ib.pages.dev/termek/225630-55-padlo-profil-250-mm-zart/" TargetMode="External" Id="rId147" /><Relationship Type="http://schemas.openxmlformats.org/officeDocument/2006/relationships/hyperlink" Target="https://website-9ib.pages.dev/termek/142103-v-3-kardan/" TargetMode="External" Id="rId148" /><Relationship Type="http://schemas.openxmlformats.org/officeDocument/2006/relationships/hyperlink" Target="https://website-9ib.pages.dev/termek/143100-43-mm-gombcsuklo-keszlet-kicsi/" TargetMode="External" Id="rId149" /><Relationship Type="http://schemas.openxmlformats.org/officeDocument/2006/relationships/hyperlink" Target="https://website-9ib.pages.dev/termek/3514400-1-billencs-rakonca-szego-haromszoges/" TargetMode="External" Id="rId150" /><Relationship Type="http://schemas.openxmlformats.org/officeDocument/2006/relationships/hyperlink" Target="https://website-9ib.pages.dev/termek/148110-biztosito-tuske/" TargetMode="External" Id="rId151" /><Relationship Type="http://schemas.openxmlformats.org/officeDocument/2006/relationships/hyperlink" Target="https://website-9ib.pages.dev/termek/140235-d35-zart-omega-lefogato/" TargetMode="External" Id="rId152" /><Relationship Type="http://schemas.openxmlformats.org/officeDocument/2006/relationships/hyperlink" Target="https://website-9ib.pages.dev/termek/140240-d40-zart-omega-lefogato/" TargetMode="External" Id="rId153" /><Relationship Type="http://schemas.openxmlformats.org/officeDocument/2006/relationships/hyperlink" Target="https://website-9ib.pages.dev/termek/146001-kapcsolotabla/" TargetMode="External" Id="rId154" /><Relationship Type="http://schemas.openxmlformats.org/officeDocument/2006/relationships/hyperlink" Target="https://website-9ib.pages.dev/termek/146006-kabeles-tavkapcsolo/" TargetMode="External" Id="rId155" /><Relationship Type="http://schemas.openxmlformats.org/officeDocument/2006/relationships/hyperlink" Target="https://website-9ib.pages.dev/termek/140319-szivattyu-24v-3000w-20l-1p3-1cc/" TargetMode="External" Id="rId156" /><Relationship Type="http://schemas.openxmlformats.org/officeDocument/2006/relationships/hyperlink" Target="https://website-9ib.pages.dev/termek/146002-vegallaskapcsolo/" TargetMode="External" Id="rId157" /><Relationship Type="http://schemas.openxmlformats.org/officeDocument/2006/relationships/hyperlink" Target="https://website-9ib.pages.dev/termek/509665-2-fokos-letra-th/" TargetMode="External" Id="rId158" /><Relationship Type="http://schemas.openxmlformats.org/officeDocument/2006/relationships/hyperlink" Target="https://website-9ib.pages.dev/termek/882050-5-fokos-letra/" TargetMode="External" Id="rId159" /><Relationship Type="http://schemas.openxmlformats.org/officeDocument/2006/relationships/hyperlink" Target="https://website-9ib.pages.dev/termek/831211-horganyzott-lapos-zsaner/" TargetMode="External" Id="rId160" /><Relationship Type="http://schemas.openxmlformats.org/officeDocument/2006/relationships/hyperlink" Target="https://website-9ib.pages.dev/termek/806408-horganyzott-oldalajto-zsaner-lepcsos-183-mm/" TargetMode="External" Id="rId161" /><Relationship Type="http://schemas.openxmlformats.org/officeDocument/2006/relationships/hyperlink" Target="https://website-9ib.pages.dev/termek/831810-rm-lapos-lepcsos-zsaner-140-4-mm/" TargetMode="External" Id="rId162" /><Relationship Type="http://schemas.openxmlformats.org/officeDocument/2006/relationships/hyperlink" Target="https://website-9ib.pages.dev/termek/893154-rm-nagy-kapaszkodo-in/" TargetMode="External" Id="rId163" /><Relationship Type="http://schemas.openxmlformats.org/officeDocument/2006/relationships/hyperlink" Target="https://website-9ib.pages.dev/termek/899210-s-rm-hatsoajto-zsanerlap-280-3-ts/" TargetMode="External" Id="rId164" /><Relationship Type="http://schemas.openxmlformats.org/officeDocument/2006/relationships/hyperlink" Target="https://website-9ib.pages.dev/termek/831410-rm-lapos-zsaner-134-104/" TargetMode="External" Id="rId165" /><Relationship Type="http://schemas.openxmlformats.org/officeDocument/2006/relationships/hyperlink" Target="https://website-9ib.pages.dev/termek/555455-utkozogumi-455x38x48/" TargetMode="External" Id="rId166" /><Relationship Type="http://schemas.openxmlformats.org/officeDocument/2006/relationships/hyperlink" Target="https://website-9ib.pages.dev/termek/156560-billencs-zsaner-garnitura/" TargetMode="External" Id="rId167" /><Relationship Type="http://schemas.openxmlformats.org/officeDocument/2006/relationships/hyperlink" Target="https://website-9ib.pages.dev/termek/152531-billencs-zsaner-lap/" TargetMode="External" Id="rId168" /><Relationship Type="http://schemas.openxmlformats.org/officeDocument/2006/relationships/hyperlink" Target="https://website-9ib.pages.dev/termek/451030-th-kiskonzol-iveco/" TargetMode="External" Id="rId169" /><Relationship Type="http://schemas.openxmlformats.org/officeDocument/2006/relationships/hyperlink" Target="https://website-9ib.pages.dev/termek/152815-tir-zsaner-garnitura-dc/" TargetMode="External" Id="rId170" /><Relationship Type="http://schemas.openxmlformats.org/officeDocument/2006/relationships/hyperlink" Target="https://website-9ib.pages.dev/termek/152901-tir-zsaner-garnitura-nagy-horg/" TargetMode="External" Id="rId171" /><Relationship Type="http://schemas.openxmlformats.org/officeDocument/2006/relationships/hyperlink" Target="https://website-9ib.pages.dev/termek/152811-tir-zsaner-garnitura-horg/" TargetMode="External" Id="rId172" /><Relationship Type="http://schemas.openxmlformats.org/officeDocument/2006/relationships/hyperlink" Target="https://website-9ib.pages.dev/termek/380022-also-adapter-27-es-csohoz-pwp-kocka/" TargetMode="External" Id="rId173" /><Relationship Type="http://schemas.openxmlformats.org/officeDocument/2006/relationships/hyperlink" Target="https://website-9ib.pages.dev/termek/380081-pwp-racsnis-feszito-sliccelt-l/" TargetMode="External" Id="rId174" /><Relationship Type="http://schemas.openxmlformats.org/officeDocument/2006/relationships/hyperlink" Target="https://website-9ib.pages.dev/termek/380080-pwp-racsnis-feszito-sliccelt-r/" TargetMode="External" Id="rId175" /><Relationship Type="http://schemas.openxmlformats.org/officeDocument/2006/relationships/hyperlink" Target="https://website-9ib.pages.dev/termek/380024-pwp-racsnis-feszito-kocka-adapter-l/" TargetMode="External" Id="rId176" /><Relationship Type="http://schemas.openxmlformats.org/officeDocument/2006/relationships/hyperlink" Target="https://website-9ib.pages.dev/termek/380025-pwp-racsnis-feszito-kocka-adapter-r/" TargetMode="External" Id="rId177" /><Relationship Type="http://schemas.openxmlformats.org/officeDocument/2006/relationships/hyperlink" Target="https://website-9ib.pages.dev/termek/380070-71-racsnis-feszito-kocka-adapterhez-j-b-h/" TargetMode="External" Id="rId178" /><Relationship Type="http://schemas.openxmlformats.org/officeDocument/2006/relationships/hyperlink" Target="https://website-9ib.pages.dev/termek/380091-w-racsnis-feszito-quadrat-l/" TargetMode="External" Id="rId179" /><Relationship Type="http://schemas.openxmlformats.org/officeDocument/2006/relationships/hyperlink" Target="https://website-9ib.pages.dev/termek/380090-w-racsnis-feszito-quadrat-r/" TargetMode="External" Id="rId180" /><Relationship Type="http://schemas.openxmlformats.org/officeDocument/2006/relationships/hyperlink" Target="https://website-9ib.pages.dev/termek/127914-3m-750dan-gurtni-ket-oldalon-csatos/" TargetMode="External" Id="rId181" /><Relationship Type="http://schemas.openxmlformats.org/officeDocument/2006/relationships/hyperlink" Target="https://website-9ib.pages.dev/termek/123210-inox-rakomany-rogz-tanyer/" TargetMode="External" Id="rId182" /><Relationship Type="http://schemas.openxmlformats.org/officeDocument/2006/relationships/hyperlink" Target="https://website-9ib.pages.dev/termek/129111-rak-rogz-kengyel-lapka-2500-dan-ts/" TargetMode="External" Id="rId183" /><Relationship Type="http://schemas.openxmlformats.org/officeDocument/2006/relationships/hyperlink" Target="https://website-9ib.pages.dev/termek/126514-rakomanyrogzito-kengyel-ht/" TargetMode="External" Id="rId184" /><Relationship Type="http://schemas.openxmlformats.org/officeDocument/2006/relationships/hyperlink" Target="https://website-9ib.pages.dev/termek/126516-rakomanyrogzito-kengyel-td/" TargetMode="External" Id="rId185" /><Relationship Type="http://schemas.openxmlformats.org/officeDocument/2006/relationships/hyperlink" Target="https://website-9ib.pages.dev/termek/128325-rakomanyrozito-ful-festett-fekete/" TargetMode="External" Id="rId186" /><Relationship Type="http://schemas.openxmlformats.org/officeDocument/2006/relationships/hyperlink" Target="https://website-9ib.pages.dev/termek/821000-horganyzott-sullyesztett-nyelves-zar/" TargetMode="External" Id="rId187" /><Relationship Type="http://schemas.openxmlformats.org/officeDocument/2006/relationships/hyperlink" Target="https://website-9ib.pages.dev/termek/813281-kis-negyszog-zar-inox/" TargetMode="External" Id="rId188" /><Relationship Type="http://schemas.openxmlformats.org/officeDocument/2006/relationships/hyperlink" Target="https://website-9ib.pages.dev/termek/895260-kis-oldalso-ladazar/" TargetMode="External" Id="rId189" /><Relationship Type="http://schemas.openxmlformats.org/officeDocument/2006/relationships/hyperlink" Target="https://website-9ib.pages.dev/termek/j181310-d42-es-ff-3p-sarvedotarto-cso-800-mm/" TargetMode="External" Id="rId190" /><Relationship Type="http://schemas.openxmlformats.org/officeDocument/2006/relationships/hyperlink" Target="https://www.fuhrmann.at/de/stbw450.php" TargetMode="External" Id="rId191" /><Relationship Type="http://schemas.openxmlformats.org/officeDocument/2006/relationships/hyperlink" Target="https://website-9ib.pages.dev/termek/acel-oldalfal-bak-450/" TargetMode="External" Id="rId192" /><Relationship Type="http://schemas.openxmlformats.org/officeDocument/2006/relationships/hyperlink" Target="https://www.fuhrmann.at/de/stbw450.php" TargetMode="External" Id="rId193" /><Relationship Type="http://schemas.openxmlformats.org/officeDocument/2006/relationships/hyperlink" Target="https://website-9ib.pages.dev/termek/acel-oldalfal-hvak-450/" TargetMode="External" Id="rId194" /><Relationship Type="http://schemas.openxmlformats.org/officeDocument/2006/relationships/hyperlink" Target="https://website-9ib.pages.dev/termek/12v-led-ventillator-belso-takaro/" TargetMode="External" Id="rId195" /><Relationship Type="http://schemas.openxmlformats.org/officeDocument/2006/relationships/hyperlink" Target="https://website-9ib.pages.dev/termek/ledes-lampa-kerek-feher/" TargetMode="External" Id="rId196" /><Relationship Type="http://schemas.openxmlformats.org/officeDocument/2006/relationships/hyperlink" Target="https://website-9ib.pages.dev/termek/ledes-lampa-szogletes-feher-12-24v/" TargetMode="External" Id="rId197" /><Relationship Type="http://schemas.openxmlformats.org/officeDocument/2006/relationships/hyperlink" Target="https://website-9ib.pages.dev/termek/szellozo-racs-410x100-mm/" TargetMode="External" Id="rId198" /><Relationship Type="http://schemas.openxmlformats.org/officeDocument/2006/relationships/hyperlink" Target="https://website-9ib.pages.dev/termek/tetoablak-uveg-970x530/" TargetMode="External" Id="rId199" /><Relationship Type="http://schemas.openxmlformats.org/officeDocument/2006/relationships/hyperlink" Target="https://website-9ib.pages.dev/termek/ventillator-belso-takaro-elem/" TargetMode="External" Id="rId200" /><Relationship Type="http://schemas.openxmlformats.org/officeDocument/2006/relationships/hyperlink" Target="https://website-9ib.pages.dev/termek/141722-acel-keret-109-21-3-6500/" TargetMode="External" Id="rId201" /><Relationship Type="http://schemas.openxmlformats.org/officeDocument/2006/relationships/hyperlink" Target="https://website-9ib.pages.dev/termek/141720-acel-keret-112-24-3-6500/" TargetMode="External" Id="rId202" /><Relationship Type="http://schemas.openxmlformats.org/officeDocument/2006/relationships/hyperlink" Target="https://website-9ib.pages.dev/termek/351336-mx-rakoncaszegoprofil-elox/" TargetMode="External" Id="rId203" /><Relationship Type="http://schemas.openxmlformats.org/officeDocument/2006/relationships/hyperlink" Target="https://website-9ib.pages.dev/termek/3510460-bill-rakonca-csap-sp-41-horg/" TargetMode="External" Id="rId204" /><Relationship Type="http://schemas.openxmlformats.org/officeDocument/2006/relationships/hyperlink" Target="https://website-9ib.pages.dev/termek/351372-bill-elso-rakonca-805x40-r-l/" TargetMode="External" Id="rId205" /><Relationship Type="http://schemas.openxmlformats.org/officeDocument/2006/relationships/hyperlink" Target="https://website-9ib.pages.dev/termek/351375-bill-hatso-rakonca-805x40-zseb-r-l/" TargetMode="External" Id="rId206" /><Relationship Type="http://schemas.openxmlformats.org/officeDocument/2006/relationships/hyperlink" Target="https://website-9ib.pages.dev/termek/351374-bill-kozepso-rakonca-805x40-zseb/" TargetMode="External" Id="rId207" /><Relationship Type="http://schemas.openxmlformats.org/officeDocument/2006/relationships/hyperlink" Target="https://website-9ib.pages.dev/termek/3526700-billencs-elso-rakonca-400-mm-b/" TargetMode="External" Id="rId208" /><Relationship Type="http://schemas.openxmlformats.org/officeDocument/2006/relationships/hyperlink" Target="https://website-9ib.pages.dev/termek/140451-d45-5-zart-omega-lefogato/" TargetMode="External" Id="rId209" /><Relationship Type="http://schemas.openxmlformats.org/officeDocument/2006/relationships/hyperlink" Target="https://website-9ib.pages.dev/termek/140501-d50-zart-omega-lefogato/" TargetMode="External" Id="rId210" /><Relationship Type="http://schemas.openxmlformats.org/officeDocument/2006/relationships/hyperlink" Target="https://website-9ib.pages.dev/termek/140552-d55-zart-omega-lefogato/" TargetMode="External" Id="rId211" /><Relationship Type="http://schemas.openxmlformats.org/officeDocument/2006/relationships/hyperlink" Target="https://website-9ib.pages.dev/termek/779401-olaj-szuro-41l-acel/" TargetMode="External" Id="rId212" /><Relationship Type="http://schemas.openxmlformats.org/officeDocument/2006/relationships/hyperlink" Target="https://website-9ib.pages.dev/termek/770410-olaj-tartaly-40l/" TargetMode="External" Id="rId213" /><Relationship Type="http://schemas.openxmlformats.org/officeDocument/2006/relationships/hyperlink" Target="https://website-9ib.pages.dev/termek/146039-vegallaskapcsolo-elektromos-konzollal/" TargetMode="External" Id="rId214" /><Relationship Type="http://schemas.openxmlformats.org/officeDocument/2006/relationships/hyperlink" Target="https://website-9ib.pages.dev/termek/142211-aramtalanito-kapcsolo/" TargetMode="External" Id="rId215" /><Relationship Type="http://schemas.openxmlformats.org/officeDocument/2006/relationships/hyperlink" Target="https://website-9ib.pages.dev/termek/141219-utvalto-3-4/" TargetMode="External" Id="rId216" /><Relationship Type="http://schemas.openxmlformats.org/officeDocument/2006/relationships/hyperlink" Target="https://website-9ib.pages.dev/termek/502220-2-fokos-letra-thorg-steges-tk/" TargetMode="External" Id="rId217" /><Relationship Type="http://schemas.openxmlformats.org/officeDocument/2006/relationships/hyperlink" Target="https://website-9ib.pages.dev/termek/143020-acellemezes-gumiutkozo-lap/" TargetMode="External" Id="rId218" /><Relationship Type="http://schemas.openxmlformats.org/officeDocument/2006/relationships/hyperlink" Target="https://website-9ib.pages.dev/termek/302352-mgr-alafutasgatlo-konzol-572-mm/" TargetMode="External" Id="rId219" /><Relationship Type="http://schemas.openxmlformats.org/officeDocument/2006/relationships/hyperlink" Target="https://website-9ib.pages.dev/termek/301390-alafutasgatlo-konzol-rogzito-alatet/" TargetMode="External" Id="rId220" /><Relationship Type="http://schemas.openxmlformats.org/officeDocument/2006/relationships/hyperlink" Target="https://website-9ib.pages.dev/termek/337245-hatso-lampatarto-rendszamtabla-tarto-alu/" TargetMode="External" Id="rId221" /><Relationship Type="http://schemas.openxmlformats.org/officeDocument/2006/relationships/hyperlink" Target="https://website-9ib.pages.dev/termek/152751-tir-zsaner-alu-haz/" TargetMode="External" Id="rId222" /><Relationship Type="http://schemas.openxmlformats.org/officeDocument/2006/relationships/hyperlink" Target="https://website-9ib.pages.dev/termek/152761-tir-zsaner-garnitura-alu-hazas/" TargetMode="External" Id="rId223" /><Relationship Type="http://schemas.openxmlformats.org/officeDocument/2006/relationships/hyperlink" Target="https://website-9ib.pages.dev/termek/223085-h-szego-kiugros-30-mm-elox/" TargetMode="External" Id="rId224" /><Relationship Type="http://schemas.openxmlformats.org/officeDocument/2006/relationships/hyperlink" Target="https://website-9ib.pages.dev/termek/226215-u-40-mm-szego-profil/" TargetMode="External" Id="rId225" /><Relationship Type="http://schemas.openxmlformats.org/officeDocument/2006/relationships/hyperlink" Target="https://website-9ib.pages.dev/termek/226701-tomites-40-u-szegohoz/" TargetMode="External" Id="rId226" /><Relationship Type="http://schemas.openxmlformats.org/officeDocument/2006/relationships/hyperlink" Target="https://website-9ib.pages.dev/termek/226240-tomiteses-u-szego-40-mm/" TargetMode="External" Id="rId227" /><Relationship Type="http://schemas.openxmlformats.org/officeDocument/2006/relationships/hyperlink" Target="https://website-9ib.pages.dev/termek/125311-2-reszes-rakomanyrogzito-gyuru-lefogatas/" TargetMode="External" Id="rId228" /><Relationship Type="http://schemas.openxmlformats.org/officeDocument/2006/relationships/hyperlink" Target="https://website-9ib.pages.dev/termek/127706-acel-rak-rogzito-kampos-sully/" TargetMode="External" Id="rId229" /><Relationship Type="http://schemas.openxmlformats.org/officeDocument/2006/relationships/hyperlink" Target="https://website-9ib.pages.dev/termek/127184-talpas-terelvalaszto-rakomanyrogzito-rud-d42-alu/" TargetMode="External" Id="rId230" /><Relationship Type="http://schemas.openxmlformats.org/officeDocument/2006/relationships/hyperlink" Target="https://website-9ib.pages.dev/termek/753-reflex-szalag-piros-ponyvara/" TargetMode="External" Id="rId231" /><Relationship Type="http://schemas.openxmlformats.org/officeDocument/2006/relationships/hyperlink" Target="https://website-9ib.pages.dev/termek/752-reflex-szalag-ponyvara-feher/" TargetMode="External" Id="rId232" /><Relationship Type="http://schemas.openxmlformats.org/officeDocument/2006/relationships/hyperlink" Target="https://website-9ib.pages.dev/termek/751-reflex-szalag-ponyvara-sarga/" TargetMode="External" Id="rId233" /><Relationship Type="http://schemas.openxmlformats.org/officeDocument/2006/relationships/hyperlink" Target="https://website-9ib.pages.dev/termek/daken-lada-500x350x400-mm/" TargetMode="External" Id="rId234" /><Relationship Type="http://schemas.openxmlformats.org/officeDocument/2006/relationships/hyperlink" Target="https://website-9ib.pages.dev/termek/j6030-sarfogo-lap-600x300/" TargetMode="External" Id="rId235" /><Relationship Type="http://schemas.openxmlformats.org/officeDocument/2006/relationships/hyperlink" Target="https://website-9ib.pages.dev/termek/j6040-sarfogo-lap-600x400/" TargetMode="External" Id="rId236" /><Relationship Type="http://schemas.openxmlformats.org/officeDocument/2006/relationships/hyperlink" Target="https://website-9ib.pages.dev/termek/302550-konzol-viztartalyhoz/" TargetMode="External" Id="rId237" /><Relationship Type="http://schemas.openxmlformats.org/officeDocument/2006/relationships/hyperlink" Target="https://website-9ib.pages.dev/termek/302515-viztartaly-30l-szappantarto/" TargetMode="External" Id="rId238" /><Relationship Type="http://schemas.openxmlformats.org/officeDocument/2006/relationships/hyperlink" Target="https://website-9ib.pages.dev/termek/jf45106-450x1060-mm-sarvedo-lap/" TargetMode="External" Id="rId239" /><Relationship Type="http://schemas.openxmlformats.org/officeDocument/2006/relationships/hyperlink" Target="https://website-9ib.pages.dev/termek/106060-d60-as-acel-csodugotarto-feszek/" TargetMode="External" Id="rId240" /><Relationship Type="http://schemas.openxmlformats.org/officeDocument/2006/relationships/hyperlink" Target="https://website-9ib.pages.dev/termek/121018-sl-rakomanyrogzito-rud-alu-1650-2050-mm/" TargetMode="External" Id="rId241" /><Relationship Type="http://schemas.openxmlformats.org/officeDocument/2006/relationships/hyperlink" Target="https://website-9ib.pages.dev/termek/121019-rakomanyrogzito-rud-alu-2050-2450-mm/" TargetMode="External" Id="rId242" /><Relationship Type="http://schemas.openxmlformats.org/officeDocument/2006/relationships/hyperlink" Target="https://website-9ib.pages.dev/termek/rampa-040x615x2500/" TargetMode="External" Id="rId243" /><Relationship Type="http://schemas.openxmlformats.org/officeDocument/2006/relationships/hyperlink" Target="https://website-9ib.pages.dev/termek/athajto-rampa/" TargetMode="External" Id="rId244" /><Relationship Type="http://schemas.openxmlformats.org/officeDocument/2006/relationships/hyperlink" Target="https://website-9ib.pages.dev/termek/17310-1-tetoablak-40-80-alu-kerettel-kalapacs/" TargetMode="External" Id="rId245" /><Relationship Type="http://schemas.openxmlformats.org/officeDocument/2006/relationships/hyperlink" Target="https://website-9ib.pages.dev/termek/18533-1-24v-e-tetoablak-945x518-kapcsolo/" TargetMode="External" Id="rId246" /><Relationship Type="http://schemas.openxmlformats.org/officeDocument/2006/relationships/hyperlink" Target="https://website-9ib.pages.dev/termek/516913-63-mm-hutos-gumi-13m/" TargetMode="External" Id="rId247" /><Relationship Type="http://schemas.openxmlformats.org/officeDocument/2006/relationships/hyperlink" Target="https://website-9ib.pages.dev/termek/511813-83-mm-hutos-gumi-13m/" TargetMode="External" Id="rId248" /><Relationship Type="http://schemas.openxmlformats.org/officeDocument/2006/relationships/hyperlink" Target="https://website-9ib.pages.dev/termek/72706-hatso-csoveg-rugos/" TargetMode="External" Id="rId249" /><Relationship Type="http://schemas.openxmlformats.org/officeDocument/2006/relationships/hyperlink" Target="https://website-9ib.pages.dev/termek/552050-utkozogumi-200x50x80/" TargetMode="External" Id="rId250" /><Relationship Type="http://schemas.openxmlformats.org/officeDocument/2006/relationships/hyperlink" Target="https://website-9ib.pages.dev/termek/719220-99a-719226-304-rozsdamentes-kartarto-csovezeto/" TargetMode="External" Id="rId251" /><Relationship Type="http://schemas.openxmlformats.org/officeDocument/2006/relationships/hyperlink" Target="https://website-9ib.pages.dev/termek/041225-uzemanyag-beonto-245x190-zarhato/" TargetMode="External" Id="rId252" /><Relationship Type="http://schemas.openxmlformats.org/officeDocument/2006/relationships/hyperlink" Target="https://www.pastorelombardi.com/eng/cerca?chiave=024121322E" TargetMode="External" Id="rId253" /><Relationship Type="http://schemas.openxmlformats.org/officeDocument/2006/relationships/hyperlink" Target="https://website-9ib.pages.dev/termek/041280-uzemanyag-beonto-nagy/" TargetMode="External" Id="rId254" /><Relationship Type="http://schemas.openxmlformats.org/officeDocument/2006/relationships/hyperlink" Target="https://website-9ib.pages.dev/termek/3840-2900-sstavg-27-mm-feszito-alu-cso/" TargetMode="External" Id="rId255" /><Relationship Type="http://schemas.openxmlformats.org/officeDocument/2006/relationships/hyperlink" Target="https://website-9ib.pages.dev/termek/38400-cb27-hsd-kezi-heveder-szurke-bilinccsel-keszlet/" TargetMode="External" Id="rId256" /><Relationship Type="http://schemas.openxmlformats.org/officeDocument/2006/relationships/hyperlink" Target="https://website-9ib.pages.dev/termek/pol-panel-25-mm/" TargetMode="External" Id="rId257" /><Relationship Type="http://schemas.openxmlformats.org/officeDocument/2006/relationships/hyperlink" Target="https://website-9ib.pages.dev/termek/pol-panel-25-mm-szendvicspanel-erositett/" TargetMode="External" Id="rId258" /><Relationship Type="http://schemas.openxmlformats.org/officeDocument/2006/relationships/hyperlink" Target="https://website-9ib.pages.dev/termek/553150-utkozogumi-310x35x60-mm/" TargetMode="External" Id="rId259" /><Relationship Type="http://schemas.openxmlformats.org/officeDocument/2006/relationships/hyperlink" Target="https://website-9ib.pages.dev/termek/220192-also-rampa-indito-profil/" TargetMode="External" Id="rId260" /><Relationship Type="http://schemas.openxmlformats.org/officeDocument/2006/relationships/hyperlink" Target="https://website-9ib.pages.dev/termek/3562974-alu-hatso-400-mm-rakonca-l-r/" TargetMode="External" Id="rId261" /><Relationship Type="http://schemas.openxmlformats.org/officeDocument/2006/relationships/hyperlink" Target="https://website-9ib.pages.dev/termek/2221513-aluminium-c-teto-sin-54-5x47-75-mm/" TargetMode="External" Id="rId262" /><Relationship Type="http://schemas.openxmlformats.org/officeDocument/2006/relationships/hyperlink" Target="https://website-9ib.pages.dev/termek/388008-27mm-feszito-cso-alu-profil/" TargetMode="External" Id="rId263" /><Relationship Type="http://schemas.openxmlformats.org/officeDocument/2006/relationships/hyperlink" Target="https://website-9ib.pages.dev/termek/123250-terelvalaszto-falzar/" TargetMode="External" Id="rId264" /><Relationship Type="http://schemas.openxmlformats.org/officeDocument/2006/relationships/hyperlink" Target="https://website-9ib.pages.dev/termek/220190-rampa-felso-zaro-profil-225-30-mm/" TargetMode="External" Id="rId265" /><Relationship Type="http://schemas.openxmlformats.org/officeDocument/2006/relationships/hyperlink" Target="https://website-9ib.pages.dev/termek/615106-retesz-rud-d10-l-1300-mm/" TargetMode="External" Id="rId266" /><Relationship Type="http://schemas.openxmlformats.org/officeDocument/2006/relationships/hyperlink" Target="https://website-9ib.pages.dev/termek/615105-sullyesztett-dupla-mukodesu-retesz/" TargetMode="External" Id="rId267" /><Relationship Type="http://schemas.openxmlformats.org/officeDocument/2006/relationships/hyperlink" Target="https://www.sandprofile.com/media/gesamtkatalog_en.pdf#page=72" TargetMode="External" Id="rId268" /><Relationship Type="http://schemas.openxmlformats.org/officeDocument/2006/relationships/hyperlink" Target="https://website-9ib.pages.dev/termek/epdm-1030-moosgumi/" TargetMode="External" Id="rId269" /><Relationship Type="http://schemas.openxmlformats.org/officeDocument/2006/relationships/hyperlink" Target="https://www.sandprofile.com/media/gesamtkatalog_en.pdf#page=73" TargetMode="External" Id="rId270" /><Relationship Type="http://schemas.openxmlformats.org/officeDocument/2006/relationships/hyperlink" Target="https://website-9ib.pages.dev/termek/epdm-1530-moosgumi/" TargetMode="External" Id="rId271" /><Relationship Type="http://schemas.openxmlformats.org/officeDocument/2006/relationships/hyperlink" Target="https://www.sandprofile.com/media/gesamtkatalog_en.pdf#page=73" TargetMode="External" Id="rId272" /><Relationship Type="http://schemas.openxmlformats.org/officeDocument/2006/relationships/hyperlink" Target="https://website-9ib.pages.dev/termek/epdm-3030-af-moosgumi/" TargetMode="External" Id="rId273" /><Relationship Type="http://schemas.openxmlformats.org/officeDocument/2006/relationships/hyperlink" Target="https://www.sandprofile.com/media/gesamtkatalog_en.pdf#page=52" TargetMode="External" Id="rId274" /><Relationship Type="http://schemas.openxmlformats.org/officeDocument/2006/relationships/hyperlink" Target="https://website-9ib.pages.dev/termek/sp-b2-173/" TargetMode="External" Id="rId275" /><Relationship Type="http://schemas.openxmlformats.org/officeDocument/2006/relationships/hyperlink" Target="https://website-9ib.pages.dev/termek/lepkes-gumi-76-8-80-4-7-fekete/" TargetMode="External" Id="rId276" /><Relationship Type="http://schemas.openxmlformats.org/officeDocument/2006/relationships/hyperlink" Target="https://website-9ib.pages.dev/termek/508650-1-fokos-letra-thorg-400-mm/" TargetMode="External" Id="rId277" /><Relationship Type="http://schemas.openxmlformats.org/officeDocument/2006/relationships/hyperlink" Target="https://website-9ib.pages.dev/termek/502286-2-fokos-letra-thorg-tk-570-mm/" TargetMode="External" Id="rId278" /><Relationship Type="http://schemas.openxmlformats.org/officeDocument/2006/relationships/hyperlink" Target="https://website-9ib.pages.dev/termek/223003-n-h-szego-25-mm-t/" TargetMode="External" Id="rId279" /><Relationship Type="http://schemas.openxmlformats.org/officeDocument/2006/relationships/hyperlink" Target="https://website-9ib.pages.dev/termek/223003-h-szego-25-mm-elox-t/" TargetMode="External" Id="rId280" /><Relationship Type="http://schemas.openxmlformats.org/officeDocument/2006/relationships/hyperlink" Target="https://website-9ib.pages.dev/termek/223001-n-u-25-mm-szego-profil-t/" TargetMode="External" Id="rId281" /><Relationship Type="http://schemas.openxmlformats.org/officeDocument/2006/relationships/hyperlink" Target="https://website-9ib.pages.dev/termek/223001-u-25-mm-szego-profil-elox-t/" TargetMode="External" Id="rId282" /><Relationship Type="http://schemas.openxmlformats.org/officeDocument/2006/relationships/hyperlink" Target="https://website-9ib.pages.dev/termek/224004-400-mm-peremes-oldalfal-elox-2/" TargetMode="External" Id="rId283" /><Relationship Type="http://schemas.openxmlformats.org/officeDocument/2006/relationships/hyperlink" Target="https://website-9ib.pages.dev/termek/224004-400-mm-peremes-oldalfal-elox/" TargetMode="External" Id="rId284" /><Relationship Type="http://schemas.openxmlformats.org/officeDocument/2006/relationships/hyperlink" Target="https://website-9ib.pages.dev/termek/245005-bill-400-30-mm-mono-profil-elox/" TargetMode="External" Id="rId285" /><Relationship Type="http://schemas.openxmlformats.org/officeDocument/2006/relationships/hyperlink" Target="https://website-9ib.pages.dev/termek/226001-zart-padlo-profil-30-200-mm/" TargetMode="External" Id="rId286" /><Relationship Type="http://schemas.openxmlformats.org/officeDocument/2006/relationships/hyperlink" Target="https://website-9ib.pages.dev/termek/612623-tit-zarszerkezet/" TargetMode="External" Id="rId287" /><Relationship Type="http://schemas.openxmlformats.org/officeDocument/2006/relationships/hyperlink" Target="https://website-9ib.pages.dev/termek/820384-haub-csatoszar-ellendarabbal/" TargetMode="External" Id="rId288" /><Relationship Type="http://schemas.openxmlformats.org/officeDocument/2006/relationships/hyperlink" Target="https://website-9ib.pages.dev/termek/t-rakonca-gorgo/" TargetMode="External" Id="rId289" /><Relationship Type="http://schemas.openxmlformats.org/officeDocument/2006/relationships/hyperlink" Target="https://website-9ib.pages.dev/termek/v242-14116-takaro-gumi-dtl/" TargetMode="External" Id="rId290" /><Relationship Type="http://schemas.openxmlformats.org/officeDocument/2006/relationships/hyperlink" Target="https://website-9ib.pages.dev/termek/v242-14121-takaro-gumi-dtl/" TargetMode="External" Id="rId291" /><Relationship Type="http://schemas.openxmlformats.org/officeDocument/2006/relationships/hyperlink" Target="https://website-9ib.pages.dev/termek/v242-14128-tomites-dtl/" TargetMode="External" Id="rId292" /><Relationship Type="http://schemas.openxmlformats.org/officeDocument/2006/relationships/hyperlink" Target="https://website-9ib.pages.dev/termek/3420766-00-vonohorog/" TargetMode="External" Id="rId293" /><Relationship Type="http://schemas.openxmlformats.org/officeDocument/2006/relationships/hyperlink" Target="https://website-9ib.pages.dev/termek/3421796-1-vonohorog-felfogatas/" TargetMode="External" Id="rId29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Termék-ellenőrző táblázat – Quadris weboldal</t>
        </is>
      </c>
    </row>
    <row r="2">
      <c r="A2" s="2" t="inlineStr"/>
    </row>
    <row r="3">
      <c r="A3" s="3" t="inlineStr">
        <is>
          <t>Mit mutat?</t>
        </is>
      </c>
    </row>
    <row r="4">
      <c r="A4" s="2" t="inlineStr">
        <is>
          <t>A „Termékek” lapon a jelenleg KÉP NÉLKÜLI termékek vannak, soronként egy: van-e műszaki adata, honnan jött az adat, hol kerestük és hol nem találtuk.</t>
        </is>
      </c>
    </row>
    <row r="5">
      <c r="A5" s="2" t="inlineStr">
        <is>
          <t>A „Beszállítók” lap beszállítónként összesíti a kép nélküli termékeket (képletekkel, a jelölések után is frissül).</t>
        </is>
      </c>
    </row>
    <row r="6">
      <c r="A6" s="2" t="inlineStr"/>
    </row>
    <row r="7">
      <c r="A7" s="3" t="inlineStr">
        <is>
          <t>Mit kell kitölteni? (sárga oszlopok a „Termékek” lapon)</t>
        </is>
      </c>
    </row>
    <row r="8">
      <c r="A8" s="4" t="inlineStr">
        <is>
          <t>C – TÖRÖLHETŐ: legördülőből „IGEN”, ha a terméket le lehet venni a weboldalról és mindenhonnan (katalógus, kereső, ajánlatkérő).</t>
        </is>
      </c>
    </row>
    <row r="9">
      <c r="A9" s="4" t="inlineStr">
        <is>
          <t>D – Megjegyzés (Quadris): bármi, amit tudnunk kell – pl. „kép: a beszállító új katalógusában a 34. oldalon”, „helyes cikkszám: 7318”, „nem forgalmazzuk”.</t>
        </is>
      </c>
    </row>
    <row r="10">
      <c r="A10" s="2" t="inlineStr">
        <is>
          <t>Példa: C = IGEN, D = „Kifutott termék, nem rendelhető.”</t>
        </is>
      </c>
    </row>
    <row r="11">
      <c r="A11" s="2" t="inlineStr">
        <is>
          <t>A többi oszlopot kérjük, ne módosítsák – az S oszlop (azonosító) alapján olvassuk vissza a fájlt.</t>
        </is>
      </c>
    </row>
    <row r="12">
      <c r="A12" s="2" t="inlineStr"/>
    </row>
    <row r="13">
      <c r="A13" s="3" t="inlineStr">
        <is>
          <t>Oszlopok jelentése</t>
        </is>
      </c>
    </row>
    <row r="14">
      <c r="A14" s="2" t="inlineStr">
        <is>
          <t>Kép (db) / Műszaki adat (db): a weboldalon megjelenő képek és adatsorok száma.</t>
        </is>
      </c>
    </row>
    <row r="15">
      <c r="A15" s="2" t="inlineStr">
        <is>
          <t>Állapot: Rendben / Nincs kép / Nincs adat / Nincs kép és adat (képlet a két számból).</t>
        </is>
      </c>
    </row>
    <row r="16">
      <c r="A16" s="2" t="inlineStr">
        <is>
          <t>Kerestük?: volt-e ismert beszállítói forrás (weboldal, webáruház, katalógus), ahol a tételt kerestük.</t>
        </is>
      </c>
    </row>
    <row r="17">
      <c r="A17" s="2" t="inlineStr">
        <is>
          <t>Hol kerestük: a beszállító forrásai, amelyekben a tételt kerestük.</t>
        </is>
      </c>
    </row>
    <row r="18">
      <c r="A18" s="2" t="inlineStr">
        <is>
          <t>Eredmény: hol találtuk meg (forrás és egyező gyártói kód), vagy hogy a felsorolt helyeken nem találtuk.</t>
        </is>
      </c>
    </row>
    <row r="19">
      <c r="A19" s="2" t="inlineStr">
        <is>
          <t>„adatlap a Quadris-megnevezésből”: beszállítói adat nincs, a méretek és az elméleti tömeg a megnevezésből számolva.</t>
        </is>
      </c>
    </row>
    <row r="20">
      <c r="A20" s="2" t="inlineStr">
        <is>
          <t>Eredet: „Quadris Excel” = a Quadris terméklistájából; „Teljes kínálat” = a beszállító teljes kínálatából felvett termék.</t>
        </is>
      </c>
    </row>
    <row r="21">
      <c r="A21" s="2" t="inlineStr"/>
    </row>
    <row r="22">
      <c r="A22" s="2" t="inlineStr">
        <is>
          <t>Forrás: a weboldal adatai (src/data/catalog.json, termekadatok.json, bovitett.json) – generálva: scripts/termekadatok/ellenorzo_excel.py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0" customWidth="1" min="5" max="5"/>
    <col width="80" customWidth="1" min="6" max="6"/>
    <col width="12" customWidth="1" min="7" max="7"/>
  </cols>
  <sheetData>
    <row r="1">
      <c r="A1" s="5" t="inlineStr">
        <is>
          <t>Beszállító</t>
        </is>
      </c>
      <c r="B1" s="5" t="inlineStr">
        <is>
          <t>Kép nélküli termékek</t>
        </is>
      </c>
      <c r="C1" s="5" t="inlineStr">
        <is>
          <t>Ebből műszaki adat sincs</t>
        </is>
      </c>
      <c r="D1" s="5" t="inlineStr">
        <is>
          <t>Ebből van műszaki adat</t>
        </is>
      </c>
      <c r="E1" s="5" t="inlineStr">
        <is>
          <t>Kerestük?</t>
        </is>
      </c>
      <c r="F1" s="5" t="inlineStr">
        <is>
          <t>Hol kerestük</t>
        </is>
      </c>
      <c r="G1" s="5" t="inlineStr">
        <is>
          <t>Törlésre jelölve</t>
        </is>
      </c>
    </row>
    <row r="2">
      <c r="A2" s="6" t="inlineStr">
        <is>
          <t>(nincs megadva)</t>
        </is>
      </c>
      <c r="B2" s="6">
        <f>COUNTIF(Termékek!$A$2:$A$288,A2)</f>
        <v/>
      </c>
      <c r="C2" s="6">
        <f>COUNTIFS(Termékek!$A$2:$A$288,A2,Termékek!$M$2:$M$288,"Nincs kép és adat")</f>
        <v/>
      </c>
      <c r="D2" s="6">
        <f>B2-C2</f>
        <v/>
      </c>
      <c r="E2" s="6" t="inlineStr">
        <is>
          <t>Nem</t>
        </is>
      </c>
      <c r="F2" s="7" t="inlineStr">
        <is>
          <t>Quadris-megnevezés (nincs beszállítói forrás)</t>
        </is>
      </c>
      <c r="G2" s="6">
        <f>COUNTIFS(Termékek!$A$2:$A$288,A2,Termékek!$C$2:$C$288,"IGEN")</f>
        <v/>
      </c>
    </row>
    <row r="3">
      <c r="A3" s="6" t="inlineStr">
        <is>
          <t>AC-RIU</t>
        </is>
      </c>
      <c r="B3" s="6">
        <f>COUNTIF(Termékek!$A$2:$A$288,A3)</f>
        <v/>
      </c>
      <c r="C3" s="6">
        <f>COUNTIFS(Termékek!$A$2:$A$288,A3,Termékek!$M$2:$M$288,"Nincs kép és adat")</f>
        <v/>
      </c>
      <c r="D3" s="6">
        <f>B3-C3</f>
        <v/>
      </c>
      <c r="E3" s="6" t="inlineStr">
        <is>
          <t>Nem</t>
        </is>
      </c>
      <c r="F3" s="7" t="inlineStr">
        <is>
          <t>–</t>
        </is>
      </c>
      <c r="G3" s="6">
        <f>COUNTIFS(Termékek!$A$2:$A$288,A3,Termékek!$C$2:$C$288,"IGEN")</f>
        <v/>
      </c>
    </row>
    <row r="4">
      <c r="A4" s="6" t="inlineStr">
        <is>
          <t>Allco</t>
        </is>
      </c>
      <c r="B4" s="6">
        <f>COUNTIF(Termékek!$A$2:$A$288,A4)</f>
        <v/>
      </c>
      <c r="C4" s="6">
        <f>COUNTIFS(Termékek!$A$2:$A$288,A4,Termékek!$M$2:$M$288,"Nincs kép és adat")</f>
        <v/>
      </c>
      <c r="D4" s="6">
        <f>B4-C4</f>
        <v/>
      </c>
      <c r="E4" s="6" t="inlineStr">
        <is>
          <t>Nem</t>
        </is>
      </c>
      <c r="F4" s="7" t="inlineStr">
        <is>
          <t>–</t>
        </is>
      </c>
      <c r="G4" s="6">
        <f>COUNTIFS(Termékek!$A$2:$A$288,A4,Termékek!$C$2:$C$288,"IGEN")</f>
        <v/>
      </c>
    </row>
    <row r="5">
      <c r="A5" s="6" t="inlineStr">
        <is>
          <t>ALSAP</t>
        </is>
      </c>
      <c r="B5" s="6">
        <f>COUNTIF(Termékek!$A$2:$A$288,A5)</f>
        <v/>
      </c>
      <c r="C5" s="6">
        <f>COUNTIFS(Termékek!$A$2:$A$288,A5,Termékek!$M$2:$M$288,"Nincs kép és adat")</f>
        <v/>
      </c>
      <c r="D5" s="6">
        <f>B5-C5</f>
        <v/>
      </c>
      <c r="E5" s="6" t="inlineStr">
        <is>
          <t>Nem</t>
        </is>
      </c>
      <c r="F5" s="7" t="inlineStr">
        <is>
          <t>–</t>
        </is>
      </c>
      <c r="G5" s="6">
        <f>COUNTIFS(Termékek!$A$2:$A$288,A5,Termékek!$C$2:$C$288,"IGEN")</f>
        <v/>
      </c>
    </row>
    <row r="6">
      <c r="A6" s="6" t="inlineStr">
        <is>
          <t>Alu-SV</t>
        </is>
      </c>
      <c r="B6" s="6">
        <f>COUNTIF(Termékek!$A$2:$A$288,A6)</f>
        <v/>
      </c>
      <c r="C6" s="6">
        <f>COUNTIFS(Termékek!$A$2:$A$288,A6,Termékek!$M$2:$M$288,"Nincs kép és adat")</f>
        <v/>
      </c>
      <c r="D6" s="6">
        <f>B6-C6</f>
        <v/>
      </c>
      <c r="E6" s="6" t="inlineStr">
        <is>
          <t>Igen</t>
        </is>
      </c>
      <c r="F6" s="7" t="inlineStr">
        <is>
          <t>alu-sv.com webáruház, keresés rendelési számra</t>
        </is>
      </c>
      <c r="G6" s="6">
        <f>COUNTIFS(Termékek!$A$2:$A$288,A6,Termékek!$C$2:$C$288,"IGEN")</f>
        <v/>
      </c>
    </row>
    <row r="7">
      <c r="A7" s="6" t="inlineStr">
        <is>
          <t>BODEGA</t>
        </is>
      </c>
      <c r="B7" s="6">
        <f>COUNTIF(Termékek!$A$2:$A$288,A7)</f>
        <v/>
      </c>
      <c r="C7" s="6">
        <f>COUNTIFS(Termékek!$A$2:$A$288,A7,Termékek!$M$2:$M$288,"Nincs kép és adat")</f>
        <v/>
      </c>
      <c r="D7" s="6">
        <f>B7-C7</f>
        <v/>
      </c>
      <c r="E7" s="6" t="inlineStr">
        <is>
          <t>Igen</t>
        </is>
      </c>
      <c r="F7" s="7" t="inlineStr">
        <is>
          <t>Bodega Bordwände katalógus 2010 (PDF); bodega.it oldaltérkép</t>
        </is>
      </c>
      <c r="G7" s="6">
        <f>COUNTIFS(Termékek!$A$2:$A$288,A7,Termékek!$C$2:$C$288,"IGEN")</f>
        <v/>
      </c>
    </row>
    <row r="8">
      <c r="A8" s="6" t="inlineStr">
        <is>
          <t>Car-Alu</t>
        </is>
      </c>
      <c r="B8" s="6">
        <f>COUNTIF(Termékek!$A$2:$A$288,A8)</f>
        <v/>
      </c>
      <c r="C8" s="6">
        <f>COUNTIFS(Termékek!$A$2:$A$288,A8,Termékek!$M$2:$M$288,"Nincs kép és adat")</f>
        <v/>
      </c>
      <c r="D8" s="6">
        <f>B8-C8</f>
        <v/>
      </c>
      <c r="E8" s="6" t="inlineStr">
        <is>
          <t>Igen</t>
        </is>
      </c>
      <c r="F8" s="7" t="inlineStr">
        <is>
          <t>caralushop.nl webshop</t>
        </is>
      </c>
      <c r="G8" s="6">
        <f>COUNTIFS(Termékek!$A$2:$A$288,A8,Termékek!$C$2:$C$288,"IGEN")</f>
        <v/>
      </c>
    </row>
    <row r="9">
      <c r="A9" s="6" t="inlineStr">
        <is>
          <t>Cargoframes Czech</t>
        </is>
      </c>
      <c r="B9" s="6">
        <f>COUNTIF(Termékek!$A$2:$A$288,A9)</f>
        <v/>
      </c>
      <c r="C9" s="6">
        <f>COUNTIFS(Termékek!$A$2:$A$288,A9,Termékek!$M$2:$M$288,"Nincs kép és adat")</f>
        <v/>
      </c>
      <c r="D9" s="6">
        <f>B9-C9</f>
        <v/>
      </c>
      <c r="E9" s="6" t="inlineStr">
        <is>
          <t>Igen</t>
        </is>
      </c>
      <c r="F9" s="7" t="inlineStr">
        <is>
          <t>cargoframes.eu oldaltérkép; Cargo Frames profilrajzok és műszaki lista (Quadris e-mail)</t>
        </is>
      </c>
      <c r="G9" s="6">
        <f>COUNTIFS(Termékek!$A$2:$A$288,A9,Termékek!$C$2:$C$288,"IGEN")</f>
        <v/>
      </c>
    </row>
    <row r="10">
      <c r="A10" s="6" t="inlineStr">
        <is>
          <t>Cimaplast</t>
        </is>
      </c>
      <c r="B10" s="6">
        <f>COUNTIF(Termékek!$A$2:$A$288,A10)</f>
        <v/>
      </c>
      <c r="C10" s="6">
        <f>COUNTIFS(Termékek!$A$2:$A$288,A10,Termékek!$M$2:$M$288,"Nincs kép és adat")</f>
        <v/>
      </c>
      <c r="D10" s="6">
        <f>B10-C10</f>
        <v/>
      </c>
      <c r="E10" s="6" t="inlineStr">
        <is>
          <t>Igen</t>
        </is>
      </c>
      <c r="F10" s="7" t="inlineStr">
        <is>
          <t>cimaplast.it kategóriaoldalak</t>
        </is>
      </c>
      <c r="G10" s="6">
        <f>COUNTIFS(Termékek!$A$2:$A$288,A10,Termékek!$C$2:$C$288,"IGEN")</f>
        <v/>
      </c>
    </row>
    <row r="11">
      <c r="A11" s="6" t="inlineStr">
        <is>
          <t>CNT conta</t>
        </is>
      </c>
      <c r="B11" s="6">
        <f>COUNTIF(Termékek!$A$2:$A$288,A11)</f>
        <v/>
      </c>
      <c r="C11" s="6">
        <f>COUNTIFS(Termékek!$A$2:$A$288,A11,Termékek!$M$2:$M$288,"Nincs kép és adat")</f>
        <v/>
      </c>
      <c r="D11" s="6">
        <f>B11-C11</f>
        <v/>
      </c>
      <c r="E11" s="6" t="inlineStr">
        <is>
          <t>Nem</t>
        </is>
      </c>
      <c r="F11" s="7" t="inlineStr">
        <is>
          <t>–</t>
        </is>
      </c>
      <c r="G11" s="6">
        <f>COUNTIFS(Termékek!$A$2:$A$288,A11,Termékek!$C$2:$C$288,"IGEN")</f>
        <v/>
      </c>
    </row>
    <row r="12">
      <c r="A12" s="6" t="inlineStr">
        <is>
          <t>Constellium Decin</t>
        </is>
      </c>
      <c r="B12" s="6">
        <f>COUNTIF(Termékek!$A$2:$A$288,A12)</f>
        <v/>
      </c>
      <c r="C12" s="6">
        <f>COUNTIFS(Termékek!$A$2:$A$288,A12,Termékek!$M$2:$M$288,"Nincs kép és adat")</f>
        <v/>
      </c>
      <c r="D12" s="6">
        <f>B12-C12</f>
        <v/>
      </c>
      <c r="E12" s="6" t="inlineStr">
        <is>
          <t>Igen</t>
        </is>
      </c>
      <c r="F12" s="7" t="inlineStr">
        <is>
          <t>alu-sv.com (a kód utolsó számjegyei); Ital Accessori katalógus; Drive: CONSTELLIUM DECIN Excel – nem letölthető (&gt;10 MB)</t>
        </is>
      </c>
      <c r="G12" s="6">
        <f>COUNTIFS(Termékek!$A$2:$A$288,A12,Termékek!$C$2:$C$288,"IGEN")</f>
        <v/>
      </c>
    </row>
    <row r="13">
      <c r="A13" s="6" t="inlineStr">
        <is>
          <t>D.LaPorte</t>
        </is>
      </c>
      <c r="B13" s="6">
        <f>COUNTIF(Termékek!$A$2:$A$288,A13)</f>
        <v/>
      </c>
      <c r="C13" s="6">
        <f>COUNTIFS(Termékek!$A$2:$A$288,A13,Termékek!$M$2:$M$288,"Nincs kép és adat")</f>
        <v/>
      </c>
      <c r="D13" s="6">
        <f>B13-C13</f>
        <v/>
      </c>
      <c r="E13" s="6" t="inlineStr">
        <is>
          <t>Nem</t>
        </is>
      </c>
      <c r="F13" s="7" t="inlineStr">
        <is>
          <t>–</t>
        </is>
      </c>
      <c r="G13" s="6">
        <f>COUNTIFS(Termékek!$A$2:$A$288,A13,Termékek!$C$2:$C$288,"IGEN")</f>
        <v/>
      </c>
    </row>
    <row r="14">
      <c r="A14" s="6" t="inlineStr">
        <is>
          <t>DG</t>
        </is>
      </c>
      <c r="B14" s="6">
        <f>COUNTIF(Termékek!$A$2:$A$288,A14)</f>
        <v/>
      </c>
      <c r="C14" s="6">
        <f>COUNTIFS(Termékek!$A$2:$A$288,A14,Termékek!$M$2:$M$288,"Nincs kép és adat")</f>
        <v/>
      </c>
      <c r="D14" s="6">
        <f>B14-C14</f>
        <v/>
      </c>
      <c r="E14" s="6" t="inlineStr">
        <is>
          <t>Nem</t>
        </is>
      </c>
      <c r="F14" s="7" t="inlineStr">
        <is>
          <t>–</t>
        </is>
      </c>
      <c r="G14" s="6">
        <f>COUNTIFS(Termékek!$A$2:$A$288,A14,Termékek!$C$2:$C$288,"IGEN")</f>
        <v/>
      </c>
    </row>
    <row r="15">
      <c r="A15" s="6" t="inlineStr">
        <is>
          <t>Dost</t>
        </is>
      </c>
      <c r="B15" s="6">
        <f>COUNTIF(Termékek!$A$2:$A$288,A15)</f>
        <v/>
      </c>
      <c r="C15" s="6">
        <f>COUNTIFS(Termékek!$A$2:$A$288,A15,Termékek!$M$2:$M$288,"Nincs kép és adat")</f>
        <v/>
      </c>
      <c r="D15" s="6">
        <f>B15-C15</f>
        <v/>
      </c>
      <c r="E15" s="6" t="inlineStr">
        <is>
          <t>Igen</t>
        </is>
      </c>
      <c r="F15" s="7" t="inlineStr">
        <is>
          <t>Dost Teknik 2024 katalógus (PDF)</t>
        </is>
      </c>
      <c r="G15" s="6">
        <f>COUNTIFS(Termékek!$A$2:$A$288,A15,Termékek!$C$2:$C$288,"IGEN")</f>
        <v/>
      </c>
    </row>
    <row r="16">
      <c r="A16" s="6" t="inlineStr">
        <is>
          <t>EMEPE</t>
        </is>
      </c>
      <c r="B16" s="6">
        <f>COUNTIF(Termékek!$A$2:$A$288,A16)</f>
        <v/>
      </c>
      <c r="C16" s="6">
        <f>COUNTIFS(Termékek!$A$2:$A$288,A16,Termékek!$M$2:$M$288,"Nincs kép és adat")</f>
        <v/>
      </c>
      <c r="D16" s="6">
        <f>B16-C16</f>
        <v/>
      </c>
      <c r="E16" s="6" t="inlineStr">
        <is>
          <t>Igen</t>
        </is>
      </c>
      <c r="F16" s="7" t="inlineStr">
        <is>
          <t>mpsteel.es – MP Steel katalógus 12/2016 (PDF)</t>
        </is>
      </c>
      <c r="G16" s="6">
        <f>COUNTIFS(Termékek!$A$2:$A$288,A16,Termékek!$C$2:$C$288,"IGEN")</f>
        <v/>
      </c>
    </row>
    <row r="17">
      <c r="A17" s="6" t="inlineStr">
        <is>
          <t>ESAL</t>
        </is>
      </c>
      <c r="B17" s="6">
        <f>COUNTIF(Termékek!$A$2:$A$288,A17)</f>
        <v/>
      </c>
      <c r="C17" s="6">
        <f>COUNTIFS(Termékek!$A$2:$A$288,A17,Termékek!$M$2:$M$288,"Nincs kép és adat")</f>
        <v/>
      </c>
      <c r="D17" s="6">
        <f>B17-C17</f>
        <v/>
      </c>
      <c r="E17" s="6" t="inlineStr">
        <is>
          <t>Igen</t>
        </is>
      </c>
      <c r="F17" s="7" t="inlineStr">
        <is>
          <t>ESAL Catalogo Sponde 2020 (PDF); ESAL Profili commerciali (PDF)</t>
        </is>
      </c>
      <c r="G17" s="6">
        <f>COUNTIFS(Termékek!$A$2:$A$288,A17,Termékek!$C$2:$C$288,"IGEN")</f>
        <v/>
      </c>
    </row>
    <row r="18">
      <c r="A18" s="6" t="inlineStr">
        <is>
          <t>Exlabesa ES</t>
        </is>
      </c>
      <c r="B18" s="6">
        <f>COUNTIF(Termékek!$A$2:$A$288,A18)</f>
        <v/>
      </c>
      <c r="C18" s="6">
        <f>COUNTIFS(Termékek!$A$2:$A$288,A18,Termékek!$M$2:$M$288,"Nincs kép és adat")</f>
        <v/>
      </c>
      <c r="D18" s="6">
        <f>B18-C18</f>
        <v/>
      </c>
      <c r="E18" s="6" t="inlineStr">
        <is>
          <t>Igen</t>
        </is>
      </c>
      <c r="F18" s="7" t="inlineStr">
        <is>
          <t>Exlabesa 2023 standard katalógus (Drive); exlabesa.com összes letölthető katalógusa (2023–2026)</t>
        </is>
      </c>
      <c r="G18" s="6">
        <f>COUNTIFS(Termékek!$A$2:$A$288,A18,Termékek!$C$2:$C$288,"IGEN")</f>
        <v/>
      </c>
    </row>
    <row r="19">
      <c r="A19" s="6" t="inlineStr">
        <is>
          <t>Exlabesa PL</t>
        </is>
      </c>
      <c r="B19" s="6">
        <f>COUNTIF(Termékek!$A$2:$A$288,A19)</f>
        <v/>
      </c>
      <c r="C19" s="6">
        <f>COUNTIFS(Termékek!$A$2:$A$288,A19,Termékek!$M$2:$M$288,"Nincs kép és adat")</f>
        <v/>
      </c>
      <c r="D19" s="6">
        <f>B19-C19</f>
        <v/>
      </c>
      <c r="E19" s="6" t="inlineStr">
        <is>
          <t>Igen</t>
        </is>
      </c>
      <c r="F19" s="7" t="inlineStr">
        <is>
          <t>Exlabesa 2023 standard katalógus (Drive); exlabesa.com összes letölthető katalógusa (2023–2026)</t>
        </is>
      </c>
      <c r="G19" s="6">
        <f>COUNTIFS(Termékek!$A$2:$A$288,A19,Termékek!$C$2:$C$288,"IGEN")</f>
        <v/>
      </c>
    </row>
    <row r="20">
      <c r="A20" s="6" t="inlineStr">
        <is>
          <t>FTS</t>
        </is>
      </c>
      <c r="B20" s="6">
        <f>COUNTIF(Termékek!$A$2:$A$288,A20)</f>
        <v/>
      </c>
      <c r="C20" s="6">
        <f>COUNTIFS(Termékek!$A$2:$A$288,A20,Termékek!$M$2:$M$288,"Nincs kép és adat")</f>
        <v/>
      </c>
      <c r="D20" s="6">
        <f>B20-C20</f>
        <v/>
      </c>
      <c r="E20" s="6" t="inlineStr">
        <is>
          <t>Igen</t>
        </is>
      </c>
      <c r="F20" s="7" t="inlineStr">
        <is>
          <t>fts-farina.it webáruház (WooCommerce API); FTS 2024 katalógus (PDF)</t>
        </is>
      </c>
      <c r="G20" s="6">
        <f>COUNTIFS(Termékek!$A$2:$A$288,A20,Termékek!$C$2:$C$288,"IGEN")</f>
        <v/>
      </c>
    </row>
    <row r="21">
      <c r="A21" s="6" t="inlineStr">
        <is>
          <t>Fuhrmann</t>
        </is>
      </c>
      <c r="B21" s="6">
        <f>COUNTIF(Termékek!$A$2:$A$288,A21)</f>
        <v/>
      </c>
      <c r="C21" s="6">
        <f>COUNTIFS(Termékek!$A$2:$A$288,A21,Termékek!$M$2:$M$288,"Nincs kép és adat")</f>
        <v/>
      </c>
      <c r="D21" s="6">
        <f>B21-C21</f>
        <v/>
      </c>
      <c r="E21" s="6" t="inlineStr">
        <is>
          <t>Igen</t>
        </is>
      </c>
      <c r="F21" s="7" t="inlineStr">
        <is>
          <t>Fuhrmann teljes kínálata (gyártói katalógus / weboldal)</t>
        </is>
      </c>
      <c r="G21" s="6">
        <f>COUNTIFS(Termékek!$A$2:$A$288,A21,Termékek!$C$2:$C$288,"IGEN")</f>
        <v/>
      </c>
    </row>
    <row r="22">
      <c r="A22" s="6" t="inlineStr">
        <is>
          <t>G&amp;C termékek</t>
        </is>
      </c>
      <c r="B22" s="6">
        <f>COUNTIF(Termékek!$A$2:$A$288,A22)</f>
        <v/>
      </c>
      <c r="C22" s="6">
        <f>COUNTIFS(Termékek!$A$2:$A$288,A22,Termékek!$M$2:$M$288,"Nincs kép és adat")</f>
        <v/>
      </c>
      <c r="D22" s="6">
        <f>B22-C22</f>
        <v/>
      </c>
      <c r="E22" s="6" t="inlineStr">
        <is>
          <t>Igen</t>
        </is>
      </c>
      <c r="F22" s="7" t="inlineStr">
        <is>
          <t>gnc-systems.com termékoldalak és adatlapok</t>
        </is>
      </c>
      <c r="G22" s="6">
        <f>COUNTIFS(Termékek!$A$2:$A$288,A22,Termékek!$C$2:$C$288,"IGEN")</f>
        <v/>
      </c>
    </row>
    <row r="23">
      <c r="A23" s="6" t="inlineStr">
        <is>
          <t>Ital Accessori</t>
        </is>
      </c>
      <c r="B23" s="6">
        <f>COUNTIF(Termékek!$A$2:$A$288,A23)</f>
        <v/>
      </c>
      <c r="C23" s="6">
        <f>COUNTIFS(Termékek!$A$2:$A$288,A23,Termékek!$M$2:$M$288,"Nincs kép és adat")</f>
        <v/>
      </c>
      <c r="D23" s="6">
        <f>B23-C23</f>
        <v/>
      </c>
      <c r="E23" s="6" t="inlineStr">
        <is>
          <t>Igen</t>
        </is>
      </c>
      <c r="F23" s="7" t="inlineStr">
        <is>
          <t>Ital Accessori teljes PDF katalógus (ital-accessori.sk); Takler termékoldalak (aláfutásgátló konzolok)</t>
        </is>
      </c>
      <c r="G23" s="6">
        <f>COUNTIFS(Termékek!$A$2:$A$288,A23,Termékek!$C$2:$C$288,"IGEN")</f>
        <v/>
      </c>
    </row>
    <row r="24">
      <c r="A24" s="6" t="inlineStr">
        <is>
          <t>JONESCO</t>
        </is>
      </c>
      <c r="B24" s="6">
        <f>COUNTIF(Termékek!$A$2:$A$288,A24)</f>
        <v/>
      </c>
      <c r="C24" s="6">
        <f>COUNTIFS(Termékek!$A$2:$A$288,A24,Termékek!$M$2:$M$288,"Nincs kép és adat")</f>
        <v/>
      </c>
      <c r="D24" s="6">
        <f>B24-C24</f>
        <v/>
      </c>
      <c r="E24" s="6" t="inlineStr">
        <is>
          <t>Igen</t>
        </is>
      </c>
      <c r="F24" s="7" t="inlineStr">
        <is>
          <t>jonesco-plastics.com termékoldalak</t>
        </is>
      </c>
      <c r="G24" s="6">
        <f>COUNTIFS(Termékek!$A$2:$A$288,A24,Termékek!$C$2:$C$288,"IGEN")</f>
        <v/>
      </c>
    </row>
    <row r="25">
      <c r="A25" s="6" t="inlineStr">
        <is>
          <t>Kadia</t>
        </is>
      </c>
      <c r="B25" s="6">
        <f>COUNTIF(Termékek!$A$2:$A$288,A25)</f>
        <v/>
      </c>
      <c r="C25" s="6">
        <f>COUNTIFS(Termékek!$A$2:$A$288,A25,Termékek!$M$2:$M$288,"Nincs kép és adat")</f>
        <v/>
      </c>
      <c r="D25" s="6">
        <f>B25-C25</f>
        <v/>
      </c>
      <c r="E25" s="6" t="inlineStr">
        <is>
          <t>Nem</t>
        </is>
      </c>
      <c r="F25" s="7" t="inlineStr">
        <is>
          <t>–</t>
        </is>
      </c>
      <c r="G25" s="6">
        <f>COUNTIFS(Termékek!$A$2:$A$288,A25,Termékek!$C$2:$C$288,"IGEN")</f>
        <v/>
      </c>
    </row>
    <row r="26">
      <c r="A26" s="6" t="inlineStr">
        <is>
          <t>Load Look</t>
        </is>
      </c>
      <c r="B26" s="6">
        <f>COUNTIF(Termékek!$A$2:$A$288,A26)</f>
        <v/>
      </c>
      <c r="C26" s="6">
        <f>COUNTIFS(Termékek!$A$2:$A$288,A26,Termékek!$M$2:$M$288,"Nincs kép és adat")</f>
        <v/>
      </c>
      <c r="D26" s="6">
        <f>B26-C26</f>
        <v/>
      </c>
      <c r="E26" s="6" t="inlineStr">
        <is>
          <t>Nem</t>
        </is>
      </c>
      <c r="F26" s="7" t="inlineStr">
        <is>
          <t>–</t>
        </is>
      </c>
      <c r="G26" s="6">
        <f>COUNTIFS(Termékek!$A$2:$A$288,A26,Termékek!$C$2:$C$288,"IGEN")</f>
        <v/>
      </c>
    </row>
    <row r="27">
      <c r="A27" s="6" t="inlineStr">
        <is>
          <t>MetalMec</t>
        </is>
      </c>
      <c r="B27" s="6">
        <f>COUNTIF(Termékek!$A$2:$A$288,A27)</f>
        <v/>
      </c>
      <c r="C27" s="6">
        <f>COUNTIFS(Termékek!$A$2:$A$288,A27,Termékek!$M$2:$M$288,"Nincs kép és adat")</f>
        <v/>
      </c>
      <c r="D27" s="6">
        <f>B27-C27</f>
        <v/>
      </c>
      <c r="E27" s="6" t="inlineStr">
        <is>
          <t>Nem</t>
        </is>
      </c>
      <c r="F27" s="7" t="inlineStr">
        <is>
          <t>–</t>
        </is>
      </c>
      <c r="G27" s="6">
        <f>COUNTIFS(Termékek!$A$2:$A$288,A27,Termékek!$C$2:$C$288,"IGEN")</f>
        <v/>
      </c>
    </row>
    <row r="28">
      <c r="A28" s="6" t="inlineStr">
        <is>
          <t>OTO TRIM</t>
        </is>
      </c>
      <c r="B28" s="6">
        <f>COUNTIF(Termékek!$A$2:$A$288,A28)</f>
        <v/>
      </c>
      <c r="C28" s="6">
        <f>COUNTIFS(Termékek!$A$2:$A$288,A28,Termékek!$M$2:$M$288,"Nincs kép és adat")</f>
        <v/>
      </c>
      <c r="D28" s="6">
        <f>B28-C28</f>
        <v/>
      </c>
      <c r="E28" s="6" t="inlineStr">
        <is>
          <t>Nem</t>
        </is>
      </c>
      <c r="F28" s="7" t="inlineStr">
        <is>
          <t>–</t>
        </is>
      </c>
      <c r="G28" s="6">
        <f>COUNTIFS(Termékek!$A$2:$A$288,A28,Termékek!$C$2:$C$288,"IGEN")</f>
        <v/>
      </c>
    </row>
    <row r="29">
      <c r="A29" s="6" t="inlineStr">
        <is>
          <t>Pastore</t>
        </is>
      </c>
      <c r="B29" s="6">
        <f>COUNTIF(Termékek!$A$2:$A$288,A29)</f>
        <v/>
      </c>
      <c r="C29" s="6">
        <f>COUNTIFS(Termékek!$A$2:$A$288,A29,Termékek!$M$2:$M$288,"Nincs kép és adat")</f>
        <v/>
      </c>
      <c r="D29" s="6">
        <f>B29-C29</f>
        <v/>
      </c>
      <c r="E29" s="6" t="inlineStr">
        <is>
          <t>Igen</t>
        </is>
      </c>
      <c r="F29" s="7" t="inlineStr">
        <is>
          <t>pastorelombardi.com kereső</t>
        </is>
      </c>
      <c r="G29" s="6">
        <f>COUNTIFS(Termékek!$A$2:$A$288,A29,Termékek!$C$2:$C$288,"IGEN")</f>
        <v/>
      </c>
    </row>
    <row r="30">
      <c r="A30" s="6" t="inlineStr">
        <is>
          <t>PB planen</t>
        </is>
      </c>
      <c r="B30" s="6">
        <f>COUNTIF(Termékek!$A$2:$A$288,A30)</f>
        <v/>
      </c>
      <c r="C30" s="6">
        <f>COUNTIFS(Termékek!$A$2:$A$288,A30,Termékek!$M$2:$M$288,"Nincs kép és adat")</f>
        <v/>
      </c>
      <c r="D30" s="6">
        <f>B30-C30</f>
        <v/>
      </c>
      <c r="E30" s="6" t="inlineStr">
        <is>
          <t>Nem</t>
        </is>
      </c>
      <c r="F30" s="7" t="inlineStr">
        <is>
          <t>–</t>
        </is>
      </c>
      <c r="G30" s="6">
        <f>COUNTIFS(Termékek!$A$2:$A$288,A30,Termékek!$C$2:$C$288,"IGEN")</f>
        <v/>
      </c>
    </row>
    <row r="31">
      <c r="A31" s="6" t="inlineStr">
        <is>
          <t>POLSER</t>
        </is>
      </c>
      <c r="B31" s="6">
        <f>COUNTIF(Termékek!$A$2:$A$288,A31)</f>
        <v/>
      </c>
      <c r="C31" s="6">
        <f>COUNTIFS(Termékek!$A$2:$A$288,A31,Termékek!$M$2:$M$288,"Nincs kép és adat")</f>
        <v/>
      </c>
      <c r="D31" s="6">
        <f>B31-C31</f>
        <v/>
      </c>
      <c r="E31" s="6" t="inlineStr">
        <is>
          <t>Igen</t>
        </is>
      </c>
      <c r="F31" s="7" t="inlineStr">
        <is>
          <t>polser.com Frigoser oldal és adatlap</t>
        </is>
      </c>
      <c r="G31" s="6">
        <f>COUNTIFS(Termékek!$A$2:$A$288,A31,Termékek!$C$2:$C$288,"IGEN")</f>
        <v/>
      </c>
    </row>
    <row r="32">
      <c r="A32" s="6" t="inlineStr">
        <is>
          <t>Pommier</t>
        </is>
      </c>
      <c r="B32" s="6">
        <f>COUNTIF(Termékek!$A$2:$A$288,A32)</f>
        <v/>
      </c>
      <c r="C32" s="6">
        <f>COUNTIFS(Termékek!$A$2:$A$288,A32,Termékek!$M$2:$M$288,"Nincs kép és adat")</f>
        <v/>
      </c>
      <c r="D32" s="6">
        <f>B32-C32</f>
        <v/>
      </c>
      <c r="E32" s="6" t="inlineStr">
        <is>
          <t>Igen</t>
        </is>
      </c>
      <c r="F32" s="7" t="inlineStr">
        <is>
          <t>pommier.eu termékoldalak; Pommier 2023–24 katalógus (PDF)</t>
        </is>
      </c>
      <c r="G32" s="6">
        <f>COUNTIFS(Termékek!$A$2:$A$288,A32,Termékek!$C$2:$C$288,"IGEN")</f>
        <v/>
      </c>
    </row>
    <row r="33">
      <c r="A33" s="6" t="inlineStr">
        <is>
          <t>Pommier Furgocar</t>
        </is>
      </c>
      <c r="B33" s="6">
        <f>COUNTIF(Termékek!$A$2:$A$288,A33)</f>
        <v/>
      </c>
      <c r="C33" s="6">
        <f>COUNTIFS(Termékek!$A$2:$A$288,A33,Termékek!$M$2:$M$288,"Nincs kép és adat")</f>
        <v/>
      </c>
      <c r="D33" s="6">
        <f>B33-C33</f>
        <v/>
      </c>
      <c r="E33" s="6" t="inlineStr">
        <is>
          <t>Igen</t>
        </is>
      </c>
      <c r="F33" s="7" t="inlineStr">
        <is>
          <t>pommier.eu termékoldalak; Pommier 2023–24 katalógus (PDF)</t>
        </is>
      </c>
      <c r="G33" s="6">
        <f>COUNTIFS(Termékek!$A$2:$A$288,A33,Termékek!$C$2:$C$288,"IGEN")</f>
        <v/>
      </c>
    </row>
    <row r="34">
      <c r="A34" s="6" t="inlineStr">
        <is>
          <t>Profilpol</t>
        </is>
      </c>
      <c r="B34" s="6">
        <f>COUNTIF(Termékek!$A$2:$A$288,A34)</f>
        <v/>
      </c>
      <c r="C34" s="6">
        <f>COUNTIFS(Termékek!$A$2:$A$288,A34,Termékek!$M$2:$M$288,"Nincs kép és adat")</f>
        <v/>
      </c>
      <c r="D34" s="6">
        <f>B34-C34</f>
        <v/>
      </c>
      <c r="E34" s="6" t="inlineStr">
        <is>
          <t>Igen</t>
        </is>
      </c>
      <c r="F34" s="7" t="inlineStr">
        <is>
          <t>profilpolsystem.pl oldaltérkép bejárása</t>
        </is>
      </c>
      <c r="G34" s="6">
        <f>COUNTIFS(Termékek!$A$2:$A$288,A34,Termékek!$C$2:$C$288,"IGEN")</f>
        <v/>
      </c>
    </row>
    <row r="35">
      <c r="A35" s="6" t="inlineStr">
        <is>
          <t>profilpol boyritec</t>
        </is>
      </c>
      <c r="B35" s="6">
        <f>COUNTIF(Termékek!$A$2:$A$288,A35)</f>
        <v/>
      </c>
      <c r="C35" s="6">
        <f>COUNTIFS(Termékek!$A$2:$A$288,A35,Termékek!$M$2:$M$288,"Nincs kép és adat")</f>
        <v/>
      </c>
      <c r="D35" s="6">
        <f>B35-C35</f>
        <v/>
      </c>
      <c r="E35" s="6" t="inlineStr">
        <is>
          <t>Nem</t>
        </is>
      </c>
      <c r="F35" s="7" t="inlineStr">
        <is>
          <t>–</t>
        </is>
      </c>
      <c r="G35" s="6">
        <f>COUNTIFS(Termékek!$A$2:$A$288,A35,Termékek!$C$2:$C$288,"IGEN")</f>
        <v/>
      </c>
    </row>
    <row r="36">
      <c r="A36" s="6" t="inlineStr">
        <is>
          <t>Sachermayer</t>
        </is>
      </c>
      <c r="B36" s="6">
        <f>COUNTIF(Termékek!$A$2:$A$288,A36)</f>
        <v/>
      </c>
      <c r="C36" s="6">
        <f>COUNTIFS(Termékek!$A$2:$A$288,A36,Termékek!$M$2:$M$288,"Nincs kép és adat")</f>
        <v/>
      </c>
      <c r="D36" s="6">
        <f>B36-C36</f>
        <v/>
      </c>
      <c r="E36" s="6" t="inlineStr">
        <is>
          <t>Nem</t>
        </is>
      </c>
      <c r="F36" s="7" t="inlineStr">
        <is>
          <t>–</t>
        </is>
      </c>
      <c r="G36" s="6">
        <f>COUNTIFS(Termékek!$A$2:$A$288,A36,Termékek!$C$2:$C$288,"IGEN")</f>
        <v/>
      </c>
    </row>
    <row r="37">
      <c r="A37" s="6" t="inlineStr">
        <is>
          <t>Sand-Profile</t>
        </is>
      </c>
      <c r="B37" s="6">
        <f>COUNTIF(Termékek!$A$2:$A$288,A37)</f>
        <v/>
      </c>
      <c r="C37" s="6">
        <f>COUNTIFS(Termékek!$A$2:$A$288,A37,Termékek!$M$2:$M$288,"Nincs kép és adat")</f>
        <v/>
      </c>
      <c r="D37" s="6">
        <f>B37-C37</f>
        <v/>
      </c>
      <c r="E37" s="6" t="inlineStr">
        <is>
          <t>Igen</t>
        </is>
      </c>
      <c r="F37" s="7" t="inlineStr">
        <is>
          <t>SAND Profile teljes PDF katalógus</t>
        </is>
      </c>
      <c r="G37" s="6">
        <f>COUNTIFS(Termékek!$A$2:$A$288,A37,Termékek!$C$2:$C$288,"IGEN")</f>
        <v/>
      </c>
    </row>
    <row r="38">
      <c r="A38" s="6" t="inlineStr">
        <is>
          <t>Takler</t>
        </is>
      </c>
      <c r="B38" s="6">
        <f>COUNTIF(Termékek!$A$2:$A$288,A38)</f>
        <v/>
      </c>
      <c r="C38" s="6">
        <f>COUNTIFS(Termékek!$A$2:$A$288,A38,Termékek!$M$2:$M$288,"Nincs kép és adat")</f>
        <v/>
      </c>
      <c r="D38" s="6">
        <f>B38-C38</f>
        <v/>
      </c>
      <c r="E38" s="6" t="inlineStr">
        <is>
          <t>Igen</t>
        </is>
      </c>
      <c r="F38" s="7" t="inlineStr">
        <is>
          <t>taklergroup.com oldaltérkép bejárása</t>
        </is>
      </c>
      <c r="G38" s="6">
        <f>COUNTIFS(Termékek!$A$2:$A$288,A38,Termékek!$C$2:$C$288,"IGEN")</f>
        <v/>
      </c>
    </row>
    <row r="39">
      <c r="A39" s="6" t="inlineStr">
        <is>
          <t>takler vagy esal</t>
        </is>
      </c>
      <c r="B39" s="6">
        <f>COUNTIF(Termékek!$A$2:$A$288,A39)</f>
        <v/>
      </c>
      <c r="C39" s="6">
        <f>COUNTIFS(Termékek!$A$2:$A$288,A39,Termékek!$M$2:$M$288,"Nincs kép és adat")</f>
        <v/>
      </c>
      <c r="D39" s="6">
        <f>B39-C39</f>
        <v/>
      </c>
      <c r="E39" s="6" t="inlineStr">
        <is>
          <t>Nem</t>
        </is>
      </c>
      <c r="F39" s="7" t="inlineStr">
        <is>
          <t>–</t>
        </is>
      </c>
      <c r="G39" s="6">
        <f>COUNTIFS(Termékek!$A$2:$A$288,A39,Termékek!$C$2:$C$288,"IGEN")</f>
        <v/>
      </c>
    </row>
    <row r="40">
      <c r="A40" s="6" t="inlineStr">
        <is>
          <t>Titgemeyer</t>
        </is>
      </c>
      <c r="B40" s="6">
        <f>COUNTIF(Termékek!$A$2:$A$288,A40)</f>
        <v/>
      </c>
      <c r="C40" s="6">
        <f>COUNTIFS(Termékek!$A$2:$A$288,A40,Termékek!$M$2:$M$288,"Nincs kép és adat")</f>
        <v/>
      </c>
      <c r="D40" s="6">
        <f>B40-C40</f>
        <v/>
      </c>
      <c r="E40" s="6" t="inlineStr">
        <is>
          <t>Nem</t>
        </is>
      </c>
      <c r="F40" s="7" t="inlineStr">
        <is>
          <t>–</t>
        </is>
      </c>
      <c r="G40" s="6">
        <f>COUNTIFS(Termékek!$A$2:$A$288,A40,Termékek!$C$2:$C$288,"IGEN")</f>
        <v/>
      </c>
    </row>
    <row r="41">
      <c r="A41" s="6" t="inlineStr">
        <is>
          <t>TT-Parts</t>
        </is>
      </c>
      <c r="B41" s="6">
        <f>COUNTIF(Termékek!$A$2:$A$288,A41)</f>
        <v/>
      </c>
      <c r="C41" s="6">
        <f>COUNTIFS(Termékek!$A$2:$A$288,A41,Termékek!$M$2:$M$288,"Nincs kép és adat")</f>
        <v/>
      </c>
      <c r="D41" s="6">
        <f>B41-C41</f>
        <v/>
      </c>
      <c r="E41" s="6" t="inlineStr">
        <is>
          <t>Nem</t>
        </is>
      </c>
      <c r="F41" s="7" t="inlineStr">
        <is>
          <t>–</t>
        </is>
      </c>
      <c r="G41" s="6">
        <f>COUNTIFS(Termékek!$A$2:$A$288,A41,Termékek!$C$2:$C$288,"IGEN")</f>
        <v/>
      </c>
    </row>
    <row r="42">
      <c r="A42" s="6" t="inlineStr">
        <is>
          <t>Versus</t>
        </is>
      </c>
      <c r="B42" s="6">
        <f>COUNTIF(Termékek!$A$2:$A$288,A42)</f>
        <v/>
      </c>
      <c r="C42" s="6">
        <f>COUNTIFS(Termékek!$A$2:$A$288,A42,Termékek!$M$2:$M$288,"Nincs kép és adat")</f>
        <v/>
      </c>
      <c r="D42" s="6">
        <f>B42-C42</f>
        <v/>
      </c>
      <c r="E42" s="6" t="inlineStr">
        <is>
          <t>Igen</t>
        </is>
      </c>
      <c r="F42" s="7" t="inlineStr">
        <is>
          <t>versus-omega.com termékoldalak; Duo Trike Light alkatrész-PDF (Drive); Versus-Omega online katalógus 2026 (FlippingBook)</t>
        </is>
      </c>
      <c r="G42" s="6">
        <f>COUNTIFS(Termékek!$A$2:$A$288,A42,Termékek!$C$2:$C$288,"IGEN")</f>
        <v/>
      </c>
    </row>
    <row r="43">
      <c r="A43" s="6" t="inlineStr">
        <is>
          <t>Westfalia</t>
        </is>
      </c>
      <c r="B43" s="6">
        <f>COUNTIF(Termékek!$A$2:$A$288,A43)</f>
        <v/>
      </c>
      <c r="C43" s="6">
        <f>COUNTIFS(Termékek!$A$2:$A$288,A43,Termékek!$M$2:$M$288,"Nincs kép és adat")</f>
        <v/>
      </c>
      <c r="D43" s="6">
        <f>B43-C43</f>
        <v/>
      </c>
      <c r="E43" s="6" t="inlineStr">
        <is>
          <t>Nem</t>
        </is>
      </c>
      <c r="F43" s="7" t="inlineStr">
        <is>
          <t>–</t>
        </is>
      </c>
      <c r="G43" s="6">
        <f>COUNTIFS(Termékek!$A$2:$A$288,A43,Termékek!$C$2:$C$288,"IGEN")</f>
        <v/>
      </c>
    </row>
    <row r="44">
      <c r="A44" s="8" t="inlineStr">
        <is>
          <t>Összesen</t>
        </is>
      </c>
      <c r="B44" s="8">
        <f>SUM(B2:B43)</f>
        <v/>
      </c>
      <c r="C44" s="8">
        <f>SUM(C2:C43)</f>
        <v/>
      </c>
      <c r="D44" s="8">
        <f>SUM(D2:D43)</f>
        <v/>
      </c>
      <c r="E44" s="8" t="n"/>
      <c r="F44" s="9" t="n"/>
      <c r="G44" s="8">
        <f>SUM(G2:G43)</f>
        <v/>
      </c>
    </row>
  </sheetData>
  <autoFilter ref="A1:G43"/>
  <conditionalFormatting sqref="C2:C43">
    <cfRule type="expression" priority="1" dxfId="0">
      <formula>C2&gt;0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8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4" customWidth="1" min="2" max="2"/>
    <col width="13" customWidth="1" min="3" max="3"/>
    <col width="36" customWidth="1" min="4" max="4"/>
    <col width="16" customWidth="1" min="5" max="5"/>
    <col width="18" customWidth="1" min="6" max="6"/>
    <col width="26" customWidth="1" min="7" max="7"/>
    <col width="26" customWidth="1" min="8" max="8"/>
    <col width="14" customWidth="1" min="9" max="9"/>
    <col width="9" customWidth="1" min="10" max="10"/>
    <col width="11" customWidth="1" min="11" max="11"/>
    <col width="9" customWidth="1" min="12" max="12"/>
    <col width="20" customWidth="1" min="13" max="13"/>
    <col width="11" customWidth="1" min="14" max="14"/>
    <col width="52" customWidth="1" min="15" max="15"/>
    <col width="52" customWidth="1" min="16" max="16"/>
    <col width="40" customWidth="1" min="17" max="17"/>
    <col width="40" customWidth="1" min="18" max="18"/>
    <col width="36" customWidth="1" min="19" max="19"/>
  </cols>
  <sheetData>
    <row r="1" ht="30" customHeight="1">
      <c r="A1" s="5" t="inlineStr">
        <is>
          <t>Beszállító</t>
        </is>
      </c>
      <c r="B1" s="5" t="inlineStr">
        <is>
          <t>Megnevezés</t>
        </is>
      </c>
      <c r="C1" s="10" t="inlineStr">
        <is>
          <t>TÖRÖLHETŐ</t>
        </is>
      </c>
      <c r="D1" s="10" t="inlineStr">
        <is>
          <t>Megjegyzés (Quadris)</t>
        </is>
      </c>
      <c r="E1" s="5" t="inlineStr">
        <is>
          <t>Quadris cikkszám</t>
        </is>
      </c>
      <c r="F1" s="5" t="inlineStr">
        <is>
          <t>Beszállítói kód</t>
        </is>
      </c>
      <c r="G1" s="5" t="inlineStr">
        <is>
          <t>Termékcsoport</t>
        </is>
      </c>
      <c r="H1" s="5" t="inlineStr">
        <is>
          <t>Kategória</t>
        </is>
      </c>
      <c r="I1" s="5" t="inlineStr">
        <is>
          <t>Eredet</t>
        </is>
      </c>
      <c r="J1" s="5" t="inlineStr">
        <is>
          <t>Kép (db)</t>
        </is>
      </c>
      <c r="K1" s="5" t="inlineStr">
        <is>
          <t>Műszaki adat (db)</t>
        </is>
      </c>
      <c r="L1" s="5" t="inlineStr">
        <is>
          <t>Leírás</t>
        </is>
      </c>
      <c r="M1" s="5" t="inlineStr">
        <is>
          <t>Állapot</t>
        </is>
      </c>
      <c r="N1" s="5" t="inlineStr">
        <is>
          <t>Kerestük?</t>
        </is>
      </c>
      <c r="O1" s="5" t="inlineStr">
        <is>
          <t>Hol kerestük</t>
        </is>
      </c>
      <c r="P1" s="5" t="inlineStr">
        <is>
          <t>Eredmény / hol nem találtuk</t>
        </is>
      </c>
      <c r="Q1" s="5" t="inlineStr">
        <is>
          <t>Adatforrás</t>
        </is>
      </c>
      <c r="R1" s="5" t="inlineStr">
        <is>
          <t>Weboldal</t>
        </is>
      </c>
      <c r="S1" s="5" t="inlineStr">
        <is>
          <t>Azonosító (slug)</t>
        </is>
      </c>
    </row>
    <row r="2">
      <c r="A2" s="6" t="inlineStr">
        <is>
          <t>(nincs megadva)</t>
        </is>
      </c>
      <c r="B2" s="7" t="inlineStr">
        <is>
          <t>Bill. Rakonca 500 mm első J-B</t>
        </is>
      </c>
      <c r="C2" s="11" t="inlineStr"/>
      <c r="D2" s="12" t="inlineStr"/>
      <c r="E2" s="6" t="inlineStr">
        <is>
          <t>351704</t>
        </is>
      </c>
      <c r="F2" s="6" t="inlineStr"/>
      <c r="G2" s="6" t="inlineStr">
        <is>
          <t>Billencs alkatrészek</t>
        </is>
      </c>
      <c r="H2" s="6" t="inlineStr">
        <is>
          <t>Billencs rakoncák</t>
        </is>
      </c>
      <c r="I2" s="6" t="inlineStr">
        <is>
          <t>Quadris Excel</t>
        </is>
      </c>
      <c r="J2" s="6" t="n">
        <v>0</v>
      </c>
      <c r="K2" s="6" t="n">
        <v>0</v>
      </c>
      <c r="L2" s="6" t="inlineStr">
        <is>
          <t>nincs</t>
        </is>
      </c>
      <c r="M2" s="6">
        <f>IF(AND(J2&gt;0,K2&gt;0),"Rendben",IF(AND(J2=0,K2=0),"Nincs kép és adat",IF(J2=0,"Nincs kép","Nincs adat")))</f>
        <v/>
      </c>
      <c r="N2" s="6" t="inlineStr">
        <is>
          <t>Nem</t>
        </is>
      </c>
      <c r="O2" s="7" t="inlineStr">
        <is>
          <t>Quadris-megnevezés (nincs beszállítói forrás)</t>
        </is>
      </c>
      <c r="P2" s="7" t="inlineStr">
        <is>
          <t>Nem kerestük – nincs ismert weboldal vagy katalógus</t>
        </is>
      </c>
      <c r="Q2" s="6" t="inlineStr"/>
      <c r="R2" s="13" t="inlineStr">
        <is>
          <t>https://website-9ib.pages.dev/termek/351704-bill-rakonca-500-mm-elso-j-b/</t>
        </is>
      </c>
      <c r="S2" s="6" t="inlineStr">
        <is>
          <t>351704-bill-rakonca-500-mm-elso-j-b</t>
        </is>
      </c>
    </row>
    <row r="3">
      <c r="A3" s="6" t="inlineStr">
        <is>
          <t>(nincs megadva)</t>
        </is>
      </c>
      <c r="B3" s="7" t="inlineStr">
        <is>
          <t>Bill. Rakonca 500 mm hátsó J-B</t>
        </is>
      </c>
      <c r="C3" s="11" t="inlineStr"/>
      <c r="D3" s="12" t="inlineStr"/>
      <c r="E3" s="6" t="inlineStr">
        <is>
          <t>351707</t>
        </is>
      </c>
      <c r="F3" s="6" t="inlineStr"/>
      <c r="G3" s="6" t="inlineStr">
        <is>
          <t>Billencs alkatrészek</t>
        </is>
      </c>
      <c r="H3" s="6" t="inlineStr">
        <is>
          <t>Billencs rakoncák</t>
        </is>
      </c>
      <c r="I3" s="6" t="inlineStr">
        <is>
          <t>Quadris Excel</t>
        </is>
      </c>
      <c r="J3" s="6" t="n">
        <v>0</v>
      </c>
      <c r="K3" s="6" t="n">
        <v>0</v>
      </c>
      <c r="L3" s="6" t="inlineStr">
        <is>
          <t>nincs</t>
        </is>
      </c>
      <c r="M3" s="6">
        <f>IF(AND(J3&gt;0,K3&gt;0),"Rendben",IF(AND(J3=0,K3=0),"Nincs kép és adat",IF(J3=0,"Nincs kép","Nincs adat")))</f>
        <v/>
      </c>
      <c r="N3" s="6" t="inlineStr">
        <is>
          <t>Nem</t>
        </is>
      </c>
      <c r="O3" s="7" t="inlineStr">
        <is>
          <t>Quadris-megnevezés (nincs beszállítói forrás)</t>
        </is>
      </c>
      <c r="P3" s="7" t="inlineStr">
        <is>
          <t>Nem kerestük – nincs ismert weboldal vagy katalógus</t>
        </is>
      </c>
      <c r="Q3" s="6" t="inlineStr"/>
      <c r="R3" s="13" t="inlineStr">
        <is>
          <t>https://website-9ib.pages.dev/termek/351707-bill-rakonca-500-mm-hatso-j-b/</t>
        </is>
      </c>
      <c r="S3" s="6" t="inlineStr">
        <is>
          <t>351707-bill-rakonca-500-mm-hatso-j-b</t>
        </is>
      </c>
    </row>
    <row r="4">
      <c r="A4" s="6" t="inlineStr">
        <is>
          <t>(nincs megadva)</t>
        </is>
      </c>
      <c r="B4" s="7" t="inlineStr">
        <is>
          <t>Bill. Rakonca 500 mm középső</t>
        </is>
      </c>
      <c r="C4" s="11" t="inlineStr"/>
      <c r="D4" s="12" t="inlineStr"/>
      <c r="E4" s="6" t="inlineStr">
        <is>
          <t>351706</t>
        </is>
      </c>
      <c r="F4" s="6" t="inlineStr"/>
      <c r="G4" s="6" t="inlineStr">
        <is>
          <t>Billencs alkatrészek</t>
        </is>
      </c>
      <c r="H4" s="6" t="inlineStr">
        <is>
          <t>Billencs rakoncák</t>
        </is>
      </c>
      <c r="I4" s="6" t="inlineStr">
        <is>
          <t>Quadris Excel</t>
        </is>
      </c>
      <c r="J4" s="6" t="n">
        <v>0</v>
      </c>
      <c r="K4" s="6" t="n">
        <v>0</v>
      </c>
      <c r="L4" s="6" t="inlineStr">
        <is>
          <t>nincs</t>
        </is>
      </c>
      <c r="M4" s="6">
        <f>IF(AND(J4&gt;0,K4&gt;0),"Rendben",IF(AND(J4=0,K4=0),"Nincs kép és adat",IF(J4=0,"Nincs kép","Nincs adat")))</f>
        <v/>
      </c>
      <c r="N4" s="6" t="inlineStr">
        <is>
          <t>Nem</t>
        </is>
      </c>
      <c r="O4" s="7" t="inlineStr">
        <is>
          <t>Quadris-megnevezés (nincs beszállítói forrás)</t>
        </is>
      </c>
      <c r="P4" s="7" t="inlineStr">
        <is>
          <t>Nem kerestük – nincs ismert weboldal vagy katalógus</t>
        </is>
      </c>
      <c r="Q4" s="6" t="inlineStr"/>
      <c r="R4" s="13" t="inlineStr">
        <is>
          <t>https://website-9ib.pages.dev/termek/351706-bill-rakonca-500-mm-kozepso/</t>
        </is>
      </c>
      <c r="S4" s="6" t="inlineStr">
        <is>
          <t>351706-bill-rakonca-500-mm-kozepso</t>
        </is>
      </c>
    </row>
    <row r="5">
      <c r="A5" s="6" t="inlineStr">
        <is>
          <t>(nincs megadva)</t>
        </is>
      </c>
      <c r="B5" s="7" t="inlineStr">
        <is>
          <t>Perforál acél keret 27 mm vállal L: 7500</t>
        </is>
      </c>
      <c r="C5" s="11" t="inlineStr"/>
      <c r="D5" s="12" t="inlineStr"/>
      <c r="E5" s="6" t="inlineStr">
        <is>
          <t>147443/ST</t>
        </is>
      </c>
      <c r="F5" s="6" t="inlineStr"/>
      <c r="G5" s="6" t="inlineStr">
        <is>
          <t>Billencs alkatrészek</t>
        </is>
      </c>
      <c r="H5" s="6" t="inlineStr">
        <is>
          <t>Billencs alkatrészek</t>
        </is>
      </c>
      <c r="I5" s="6" t="inlineStr">
        <is>
          <t>Quadris Excel</t>
        </is>
      </c>
      <c r="J5" s="6" t="n">
        <v>0</v>
      </c>
      <c r="K5" s="6" t="n">
        <v>0</v>
      </c>
      <c r="L5" s="6" t="inlineStr">
        <is>
          <t>nincs</t>
        </is>
      </c>
      <c r="M5" s="6">
        <f>IF(AND(J5&gt;0,K5&gt;0),"Rendben",IF(AND(J5=0,K5=0),"Nincs kép és adat",IF(J5=0,"Nincs kép","Nincs adat")))</f>
        <v/>
      </c>
      <c r="N5" s="6" t="inlineStr">
        <is>
          <t>Nem</t>
        </is>
      </c>
      <c r="O5" s="7" t="inlineStr">
        <is>
          <t>Quadris-megnevezés (nincs beszállítói forrás)</t>
        </is>
      </c>
      <c r="P5" s="7" t="inlineStr">
        <is>
          <t>Nem kerestük – nincs ismert weboldal vagy katalógus</t>
        </is>
      </c>
      <c r="Q5" s="6" t="inlineStr"/>
      <c r="R5" s="13" t="inlineStr">
        <is>
          <t>https://website-9ib.pages.dev/termek/147443-st-perforal-acel-keret-27-mm-vallal-l-7500/</t>
        </is>
      </c>
      <c r="S5" s="6" t="inlineStr">
        <is>
          <t>147443-st-perforal-acel-keret-27-mm-vallal-l-7500</t>
        </is>
      </c>
    </row>
    <row r="6">
      <c r="A6" s="6" t="inlineStr">
        <is>
          <t>(nincs megadva)</t>
        </is>
      </c>
      <c r="B6" s="7" t="inlineStr">
        <is>
          <t>SP.41 Billencs KÖZÉPSŐ rakonca 400/120 mm</t>
        </is>
      </c>
      <c r="C6" s="11" t="inlineStr"/>
      <c r="D6" s="12" t="inlineStr"/>
      <c r="E6" s="6" t="inlineStr">
        <is>
          <t>3510206</t>
        </is>
      </c>
      <c r="F6" s="6" t="inlineStr">
        <is>
          <t>D010206</t>
        </is>
      </c>
      <c r="G6" s="6" t="inlineStr">
        <is>
          <t>Billencs alkatrészek</t>
        </is>
      </c>
      <c r="H6" s="6" t="inlineStr">
        <is>
          <t>Billencs rakoncák</t>
        </is>
      </c>
      <c r="I6" s="6" t="inlineStr">
        <is>
          <t>Quadris Excel</t>
        </is>
      </c>
      <c r="J6" s="6" t="n">
        <v>0</v>
      </c>
      <c r="K6" s="6" t="n">
        <v>0</v>
      </c>
      <c r="L6" s="6" t="inlineStr">
        <is>
          <t>nincs</t>
        </is>
      </c>
      <c r="M6" s="6">
        <f>IF(AND(J6&gt;0,K6&gt;0),"Rendben",IF(AND(J6=0,K6=0),"Nincs kép és adat",IF(J6=0,"Nincs kép","Nincs adat")))</f>
        <v/>
      </c>
      <c r="N6" s="6" t="inlineStr">
        <is>
          <t>Nem</t>
        </is>
      </c>
      <c r="O6" s="7" t="inlineStr">
        <is>
          <t>Quadris-megnevezés (nincs beszállítói forrás)</t>
        </is>
      </c>
      <c r="P6" s="7" t="inlineStr">
        <is>
          <t>Nem kerestük – nincs ismert weboldal vagy katalógus</t>
        </is>
      </c>
      <c r="Q6" s="6" t="inlineStr"/>
      <c r="R6" s="13" t="inlineStr">
        <is>
          <t>https://website-9ib.pages.dev/termek/3510206-sp-41-billencs-kozepso-rakonca-400-120-mm/</t>
        </is>
      </c>
      <c r="S6" s="6" t="inlineStr">
        <is>
          <t>3510206-sp-41-billencs-kozepso-rakonca-400-120-mm</t>
        </is>
      </c>
    </row>
    <row r="7">
      <c r="A7" s="6" t="inlineStr">
        <is>
          <t>(nincs megadva)</t>
        </is>
      </c>
      <c r="B7" s="7" t="inlineStr">
        <is>
          <t>SP.41 Billencs első rakonca 400/85 mm B</t>
        </is>
      </c>
      <c r="C7" s="11" t="inlineStr"/>
      <c r="D7" s="12" t="inlineStr"/>
      <c r="E7" s="6" t="inlineStr">
        <is>
          <t>3510204</t>
        </is>
      </c>
      <c r="F7" s="6" t="inlineStr">
        <is>
          <t>D010204</t>
        </is>
      </c>
      <c r="G7" s="6" t="inlineStr">
        <is>
          <t>Billencs alkatrészek</t>
        </is>
      </c>
      <c r="H7" s="6" t="inlineStr">
        <is>
          <t>Billencs rakoncák</t>
        </is>
      </c>
      <c r="I7" s="6" t="inlineStr">
        <is>
          <t>Quadris Excel</t>
        </is>
      </c>
      <c r="J7" s="6" t="n">
        <v>0</v>
      </c>
      <c r="K7" s="6" t="n">
        <v>0</v>
      </c>
      <c r="L7" s="6" t="inlineStr">
        <is>
          <t>nincs</t>
        </is>
      </c>
      <c r="M7" s="6">
        <f>IF(AND(J7&gt;0,K7&gt;0),"Rendben",IF(AND(J7=0,K7=0),"Nincs kép és adat",IF(J7=0,"Nincs kép","Nincs adat")))</f>
        <v/>
      </c>
      <c r="N7" s="6" t="inlineStr">
        <is>
          <t>Nem</t>
        </is>
      </c>
      <c r="O7" s="7" t="inlineStr">
        <is>
          <t>Quadris-megnevezés (nincs beszállítói forrás)</t>
        </is>
      </c>
      <c r="P7" s="7" t="inlineStr">
        <is>
          <t>Nem kerestük – nincs ismert weboldal vagy katalógus</t>
        </is>
      </c>
      <c r="Q7" s="6" t="inlineStr"/>
      <c r="R7" s="13" t="inlineStr">
        <is>
          <t>https://website-9ib.pages.dev/termek/3510204-sp-41-billencs-elso-rakonca-400-85-mm-b/</t>
        </is>
      </c>
      <c r="S7" s="6" t="inlineStr">
        <is>
          <t>3510204-sp-41-billencs-elso-rakonca-400-85-mm-b</t>
        </is>
      </c>
    </row>
    <row r="8">
      <c r="A8" s="6" t="inlineStr">
        <is>
          <t>(nincs megadva)</t>
        </is>
      </c>
      <c r="B8" s="7" t="inlineStr">
        <is>
          <t>SP.41 Billencs első rakonca 400/85 mm J</t>
        </is>
      </c>
      <c r="C8" s="11" t="inlineStr"/>
      <c r="D8" s="12" t="inlineStr"/>
      <c r="E8" s="6" t="inlineStr">
        <is>
          <t>3510204</t>
        </is>
      </c>
      <c r="F8" s="6" t="inlineStr">
        <is>
          <t>D010204</t>
        </is>
      </c>
      <c r="G8" s="6" t="inlineStr">
        <is>
          <t>Billencs alkatrészek</t>
        </is>
      </c>
      <c r="H8" s="6" t="inlineStr">
        <is>
          <t>Billencs rakoncák</t>
        </is>
      </c>
      <c r="I8" s="6" t="inlineStr">
        <is>
          <t>Quadris Excel</t>
        </is>
      </c>
      <c r="J8" s="6" t="n">
        <v>0</v>
      </c>
      <c r="K8" s="6" t="n">
        <v>0</v>
      </c>
      <c r="L8" s="6" t="inlineStr">
        <is>
          <t>nincs</t>
        </is>
      </c>
      <c r="M8" s="6">
        <f>IF(AND(J8&gt;0,K8&gt;0),"Rendben",IF(AND(J8=0,K8=0),"Nincs kép és adat",IF(J8=0,"Nincs kép","Nincs adat")))</f>
        <v/>
      </c>
      <c r="N8" s="6" t="inlineStr">
        <is>
          <t>Nem</t>
        </is>
      </c>
      <c r="O8" s="7" t="inlineStr">
        <is>
          <t>Quadris-megnevezés (nincs beszállítói forrás)</t>
        </is>
      </c>
      <c r="P8" s="7" t="inlineStr">
        <is>
          <t>Nem kerestük – nincs ismert weboldal vagy katalógus</t>
        </is>
      </c>
      <c r="Q8" s="6" t="inlineStr"/>
      <c r="R8" s="13" t="inlineStr">
        <is>
          <t>https://website-9ib.pages.dev/termek/3510204-sp-41-billencs-elso-rakonca-400-85-mm-j/</t>
        </is>
      </c>
      <c r="S8" s="6" t="inlineStr">
        <is>
          <t>3510204-sp-41-billencs-elso-rakonca-400-85-mm-j</t>
        </is>
      </c>
    </row>
    <row r="9">
      <c r="A9" s="6" t="inlineStr">
        <is>
          <t>(nincs megadva)</t>
        </is>
      </c>
      <c r="B9" s="7" t="inlineStr">
        <is>
          <t>SP.41 Billencs hátsó rakonca 400/120 mm B</t>
        </is>
      </c>
      <c r="C9" s="11" t="inlineStr"/>
      <c r="D9" s="12" t="inlineStr"/>
      <c r="E9" s="6" t="inlineStr">
        <is>
          <t>3510207</t>
        </is>
      </c>
      <c r="F9" s="6" t="inlineStr">
        <is>
          <t>D010207</t>
        </is>
      </c>
      <c r="G9" s="6" t="inlineStr">
        <is>
          <t>Billencs alkatrészek</t>
        </is>
      </c>
      <c r="H9" s="6" t="inlineStr">
        <is>
          <t>Billencs rakoncák</t>
        </is>
      </c>
      <c r="I9" s="6" t="inlineStr">
        <is>
          <t>Quadris Excel</t>
        </is>
      </c>
      <c r="J9" s="6" t="n">
        <v>0</v>
      </c>
      <c r="K9" s="6" t="n">
        <v>0</v>
      </c>
      <c r="L9" s="6" t="inlineStr">
        <is>
          <t>nincs</t>
        </is>
      </c>
      <c r="M9" s="6">
        <f>IF(AND(J9&gt;0,K9&gt;0),"Rendben",IF(AND(J9=0,K9=0),"Nincs kép és adat",IF(J9=0,"Nincs kép","Nincs adat")))</f>
        <v/>
      </c>
      <c r="N9" s="6" t="inlineStr">
        <is>
          <t>Nem</t>
        </is>
      </c>
      <c r="O9" s="7" t="inlineStr">
        <is>
          <t>Quadris-megnevezés (nincs beszállítói forrás)</t>
        </is>
      </c>
      <c r="P9" s="7" t="inlineStr">
        <is>
          <t>Nem kerestük – nincs ismert weboldal vagy katalógus</t>
        </is>
      </c>
      <c r="Q9" s="6" t="inlineStr"/>
      <c r="R9" s="13" t="inlineStr">
        <is>
          <t>https://website-9ib.pages.dev/termek/3510207-sp-41-billencs-hatso-rakonca-400-120-mm-b/</t>
        </is>
      </c>
      <c r="S9" s="6" t="inlineStr">
        <is>
          <t>3510207-sp-41-billencs-hatso-rakonca-400-120-mm-b</t>
        </is>
      </c>
    </row>
    <row r="10">
      <c r="A10" s="6" t="inlineStr">
        <is>
          <t>(nincs megadva)</t>
        </is>
      </c>
      <c r="B10" s="7" t="inlineStr">
        <is>
          <t>SP.41 Billencs hátsó rakonca 400/120 mm J</t>
        </is>
      </c>
      <c r="C10" s="11" t="inlineStr"/>
      <c r="D10" s="12" t="inlineStr"/>
      <c r="E10" s="6" t="inlineStr">
        <is>
          <t>3510207</t>
        </is>
      </c>
      <c r="F10" s="6" t="inlineStr">
        <is>
          <t>D010207</t>
        </is>
      </c>
      <c r="G10" s="6" t="inlineStr">
        <is>
          <t>Billencs alkatrészek</t>
        </is>
      </c>
      <c r="H10" s="6" t="inlineStr">
        <is>
          <t>Billencs rakoncák</t>
        </is>
      </c>
      <c r="I10" s="6" t="inlineStr">
        <is>
          <t>Quadris Excel</t>
        </is>
      </c>
      <c r="J10" s="6" t="n">
        <v>0</v>
      </c>
      <c r="K10" s="6" t="n">
        <v>0</v>
      </c>
      <c r="L10" s="6" t="inlineStr">
        <is>
          <t>nincs</t>
        </is>
      </c>
      <c r="M10" s="6">
        <f>IF(AND(J10&gt;0,K10&gt;0),"Rendben",IF(AND(J10=0,K10=0),"Nincs kép és adat",IF(J10=0,"Nincs kép","Nincs adat")))</f>
        <v/>
      </c>
      <c r="N10" s="6" t="inlineStr">
        <is>
          <t>Nem</t>
        </is>
      </c>
      <c r="O10" s="7" t="inlineStr">
        <is>
          <t>Quadris-megnevezés (nincs beszállítói forrás)</t>
        </is>
      </c>
      <c r="P10" s="7" t="inlineStr">
        <is>
          <t>Nem kerestük – nincs ismert weboldal vagy katalógus</t>
        </is>
      </c>
      <c r="Q10" s="6" t="inlineStr"/>
      <c r="R10" s="13" t="inlineStr">
        <is>
          <t>https://website-9ib.pages.dev/termek/3510207-sp-41-billencs-hatso-rakonca-400-120-mm-j/</t>
        </is>
      </c>
      <c r="S10" s="6" t="inlineStr">
        <is>
          <t>3510207-sp-41-billencs-hatso-rakonca-400-120-mm-j</t>
        </is>
      </c>
    </row>
    <row r="11">
      <c r="A11" s="6" t="inlineStr">
        <is>
          <t>(nincs megadva)</t>
        </is>
      </c>
      <c r="B11" s="7" t="inlineStr">
        <is>
          <t>Hátsó ajtó alu elox</t>
        </is>
      </c>
      <c r="C11" s="11" t="inlineStr"/>
      <c r="D11" s="12" t="inlineStr"/>
      <c r="E11" s="6" t="inlineStr"/>
      <c r="F11" s="6" t="inlineStr"/>
      <c r="G11" s="6" t="inlineStr">
        <is>
          <t>Hátsó ajtók és áthajtó rámpák</t>
        </is>
      </c>
      <c r="H11" s="6" t="inlineStr">
        <is>
          <t>2 szárnyú</t>
        </is>
      </c>
      <c r="I11" s="6" t="inlineStr">
        <is>
          <t>Quadris Excel</t>
        </is>
      </c>
      <c r="J11" s="6" t="n">
        <v>0</v>
      </c>
      <c r="K11" s="6" t="n">
        <v>0</v>
      </c>
      <c r="L11" s="6" t="inlineStr">
        <is>
          <t>nincs</t>
        </is>
      </c>
      <c r="M11" s="6">
        <f>IF(AND(J11&gt;0,K11&gt;0),"Rendben",IF(AND(J11=0,K11=0),"Nincs kép és adat",IF(J11=0,"Nincs kép","Nincs adat")))</f>
        <v/>
      </c>
      <c r="N11" s="6" t="inlineStr">
        <is>
          <t>Nem</t>
        </is>
      </c>
      <c r="O11" s="7" t="inlineStr">
        <is>
          <t>Quadris-megnevezés (nincs beszállítói forrás)</t>
        </is>
      </c>
      <c r="P11" s="7" t="inlineStr">
        <is>
          <t>Nem kerestük – nincs ismert weboldal vagy katalógus</t>
        </is>
      </c>
      <c r="Q11" s="6" t="inlineStr"/>
      <c r="R11" s="13" t="inlineStr">
        <is>
          <t>https://website-9ib.pages.dev/termek/hatso-ajto-alu-elox/</t>
        </is>
      </c>
      <c r="S11" s="6" t="inlineStr">
        <is>
          <t>hatso-ajto-alu-elox</t>
        </is>
      </c>
    </row>
    <row r="12">
      <c r="A12" s="6" t="inlineStr">
        <is>
          <t>(nincs megadva)</t>
        </is>
      </c>
      <c r="B12" s="7" t="inlineStr">
        <is>
          <t>KIT Hűtős doboz</t>
        </is>
      </c>
      <c r="C12" s="11" t="inlineStr"/>
      <c r="D12" s="12" t="inlineStr"/>
      <c r="E12" s="6" t="inlineStr"/>
      <c r="F12" s="6" t="inlineStr"/>
      <c r="G12" s="6" t="inlineStr">
        <is>
          <t>Zárt-dobozos és hűtős profilok</t>
        </is>
      </c>
      <c r="H12" s="6" t="inlineStr">
        <is>
          <t>Felépítmény készletek</t>
        </is>
      </c>
      <c r="I12" s="6" t="inlineStr">
        <is>
          <t>Quadris Excel</t>
        </is>
      </c>
      <c r="J12" s="6" t="n">
        <v>0</v>
      </c>
      <c r="K12" s="6" t="n">
        <v>0</v>
      </c>
      <c r="L12" s="6" t="inlineStr">
        <is>
          <t>nincs</t>
        </is>
      </c>
      <c r="M12" s="6">
        <f>IF(AND(J12&gt;0,K12&gt;0),"Rendben",IF(AND(J12=0,K12=0),"Nincs kép és adat",IF(J12=0,"Nincs kép","Nincs adat")))</f>
        <v/>
      </c>
      <c r="N12" s="6" t="inlineStr">
        <is>
          <t>Nem</t>
        </is>
      </c>
      <c r="O12" s="7" t="inlineStr">
        <is>
          <t>Quadris-megnevezés (nincs beszállítói forrás)</t>
        </is>
      </c>
      <c r="P12" s="7" t="inlineStr">
        <is>
          <t>Nem kerestük – nincs ismert weboldal vagy katalógus</t>
        </is>
      </c>
      <c r="Q12" s="6" t="inlineStr"/>
      <c r="R12" s="13" t="inlineStr">
        <is>
          <t>https://website-9ib.pages.dev/termek/kit-hutos-doboz/</t>
        </is>
      </c>
      <c r="S12" s="6" t="inlineStr">
        <is>
          <t>kit-hutos-doboz</t>
        </is>
      </c>
    </row>
    <row r="13">
      <c r="A13" s="6" t="inlineStr">
        <is>
          <t>(nincs megadva)</t>
        </is>
      </c>
      <c r="B13" s="7" t="inlineStr">
        <is>
          <t>Zártdobozos felépítmény készlet</t>
        </is>
      </c>
      <c r="C13" s="11" t="inlineStr"/>
      <c r="D13" s="12" t="inlineStr"/>
      <c r="E13" s="6" t="inlineStr"/>
      <c r="F13" s="6" t="inlineStr"/>
      <c r="G13" s="6" t="inlineStr">
        <is>
          <t>Zárt-dobozos és hűtős profilok</t>
        </is>
      </c>
      <c r="H13" s="6" t="inlineStr">
        <is>
          <t>Felépítmény készletek</t>
        </is>
      </c>
      <c r="I13" s="6" t="inlineStr">
        <is>
          <t>Quadris Excel</t>
        </is>
      </c>
      <c r="J13" s="6" t="n">
        <v>0</v>
      </c>
      <c r="K13" s="6" t="n">
        <v>0</v>
      </c>
      <c r="L13" s="6" t="inlineStr">
        <is>
          <t>nincs</t>
        </is>
      </c>
      <c r="M13" s="6">
        <f>IF(AND(J13&gt;0,K13&gt;0),"Rendben",IF(AND(J13=0,K13=0),"Nincs kép és adat",IF(J13=0,"Nincs kép","Nincs adat")))</f>
        <v/>
      </c>
      <c r="N13" s="6" t="inlineStr">
        <is>
          <t>Nem</t>
        </is>
      </c>
      <c r="O13" s="7" t="inlineStr">
        <is>
          <t>Quadris-megnevezés (nincs beszállítói forrás)</t>
        </is>
      </c>
      <c r="P13" s="7" t="inlineStr">
        <is>
          <t>Nem kerestük – nincs ismert weboldal vagy katalógus</t>
        </is>
      </c>
      <c r="Q13" s="6" t="inlineStr"/>
      <c r="R13" s="13" t="inlineStr">
        <is>
          <t>https://website-9ib.pages.dev/termek/zartdobozos-felepitmeny-keszlet/</t>
        </is>
      </c>
      <c r="S13" s="6" t="inlineStr">
        <is>
          <t>zartdobozos-felepitmeny-keszlet</t>
        </is>
      </c>
    </row>
    <row r="14">
      <c r="A14" s="6" t="inlineStr">
        <is>
          <t>AC-RIU</t>
        </is>
      </c>
      <c r="B14" s="7" t="inlineStr">
        <is>
          <t>Ajtóhatároló fix konzol</t>
        </is>
      </c>
      <c r="C14" s="11" t="inlineStr"/>
      <c r="D14" s="12" t="inlineStr"/>
      <c r="E14" s="6" t="inlineStr">
        <is>
          <t>026801</t>
        </is>
      </c>
      <c r="F14" s="6" t="inlineStr">
        <is>
          <t>R026801</t>
        </is>
      </c>
      <c r="G14" s="6" t="inlineStr">
        <is>
          <t>Dobozos felépítmény alkatrészek</t>
        </is>
      </c>
      <c r="H14" s="6" t="inlineStr">
        <is>
          <t>Ajtórögzítők</t>
        </is>
      </c>
      <c r="I14" s="6" t="inlineStr">
        <is>
          <t>Quadris Excel</t>
        </is>
      </c>
      <c r="J14" s="6" t="n">
        <v>0</v>
      </c>
      <c r="K14" s="6" t="n">
        <v>0</v>
      </c>
      <c r="L14" s="6" t="inlineStr">
        <is>
          <t>nincs</t>
        </is>
      </c>
      <c r="M14" s="6">
        <f>IF(AND(J14&gt;0,K14&gt;0),"Rendben",IF(AND(J14=0,K14=0),"Nincs kép és adat",IF(J14=0,"Nincs kép","Nincs adat")))</f>
        <v/>
      </c>
      <c r="N14" s="6" t="inlineStr">
        <is>
          <t>Nem</t>
        </is>
      </c>
      <c r="O14" s="7" t="inlineStr">
        <is>
          <t>–</t>
        </is>
      </c>
      <c r="P14" s="7" t="inlineStr">
        <is>
          <t>Nem kerestük – nincs ismert weboldal vagy katalógus</t>
        </is>
      </c>
      <c r="Q14" s="6" t="inlineStr"/>
      <c r="R14" s="13" t="inlineStr">
        <is>
          <t>https://website-9ib.pages.dev/termek/026801-ajtohatarolo-fix-konzol/</t>
        </is>
      </c>
      <c r="S14" s="6" t="inlineStr">
        <is>
          <t>026801-ajtohatarolo-fix-konzol</t>
        </is>
      </c>
    </row>
    <row r="15">
      <c r="A15" s="6" t="inlineStr">
        <is>
          <t>AC-RIU</t>
        </is>
      </c>
      <c r="B15" s="7" t="inlineStr">
        <is>
          <t>Gumis ajtóhatároló 800kg</t>
        </is>
      </c>
      <c r="C15" s="11" t="inlineStr"/>
      <c r="D15" s="12" t="inlineStr"/>
      <c r="E15" s="6" t="inlineStr">
        <is>
          <t>026822</t>
        </is>
      </c>
      <c r="F15" s="6" t="inlineStr">
        <is>
          <t>R026822</t>
        </is>
      </c>
      <c r="G15" s="6" t="inlineStr">
        <is>
          <t>Dobozos felépítmény alkatrészek</t>
        </is>
      </c>
      <c r="H15" s="6" t="inlineStr">
        <is>
          <t>Ajtórögzítők</t>
        </is>
      </c>
      <c r="I15" s="6" t="inlineStr">
        <is>
          <t>Quadris Excel</t>
        </is>
      </c>
      <c r="J15" s="6" t="n">
        <v>0</v>
      </c>
      <c r="K15" s="6" t="n">
        <v>0</v>
      </c>
      <c r="L15" s="6" t="inlineStr">
        <is>
          <t>nincs</t>
        </is>
      </c>
      <c r="M15" s="6">
        <f>IF(AND(J15&gt;0,K15&gt;0),"Rendben",IF(AND(J15=0,K15=0),"Nincs kép és adat",IF(J15=0,"Nincs kép","Nincs adat")))</f>
        <v/>
      </c>
      <c r="N15" s="6" t="inlineStr">
        <is>
          <t>Nem</t>
        </is>
      </c>
      <c r="O15" s="7" t="inlineStr">
        <is>
          <t>–</t>
        </is>
      </c>
      <c r="P15" s="7" t="inlineStr">
        <is>
          <t>Nem kerestük – nincs ismert weboldal vagy katalógus</t>
        </is>
      </c>
      <c r="Q15" s="6" t="inlineStr"/>
      <c r="R15" s="13" t="inlineStr">
        <is>
          <t>https://website-9ib.pages.dev/termek/026822-gumis-ajtohatarolo-800kg/</t>
        </is>
      </c>
      <c r="S15" s="6" t="inlineStr">
        <is>
          <t>026822-gumis-ajtohatarolo-800kg</t>
        </is>
      </c>
    </row>
    <row r="16">
      <c r="A16" s="6" t="inlineStr">
        <is>
          <t>AC-RIU</t>
        </is>
      </c>
      <c r="B16" s="7" t="inlineStr">
        <is>
          <t>Műanyag zártakaró</t>
        </is>
      </c>
      <c r="C16" s="11" t="inlineStr"/>
      <c r="D16" s="12" t="inlineStr"/>
      <c r="E16" s="6" t="inlineStr">
        <is>
          <t>052900</t>
        </is>
      </c>
      <c r="F16" s="6" t="inlineStr">
        <is>
          <t>7280 005-000</t>
        </is>
      </c>
      <c r="G16" s="6" t="inlineStr">
        <is>
          <t>Speciális felépítmény alkatrészek</t>
        </is>
      </c>
      <c r="H16" s="6" t="inlineStr">
        <is>
          <t>Egyéb</t>
        </is>
      </c>
      <c r="I16" s="6" t="inlineStr">
        <is>
          <t>Quadris Excel</t>
        </is>
      </c>
      <c r="J16" s="6" t="n">
        <v>0</v>
      </c>
      <c r="K16" s="6" t="n">
        <v>0</v>
      </c>
      <c r="L16" s="6" t="inlineStr">
        <is>
          <t>nincs</t>
        </is>
      </c>
      <c r="M16" s="6">
        <f>IF(AND(J16&gt;0,K16&gt;0),"Rendben",IF(AND(J16=0,K16=0),"Nincs kép és adat",IF(J16=0,"Nincs kép","Nincs adat")))</f>
        <v/>
      </c>
      <c r="N16" s="6" t="inlineStr">
        <is>
          <t>Nem</t>
        </is>
      </c>
      <c r="O16" s="7" t="inlineStr">
        <is>
          <t>–</t>
        </is>
      </c>
      <c r="P16" s="7" t="inlineStr">
        <is>
          <t>Nem kerestük – nincs ismert weboldal vagy katalógus</t>
        </is>
      </c>
      <c r="Q16" s="6" t="inlineStr"/>
      <c r="R16" s="13" t="inlineStr">
        <is>
          <t>https://website-9ib.pages.dev/termek/052900-muanyag-zartakaro/</t>
        </is>
      </c>
      <c r="S16" s="6" t="inlineStr">
        <is>
          <t>052900-muanyag-zartakaro</t>
        </is>
      </c>
    </row>
    <row r="17">
      <c r="A17" s="6" t="inlineStr">
        <is>
          <t>Allco</t>
        </is>
      </c>
      <c r="B17" s="7" t="inlineStr">
        <is>
          <t>"h" szegő 25 mm</t>
        </is>
      </c>
      <c r="C17" s="11" t="inlineStr"/>
      <c r="D17" s="12" t="inlineStr"/>
      <c r="E17" s="6" t="inlineStr">
        <is>
          <t>222139/n</t>
        </is>
      </c>
      <c r="F17" s="6" t="inlineStr">
        <is>
          <t>2139</t>
        </is>
      </c>
      <c r="G17" s="6" t="inlineStr">
        <is>
          <t>Platós és ponyvás oldalfal profilok és szegők</t>
        </is>
      </c>
      <c r="H17" s="6" t="inlineStr">
        <is>
          <t>Szegő profilok</t>
        </is>
      </c>
      <c r="I17" s="6" t="inlineStr">
        <is>
          <t>Quadris Excel</t>
        </is>
      </c>
      <c r="J17" s="6" t="n">
        <v>0</v>
      </c>
      <c r="K17" s="6" t="n">
        <v>0</v>
      </c>
      <c r="L17" s="6" t="inlineStr">
        <is>
          <t>nincs</t>
        </is>
      </c>
      <c r="M17" s="6">
        <f>IF(AND(J17&gt;0,K17&gt;0),"Rendben",IF(AND(J17=0,K17=0),"Nincs kép és adat",IF(J17=0,"Nincs kép","Nincs adat")))</f>
        <v/>
      </c>
      <c r="N17" s="6" t="inlineStr">
        <is>
          <t>Nem</t>
        </is>
      </c>
      <c r="O17" s="7" t="inlineStr">
        <is>
          <t>–</t>
        </is>
      </c>
      <c r="P17" s="7" t="inlineStr">
        <is>
          <t>Nem kerestük – nincs ismert weboldal vagy katalógus</t>
        </is>
      </c>
      <c r="Q17" s="6" t="inlineStr"/>
      <c r="R17" s="13" t="inlineStr">
        <is>
          <t>https://website-9ib.pages.dev/termek/222139-n-h-szego-25-mm/</t>
        </is>
      </c>
      <c r="S17" s="6" t="inlineStr">
        <is>
          <t>222139-n-h-szego-25-mm</t>
        </is>
      </c>
    </row>
    <row r="18">
      <c r="A18" s="6" t="inlineStr">
        <is>
          <t>Allco</t>
        </is>
      </c>
      <c r="B18" s="7" t="inlineStr">
        <is>
          <t>"h" szegő 25 mm elox</t>
        </is>
      </c>
      <c r="C18" s="11" t="inlineStr"/>
      <c r="D18" s="12" t="inlineStr"/>
      <c r="E18" s="6" t="inlineStr">
        <is>
          <t>222139</t>
        </is>
      </c>
      <c r="F18" s="6" t="inlineStr">
        <is>
          <t>1700038</t>
        </is>
      </c>
      <c r="G18" s="6" t="inlineStr">
        <is>
          <t>Platós és ponyvás oldalfal profilok és szegők</t>
        </is>
      </c>
      <c r="H18" s="6" t="inlineStr">
        <is>
          <t>Szegő profilok</t>
        </is>
      </c>
      <c r="I18" s="6" t="inlineStr">
        <is>
          <t>Quadris Excel</t>
        </is>
      </c>
      <c r="J18" s="6" t="n">
        <v>0</v>
      </c>
      <c r="K18" s="6" t="n">
        <v>0</v>
      </c>
      <c r="L18" s="6" t="inlineStr">
        <is>
          <t>nincs</t>
        </is>
      </c>
      <c r="M18" s="6">
        <f>IF(AND(J18&gt;0,K18&gt;0),"Rendben",IF(AND(J18=0,K18=0),"Nincs kép és adat",IF(J18=0,"Nincs kép","Nincs adat")))</f>
        <v/>
      </c>
      <c r="N18" s="6" t="inlineStr">
        <is>
          <t>Nem</t>
        </is>
      </c>
      <c r="O18" s="7" t="inlineStr">
        <is>
          <t>–</t>
        </is>
      </c>
      <c r="P18" s="7" t="inlineStr">
        <is>
          <t>Nem kerestük – nincs ismert weboldal vagy katalógus</t>
        </is>
      </c>
      <c r="Q18" s="6" t="inlineStr"/>
      <c r="R18" s="13" t="inlineStr">
        <is>
          <t>https://website-9ib.pages.dev/termek/222139-h-szego-25-mm-elox/</t>
        </is>
      </c>
      <c r="S18" s="6" t="inlineStr">
        <is>
          <t>222139-h-szego-25-mm-elox</t>
        </is>
      </c>
    </row>
    <row r="19">
      <c r="A19" s="6" t="inlineStr">
        <is>
          <t>Allco</t>
        </is>
      </c>
      <c r="B19" s="7" t="inlineStr">
        <is>
          <t>"u" 25 mm szegő profil</t>
        </is>
      </c>
      <c r="C19" s="11" t="inlineStr"/>
      <c r="D19" s="12" t="inlineStr"/>
      <c r="E19" s="6" t="inlineStr">
        <is>
          <t>222137/n</t>
        </is>
      </c>
      <c r="F19" s="6" t="inlineStr">
        <is>
          <t>2137</t>
        </is>
      </c>
      <c r="G19" s="6" t="inlineStr">
        <is>
          <t>Platós és ponyvás oldalfal profilok és szegők</t>
        </is>
      </c>
      <c r="H19" s="6" t="inlineStr">
        <is>
          <t>Szegő profilok</t>
        </is>
      </c>
      <c r="I19" s="6" t="inlineStr">
        <is>
          <t>Quadris Excel</t>
        </is>
      </c>
      <c r="J19" s="6" t="n">
        <v>0</v>
      </c>
      <c r="K19" s="6" t="n">
        <v>0</v>
      </c>
      <c r="L19" s="6" t="inlineStr">
        <is>
          <t>nincs</t>
        </is>
      </c>
      <c r="M19" s="6">
        <f>IF(AND(J19&gt;0,K19&gt;0),"Rendben",IF(AND(J19=0,K19=0),"Nincs kép és adat",IF(J19=0,"Nincs kép","Nincs adat")))</f>
        <v/>
      </c>
      <c r="N19" s="6" t="inlineStr">
        <is>
          <t>Nem</t>
        </is>
      </c>
      <c r="O19" s="7" t="inlineStr">
        <is>
          <t>–</t>
        </is>
      </c>
      <c r="P19" s="7" t="inlineStr">
        <is>
          <t>Nem kerestük – nincs ismert weboldal vagy katalógus</t>
        </is>
      </c>
      <c r="Q19" s="6" t="inlineStr"/>
      <c r="R19" s="13" t="inlineStr">
        <is>
          <t>https://website-9ib.pages.dev/termek/222137-n-u-25-mm-szego-profil/</t>
        </is>
      </c>
      <c r="S19" s="6" t="inlineStr">
        <is>
          <t>222137-n-u-25-mm-szego-profil</t>
        </is>
      </c>
    </row>
    <row r="20">
      <c r="A20" s="6" t="inlineStr">
        <is>
          <t>Allco</t>
        </is>
      </c>
      <c r="B20" s="7" t="inlineStr">
        <is>
          <t>"u" 25 mm szegő profil elox</t>
        </is>
      </c>
      <c r="C20" s="11" t="inlineStr"/>
      <c r="D20" s="12" t="inlineStr"/>
      <c r="E20" s="6" t="inlineStr">
        <is>
          <t>222137</t>
        </is>
      </c>
      <c r="F20" s="6" t="inlineStr">
        <is>
          <t>2137</t>
        </is>
      </c>
      <c r="G20" s="6" t="inlineStr">
        <is>
          <t>Platós és ponyvás oldalfal profilok és szegők</t>
        </is>
      </c>
      <c r="H20" s="6" t="inlineStr">
        <is>
          <t>Szegő profilok</t>
        </is>
      </c>
      <c r="I20" s="6" t="inlineStr">
        <is>
          <t>Quadris Excel</t>
        </is>
      </c>
      <c r="J20" s="6" t="n">
        <v>0</v>
      </c>
      <c r="K20" s="6" t="n">
        <v>0</v>
      </c>
      <c r="L20" s="6" t="inlineStr">
        <is>
          <t>nincs</t>
        </is>
      </c>
      <c r="M20" s="6">
        <f>IF(AND(J20&gt;0,K20&gt;0),"Rendben",IF(AND(J20=0,K20=0),"Nincs kép és adat",IF(J20=0,"Nincs kép","Nincs adat")))</f>
        <v/>
      </c>
      <c r="N20" s="6" t="inlineStr">
        <is>
          <t>Nem</t>
        </is>
      </c>
      <c r="O20" s="7" t="inlineStr">
        <is>
          <t>–</t>
        </is>
      </c>
      <c r="P20" s="7" t="inlineStr">
        <is>
          <t>Nem kerestük – nincs ismert weboldal vagy katalógus</t>
        </is>
      </c>
      <c r="Q20" s="6" t="inlineStr"/>
      <c r="R20" s="13" t="inlineStr">
        <is>
          <t>https://website-9ib.pages.dev/termek/222137-u-25-mm-szego-profil-elox/</t>
        </is>
      </c>
      <c r="S20" s="6" t="inlineStr">
        <is>
          <t>222137-u-25-mm-szego-profil-elox</t>
        </is>
      </c>
    </row>
    <row r="21">
      <c r="A21" s="6" t="inlineStr">
        <is>
          <t>Allco</t>
        </is>
      </c>
      <c r="B21" s="7" t="inlineStr">
        <is>
          <t>Alsó tömítéses 200 mm elox profil</t>
        </is>
      </c>
      <c r="C21" s="11" t="inlineStr"/>
      <c r="D21" s="12" t="inlineStr"/>
      <c r="E21" s="6" t="inlineStr">
        <is>
          <t>226115</t>
        </is>
      </c>
      <c r="F21" s="6" t="inlineStr">
        <is>
          <t>VZPN1747</t>
        </is>
      </c>
      <c r="G21" s="6" t="inlineStr">
        <is>
          <t>Platós és ponyvás oldalfal profilok és szegők</t>
        </is>
      </c>
      <c r="H21" s="6" t="inlineStr">
        <is>
          <t>25 mm vastag oldalfal rendszerek</t>
        </is>
      </c>
      <c r="I21" s="6" t="inlineStr">
        <is>
          <t>Quadris Excel</t>
        </is>
      </c>
      <c r="J21" s="6" t="n">
        <v>0</v>
      </c>
      <c r="K21" s="6" t="n">
        <v>0</v>
      </c>
      <c r="L21" s="6" t="inlineStr">
        <is>
          <t>nincs</t>
        </is>
      </c>
      <c r="M21" s="6">
        <f>IF(AND(J21&gt;0,K21&gt;0),"Rendben",IF(AND(J21=0,K21=0),"Nincs kép és adat",IF(J21=0,"Nincs kép","Nincs adat")))</f>
        <v/>
      </c>
      <c r="N21" s="6" t="inlineStr">
        <is>
          <t>Nem</t>
        </is>
      </c>
      <c r="O21" s="7" t="inlineStr">
        <is>
          <t>–</t>
        </is>
      </c>
      <c r="P21" s="7" t="inlineStr">
        <is>
          <t>Nem kerestük – nincs ismert weboldal vagy katalógus</t>
        </is>
      </c>
      <c r="Q21" s="6" t="inlineStr"/>
      <c r="R21" s="13" t="inlineStr">
        <is>
          <t>https://website-9ib.pages.dev/termek/226115-also-tomiteses-200-mm-elox-profil/</t>
        </is>
      </c>
      <c r="S21" s="6" t="inlineStr">
        <is>
          <t>226115-also-tomiteses-200-mm-elox-profil</t>
        </is>
      </c>
    </row>
    <row r="22">
      <c r="A22" s="6" t="inlineStr">
        <is>
          <t>Allco</t>
        </is>
      </c>
      <c r="B22" s="7" t="inlineStr">
        <is>
          <t>Ponyvabeakasztó alu profil 70 mm elox</t>
        </is>
      </c>
      <c r="C22" s="11" t="inlineStr"/>
      <c r="D22" s="12" t="inlineStr"/>
      <c r="E22" s="6" t="inlineStr">
        <is>
          <t>388005</t>
        </is>
      </c>
      <c r="F22" s="6" t="inlineStr">
        <is>
          <t>T1.8005.1</t>
        </is>
      </c>
      <c r="G22" s="6" t="inlineStr">
        <is>
          <t>Ponyvarendszer kiegészítők</t>
        </is>
      </c>
      <c r="H22" s="6" t="inlineStr">
        <is>
          <t>Ponyvafeszítő profilok és alkatrészei</t>
        </is>
      </c>
      <c r="I22" s="6" t="inlineStr">
        <is>
          <t>Quadris Excel</t>
        </is>
      </c>
      <c r="J22" s="6" t="n">
        <v>0</v>
      </c>
      <c r="K22" s="6" t="n">
        <v>0</v>
      </c>
      <c r="L22" s="6" t="inlineStr">
        <is>
          <t>nincs</t>
        </is>
      </c>
      <c r="M22" s="6">
        <f>IF(AND(J22&gt;0,K22&gt;0),"Rendben",IF(AND(J22=0,K22=0),"Nincs kép és adat",IF(J22=0,"Nincs kép","Nincs adat")))</f>
        <v/>
      </c>
      <c r="N22" s="6" t="inlineStr">
        <is>
          <t>Nem</t>
        </is>
      </c>
      <c r="O22" s="7" t="inlineStr">
        <is>
          <t>–</t>
        </is>
      </c>
      <c r="P22" s="7" t="inlineStr">
        <is>
          <t>Nem kerestük – nincs ismert weboldal vagy katalógus</t>
        </is>
      </c>
      <c r="Q22" s="6" t="inlineStr"/>
      <c r="R22" s="13" t="inlineStr">
        <is>
          <t>https://website-9ib.pages.dev/termek/388005-ponyvabeakaszto-alu-profil-70-mm-elox/</t>
        </is>
      </c>
      <c r="S22" s="6" t="inlineStr">
        <is>
          <t>388005-ponyvabeakaszto-alu-profil-70-mm-elox</t>
        </is>
      </c>
    </row>
    <row r="23">
      <c r="A23" s="6" t="inlineStr">
        <is>
          <t>ALSAP</t>
        </is>
      </c>
      <c r="B23" s="7" t="inlineStr">
        <is>
          <t>AN "h" ajtószegő 30 mm elox</t>
        </is>
      </c>
      <c r="C23" s="11" t="inlineStr"/>
      <c r="D23" s="12" t="inlineStr"/>
      <c r="E23" s="6" t="inlineStr">
        <is>
          <t>231309</t>
        </is>
      </c>
      <c r="F23" s="6" t="inlineStr">
        <is>
          <t>1309AN</t>
        </is>
      </c>
      <c r="G23" s="6" t="inlineStr">
        <is>
          <t>Zárt-dobozos és hűtős profilok</t>
        </is>
      </c>
      <c r="H23" s="6" t="inlineStr">
        <is>
          <t>Zárt-dobozos és hűtős profilok</t>
        </is>
      </c>
      <c r="I23" s="6" t="inlineStr">
        <is>
          <t>Quadris Excel</t>
        </is>
      </c>
      <c r="J23" s="6" t="n">
        <v>0</v>
      </c>
      <c r="K23" s="6" t="n">
        <v>0</v>
      </c>
      <c r="L23" s="6" t="inlineStr">
        <is>
          <t>nincs</t>
        </is>
      </c>
      <c r="M23" s="6">
        <f>IF(AND(J23&gt;0,K23&gt;0),"Rendben",IF(AND(J23=0,K23=0),"Nincs kép és adat",IF(J23=0,"Nincs kép","Nincs adat")))</f>
        <v/>
      </c>
      <c r="N23" s="6" t="inlineStr">
        <is>
          <t>Nem</t>
        </is>
      </c>
      <c r="O23" s="7" t="inlineStr">
        <is>
          <t>–</t>
        </is>
      </c>
      <c r="P23" s="7" t="inlineStr">
        <is>
          <t>Nem kerestük – nincs ismert weboldal vagy katalógus</t>
        </is>
      </c>
      <c r="Q23" s="6" t="inlineStr"/>
      <c r="R23" s="13" t="inlineStr">
        <is>
          <t>https://website-9ib.pages.dev/termek/231309-an-h-ajtoszego-30-mm-elox/</t>
        </is>
      </c>
      <c r="S23" s="6" t="inlineStr">
        <is>
          <t>231309-an-h-ajtoszego-30-mm-elox</t>
        </is>
      </c>
    </row>
    <row r="24">
      <c r="A24" s="6" t="inlineStr">
        <is>
          <t>ALSAP</t>
        </is>
      </c>
      <c r="B24" s="7" t="inlineStr">
        <is>
          <t>AN Tömítéses ajtószegő 30 mm elox</t>
        </is>
      </c>
      <c r="C24" s="11" t="inlineStr"/>
      <c r="D24" s="12" t="inlineStr"/>
      <c r="E24" s="6" t="inlineStr">
        <is>
          <t>231308</t>
        </is>
      </c>
      <c r="F24" s="6" t="inlineStr">
        <is>
          <t>1308AN</t>
        </is>
      </c>
      <c r="G24" s="6" t="inlineStr">
        <is>
          <t>Zárt-dobozos és hűtős profilok</t>
        </is>
      </c>
      <c r="H24" s="6" t="inlineStr">
        <is>
          <t>Zárt-dobozos és hűtős profilok</t>
        </is>
      </c>
      <c r="I24" s="6" t="inlineStr">
        <is>
          <t>Quadris Excel</t>
        </is>
      </c>
      <c r="J24" s="6" t="n">
        <v>0</v>
      </c>
      <c r="K24" s="6" t="n">
        <v>0</v>
      </c>
      <c r="L24" s="6" t="inlineStr">
        <is>
          <t>nincs</t>
        </is>
      </c>
      <c r="M24" s="6">
        <f>IF(AND(J24&gt;0,K24&gt;0),"Rendben",IF(AND(J24=0,K24=0),"Nincs kép és adat",IF(J24=0,"Nincs kép","Nincs adat")))</f>
        <v/>
      </c>
      <c r="N24" s="6" t="inlineStr">
        <is>
          <t>Nem</t>
        </is>
      </c>
      <c r="O24" s="7" t="inlineStr">
        <is>
          <t>–</t>
        </is>
      </c>
      <c r="P24" s="7" t="inlineStr">
        <is>
          <t>Nem kerestük – nincs ismert weboldal vagy katalógus</t>
        </is>
      </c>
      <c r="Q24" s="6" t="inlineStr"/>
      <c r="R24" s="13" t="inlineStr">
        <is>
          <t>https://website-9ib.pages.dev/termek/231308-an-tomiteses-ajtoszego-30-mm-elox/</t>
        </is>
      </c>
      <c r="S24" s="6" t="inlineStr">
        <is>
          <t>231308-an-tomiteses-ajtoszego-30-mm-elox</t>
        </is>
      </c>
    </row>
    <row r="25">
      <c r="A25" s="6" t="inlineStr">
        <is>
          <t>ALSAP</t>
        </is>
      </c>
      <c r="B25" s="7" t="inlineStr">
        <is>
          <t>CS Tömítéses ajtószegő 25 mm elox</t>
        </is>
      </c>
      <c r="C25" s="11" t="inlineStr"/>
      <c r="D25" s="12" t="inlineStr"/>
      <c r="E25" s="6" t="inlineStr">
        <is>
          <t>238066</t>
        </is>
      </c>
      <c r="F25" s="6" t="inlineStr">
        <is>
          <t>223132E</t>
        </is>
      </c>
      <c r="G25" s="6" t="inlineStr">
        <is>
          <t>Zárt-dobozos és hűtős profilok</t>
        </is>
      </c>
      <c r="H25" s="6" t="inlineStr">
        <is>
          <t>Zárt-dobozos és hűtős profilok</t>
        </is>
      </c>
      <c r="I25" s="6" t="inlineStr">
        <is>
          <t>Quadris Excel</t>
        </is>
      </c>
      <c r="J25" s="6" t="n">
        <v>0</v>
      </c>
      <c r="K25" s="6" t="n">
        <v>0</v>
      </c>
      <c r="L25" s="6" t="inlineStr">
        <is>
          <t>nincs</t>
        </is>
      </c>
      <c r="M25" s="6">
        <f>IF(AND(J25&gt;0,K25&gt;0),"Rendben",IF(AND(J25=0,K25=0),"Nincs kép és adat",IF(J25=0,"Nincs kép","Nincs adat")))</f>
        <v/>
      </c>
      <c r="N25" s="6" t="inlineStr">
        <is>
          <t>Nem</t>
        </is>
      </c>
      <c r="O25" s="7" t="inlineStr">
        <is>
          <t>–</t>
        </is>
      </c>
      <c r="P25" s="7" t="inlineStr">
        <is>
          <t>Nem kerestük – nincs ismert weboldal vagy katalógus</t>
        </is>
      </c>
      <c r="Q25" s="6" t="inlineStr"/>
      <c r="R25" s="13" t="inlineStr">
        <is>
          <t>https://website-9ib.pages.dev/termek/238066-cs-tomiteses-ajtoszego-25-mm-elox/</t>
        </is>
      </c>
      <c r="S25" s="6" t="inlineStr">
        <is>
          <t>238066-cs-tomiteses-ajtoszego-25-mm-elox</t>
        </is>
      </c>
    </row>
    <row r="26">
      <c r="A26" s="6" t="inlineStr">
        <is>
          <t>ALSAP</t>
        </is>
      </c>
      <c r="B26" s="7" t="inlineStr">
        <is>
          <t>Tömítés a szegő profilhoz</t>
        </is>
      </c>
      <c r="C26" s="11" t="inlineStr"/>
      <c r="D26" s="12" t="inlineStr"/>
      <c r="E26" s="6" t="inlineStr">
        <is>
          <t>238067</t>
        </is>
      </c>
      <c r="F26" s="6" t="inlineStr">
        <is>
          <t>220306</t>
        </is>
      </c>
      <c r="G26" s="6" t="inlineStr">
        <is>
          <t>Zárt-dobozos és hűtős profilok</t>
        </is>
      </c>
      <c r="H26" s="6" t="inlineStr">
        <is>
          <t>Zárt-dobozos és hűtős profilok</t>
        </is>
      </c>
      <c r="I26" s="6" t="inlineStr">
        <is>
          <t>Quadris Excel</t>
        </is>
      </c>
      <c r="J26" s="6" t="n">
        <v>0</v>
      </c>
      <c r="K26" s="6" t="n">
        <v>0</v>
      </c>
      <c r="L26" s="6" t="inlineStr">
        <is>
          <t>nincs</t>
        </is>
      </c>
      <c r="M26" s="6">
        <f>IF(AND(J26&gt;0,K26&gt;0),"Rendben",IF(AND(J26=0,K26=0),"Nincs kép és adat",IF(J26=0,"Nincs kép","Nincs adat")))</f>
        <v/>
      </c>
      <c r="N26" s="6" t="inlineStr">
        <is>
          <t>Nem</t>
        </is>
      </c>
      <c r="O26" s="7" t="inlineStr">
        <is>
          <t>–</t>
        </is>
      </c>
      <c r="P26" s="7" t="inlineStr">
        <is>
          <t>Nem kerestük – nincs ismert weboldal vagy katalógus</t>
        </is>
      </c>
      <c r="Q26" s="6" t="inlineStr"/>
      <c r="R26" s="13" t="inlineStr">
        <is>
          <t>https://website-9ib.pages.dev/termek/238067-tomites-a-szego-profilhoz/</t>
        </is>
      </c>
      <c r="S26" s="6" t="inlineStr">
        <is>
          <t>238067-tomites-a-szego-profilhoz</t>
        </is>
      </c>
    </row>
    <row r="27">
      <c r="A27" s="6" t="inlineStr">
        <is>
          <t>Alu-SV</t>
        </is>
      </c>
      <c r="B27" s="7" t="inlineStr">
        <is>
          <t>Alu rakonca Top-kuplung</t>
        </is>
      </c>
      <c r="C27" s="11" t="inlineStr"/>
      <c r="D27" s="12" t="inlineStr"/>
      <c r="E27" s="6" t="inlineStr">
        <is>
          <t>351155</t>
        </is>
      </c>
      <c r="F27" s="6" t="inlineStr"/>
      <c r="G27" s="6" t="inlineStr">
        <is>
          <t>Acél és alu rakoncák és szegők</t>
        </is>
      </c>
      <c r="H27" s="6" t="inlineStr">
        <is>
          <t>Alumínium rakoncák</t>
        </is>
      </c>
      <c r="I27" s="6" t="inlineStr">
        <is>
          <t>Quadris Excel</t>
        </is>
      </c>
      <c r="J27" s="6" t="n">
        <v>0</v>
      </c>
      <c r="K27" s="6" t="n">
        <v>0</v>
      </c>
      <c r="L27" s="6" t="inlineStr">
        <is>
          <t>nincs</t>
        </is>
      </c>
      <c r="M27" s="6">
        <f>IF(AND(J27&gt;0,K27&gt;0),"Rendben",IF(AND(J27=0,K27=0),"Nincs kép és adat",IF(J27=0,"Nincs kép","Nincs adat")))</f>
        <v/>
      </c>
      <c r="N27" s="6" t="inlineStr">
        <is>
          <t>Igen</t>
        </is>
      </c>
      <c r="O27" s="7" t="inlineStr">
        <is>
          <t>alu-sv.com webáruház, keresés rendelési számra</t>
        </is>
      </c>
      <c r="P27" s="7" t="inlineStr">
        <is>
          <t>Nem találtuk: alu-sv.com webáruház, keresés rendelési számra</t>
        </is>
      </c>
      <c r="Q27" s="6" t="inlineStr"/>
      <c r="R27" s="13" t="inlineStr">
        <is>
          <t>https://website-9ib.pages.dev/termek/351155-alu-rakonca-top-kuplung/</t>
        </is>
      </c>
      <c r="S27" s="6" t="inlineStr">
        <is>
          <t>351155-alu-rakonca-top-kuplung</t>
        </is>
      </c>
    </row>
    <row r="28">
      <c r="A28" s="6" t="inlineStr">
        <is>
          <t>Alu-SV</t>
        </is>
      </c>
      <c r="B28" s="7" t="inlineStr">
        <is>
          <t>Alu rakonca magasító elox</t>
        </is>
      </c>
      <c r="C28" s="11" t="inlineStr"/>
      <c r="D28" s="12" t="inlineStr"/>
      <c r="E28" s="6" t="inlineStr">
        <is>
          <t>351142</t>
        </is>
      </c>
      <c r="F28" s="6" t="inlineStr">
        <is>
          <t>62K113542B</t>
        </is>
      </c>
      <c r="G28" s="6" t="inlineStr">
        <is>
          <t>Acél és alu rakoncák és szegők</t>
        </is>
      </c>
      <c r="H28" s="6" t="inlineStr">
        <is>
          <t>Alumínium rakoncák</t>
        </is>
      </c>
      <c r="I28" s="6" t="inlineStr">
        <is>
          <t>Quadris Excel</t>
        </is>
      </c>
      <c r="J28" s="6" t="n">
        <v>0</v>
      </c>
      <c r="K28" s="6" t="n">
        <v>0</v>
      </c>
      <c r="L28" s="6" t="inlineStr">
        <is>
          <t>nincs</t>
        </is>
      </c>
      <c r="M28" s="6">
        <f>IF(AND(J28&gt;0,K28&gt;0),"Rendben",IF(AND(J28=0,K28=0),"Nincs kép és adat",IF(J28=0,"Nincs kép","Nincs adat")))</f>
        <v/>
      </c>
      <c r="N28" s="6" t="inlineStr">
        <is>
          <t>Igen</t>
        </is>
      </c>
      <c r="O28" s="7" t="inlineStr">
        <is>
          <t>alu-sv.com webáruház, keresés rendelési számra</t>
        </is>
      </c>
      <c r="P28" s="7" t="inlineStr">
        <is>
          <t>Nem találtuk: alu-sv.com webáruház, keresés rendelési számra</t>
        </is>
      </c>
      <c r="Q28" s="6" t="inlineStr"/>
      <c r="R28" s="13" t="inlineStr">
        <is>
          <t>https://website-9ib.pages.dev/termek/351142-alu-rakonca-magasito-elox/</t>
        </is>
      </c>
      <c r="S28" s="6" t="inlineStr">
        <is>
          <t>351142-alu-rakonca-magasito-elox</t>
        </is>
      </c>
    </row>
    <row r="29">
      <c r="A29" s="6" t="inlineStr">
        <is>
          <t>Alu-SV</t>
        </is>
      </c>
      <c r="B29" s="7" t="inlineStr">
        <is>
          <t>KG hátsó alu szegőprofil elox</t>
        </is>
      </c>
      <c r="C29" s="11" t="inlineStr"/>
      <c r="D29" s="12" t="inlineStr"/>
      <c r="E29" s="6" t="inlineStr">
        <is>
          <t>357271</t>
        </is>
      </c>
      <c r="F29" s="6" t="inlineStr">
        <is>
          <t>110900</t>
        </is>
      </c>
      <c r="G29" s="6" t="inlineStr">
        <is>
          <t>Acél és alu rakoncák és szegők</t>
        </is>
      </c>
      <c r="H29" s="6" t="inlineStr">
        <is>
          <t>Alumínium rakoncák</t>
        </is>
      </c>
      <c r="I29" s="6" t="inlineStr">
        <is>
          <t>Quadris Excel</t>
        </is>
      </c>
      <c r="J29" s="6" t="n">
        <v>0</v>
      </c>
      <c r="K29" s="6" t="n">
        <v>0</v>
      </c>
      <c r="L29" s="6" t="inlineStr">
        <is>
          <t>nincs</t>
        </is>
      </c>
      <c r="M29" s="6">
        <f>IF(AND(J29&gt;0,K29&gt;0),"Rendben",IF(AND(J29=0,K29=0),"Nincs kép és adat",IF(J29=0,"Nincs kép","Nincs adat")))</f>
        <v/>
      </c>
      <c r="N29" s="6" t="inlineStr">
        <is>
          <t>Igen</t>
        </is>
      </c>
      <c r="O29" s="7" t="inlineStr">
        <is>
          <t>alu-sv.com webáruház, keresés rendelési számra</t>
        </is>
      </c>
      <c r="P29" s="7" t="inlineStr">
        <is>
          <t>Nem találtuk: alu-sv.com webáruház, keresés rendelési számra</t>
        </is>
      </c>
      <c r="Q29" s="6" t="inlineStr"/>
      <c r="R29" s="13" t="inlineStr">
        <is>
          <t>https://website-9ib.pages.dev/termek/357271-kg-hatso-alu-szegoprofil-elox/</t>
        </is>
      </c>
      <c r="S29" s="6" t="inlineStr">
        <is>
          <t>357271-kg-hatso-alu-szegoprofil-elox</t>
        </is>
      </c>
    </row>
    <row r="30">
      <c r="A30" s="6" t="inlineStr">
        <is>
          <t>Alu-SV</t>
        </is>
      </c>
      <c r="B30" s="7" t="inlineStr">
        <is>
          <t>KG oldalsó alu szegő profil elox</t>
        </is>
      </c>
      <c r="C30" s="11" t="inlineStr"/>
      <c r="D30" s="12" t="inlineStr"/>
      <c r="E30" s="6" t="inlineStr">
        <is>
          <t>357270</t>
        </is>
      </c>
      <c r="F30" s="6" t="inlineStr">
        <is>
          <t>110827</t>
        </is>
      </c>
      <c r="G30" s="6" t="inlineStr">
        <is>
          <t>Acél és alu rakoncák és szegők</t>
        </is>
      </c>
      <c r="H30" s="6" t="inlineStr">
        <is>
          <t>Alumínium rakoncák</t>
        </is>
      </c>
      <c r="I30" s="6" t="inlineStr">
        <is>
          <t>Quadris Excel</t>
        </is>
      </c>
      <c r="J30" s="6" t="n">
        <v>0</v>
      </c>
      <c r="K30" s="6" t="n">
        <v>0</v>
      </c>
      <c r="L30" s="6" t="inlineStr">
        <is>
          <t>nincs</t>
        </is>
      </c>
      <c r="M30" s="6">
        <f>IF(AND(J30&gt;0,K30&gt;0),"Rendben",IF(AND(J30=0,K30=0),"Nincs kép és adat",IF(J30=0,"Nincs kép","Nincs adat")))</f>
        <v/>
      </c>
      <c r="N30" s="6" t="inlineStr">
        <is>
          <t>Igen</t>
        </is>
      </c>
      <c r="O30" s="7" t="inlineStr">
        <is>
          <t>alu-sv.com webáruház, keresés rendelési számra</t>
        </is>
      </c>
      <c r="P30" s="7" t="inlineStr">
        <is>
          <t>Nem találtuk: alu-sv.com webáruház, keresés rendelési számra</t>
        </is>
      </c>
      <c r="Q30" s="6" t="inlineStr"/>
      <c r="R30" s="13" t="inlineStr">
        <is>
          <t>https://website-9ib.pages.dev/termek/357270-kg-oldalso-alu-szego-profil-elox/</t>
        </is>
      </c>
      <c r="S30" s="6" t="inlineStr">
        <is>
          <t>357270-kg-oldalso-alu-szego-profil-elox</t>
        </is>
      </c>
    </row>
    <row r="31">
      <c r="A31" s="6" t="inlineStr">
        <is>
          <t>Alu-SV</t>
        </is>
      </c>
      <c r="B31" s="7" t="inlineStr">
        <is>
          <t>Dupla görgős gumiütköző 222x115</t>
        </is>
      </c>
      <c r="C31" s="11" t="inlineStr"/>
      <c r="D31" s="12" t="inlineStr"/>
      <c r="E31" s="6" t="inlineStr">
        <is>
          <t>502502</t>
        </is>
      </c>
      <c r="F31" s="6" t="inlineStr">
        <is>
          <t>55322251</t>
        </is>
      </c>
      <c r="G31" s="6" t="inlineStr">
        <is>
          <t>Dobozos felépítmény alkatrészek</t>
        </is>
      </c>
      <c r="H31" s="6" t="inlineStr">
        <is>
          <t>Gumiütközők</t>
        </is>
      </c>
      <c r="I31" s="6" t="inlineStr">
        <is>
          <t>Quadris Excel</t>
        </is>
      </c>
      <c r="J31" s="6" t="n">
        <v>0</v>
      </c>
      <c r="K31" s="6" t="n">
        <v>0</v>
      </c>
      <c r="L31" s="6" t="inlineStr">
        <is>
          <t>nincs</t>
        </is>
      </c>
      <c r="M31" s="6">
        <f>IF(AND(J31&gt;0,K31&gt;0),"Rendben",IF(AND(J31=0,K31=0),"Nincs kép és adat",IF(J31=0,"Nincs kép","Nincs adat")))</f>
        <v/>
      </c>
      <c r="N31" s="6" t="inlineStr">
        <is>
          <t>Igen</t>
        </is>
      </c>
      <c r="O31" s="7" t="inlineStr">
        <is>
          <t>alu-sv.com webáruház, keresés rendelési számra</t>
        </is>
      </c>
      <c r="P31" s="7" t="inlineStr">
        <is>
          <t>Nem találtuk: alu-sv.com webáruház, keresés rendelési számra</t>
        </is>
      </c>
      <c r="Q31" s="6" t="inlineStr"/>
      <c r="R31" s="13" t="inlineStr">
        <is>
          <t>https://website-9ib.pages.dev/termek/502502-dupla-gorgos-gumiutkozo-222x115/</t>
        </is>
      </c>
      <c r="S31" s="6" t="inlineStr">
        <is>
          <t>502502-dupla-gorgos-gumiutkozo-222x115</t>
        </is>
      </c>
    </row>
    <row r="32">
      <c r="A32" s="6" t="inlineStr">
        <is>
          <t>Alu-SV</t>
        </is>
      </c>
      <c r="B32" s="7" t="inlineStr">
        <is>
          <t>Szimpla görgős gumiütköző/D100/118</t>
        </is>
      </c>
      <c r="C32" s="11" t="inlineStr"/>
      <c r="D32" s="12" t="inlineStr"/>
      <c r="E32" s="6" t="inlineStr">
        <is>
          <t>502501</t>
        </is>
      </c>
      <c r="F32" s="6" t="inlineStr">
        <is>
          <t>55322252</t>
        </is>
      </c>
      <c r="G32" s="6" t="inlineStr">
        <is>
          <t>Dobozos felépítmény alkatrészek</t>
        </is>
      </c>
      <c r="H32" s="6" t="inlineStr">
        <is>
          <t>Gumiütközők</t>
        </is>
      </c>
      <c r="I32" s="6" t="inlineStr">
        <is>
          <t>Quadris Excel</t>
        </is>
      </c>
      <c r="J32" s="6" t="n">
        <v>0</v>
      </c>
      <c r="K32" s="6" t="n">
        <v>0</v>
      </c>
      <c r="L32" s="6" t="inlineStr">
        <is>
          <t>nincs</t>
        </is>
      </c>
      <c r="M32" s="6">
        <f>IF(AND(J32&gt;0,K32&gt;0),"Rendben",IF(AND(J32=0,K32=0),"Nincs kép és adat",IF(J32=0,"Nincs kép","Nincs adat")))</f>
        <v/>
      </c>
      <c r="N32" s="6" t="inlineStr">
        <is>
          <t>Igen</t>
        </is>
      </c>
      <c r="O32" s="7" t="inlineStr">
        <is>
          <t>alu-sv.com webáruház, keresés rendelési számra</t>
        </is>
      </c>
      <c r="P32" s="7" t="inlineStr">
        <is>
          <t>Nem találtuk: alu-sv.com webáruház, keresés rendelési számra</t>
        </is>
      </c>
      <c r="Q32" s="6" t="inlineStr"/>
      <c r="R32" s="13" t="inlineStr">
        <is>
          <t>https://website-9ib.pages.dev/termek/502501-szimpla-gorgos-gumiutkozo-d100-118/</t>
        </is>
      </c>
      <c r="S32" s="6" t="inlineStr">
        <is>
          <t>502501-szimpla-gorgos-gumiutkozo-d100-118</t>
        </is>
      </c>
    </row>
    <row r="33">
      <c r="A33" s="6" t="inlineStr">
        <is>
          <t>Alu-SV</t>
        </is>
      </c>
      <c r="B33" s="7" t="inlineStr">
        <is>
          <t>Öntött sarokelem</t>
        </is>
      </c>
      <c r="C33" s="11" t="inlineStr"/>
      <c r="D33" s="12" t="inlineStr"/>
      <c r="E33" s="6" t="inlineStr">
        <is>
          <t>103654</t>
        </is>
      </c>
      <c r="F33" s="6" t="inlineStr"/>
      <c r="G33" s="6" t="inlineStr">
        <is>
          <t>Dobozos felépítmény alkatrészek</t>
        </is>
      </c>
      <c r="H33" s="6" t="inlineStr">
        <is>
          <t>Egyéb dobozos felépítmény tartozékok</t>
        </is>
      </c>
      <c r="I33" s="6" t="inlineStr">
        <is>
          <t>Quadris Excel</t>
        </is>
      </c>
      <c r="J33" s="6" t="n">
        <v>0</v>
      </c>
      <c r="K33" s="6" t="n">
        <v>0</v>
      </c>
      <c r="L33" s="6" t="inlineStr">
        <is>
          <t>nincs</t>
        </is>
      </c>
      <c r="M33" s="6">
        <f>IF(AND(J33&gt;0,K33&gt;0),"Rendben",IF(AND(J33=0,K33=0),"Nincs kép és adat",IF(J33=0,"Nincs kép","Nincs adat")))</f>
        <v/>
      </c>
      <c r="N33" s="6" t="inlineStr">
        <is>
          <t>Igen</t>
        </is>
      </c>
      <c r="O33" s="7" t="inlineStr">
        <is>
          <t>alu-sv.com webáruház, keresés rendelési számra</t>
        </is>
      </c>
      <c r="P33" s="7" t="inlineStr">
        <is>
          <t>Nem találtuk: alu-sv.com webáruház, keresés rendelési számra</t>
        </is>
      </c>
      <c r="Q33" s="6" t="inlineStr"/>
      <c r="R33" s="13" t="inlineStr">
        <is>
          <t>https://website-9ib.pages.dev/termek/103654-ontott-sarokelem/</t>
        </is>
      </c>
      <c r="S33" s="6" t="inlineStr">
        <is>
          <t>103654-ontott-sarokelem</t>
        </is>
      </c>
    </row>
    <row r="34">
      <c r="A34" s="6" t="inlineStr">
        <is>
          <t>Alu-SV</t>
        </is>
      </c>
      <c r="B34" s="7" t="inlineStr">
        <is>
          <t>MAX-os első elox oszlop 3000 mm</t>
        </is>
      </c>
      <c r="C34" s="11" t="inlineStr"/>
      <c r="D34" s="12" t="inlineStr"/>
      <c r="E34" s="6" t="inlineStr">
        <is>
          <t>66177147</t>
        </is>
      </c>
      <c r="F34" s="6" t="inlineStr">
        <is>
          <t>66OP177147</t>
        </is>
      </c>
      <c r="G34" s="6" t="inlineStr">
        <is>
          <t>Elhúzható rolóponyvás rendszer</t>
        </is>
      </c>
      <c r="H34" s="6" t="inlineStr">
        <is>
          <t>Alumínium sarok oszlopok</t>
        </is>
      </c>
      <c r="I34" s="6" t="inlineStr">
        <is>
          <t>Quadris Excel</t>
        </is>
      </c>
      <c r="J34" s="6" t="n">
        <v>0</v>
      </c>
      <c r="K34" s="6" t="n">
        <v>0</v>
      </c>
      <c r="L34" s="6" t="inlineStr">
        <is>
          <t>nincs</t>
        </is>
      </c>
      <c r="M34" s="6">
        <f>IF(AND(J34&gt;0,K34&gt;0),"Rendben",IF(AND(J34=0,K34=0),"Nincs kép és adat",IF(J34=0,"Nincs kép","Nincs adat")))</f>
        <v/>
      </c>
      <c r="N34" s="6" t="inlineStr">
        <is>
          <t>Igen</t>
        </is>
      </c>
      <c r="O34" s="7" t="inlineStr">
        <is>
          <t>alu-sv.com webáruház, keresés rendelési számra</t>
        </is>
      </c>
      <c r="P34" s="7" t="inlineStr">
        <is>
          <t>Nem találtuk: alu-sv.com webáruház, keresés rendelési számra</t>
        </is>
      </c>
      <c r="Q34" s="6" t="inlineStr"/>
      <c r="R34" s="13" t="inlineStr">
        <is>
          <t>https://website-9ib.pages.dev/termek/66177147-max-os-elso-elox-oszlop-3000-mm/</t>
        </is>
      </c>
      <c r="S34" s="6" t="inlineStr">
        <is>
          <t>66177147-max-os-elso-elox-oszlop-3000-mm</t>
        </is>
      </c>
    </row>
    <row r="35">
      <c r="A35" s="6" t="inlineStr">
        <is>
          <t>Alu-SV</t>
        </is>
      </c>
      <c r="B35" s="7" t="inlineStr">
        <is>
          <t>MAX-os első elox oszlop 3150 mm</t>
        </is>
      </c>
      <c r="C35" s="11" t="inlineStr"/>
      <c r="D35" s="12" t="inlineStr"/>
      <c r="E35" s="6" t="inlineStr">
        <is>
          <t>66177137</t>
        </is>
      </c>
      <c r="F35" s="6" t="inlineStr">
        <is>
          <t>66OP177137</t>
        </is>
      </c>
      <c r="G35" s="6" t="inlineStr">
        <is>
          <t>Elhúzható rolóponyvás rendszer</t>
        </is>
      </c>
      <c r="H35" s="6" t="inlineStr">
        <is>
          <t>Alumínium sarok oszlopok</t>
        </is>
      </c>
      <c r="I35" s="6" t="inlineStr">
        <is>
          <t>Quadris Excel</t>
        </is>
      </c>
      <c r="J35" s="6" t="n">
        <v>0</v>
      </c>
      <c r="K35" s="6" t="n">
        <v>0</v>
      </c>
      <c r="L35" s="6" t="inlineStr">
        <is>
          <t>nincs</t>
        </is>
      </c>
      <c r="M35" s="6">
        <f>IF(AND(J35&gt;0,K35&gt;0),"Rendben",IF(AND(J35=0,K35=0),"Nincs kép és adat",IF(J35=0,"Nincs kép","Nincs adat")))</f>
        <v/>
      </c>
      <c r="N35" s="6" t="inlineStr">
        <is>
          <t>Igen</t>
        </is>
      </c>
      <c r="O35" s="7" t="inlineStr">
        <is>
          <t>alu-sv.com webáruház, keresés rendelési számra</t>
        </is>
      </c>
      <c r="P35" s="7" t="inlineStr">
        <is>
          <t>Nem találtuk: alu-sv.com webáruház, keresés rendelési számra</t>
        </is>
      </c>
      <c r="Q35" s="6" t="inlineStr"/>
      <c r="R35" s="13" t="inlineStr">
        <is>
          <t>https://website-9ib.pages.dev/termek/66177137-max-os-elso-elox-oszlop-3150-mm/</t>
        </is>
      </c>
      <c r="S35" s="6" t="inlineStr">
        <is>
          <t>66177137-max-os-elso-elox-oszlop-3150-mm</t>
        </is>
      </c>
    </row>
    <row r="36">
      <c r="A36" s="6" t="inlineStr">
        <is>
          <t>Alu-SV</t>
        </is>
      </c>
      <c r="B36" s="7" t="inlineStr">
        <is>
          <t>MAX-os első elox oszlop 3300 mm</t>
        </is>
      </c>
      <c r="C36" s="11" t="inlineStr"/>
      <c r="D36" s="12" t="inlineStr"/>
      <c r="E36" s="6" t="inlineStr">
        <is>
          <t>66177300</t>
        </is>
      </c>
      <c r="F36" s="6" t="inlineStr">
        <is>
          <t>66OP177127</t>
        </is>
      </c>
      <c r="G36" s="6" t="inlineStr">
        <is>
          <t>Elhúzható rolóponyvás rendszer</t>
        </is>
      </c>
      <c r="H36" s="6" t="inlineStr">
        <is>
          <t>Alumínium sarok oszlopok</t>
        </is>
      </c>
      <c r="I36" s="6" t="inlineStr">
        <is>
          <t>Quadris Excel</t>
        </is>
      </c>
      <c r="J36" s="6" t="n">
        <v>0</v>
      </c>
      <c r="K36" s="6" t="n">
        <v>0</v>
      </c>
      <c r="L36" s="6" t="inlineStr">
        <is>
          <t>nincs</t>
        </is>
      </c>
      <c r="M36" s="6">
        <f>IF(AND(J36&gt;0,K36&gt;0),"Rendben",IF(AND(J36=0,K36=0),"Nincs kép és adat",IF(J36=0,"Nincs kép","Nincs adat")))</f>
        <v/>
      </c>
      <c r="N36" s="6" t="inlineStr">
        <is>
          <t>Igen</t>
        </is>
      </c>
      <c r="O36" s="7" t="inlineStr">
        <is>
          <t>alu-sv.com webáruház, keresés rendelési számra</t>
        </is>
      </c>
      <c r="P36" s="7" t="inlineStr">
        <is>
          <t>Nem találtuk: alu-sv.com webáruház, keresés rendelési számra</t>
        </is>
      </c>
      <c r="Q36" s="6" t="inlineStr"/>
      <c r="R36" s="13" t="inlineStr">
        <is>
          <t>https://website-9ib.pages.dev/termek/66177300-max-os-elso-elox-oszlop-3300-mm/</t>
        </is>
      </c>
      <c r="S36" s="6" t="inlineStr">
        <is>
          <t>66177300-max-os-elso-elox-oszlop-3300-mm</t>
        </is>
      </c>
    </row>
    <row r="37">
      <c r="A37" s="6" t="inlineStr">
        <is>
          <t>Alu-SV</t>
        </is>
      </c>
      <c r="B37" s="7" t="inlineStr">
        <is>
          <t>MAX-os hátsó elox oszlop 3000 mm</t>
        </is>
      </c>
      <c r="C37" s="11" t="inlineStr"/>
      <c r="D37" s="12" t="inlineStr"/>
      <c r="E37" s="6" t="inlineStr">
        <is>
          <t>6635245</t>
        </is>
      </c>
      <c r="F37" s="6" t="inlineStr">
        <is>
          <t>66OZ035245</t>
        </is>
      </c>
      <c r="G37" s="6" t="inlineStr">
        <is>
          <t>Elhúzható rolóponyvás rendszer</t>
        </is>
      </c>
      <c r="H37" s="6" t="inlineStr">
        <is>
          <t>Alumínium sarok oszlopok</t>
        </is>
      </c>
      <c r="I37" s="6" t="inlineStr">
        <is>
          <t>Quadris Excel</t>
        </is>
      </c>
      <c r="J37" s="6" t="n">
        <v>0</v>
      </c>
      <c r="K37" s="6" t="n">
        <v>0</v>
      </c>
      <c r="L37" s="6" t="inlineStr">
        <is>
          <t>nincs</t>
        </is>
      </c>
      <c r="M37" s="6">
        <f>IF(AND(J37&gt;0,K37&gt;0),"Rendben",IF(AND(J37=0,K37=0),"Nincs kép és adat",IF(J37=0,"Nincs kép","Nincs adat")))</f>
        <v/>
      </c>
      <c r="N37" s="6" t="inlineStr">
        <is>
          <t>Igen</t>
        </is>
      </c>
      <c r="O37" s="7" t="inlineStr">
        <is>
          <t>alu-sv.com webáruház, keresés rendelési számra</t>
        </is>
      </c>
      <c r="P37" s="7" t="inlineStr">
        <is>
          <t>Nem találtuk: alu-sv.com webáruház, keresés rendelési számra</t>
        </is>
      </c>
      <c r="Q37" s="6" t="inlineStr"/>
      <c r="R37" s="13" t="inlineStr">
        <is>
          <t>https://website-9ib.pages.dev/termek/6635245-max-os-hatso-elox-oszlop-3000-mm/</t>
        </is>
      </c>
      <c r="S37" s="6" t="inlineStr">
        <is>
          <t>6635245-max-os-hatso-elox-oszlop-3000-mm</t>
        </is>
      </c>
    </row>
    <row r="38">
      <c r="A38" s="6" t="inlineStr">
        <is>
          <t>Alu-SV</t>
        </is>
      </c>
      <c r="B38" s="7" t="inlineStr">
        <is>
          <t>MAX-os hátsó elox oszlop 3300 mm</t>
        </is>
      </c>
      <c r="C38" s="11" t="inlineStr"/>
      <c r="D38" s="12" t="inlineStr"/>
      <c r="E38" s="6" t="inlineStr">
        <is>
          <t>6635300</t>
        </is>
      </c>
      <c r="F38" s="6" t="inlineStr">
        <is>
          <t>66OZ035265</t>
        </is>
      </c>
      <c r="G38" s="6" t="inlineStr">
        <is>
          <t>Elhúzható rolóponyvás rendszer</t>
        </is>
      </c>
      <c r="H38" s="6" t="inlineStr">
        <is>
          <t>Alumínium sarok oszlopok</t>
        </is>
      </c>
      <c r="I38" s="6" t="inlineStr">
        <is>
          <t>Quadris Excel</t>
        </is>
      </c>
      <c r="J38" s="6" t="n">
        <v>0</v>
      </c>
      <c r="K38" s="6" t="n">
        <v>0</v>
      </c>
      <c r="L38" s="6" t="inlineStr">
        <is>
          <t>nincs</t>
        </is>
      </c>
      <c r="M38" s="6">
        <f>IF(AND(J38&gt;0,K38&gt;0),"Rendben",IF(AND(J38=0,K38=0),"Nincs kép és adat",IF(J38=0,"Nincs kép","Nincs adat")))</f>
        <v/>
      </c>
      <c r="N38" s="6" t="inlineStr">
        <is>
          <t>Igen</t>
        </is>
      </c>
      <c r="O38" s="7" t="inlineStr">
        <is>
          <t>alu-sv.com webáruház, keresés rendelési számra</t>
        </is>
      </c>
      <c r="P38" s="7" t="inlineStr">
        <is>
          <t>Nem találtuk: alu-sv.com webáruház, keresés rendelési számra</t>
        </is>
      </c>
      <c r="Q38" s="6" t="inlineStr"/>
      <c r="R38" s="13" t="inlineStr">
        <is>
          <t>https://website-9ib.pages.dev/termek/6635300-max-os-hatso-elox-oszlop-3300-mm/</t>
        </is>
      </c>
      <c r="S38" s="6" t="inlineStr">
        <is>
          <t>6635300-max-os-hatso-elox-oszlop-3300-mm</t>
        </is>
      </c>
    </row>
    <row r="39">
      <c r="A39" s="6" t="inlineStr">
        <is>
          <t>Alu-SV</t>
        </is>
      </c>
      <c r="B39" s="7" t="inlineStr">
        <is>
          <t>MINI első FLAT alu oszlop elox</t>
        </is>
      </c>
      <c r="C39" s="11" t="inlineStr"/>
      <c r="D39" s="12" t="inlineStr"/>
      <c r="E39" s="6" t="inlineStr">
        <is>
          <t>6613576</t>
        </is>
      </c>
      <c r="F39" s="6" t="inlineStr">
        <is>
          <t>6612013576</t>
        </is>
      </c>
      <c r="G39" s="6" t="inlineStr">
        <is>
          <t>Elhúzható rolóponyvás rendszer</t>
        </is>
      </c>
      <c r="H39" s="6" t="inlineStr">
        <is>
          <t>Alumínium sarok oszlopok</t>
        </is>
      </c>
      <c r="I39" s="6" t="inlineStr">
        <is>
          <t>Quadris Excel</t>
        </is>
      </c>
      <c r="J39" s="6" t="n">
        <v>0</v>
      </c>
      <c r="K39" s="6" t="n">
        <v>0</v>
      </c>
      <c r="L39" s="6" t="inlineStr">
        <is>
          <t>nincs</t>
        </is>
      </c>
      <c r="M39" s="6">
        <f>IF(AND(J39&gt;0,K39&gt;0),"Rendben",IF(AND(J39=0,K39=0),"Nincs kép és adat",IF(J39=0,"Nincs kép","Nincs adat")))</f>
        <v/>
      </c>
      <c r="N39" s="6" t="inlineStr">
        <is>
          <t>Igen</t>
        </is>
      </c>
      <c r="O39" s="7" t="inlineStr">
        <is>
          <t>alu-sv.com webáruház, keresés rendelési számra</t>
        </is>
      </c>
      <c r="P39" s="7" t="inlineStr">
        <is>
          <t>Nem találtuk: alu-sv.com webáruház, keresés rendelési számra</t>
        </is>
      </c>
      <c r="Q39" s="6" t="inlineStr"/>
      <c r="R39" s="13" t="inlineStr">
        <is>
          <t>https://website-9ib.pages.dev/termek/6613576-mini-elso-flat-alu-oszlop-elox/</t>
        </is>
      </c>
      <c r="S39" s="6" t="inlineStr">
        <is>
          <t>6613576-mini-elso-flat-alu-oszlop-elox</t>
        </is>
      </c>
    </row>
    <row r="40">
      <c r="A40" s="6" t="inlineStr">
        <is>
          <t>Alu-SV</t>
        </is>
      </c>
      <c r="B40" s="7" t="inlineStr">
        <is>
          <t>3515P23 Alumínium zár ellendarab UNI elox</t>
        </is>
      </c>
      <c r="C40" s="11" t="inlineStr"/>
      <c r="D40" s="12" t="inlineStr"/>
      <c r="E40" s="6" t="inlineStr"/>
      <c r="F40" s="6" t="inlineStr">
        <is>
          <t>2ZSB3</t>
        </is>
      </c>
      <c r="G40" s="6" t="inlineStr">
        <is>
          <t>Platós alkatrészek és kiegészítők</t>
        </is>
      </c>
      <c r="H40" s="6" t="inlineStr">
        <is>
          <t>Z-Zárak</t>
        </is>
      </c>
      <c r="I40" s="6" t="inlineStr">
        <is>
          <t>Quadris Excel</t>
        </is>
      </c>
      <c r="J40" s="6" t="n">
        <v>0</v>
      </c>
      <c r="K40" s="6" t="n">
        <v>0</v>
      </c>
      <c r="L40" s="6" t="inlineStr">
        <is>
          <t>nincs</t>
        </is>
      </c>
      <c r="M40" s="6">
        <f>IF(AND(J40&gt;0,K40&gt;0),"Rendben",IF(AND(J40=0,K40=0),"Nincs kép és adat",IF(J40=0,"Nincs kép","Nincs adat")))</f>
        <v/>
      </c>
      <c r="N40" s="6" t="inlineStr">
        <is>
          <t>Igen</t>
        </is>
      </c>
      <c r="O40" s="7" t="inlineStr">
        <is>
          <t>alu-sv.com webáruház, keresés rendelési számra</t>
        </is>
      </c>
      <c r="P40" s="7" t="inlineStr">
        <is>
          <t>Nem találtuk: alu-sv.com webáruház, keresés rendelési számra</t>
        </is>
      </c>
      <c r="Q40" s="6" t="inlineStr"/>
      <c r="R40" s="13" t="inlineStr">
        <is>
          <t>https://website-9ib.pages.dev/termek/3515p23-aluminium-zar-ellendarab-uni-elox/</t>
        </is>
      </c>
      <c r="S40" s="6" t="inlineStr">
        <is>
          <t>3515p23-aluminium-zar-ellendarab-uni-elox</t>
        </is>
      </c>
    </row>
    <row r="41">
      <c r="A41" s="6" t="inlineStr">
        <is>
          <t>Alu-SV</t>
        </is>
      </c>
      <c r="B41" s="7" t="inlineStr">
        <is>
          <t>Kötőelem csavar</t>
        </is>
      </c>
      <c r="C41" s="11" t="inlineStr"/>
      <c r="D41" s="12" t="inlineStr"/>
      <c r="E41" s="6" t="inlineStr">
        <is>
          <t>117773</t>
        </is>
      </c>
      <c r="F41" s="6" t="inlineStr">
        <is>
          <t>117773</t>
        </is>
      </c>
      <c r="G41" s="6" t="inlineStr">
        <is>
          <t>Platós alkatrészek és kiegészítők</t>
        </is>
      </c>
      <c r="H41" s="6" t="inlineStr">
        <is>
          <t>Kötőelemek</t>
        </is>
      </c>
      <c r="I41" s="6" t="inlineStr">
        <is>
          <t>Quadris Excel</t>
        </is>
      </c>
      <c r="J41" s="6" t="n">
        <v>0</v>
      </c>
      <c r="K41" s="6" t="n">
        <v>0</v>
      </c>
      <c r="L41" s="6" t="inlineStr">
        <is>
          <t>nincs</t>
        </is>
      </c>
      <c r="M41" s="6">
        <f>IF(AND(J41&gt;0,K41&gt;0),"Rendben",IF(AND(J41=0,K41=0),"Nincs kép és adat",IF(J41=0,"Nincs kép","Nincs adat")))</f>
        <v/>
      </c>
      <c r="N41" s="6" t="inlineStr">
        <is>
          <t>Igen</t>
        </is>
      </c>
      <c r="O41" s="7" t="inlineStr">
        <is>
          <t>alu-sv.com webáruház, keresés rendelési számra</t>
        </is>
      </c>
      <c r="P41" s="7" t="inlineStr">
        <is>
          <t>Nem találtuk: alu-sv.com webáruház, keresés rendelési számra</t>
        </is>
      </c>
      <c r="Q41" s="6" t="inlineStr"/>
      <c r="R41" s="13" t="inlineStr">
        <is>
          <t>https://website-9ib.pages.dev/termek/117773-kotoelem-csavar/</t>
        </is>
      </c>
      <c r="S41" s="6" t="inlineStr">
        <is>
          <t>117773-kotoelem-csavar</t>
        </is>
      </c>
    </row>
    <row r="42">
      <c r="A42" s="6" t="inlineStr">
        <is>
          <t>Alu-SV</t>
        </is>
      </c>
      <c r="B42" s="7" t="inlineStr">
        <is>
          <t>30 mm "u" Szegő profil</t>
        </is>
      </c>
      <c r="C42" s="11" t="inlineStr"/>
      <c r="D42" s="12" t="inlineStr"/>
      <c r="E42" s="6" t="inlineStr">
        <is>
          <t>226915/n</t>
        </is>
      </c>
      <c r="F42" s="6" t="inlineStr">
        <is>
          <t>6915</t>
        </is>
      </c>
      <c r="G42" s="6" t="inlineStr">
        <is>
          <t>Platós és ponyvás oldalfal profilok és szegők</t>
        </is>
      </c>
      <c r="H42" s="6" t="inlineStr">
        <is>
          <t>Szegő profilok</t>
        </is>
      </c>
      <c r="I42" s="6" t="inlineStr">
        <is>
          <t>Quadris Excel</t>
        </is>
      </c>
      <c r="J42" s="6" t="n">
        <v>0</v>
      </c>
      <c r="K42" s="6" t="n">
        <v>0</v>
      </c>
      <c r="L42" s="6" t="inlineStr">
        <is>
          <t>nincs</t>
        </is>
      </c>
      <c r="M42" s="6">
        <f>IF(AND(J42&gt;0,K42&gt;0),"Rendben",IF(AND(J42=0,K42=0),"Nincs kép és adat",IF(J42=0,"Nincs kép","Nincs adat")))</f>
        <v/>
      </c>
      <c r="N42" s="6" t="inlineStr">
        <is>
          <t>Igen</t>
        </is>
      </c>
      <c r="O42" s="7" t="inlineStr">
        <is>
          <t>alu-sv.com webáruház, keresés rendelési számra</t>
        </is>
      </c>
      <c r="P42" s="7" t="inlineStr">
        <is>
          <t>Nem találtuk: alu-sv.com webáruház, keresés rendelési számra</t>
        </is>
      </c>
      <c r="Q42" s="6" t="inlineStr"/>
      <c r="R42" s="13" t="inlineStr">
        <is>
          <t>https://website-9ib.pages.dev/termek/226915-n-30-mm-u-szego-profil/</t>
        </is>
      </c>
      <c r="S42" s="6" t="inlineStr">
        <is>
          <t>226915-n-30-mm-u-szego-profil</t>
        </is>
      </c>
    </row>
    <row r="43">
      <c r="A43" s="6" t="inlineStr">
        <is>
          <t>Alu-SV</t>
        </is>
      </c>
      <c r="B43" s="7" t="inlineStr">
        <is>
          <t>Gyűrűs rakományrögzítő 400 daN D40</t>
        </is>
      </c>
      <c r="C43" s="11" t="inlineStr"/>
      <c r="D43" s="12" t="inlineStr"/>
      <c r="E43" s="6" t="inlineStr">
        <is>
          <t>121206</t>
        </is>
      </c>
      <c r="F43" s="6" t="inlineStr">
        <is>
          <t>2301206</t>
        </is>
      </c>
      <c r="G43" s="6" t="inlineStr">
        <is>
          <t>Rakományrögzítés</t>
        </is>
      </c>
      <c r="H43" s="6" t="inlineStr">
        <is>
          <t>Rakományrögzítés</t>
        </is>
      </c>
      <c r="I43" s="6" t="inlineStr">
        <is>
          <t>Quadris Excel</t>
        </is>
      </c>
      <c r="J43" s="6" t="n">
        <v>0</v>
      </c>
      <c r="K43" s="6" t="n">
        <v>0</v>
      </c>
      <c r="L43" s="6" t="inlineStr">
        <is>
          <t>nincs</t>
        </is>
      </c>
      <c r="M43" s="6">
        <f>IF(AND(J43&gt;0,K43&gt;0),"Rendben",IF(AND(J43=0,K43=0),"Nincs kép és adat",IF(J43=0,"Nincs kép","Nincs adat")))</f>
        <v/>
      </c>
      <c r="N43" s="6" t="inlineStr">
        <is>
          <t>Igen</t>
        </is>
      </c>
      <c r="O43" s="7" t="inlineStr">
        <is>
          <t>alu-sv.com webáruház, keresés rendelési számra</t>
        </is>
      </c>
      <c r="P43" s="7" t="inlineStr">
        <is>
          <t>Nem találtuk: alu-sv.com webáruház, keresés rendelési számra</t>
        </is>
      </c>
      <c r="Q43" s="6" t="inlineStr"/>
      <c r="R43" s="13" t="inlineStr">
        <is>
          <t>https://website-9ib.pages.dev/termek/121206-gyurus-rakomanyrogzito-400-dan-d40/</t>
        </is>
      </c>
      <c r="S43" s="6" t="inlineStr">
        <is>
          <t>121206-gyurus-rakomanyrogzito-400-dan-d40</t>
        </is>
      </c>
    </row>
    <row r="44">
      <c r="A44" s="6" t="inlineStr">
        <is>
          <t>Alu-SV</t>
        </is>
      </c>
      <c r="B44" s="7" t="inlineStr">
        <is>
          <t>Kombi ponyvatartó rakományrögzítő sín - acél</t>
        </is>
      </c>
      <c r="C44" s="11" t="inlineStr"/>
      <c r="D44" s="12" t="inlineStr"/>
      <c r="E44" s="6" t="inlineStr">
        <is>
          <t>1263935</t>
        </is>
      </c>
      <c r="F44" s="6" t="inlineStr">
        <is>
          <t>226030093500</t>
        </is>
      </c>
      <c r="G44" s="6" t="inlineStr">
        <is>
          <t>Rakományrögzítés</t>
        </is>
      </c>
      <c r="H44" s="6" t="inlineStr">
        <is>
          <t>Rakományrögzítés</t>
        </is>
      </c>
      <c r="I44" s="6" t="inlineStr">
        <is>
          <t>Quadris Excel</t>
        </is>
      </c>
      <c r="J44" s="6" t="n">
        <v>0</v>
      </c>
      <c r="K44" s="6" t="n">
        <v>0</v>
      </c>
      <c r="L44" s="6" t="inlineStr">
        <is>
          <t>nincs</t>
        </is>
      </c>
      <c r="M44" s="6">
        <f>IF(AND(J44&gt;0,K44&gt;0),"Rendben",IF(AND(J44=0,K44=0),"Nincs kép és adat",IF(J44=0,"Nincs kép","Nincs adat")))</f>
        <v/>
      </c>
      <c r="N44" s="6" t="inlineStr">
        <is>
          <t>Igen</t>
        </is>
      </c>
      <c r="O44" s="7" t="inlineStr">
        <is>
          <t>alu-sv.com webáruház, keresés rendelési számra</t>
        </is>
      </c>
      <c r="P44" s="7" t="inlineStr">
        <is>
          <t>Nem találtuk: alu-sv.com webáruház, keresés rendelési számra</t>
        </is>
      </c>
      <c r="Q44" s="6" t="inlineStr"/>
      <c r="R44" s="13" t="inlineStr">
        <is>
          <t>https://website-9ib.pages.dev/termek/1263935-kombi-ponyvatarto-rakomanyrogzito-sin-acel/</t>
        </is>
      </c>
      <c r="S44" s="6" t="inlineStr">
        <is>
          <t>1263935-kombi-ponyvatarto-rakomanyrogzito-sin-acel</t>
        </is>
      </c>
    </row>
    <row r="45">
      <c r="A45" s="6" t="inlineStr">
        <is>
          <t>Alu-SV</t>
        </is>
      </c>
      <c r="B45" s="7" t="inlineStr">
        <is>
          <t>Pálcás rakományrögzítő sín sülly.- alu/5m</t>
        </is>
      </c>
      <c r="C45" s="11" t="inlineStr"/>
      <c r="D45" s="12" t="inlineStr"/>
      <c r="E45" s="6" t="inlineStr">
        <is>
          <t>127159</t>
        </is>
      </c>
      <c r="F45" s="6" t="inlineStr"/>
      <c r="G45" s="6" t="inlineStr">
        <is>
          <t>Rakományrögzítés</t>
        </is>
      </c>
      <c r="H45" s="6" t="inlineStr">
        <is>
          <t>Rakományrögzítés</t>
        </is>
      </c>
      <c r="I45" s="6" t="inlineStr">
        <is>
          <t>Quadris Excel</t>
        </is>
      </c>
      <c r="J45" s="6" t="n">
        <v>0</v>
      </c>
      <c r="K45" s="6" t="n">
        <v>0</v>
      </c>
      <c r="L45" s="6" t="inlineStr">
        <is>
          <t>nincs</t>
        </is>
      </c>
      <c r="M45" s="6">
        <f>IF(AND(J45&gt;0,K45&gt;0),"Rendben",IF(AND(J45=0,K45=0),"Nincs kép és adat",IF(J45=0,"Nincs kép","Nincs adat")))</f>
        <v/>
      </c>
      <c r="N45" s="6" t="inlineStr">
        <is>
          <t>Igen</t>
        </is>
      </c>
      <c r="O45" s="7" t="inlineStr">
        <is>
          <t>alu-sv.com webáruház, keresés rendelési számra</t>
        </is>
      </c>
      <c r="P45" s="7" t="inlineStr">
        <is>
          <t>Nem találtuk: alu-sv.com webáruház, keresés rendelési számra</t>
        </is>
      </c>
      <c r="Q45" s="6" t="inlineStr"/>
      <c r="R45" s="13" t="inlineStr">
        <is>
          <t>https://website-9ib.pages.dev/termek/127159-palcas-rakomanyrogzito-sin-sully-alu-5m/</t>
        </is>
      </c>
      <c r="S45" s="6" t="inlineStr">
        <is>
          <t>127159-palcas-rakomanyrogzito-sin-sully-alu-5m</t>
        </is>
      </c>
    </row>
    <row r="46">
      <c r="A46" s="6" t="inlineStr">
        <is>
          <t>Alu-SV</t>
        </is>
      </c>
      <c r="B46" s="7" t="inlineStr">
        <is>
          <t>Rakományrögzítő kengyel 1000 dAN P</t>
        </is>
      </c>
      <c r="C46" s="11" t="inlineStr"/>
      <c r="D46" s="12" t="inlineStr"/>
      <c r="E46" s="6" t="inlineStr">
        <is>
          <t>122000</t>
        </is>
      </c>
      <c r="F46" s="6" t="inlineStr">
        <is>
          <t>3U2000</t>
        </is>
      </c>
      <c r="G46" s="6" t="inlineStr">
        <is>
          <t>Rakományrögzítés</t>
        </is>
      </c>
      <c r="H46" s="6" t="inlineStr">
        <is>
          <t>Rakományrögzítés</t>
        </is>
      </c>
      <c r="I46" s="6" t="inlineStr">
        <is>
          <t>Quadris Excel</t>
        </is>
      </c>
      <c r="J46" s="6" t="n">
        <v>0</v>
      </c>
      <c r="K46" s="6" t="n">
        <v>0</v>
      </c>
      <c r="L46" s="6" t="inlineStr">
        <is>
          <t>nincs</t>
        </is>
      </c>
      <c r="M46" s="6">
        <f>IF(AND(J46&gt;0,K46&gt;0),"Rendben",IF(AND(J46=0,K46=0),"Nincs kép és adat",IF(J46=0,"Nincs kép","Nincs adat")))</f>
        <v/>
      </c>
      <c r="N46" s="6" t="inlineStr">
        <is>
          <t>Igen</t>
        </is>
      </c>
      <c r="O46" s="7" t="inlineStr">
        <is>
          <t>alu-sv.com webáruház, keresés rendelési számra</t>
        </is>
      </c>
      <c r="P46" s="7" t="inlineStr">
        <is>
          <t>Nem találtuk: alu-sv.com webáruház, keresés rendelési számra</t>
        </is>
      </c>
      <c r="Q46" s="6" t="inlineStr"/>
      <c r="R46" s="13" t="inlineStr">
        <is>
          <t>https://website-9ib.pages.dev/termek/122000-rakomanyrogzito-kengyel-1000-dan-p/</t>
        </is>
      </c>
      <c r="S46" s="6" t="inlineStr">
        <is>
          <t>122000-rakomanyrogzito-kengyel-1000-dan-p</t>
        </is>
      </c>
    </row>
    <row r="47">
      <c r="A47" s="6" t="inlineStr">
        <is>
          <t>Alu-SV</t>
        </is>
      </c>
      <c r="B47" s="7" t="inlineStr">
        <is>
          <t>Süllyesztett Airline sín alu 3000mm</t>
        </is>
      </c>
      <c r="C47" s="11" t="inlineStr"/>
      <c r="D47" s="12" t="inlineStr"/>
      <c r="E47" s="6" t="inlineStr">
        <is>
          <t>122263</t>
        </is>
      </c>
      <c r="F47" s="6" t="inlineStr">
        <is>
          <t>2171226300</t>
        </is>
      </c>
      <c r="G47" s="6" t="inlineStr">
        <is>
          <t>Rakományrögzítés</t>
        </is>
      </c>
      <c r="H47" s="6" t="inlineStr">
        <is>
          <t>Rakományrögzítés</t>
        </is>
      </c>
      <c r="I47" s="6" t="inlineStr">
        <is>
          <t>Quadris Excel</t>
        </is>
      </c>
      <c r="J47" s="6" t="n">
        <v>0</v>
      </c>
      <c r="K47" s="6" t="n">
        <v>0</v>
      </c>
      <c r="L47" s="6" t="inlineStr">
        <is>
          <t>nincs</t>
        </is>
      </c>
      <c r="M47" s="6">
        <f>IF(AND(J47&gt;0,K47&gt;0),"Rendben",IF(AND(J47=0,K47=0),"Nincs kép és adat",IF(J47=0,"Nincs kép","Nincs adat")))</f>
        <v/>
      </c>
      <c r="N47" s="6" t="inlineStr">
        <is>
          <t>Igen</t>
        </is>
      </c>
      <c r="O47" s="7" t="inlineStr">
        <is>
          <t>alu-sv.com webáruház, keresés rendelési számra</t>
        </is>
      </c>
      <c r="P47" s="7" t="inlineStr">
        <is>
          <t>Nem találtuk: alu-sv.com webáruház, keresés rendelési számra</t>
        </is>
      </c>
      <c r="Q47" s="6" t="inlineStr"/>
      <c r="R47" s="13" t="inlineStr">
        <is>
          <t>https://website-9ib.pages.dev/termek/122263-sullyesztett-airline-sin-alu-3000mm/</t>
        </is>
      </c>
      <c r="S47" s="6" t="inlineStr">
        <is>
          <t>122263-sullyesztett-airline-sin-alu-3000mm</t>
        </is>
      </c>
    </row>
    <row r="48">
      <c r="A48" s="6" t="inlineStr">
        <is>
          <t>Alu-SV</t>
        </is>
      </c>
      <c r="B48" s="7" t="inlineStr">
        <is>
          <t>B Tömítéses ajtószegő 25 mm</t>
        </is>
      </c>
      <c r="C48" s="11" t="inlineStr"/>
      <c r="D48" s="12" t="inlineStr"/>
      <c r="E48" s="6" t="inlineStr">
        <is>
          <t>231726/n</t>
        </is>
      </c>
      <c r="F48" s="6" t="inlineStr">
        <is>
          <t>1317 260-000</t>
        </is>
      </c>
      <c r="G48" s="6" t="inlineStr">
        <is>
          <t>Zárt-dobozos és hűtős profilok</t>
        </is>
      </c>
      <c r="H48" s="6" t="inlineStr">
        <is>
          <t>Zárt-dobozos és hűtős profilok</t>
        </is>
      </c>
      <c r="I48" s="6" t="inlineStr">
        <is>
          <t>Quadris Excel</t>
        </is>
      </c>
      <c r="J48" s="6" t="n">
        <v>0</v>
      </c>
      <c r="K48" s="6" t="n">
        <v>0</v>
      </c>
      <c r="L48" s="6" t="inlineStr">
        <is>
          <t>nincs</t>
        </is>
      </c>
      <c r="M48" s="6">
        <f>IF(AND(J48&gt;0,K48&gt;0),"Rendben",IF(AND(J48=0,K48=0),"Nincs kép és adat",IF(J48=0,"Nincs kép","Nincs adat")))</f>
        <v/>
      </c>
      <c r="N48" s="6" t="inlineStr">
        <is>
          <t>Igen</t>
        </is>
      </c>
      <c r="O48" s="7" t="inlineStr">
        <is>
          <t>alu-sv.com webáruház, keresés rendelési számra</t>
        </is>
      </c>
      <c r="P48" s="7" t="inlineStr">
        <is>
          <t>Nem találtuk: alu-sv.com webáruház, keresés rendelési számra</t>
        </is>
      </c>
      <c r="Q48" s="6" t="inlineStr"/>
      <c r="R48" s="13" t="inlineStr">
        <is>
          <t>https://website-9ib.pages.dev/termek/231726-n-b-tomiteses-ajtoszego-25-mm/</t>
        </is>
      </c>
      <c r="S48" s="6" t="inlineStr">
        <is>
          <t>231726-n-b-tomiteses-ajtoszego-25-mm</t>
        </is>
      </c>
    </row>
    <row r="49">
      <c r="A49" s="6" t="inlineStr">
        <is>
          <t>Alu-SV</t>
        </is>
      </c>
      <c r="B49" s="7" t="inlineStr">
        <is>
          <t>Esőcsatorna elox nagy 7500</t>
        </is>
      </c>
      <c r="C49" s="11" t="inlineStr"/>
      <c r="D49" s="12" t="inlineStr"/>
      <c r="E49" s="6" t="inlineStr">
        <is>
          <t>233176</t>
        </is>
      </c>
      <c r="F49" s="6" t="inlineStr"/>
      <c r="G49" s="6" t="inlineStr">
        <is>
          <t>Zárt-dobozos és hűtős profilok</t>
        </is>
      </c>
      <c r="H49" s="6" t="inlineStr">
        <is>
          <t>Zárt-dobozos és hűtős profilok</t>
        </is>
      </c>
      <c r="I49" s="6" t="inlineStr">
        <is>
          <t>Quadris Excel</t>
        </is>
      </c>
      <c r="J49" s="6" t="n">
        <v>0</v>
      </c>
      <c r="K49" s="6" t="n">
        <v>0</v>
      </c>
      <c r="L49" s="6" t="inlineStr">
        <is>
          <t>nincs</t>
        </is>
      </c>
      <c r="M49" s="6">
        <f>IF(AND(J49&gt;0,K49&gt;0),"Rendben",IF(AND(J49=0,K49=0),"Nincs kép és adat",IF(J49=0,"Nincs kép","Nincs adat")))</f>
        <v/>
      </c>
      <c r="N49" s="6" t="inlineStr">
        <is>
          <t>Igen</t>
        </is>
      </c>
      <c r="O49" s="7" t="inlineStr">
        <is>
          <t>alu-sv.com webáruház, keresés rendelési számra</t>
        </is>
      </c>
      <c r="P49" s="7" t="inlineStr">
        <is>
          <t>Nem találtuk: alu-sv.com webáruház, keresés rendelési számra</t>
        </is>
      </c>
      <c r="Q49" s="6" t="inlineStr"/>
      <c r="R49" s="13" t="inlineStr">
        <is>
          <t>https://website-9ib.pages.dev/termek/233176-esocsatorna-elox-nagy-7500/</t>
        </is>
      </c>
      <c r="S49" s="6" t="inlineStr">
        <is>
          <t>233176-esocsatorna-elox-nagy-7500</t>
        </is>
      </c>
    </row>
    <row r="50">
      <c r="A50" s="6" t="inlineStr">
        <is>
          <t>BODEGA</t>
        </is>
      </c>
      <c r="B50" s="7" t="inlineStr">
        <is>
          <t>15 mm Keretprofil elox</t>
        </is>
      </c>
      <c r="C50" s="11" t="inlineStr"/>
      <c r="D50" s="12" t="inlineStr"/>
      <c r="E50" s="6" t="inlineStr">
        <is>
          <t>2015290</t>
        </is>
      </c>
      <c r="F50" s="6" t="inlineStr">
        <is>
          <t>TB50290</t>
        </is>
      </c>
      <c r="G50" s="6" t="inlineStr">
        <is>
          <t>Alumínium alváz profilok</t>
        </is>
      </c>
      <c r="H50" s="6" t="inlineStr">
        <is>
          <t>Keret profilok</t>
        </is>
      </c>
      <c r="I50" s="6" t="inlineStr">
        <is>
          <t>Quadris Excel</t>
        </is>
      </c>
      <c r="J50" s="6" t="n">
        <v>0</v>
      </c>
      <c r="K50" s="6" t="n">
        <v>0</v>
      </c>
      <c r="L50" s="6" t="inlineStr">
        <is>
          <t>nincs</t>
        </is>
      </c>
      <c r="M50" s="6">
        <f>IF(AND(J50&gt;0,K50&gt;0),"Rendben",IF(AND(J50=0,K50=0),"Nincs kép és adat",IF(J50=0,"Nincs kép","Nincs adat")))</f>
        <v/>
      </c>
      <c r="N50" s="6" t="inlineStr">
        <is>
          <t>Igen</t>
        </is>
      </c>
      <c r="O50" s="7" t="inlineStr">
        <is>
          <t>Bodega Bordwände katalógus 2010 (PDF); bodega.it oldaltérkép</t>
        </is>
      </c>
      <c r="P50" s="7" t="inlineStr">
        <is>
          <t>Nem találtuk: Bodega Bordwände katalógus 2010 (PDF); bodega.it oldaltérkép</t>
        </is>
      </c>
      <c r="Q50" s="6" t="inlineStr"/>
      <c r="R50" s="13" t="inlineStr">
        <is>
          <t>https://website-9ib.pages.dev/termek/2015290-15-mm-keretprofil-elox/</t>
        </is>
      </c>
      <c r="S50" s="6" t="inlineStr">
        <is>
          <t>2015290-15-mm-keretprofil-elox</t>
        </is>
      </c>
    </row>
    <row r="51">
      <c r="A51" s="6" t="inlineStr">
        <is>
          <t>BODEGA</t>
        </is>
      </c>
      <c r="B51" s="7" t="inlineStr">
        <is>
          <t>18 mm Keretprofil elox</t>
        </is>
      </c>
      <c r="C51" s="11" t="inlineStr"/>
      <c r="D51" s="12" t="inlineStr"/>
      <c r="E51" s="6" t="inlineStr">
        <is>
          <t>2018290</t>
        </is>
      </c>
      <c r="F51" s="6" t="inlineStr">
        <is>
          <t>TB50042</t>
        </is>
      </c>
      <c r="G51" s="6" t="inlineStr">
        <is>
          <t>Alumínium alváz profilok</t>
        </is>
      </c>
      <c r="H51" s="6" t="inlineStr">
        <is>
          <t>Keret profilok</t>
        </is>
      </c>
      <c r="I51" s="6" t="inlineStr">
        <is>
          <t>Quadris Excel</t>
        </is>
      </c>
      <c r="J51" s="6" t="n">
        <v>0</v>
      </c>
      <c r="K51" s="6" t="n">
        <v>0</v>
      </c>
      <c r="L51" s="6" t="inlineStr">
        <is>
          <t>nincs</t>
        </is>
      </c>
      <c r="M51" s="6">
        <f>IF(AND(J51&gt;0,K51&gt;0),"Rendben",IF(AND(J51=0,K51=0),"Nincs kép és adat",IF(J51=0,"Nincs kép","Nincs adat")))</f>
        <v/>
      </c>
      <c r="N51" s="6" t="inlineStr">
        <is>
          <t>Igen</t>
        </is>
      </c>
      <c r="O51" s="7" t="inlineStr">
        <is>
          <t>Bodega Bordwände katalógus 2010 (PDF); bodega.it oldaltérkép</t>
        </is>
      </c>
      <c r="P51" s="7" t="inlineStr">
        <is>
          <t>Nem találtuk: Bodega Bordwände katalógus 2010 (PDF); bodega.it oldaltérkép</t>
        </is>
      </c>
      <c r="Q51" s="6" t="inlineStr"/>
      <c r="R51" s="13" t="inlineStr">
        <is>
          <t>https://website-9ib.pages.dev/termek/2018290-18-mm-keretprofil-elox/</t>
        </is>
      </c>
      <c r="S51" s="6" t="inlineStr">
        <is>
          <t>2018290-18-mm-keretprofil-elox</t>
        </is>
      </c>
    </row>
    <row r="52">
      <c r="A52" s="6" t="inlineStr">
        <is>
          <t>BODEGA</t>
        </is>
      </c>
      <c r="B52" s="7" t="inlineStr">
        <is>
          <t>Padló profil 200 mm</t>
        </is>
      </c>
      <c r="C52" s="11" t="inlineStr"/>
      <c r="D52" s="12" t="inlineStr"/>
      <c r="E52" s="6" t="inlineStr">
        <is>
          <t>226821/21</t>
        </is>
      </c>
      <c r="F52" s="6" t="inlineStr">
        <is>
          <t>TB48968</t>
        </is>
      </c>
      <c r="G52" s="6" t="inlineStr">
        <is>
          <t>Alumínium padló profilok</t>
        </is>
      </c>
      <c r="H52" s="6" t="inlineStr">
        <is>
          <t>Padló profilok</t>
        </is>
      </c>
      <c r="I52" s="6" t="inlineStr">
        <is>
          <t>Quadris Excel</t>
        </is>
      </c>
      <c r="J52" s="6" t="n">
        <v>0</v>
      </c>
      <c r="K52" s="6" t="n">
        <v>0</v>
      </c>
      <c r="L52" s="6" t="inlineStr">
        <is>
          <t>nincs</t>
        </is>
      </c>
      <c r="M52" s="6">
        <f>IF(AND(J52&gt;0,K52&gt;0),"Rendben",IF(AND(J52=0,K52=0),"Nincs kép és adat",IF(J52=0,"Nincs kép","Nincs adat")))</f>
        <v/>
      </c>
      <c r="N52" s="6" t="inlineStr">
        <is>
          <t>Igen</t>
        </is>
      </c>
      <c r="O52" s="7" t="inlineStr">
        <is>
          <t>Bodega Bordwände katalógus 2010 (PDF); bodega.it oldaltérkép</t>
        </is>
      </c>
      <c r="P52" s="7" t="inlineStr">
        <is>
          <t>Nem találtuk: Bodega Bordwände katalógus 2010 (PDF); bodega.it oldaltérkép</t>
        </is>
      </c>
      <c r="Q52" s="6" t="inlineStr"/>
      <c r="R52" s="13" t="inlineStr">
        <is>
          <t>https://website-9ib.pages.dev/termek/226821-21-padlo-profil-200-mm/</t>
        </is>
      </c>
      <c r="S52" s="6" t="inlineStr">
        <is>
          <t>226821-21-padlo-profil-200-mm</t>
        </is>
      </c>
    </row>
    <row r="53">
      <c r="A53" s="6" t="inlineStr">
        <is>
          <t>BODEGA</t>
        </is>
      </c>
      <c r="B53" s="7" t="inlineStr">
        <is>
          <t>"u" 35 mm szegő profil</t>
        </is>
      </c>
      <c r="C53" s="11" t="inlineStr"/>
      <c r="D53" s="12" t="inlineStr"/>
      <c r="E53" s="6" t="inlineStr">
        <is>
          <t>225455/n</t>
        </is>
      </c>
      <c r="F53" s="6" t="inlineStr">
        <is>
          <t>TB54550</t>
        </is>
      </c>
      <c r="G53" s="6" t="inlineStr">
        <is>
          <t>Platós és ponyvás oldalfal profilok és szegők</t>
        </is>
      </c>
      <c r="H53" s="6" t="inlineStr">
        <is>
          <t>Szegő profilok</t>
        </is>
      </c>
      <c r="I53" s="6" t="inlineStr">
        <is>
          <t>Quadris Excel</t>
        </is>
      </c>
      <c r="J53" s="6" t="n">
        <v>0</v>
      </c>
      <c r="K53" s="6" t="n">
        <v>0</v>
      </c>
      <c r="L53" s="6" t="inlineStr">
        <is>
          <t>nincs</t>
        </is>
      </c>
      <c r="M53" s="6">
        <f>IF(AND(J53&gt;0,K53&gt;0),"Rendben",IF(AND(J53=0,K53=0),"Nincs kép és adat",IF(J53=0,"Nincs kép","Nincs adat")))</f>
        <v/>
      </c>
      <c r="N53" s="6" t="inlineStr">
        <is>
          <t>Igen</t>
        </is>
      </c>
      <c r="O53" s="7" t="inlineStr">
        <is>
          <t>Bodega Bordwände katalógus 2010 (PDF); bodega.it oldaltérkép</t>
        </is>
      </c>
      <c r="P53" s="7" t="inlineStr">
        <is>
          <t>Nem találtuk: Bodega Bordwände katalógus 2010 (PDF); bodega.it oldaltérkép</t>
        </is>
      </c>
      <c r="Q53" s="6" t="inlineStr"/>
      <c r="R53" s="13" t="inlineStr">
        <is>
          <t>https://website-9ib.pages.dev/termek/225455-n-u-35-mm-szego-profil/</t>
        </is>
      </c>
      <c r="S53" s="6" t="inlineStr">
        <is>
          <t>225455-n-u-35-mm-szego-profil</t>
        </is>
      </c>
    </row>
    <row r="54">
      <c r="A54" s="6" t="inlineStr">
        <is>
          <t>BODEGA</t>
        </is>
      </c>
      <c r="B54" s="7" t="inlineStr">
        <is>
          <t>"u" 35 mm szegő profil elox</t>
        </is>
      </c>
      <c r="C54" s="11" t="inlineStr"/>
      <c r="D54" s="12" t="inlineStr"/>
      <c r="E54" s="6" t="inlineStr">
        <is>
          <t>225455</t>
        </is>
      </c>
      <c r="F54" s="6" t="inlineStr">
        <is>
          <t>TB54550</t>
        </is>
      </c>
      <c r="G54" s="6" t="inlineStr">
        <is>
          <t>Platós és ponyvás oldalfal profilok és szegők</t>
        </is>
      </c>
      <c r="H54" s="6" t="inlineStr">
        <is>
          <t>Szegő profilok</t>
        </is>
      </c>
      <c r="I54" s="6" t="inlineStr">
        <is>
          <t>Quadris Excel</t>
        </is>
      </c>
      <c r="J54" s="6" t="n">
        <v>0</v>
      </c>
      <c r="K54" s="6" t="n">
        <v>0</v>
      </c>
      <c r="L54" s="6" t="inlineStr">
        <is>
          <t>nincs</t>
        </is>
      </c>
      <c r="M54" s="6">
        <f>IF(AND(J54&gt;0,K54&gt;0),"Rendben",IF(AND(J54=0,K54=0),"Nincs kép és adat",IF(J54=0,"Nincs kép","Nincs adat")))</f>
        <v/>
      </c>
      <c r="N54" s="6" t="inlineStr">
        <is>
          <t>Igen</t>
        </is>
      </c>
      <c r="O54" s="7" t="inlineStr">
        <is>
          <t>Bodega Bordwände katalógus 2010 (PDF); bodega.it oldaltérkép</t>
        </is>
      </c>
      <c r="P54" s="7" t="inlineStr">
        <is>
          <t>Nem találtuk: Bodega Bordwände katalógus 2010 (PDF); bodega.it oldaltérkép</t>
        </is>
      </c>
      <c r="Q54" s="6" t="inlineStr"/>
      <c r="R54" s="13" t="inlineStr">
        <is>
          <t>https://website-9ib.pages.dev/termek/225455-u-35-mm-szego-profil-elox/</t>
        </is>
      </c>
      <c r="S54" s="6" t="inlineStr">
        <is>
          <t>225455-u-35-mm-szego-profil-elox</t>
        </is>
      </c>
    </row>
    <row r="55">
      <c r="A55" s="6" t="inlineStr">
        <is>
          <t>BODEGA</t>
        </is>
      </c>
      <c r="B55" s="7" t="inlineStr">
        <is>
          <t>400 mm gumis oldalfal elox</t>
        </is>
      </c>
      <c r="C55" s="11" t="inlineStr"/>
      <c r="D55" s="12" t="inlineStr"/>
      <c r="E55" s="6" t="inlineStr">
        <is>
          <t>226671</t>
        </is>
      </c>
      <c r="F55" s="6" t="inlineStr">
        <is>
          <t>TB36671</t>
        </is>
      </c>
      <c r="G55" s="6" t="inlineStr">
        <is>
          <t>Platós és ponyvás oldalfal profilok és szegők</t>
        </is>
      </c>
      <c r="H55" s="6" t="inlineStr">
        <is>
          <t>25 mm monó profilok</t>
        </is>
      </c>
      <c r="I55" s="6" t="inlineStr">
        <is>
          <t>Quadris Excel</t>
        </is>
      </c>
      <c r="J55" s="6" t="n">
        <v>0</v>
      </c>
      <c r="K55" s="6" t="n">
        <v>0</v>
      </c>
      <c r="L55" s="6" t="inlineStr">
        <is>
          <t>nincs</t>
        </is>
      </c>
      <c r="M55" s="6">
        <f>IF(AND(J55&gt;0,K55&gt;0),"Rendben",IF(AND(J55=0,K55=0),"Nincs kép és adat",IF(J55=0,"Nincs kép","Nincs adat")))</f>
        <v/>
      </c>
      <c r="N55" s="6" t="inlineStr">
        <is>
          <t>Igen</t>
        </is>
      </c>
      <c r="O55" s="7" t="inlineStr">
        <is>
          <t>Bodega Bordwände katalógus 2010 (PDF); bodega.it oldaltérkép</t>
        </is>
      </c>
      <c r="P55" s="7" t="inlineStr">
        <is>
          <t>Nem találtuk: Bodega Bordwände katalógus 2010 (PDF); bodega.it oldaltérkép</t>
        </is>
      </c>
      <c r="Q55" s="6" t="inlineStr"/>
      <c r="R55" s="13" t="inlineStr">
        <is>
          <t>https://website-9ib.pages.dev/termek/226671-400-mm-gumis-oldalfal-elox/</t>
        </is>
      </c>
      <c r="S55" s="6" t="inlineStr">
        <is>
          <t>226671-400-mm-gumis-oldalfal-elox</t>
        </is>
      </c>
    </row>
    <row r="56">
      <c r="A56" s="6" t="inlineStr">
        <is>
          <t>BODEGA</t>
        </is>
      </c>
      <c r="B56" s="7" t="inlineStr">
        <is>
          <t>400 mm peremes gumis oldalfal elox</t>
        </is>
      </c>
      <c r="C56" s="11" t="inlineStr"/>
      <c r="D56" s="12" t="inlineStr"/>
      <c r="E56" s="6" t="inlineStr">
        <is>
          <t>226795</t>
        </is>
      </c>
      <c r="F56" s="6" t="inlineStr">
        <is>
          <t>TB36795</t>
        </is>
      </c>
      <c r="G56" s="6" t="inlineStr">
        <is>
          <t>Platós és ponyvás oldalfal profilok és szegők</t>
        </is>
      </c>
      <c r="H56" s="6" t="inlineStr">
        <is>
          <t>25 mm monó profilok</t>
        </is>
      </c>
      <c r="I56" s="6" t="inlineStr">
        <is>
          <t>Quadris Excel</t>
        </is>
      </c>
      <c r="J56" s="6" t="n">
        <v>0</v>
      </c>
      <c r="K56" s="6" t="n">
        <v>0</v>
      </c>
      <c r="L56" s="6" t="inlineStr">
        <is>
          <t>nincs</t>
        </is>
      </c>
      <c r="M56" s="6">
        <f>IF(AND(J56&gt;0,K56&gt;0),"Rendben",IF(AND(J56=0,K56=0),"Nincs kép és adat",IF(J56=0,"Nincs kép","Nincs adat")))</f>
        <v/>
      </c>
      <c r="N56" s="6" t="inlineStr">
        <is>
          <t>Igen</t>
        </is>
      </c>
      <c r="O56" s="7" t="inlineStr">
        <is>
          <t>Bodega Bordwände katalógus 2010 (PDF); bodega.it oldaltérkép</t>
        </is>
      </c>
      <c r="P56" s="7" t="inlineStr">
        <is>
          <t>Nem találtuk: Bodega Bordwände katalógus 2010 (PDF); bodega.it oldaltérkép</t>
        </is>
      </c>
      <c r="Q56" s="6" t="inlineStr"/>
      <c r="R56" s="13" t="inlineStr">
        <is>
          <t>https://website-9ib.pages.dev/termek/226795-400-mm-peremes-gumis-oldalfal-elox/</t>
        </is>
      </c>
      <c r="S56" s="6" t="inlineStr">
        <is>
          <t>226795-400-mm-peremes-gumis-oldalfal-elox</t>
        </is>
      </c>
    </row>
    <row r="57">
      <c r="A57" s="6" t="inlineStr">
        <is>
          <t>BODEGA</t>
        </is>
      </c>
      <c r="B57" s="7" t="inlineStr">
        <is>
          <t>Felső 200 mm elox profil B</t>
        </is>
      </c>
      <c r="C57" s="11" t="inlineStr"/>
      <c r="D57" s="12" t="inlineStr"/>
      <c r="E57" s="6" t="inlineStr">
        <is>
          <t>226113</t>
        </is>
      </c>
      <c r="F57" s="6" t="inlineStr">
        <is>
          <t>TB36113</t>
        </is>
      </c>
      <c r="G57" s="6" t="inlineStr">
        <is>
          <t>Platós és ponyvás oldalfal profilok és szegők</t>
        </is>
      </c>
      <c r="H57" s="6" t="inlineStr">
        <is>
          <t>25 mm vastag oldalfal rendszerek</t>
        </is>
      </c>
      <c r="I57" s="6" t="inlineStr">
        <is>
          <t>Quadris Excel</t>
        </is>
      </c>
      <c r="J57" s="6" t="n">
        <v>0</v>
      </c>
      <c r="K57" s="6" t="n">
        <v>0</v>
      </c>
      <c r="L57" s="6" t="inlineStr">
        <is>
          <t>nincs</t>
        </is>
      </c>
      <c r="M57" s="6">
        <f>IF(AND(J57&gt;0,K57&gt;0),"Rendben",IF(AND(J57=0,K57=0),"Nincs kép és adat",IF(J57=0,"Nincs kép","Nincs adat")))</f>
        <v/>
      </c>
      <c r="N57" s="6" t="inlineStr">
        <is>
          <t>Igen</t>
        </is>
      </c>
      <c r="O57" s="7" t="inlineStr">
        <is>
          <t>Bodega Bordwände katalógus 2010 (PDF); bodega.it oldaltérkép</t>
        </is>
      </c>
      <c r="P57" s="7" t="inlineStr">
        <is>
          <t>Nem találtuk: Bodega Bordwände katalógus 2010 (PDF); bodega.it oldaltérkép</t>
        </is>
      </c>
      <c r="Q57" s="6" t="inlineStr"/>
      <c r="R57" s="13" t="inlineStr">
        <is>
          <t>https://website-9ib.pages.dev/termek/226113-felso-200-mm-elox-profil-b/</t>
        </is>
      </c>
      <c r="S57" s="6" t="inlineStr">
        <is>
          <t>226113-felso-200-mm-elox-profil-b</t>
        </is>
      </c>
    </row>
    <row r="58">
      <c r="A58" s="6" t="inlineStr">
        <is>
          <t>BODEGA</t>
        </is>
      </c>
      <c r="B58" s="7" t="inlineStr">
        <is>
          <t>Köztes 200 mm elox profil B</t>
        </is>
      </c>
      <c r="C58" s="11" t="inlineStr"/>
      <c r="D58" s="12" t="inlineStr"/>
      <c r="E58" s="6" t="inlineStr">
        <is>
          <t>226114</t>
        </is>
      </c>
      <c r="F58" s="6" t="inlineStr">
        <is>
          <t>TB36114</t>
        </is>
      </c>
      <c r="G58" s="6" t="inlineStr">
        <is>
          <t>Platós és ponyvás oldalfal profilok és szegők</t>
        </is>
      </c>
      <c r="H58" s="6" t="inlineStr">
        <is>
          <t>25 mm vastag oldalfal rendszerek</t>
        </is>
      </c>
      <c r="I58" s="6" t="inlineStr">
        <is>
          <t>Quadris Excel</t>
        </is>
      </c>
      <c r="J58" s="6" t="n">
        <v>0</v>
      </c>
      <c r="K58" s="6" t="n">
        <v>0</v>
      </c>
      <c r="L58" s="6" t="inlineStr">
        <is>
          <t>nincs</t>
        </is>
      </c>
      <c r="M58" s="6">
        <f>IF(AND(J58&gt;0,K58&gt;0),"Rendben",IF(AND(J58=0,K58=0),"Nincs kép és adat",IF(J58=0,"Nincs kép","Nincs adat")))</f>
        <v/>
      </c>
      <c r="N58" s="6" t="inlineStr">
        <is>
          <t>Igen</t>
        </is>
      </c>
      <c r="O58" s="7" t="inlineStr">
        <is>
          <t>Bodega Bordwände katalógus 2010 (PDF); bodega.it oldaltérkép</t>
        </is>
      </c>
      <c r="P58" s="7" t="inlineStr">
        <is>
          <t>Nem találtuk: Bodega Bordwände katalógus 2010 (PDF); bodega.it oldaltérkép</t>
        </is>
      </c>
      <c r="Q58" s="6" t="inlineStr"/>
      <c r="R58" s="13" t="inlineStr">
        <is>
          <t>https://website-9ib.pages.dev/termek/226114-koztes-200-mm-elox-profil-b/</t>
        </is>
      </c>
      <c r="S58" s="6" t="inlineStr">
        <is>
          <t>226114-koztes-200-mm-elox-profil-b</t>
        </is>
      </c>
    </row>
    <row r="59">
      <c r="A59" s="6" t="inlineStr">
        <is>
          <t>BODEGA</t>
        </is>
      </c>
      <c r="B59" s="7" t="inlineStr">
        <is>
          <t>Köztes 250 mm elox profil</t>
        </is>
      </c>
      <c r="C59" s="11" t="inlineStr"/>
      <c r="D59" s="12" t="inlineStr"/>
      <c r="E59" s="6" t="inlineStr">
        <is>
          <t>225040</t>
        </is>
      </c>
      <c r="F59" s="6" t="inlineStr">
        <is>
          <t>TB50040</t>
        </is>
      </c>
      <c r="G59" s="6" t="inlineStr">
        <is>
          <t>Platós és ponyvás oldalfal profilok és szegők</t>
        </is>
      </c>
      <c r="H59" s="6" t="inlineStr">
        <is>
          <t>25 mm vastag oldalfal rendszerek</t>
        </is>
      </c>
      <c r="I59" s="6" t="inlineStr">
        <is>
          <t>Quadris Excel</t>
        </is>
      </c>
      <c r="J59" s="6" t="n">
        <v>0</v>
      </c>
      <c r="K59" s="6" t="n">
        <v>0</v>
      </c>
      <c r="L59" s="6" t="inlineStr">
        <is>
          <t>nincs</t>
        </is>
      </c>
      <c r="M59" s="6">
        <f>IF(AND(J59&gt;0,K59&gt;0),"Rendben",IF(AND(J59=0,K59=0),"Nincs kép és adat",IF(J59=0,"Nincs kép","Nincs adat")))</f>
        <v/>
      </c>
      <c r="N59" s="6" t="inlineStr">
        <is>
          <t>Igen</t>
        </is>
      </c>
      <c r="O59" s="7" t="inlineStr">
        <is>
          <t>Bodega Bordwände katalógus 2010 (PDF); bodega.it oldaltérkép</t>
        </is>
      </c>
      <c r="P59" s="7" t="inlineStr">
        <is>
          <t>Nem találtuk: Bodega Bordwände katalógus 2010 (PDF); bodega.it oldaltérkép</t>
        </is>
      </c>
      <c r="Q59" s="6" t="inlineStr"/>
      <c r="R59" s="13" t="inlineStr">
        <is>
          <t>https://website-9ib.pages.dev/termek/225040-koztes-250-mm-elox-profil/</t>
        </is>
      </c>
      <c r="S59" s="6" t="inlineStr">
        <is>
          <t>225040-koztes-250-mm-elox-profil</t>
        </is>
      </c>
    </row>
    <row r="60">
      <c r="A60" s="6" t="inlineStr">
        <is>
          <t>BODEGA</t>
        </is>
      </c>
      <c r="B60" s="7" t="inlineStr">
        <is>
          <t>Köztes 250 mm profil</t>
        </is>
      </c>
      <c r="C60" s="11" t="inlineStr"/>
      <c r="D60" s="12" t="inlineStr"/>
      <c r="E60" s="6" t="inlineStr">
        <is>
          <t>225040/n</t>
        </is>
      </c>
      <c r="F60" s="6" t="inlineStr">
        <is>
          <t>TB50040</t>
        </is>
      </c>
      <c r="G60" s="6" t="inlineStr">
        <is>
          <t>Platós és ponyvás oldalfal profilok és szegők</t>
        </is>
      </c>
      <c r="H60" s="6" t="inlineStr">
        <is>
          <t>25 mm vastag oldalfal rendszerek</t>
        </is>
      </c>
      <c r="I60" s="6" t="inlineStr">
        <is>
          <t>Quadris Excel</t>
        </is>
      </c>
      <c r="J60" s="6" t="n">
        <v>0</v>
      </c>
      <c r="K60" s="6" t="n">
        <v>0</v>
      </c>
      <c r="L60" s="6" t="inlineStr">
        <is>
          <t>nincs</t>
        </is>
      </c>
      <c r="M60" s="6">
        <f>IF(AND(J60&gt;0,K60&gt;0),"Rendben",IF(AND(J60=0,K60=0),"Nincs kép és adat",IF(J60=0,"Nincs kép","Nincs adat")))</f>
        <v/>
      </c>
      <c r="N60" s="6" t="inlineStr">
        <is>
          <t>Igen</t>
        </is>
      </c>
      <c r="O60" s="7" t="inlineStr">
        <is>
          <t>Bodega Bordwände katalógus 2010 (PDF); bodega.it oldaltérkép</t>
        </is>
      </c>
      <c r="P60" s="7" t="inlineStr">
        <is>
          <t>Nem találtuk: Bodega Bordwände katalógus 2010 (PDF); bodega.it oldaltérkép</t>
        </is>
      </c>
      <c r="Q60" s="6" t="inlineStr"/>
      <c r="R60" s="13" t="inlineStr">
        <is>
          <t>https://website-9ib.pages.dev/termek/225040-n-koztes-250-mm-profil/</t>
        </is>
      </c>
      <c r="S60" s="6" t="inlineStr">
        <is>
          <t>225040-n-koztes-250-mm-profil</t>
        </is>
      </c>
    </row>
    <row r="61">
      <c r="A61" s="6" t="inlineStr">
        <is>
          <t>BODEGA</t>
        </is>
      </c>
      <c r="B61" s="7" t="inlineStr">
        <is>
          <t>Köztes ponyvás 200 mm elox profil B</t>
        </is>
      </c>
      <c r="C61" s="11" t="inlineStr"/>
      <c r="D61" s="12" t="inlineStr"/>
      <c r="E61" s="6" t="inlineStr">
        <is>
          <t>226253</t>
        </is>
      </c>
      <c r="F61" s="6" t="inlineStr">
        <is>
          <t>TB36253</t>
        </is>
      </c>
      <c r="G61" s="6" t="inlineStr">
        <is>
          <t>Platós és ponyvás oldalfal profilok és szegők</t>
        </is>
      </c>
      <c r="H61" s="6" t="inlineStr">
        <is>
          <t>25 mm vastag oldalfal rendszerek</t>
        </is>
      </c>
      <c r="I61" s="6" t="inlineStr">
        <is>
          <t>Quadris Excel</t>
        </is>
      </c>
      <c r="J61" s="6" t="n">
        <v>0</v>
      </c>
      <c r="K61" s="6" t="n">
        <v>0</v>
      </c>
      <c r="L61" s="6" t="inlineStr">
        <is>
          <t>nincs</t>
        </is>
      </c>
      <c r="M61" s="6">
        <f>IF(AND(J61&gt;0,K61&gt;0),"Rendben",IF(AND(J61=0,K61=0),"Nincs kép és adat",IF(J61=0,"Nincs kép","Nincs adat")))</f>
        <v/>
      </c>
      <c r="N61" s="6" t="inlineStr">
        <is>
          <t>Igen</t>
        </is>
      </c>
      <c r="O61" s="7" t="inlineStr">
        <is>
          <t>Bodega Bordwände katalógus 2010 (PDF); bodega.it oldaltérkép</t>
        </is>
      </c>
      <c r="P61" s="7" t="inlineStr">
        <is>
          <t>Nem találtuk: Bodega Bordwände katalógus 2010 (PDF); bodega.it oldaltérkép</t>
        </is>
      </c>
      <c r="Q61" s="6" t="inlineStr"/>
      <c r="R61" s="13" t="inlineStr">
        <is>
          <t>https://website-9ib.pages.dev/termek/226253-koztes-ponyvas-200-mm-elox-profil-b/</t>
        </is>
      </c>
      <c r="S61" s="6" t="inlineStr">
        <is>
          <t>226253-koztes-ponyvas-200-mm-elox-profil-b</t>
        </is>
      </c>
    </row>
    <row r="62">
      <c r="A62" s="6" t="inlineStr">
        <is>
          <t>BODEGA</t>
        </is>
      </c>
      <c r="B62" s="7" t="inlineStr">
        <is>
          <t>Spitz profil 100 mm</t>
        </is>
      </c>
      <c r="C62" s="11" t="inlineStr"/>
      <c r="D62" s="12" t="inlineStr"/>
      <c r="E62" s="6" t="inlineStr">
        <is>
          <t>223032</t>
        </is>
      </c>
      <c r="F62" s="6" t="inlineStr">
        <is>
          <t>TB53032</t>
        </is>
      </c>
      <c r="G62" s="6" t="inlineStr">
        <is>
          <t>Ponyvarendszer kiegészítők</t>
        </is>
      </c>
      <c r="H62" s="6" t="inlineStr">
        <is>
          <t>Spitzprofilok</t>
        </is>
      </c>
      <c r="I62" s="6" t="inlineStr">
        <is>
          <t>Quadris Excel</t>
        </is>
      </c>
      <c r="J62" s="6" t="n">
        <v>0</v>
      </c>
      <c r="K62" s="6" t="n">
        <v>0</v>
      </c>
      <c r="L62" s="6" t="inlineStr">
        <is>
          <t>nincs</t>
        </is>
      </c>
      <c r="M62" s="6">
        <f>IF(AND(J62&gt;0,K62&gt;0),"Rendben",IF(AND(J62=0,K62=0),"Nincs kép és adat",IF(J62=0,"Nincs kép","Nincs adat")))</f>
        <v/>
      </c>
      <c r="N62" s="6" t="inlineStr">
        <is>
          <t>Igen</t>
        </is>
      </c>
      <c r="O62" s="7" t="inlineStr">
        <is>
          <t>Bodega Bordwände katalógus 2010 (PDF); bodega.it oldaltérkép</t>
        </is>
      </c>
      <c r="P62" s="7" t="inlineStr">
        <is>
          <t>Nem találtuk: Bodega Bordwände katalógus 2010 (PDF); bodega.it oldaltérkép</t>
        </is>
      </c>
      <c r="Q62" s="6" t="inlineStr"/>
      <c r="R62" s="13" t="inlineStr">
        <is>
          <t>https://website-9ib.pages.dev/termek/223032-spitz-profil-100-mm/</t>
        </is>
      </c>
      <c r="S62" s="6" t="inlineStr">
        <is>
          <t>223032-spitz-profil-100-mm</t>
        </is>
      </c>
    </row>
    <row r="63">
      <c r="A63" s="6" t="inlineStr">
        <is>
          <t>BODEGA</t>
        </is>
      </c>
      <c r="B63" s="7" t="inlineStr">
        <is>
          <t>Spitz profil 150 mm magas T</t>
        </is>
      </c>
      <c r="C63" s="11" t="inlineStr"/>
      <c r="D63" s="12" t="inlineStr"/>
      <c r="E63" s="6" t="inlineStr">
        <is>
          <t>222005</t>
        </is>
      </c>
      <c r="F63" s="6" t="inlineStr">
        <is>
          <t>T1.2005.0</t>
        </is>
      </c>
      <c r="G63" s="6" t="inlineStr">
        <is>
          <t>Ponyvarendszer kiegészítők</t>
        </is>
      </c>
      <c r="H63" s="6" t="inlineStr">
        <is>
          <t>Spitzprofilok</t>
        </is>
      </c>
      <c r="I63" s="6" t="inlineStr">
        <is>
          <t>Quadris Excel</t>
        </is>
      </c>
      <c r="J63" s="6" t="n">
        <v>0</v>
      </c>
      <c r="K63" s="6" t="n">
        <v>0</v>
      </c>
      <c r="L63" s="6" t="inlineStr">
        <is>
          <t>nincs</t>
        </is>
      </c>
      <c r="M63" s="6">
        <f>IF(AND(J63&gt;0,K63&gt;0),"Rendben",IF(AND(J63=0,K63=0),"Nincs kép és adat",IF(J63=0,"Nincs kép","Nincs adat")))</f>
        <v/>
      </c>
      <c r="N63" s="6" t="inlineStr">
        <is>
          <t>Igen</t>
        </is>
      </c>
      <c r="O63" s="7" t="inlineStr">
        <is>
          <t>Bodega Bordwände katalógus 2010 (PDF); bodega.it oldaltérkép</t>
        </is>
      </c>
      <c r="P63" s="7" t="inlineStr">
        <is>
          <t>Nem találtuk: Bodega Bordwände katalógus 2010 (PDF); bodega.it oldaltérkép</t>
        </is>
      </c>
      <c r="Q63" s="6" t="inlineStr"/>
      <c r="R63" s="13" t="inlineStr">
        <is>
          <t>https://website-9ib.pages.dev/termek/222005-spitz-profil-150-mm-magas-t/</t>
        </is>
      </c>
      <c r="S63" s="6" t="inlineStr">
        <is>
          <t>222005-spitz-profil-150-mm-magas-t</t>
        </is>
      </c>
    </row>
    <row r="64">
      <c r="A64" s="6" t="inlineStr">
        <is>
          <t>BODEGA</t>
        </is>
      </c>
      <c r="B64" s="7" t="inlineStr">
        <is>
          <t>25x35 mm Speciális tető profil</t>
        </is>
      </c>
      <c r="C64" s="11" t="inlineStr"/>
      <c r="D64" s="12" t="inlineStr"/>
      <c r="E64" s="6" t="inlineStr">
        <is>
          <t>235427</t>
        </is>
      </c>
      <c r="F64" s="6" t="inlineStr"/>
      <c r="G64" s="6" t="inlineStr">
        <is>
          <t>Zárt-dobozos és hűtős profilok</t>
        </is>
      </c>
      <c r="H64" s="6" t="inlineStr">
        <is>
          <t>Zárt-dobozos és hűtős profilok</t>
        </is>
      </c>
      <c r="I64" s="6" t="inlineStr">
        <is>
          <t>Quadris Excel</t>
        </is>
      </c>
      <c r="J64" s="6" t="n">
        <v>0</v>
      </c>
      <c r="K64" s="6" t="n">
        <v>0</v>
      </c>
      <c r="L64" s="6" t="inlineStr">
        <is>
          <t>nincs</t>
        </is>
      </c>
      <c r="M64" s="6">
        <f>IF(AND(J64&gt;0,K64&gt;0),"Rendben",IF(AND(J64=0,K64=0),"Nincs kép és adat",IF(J64=0,"Nincs kép","Nincs adat")))</f>
        <v/>
      </c>
      <c r="N64" s="6" t="inlineStr">
        <is>
          <t>Igen</t>
        </is>
      </c>
      <c r="O64" s="7" t="inlineStr">
        <is>
          <t>Bodega Bordwände katalógus 2010 (PDF); bodega.it oldaltérkép</t>
        </is>
      </c>
      <c r="P64" s="7" t="inlineStr">
        <is>
          <t>Nem találtuk: Bodega Bordwände katalógus 2010 (PDF); bodega.it oldaltérkép</t>
        </is>
      </c>
      <c r="Q64" s="6" t="inlineStr"/>
      <c r="R64" s="13" t="inlineStr">
        <is>
          <t>https://website-9ib.pages.dev/termek/235427-25x35-mm-specialis-teto-profil/</t>
        </is>
      </c>
      <c r="S64" s="6" t="inlineStr">
        <is>
          <t>235427-25x35-mm-specialis-teto-profil</t>
        </is>
      </c>
    </row>
    <row r="65">
      <c r="A65" s="6" t="inlineStr">
        <is>
          <t>BODEGA</t>
        </is>
      </c>
      <c r="B65" s="7" t="inlineStr">
        <is>
          <t>25x35 mm Speciális tető profil elox IH</t>
        </is>
      </c>
      <c r="C65" s="11" t="inlineStr"/>
      <c r="D65" s="12" t="inlineStr"/>
      <c r="E65" s="6" t="inlineStr">
        <is>
          <t>235339</t>
        </is>
      </c>
      <c r="F65" s="6" t="inlineStr">
        <is>
          <t>TB50339</t>
        </is>
      </c>
      <c r="G65" s="6" t="inlineStr">
        <is>
          <t>Zárt-dobozos és hűtős profilok</t>
        </is>
      </c>
      <c r="H65" s="6" t="inlineStr">
        <is>
          <t>Zárt-dobozos és hűtős profilok</t>
        </is>
      </c>
      <c r="I65" s="6" t="inlineStr">
        <is>
          <t>Quadris Excel</t>
        </is>
      </c>
      <c r="J65" s="6" t="n">
        <v>0</v>
      </c>
      <c r="K65" s="6" t="n">
        <v>0</v>
      </c>
      <c r="L65" s="6" t="inlineStr">
        <is>
          <t>nincs</t>
        </is>
      </c>
      <c r="M65" s="6">
        <f>IF(AND(J65&gt;0,K65&gt;0),"Rendben",IF(AND(J65=0,K65=0),"Nincs kép és adat",IF(J65=0,"Nincs kép","Nincs adat")))</f>
        <v/>
      </c>
      <c r="N65" s="6" t="inlineStr">
        <is>
          <t>Igen</t>
        </is>
      </c>
      <c r="O65" s="7" t="inlineStr">
        <is>
          <t>Bodega Bordwände katalógus 2010 (PDF); bodega.it oldaltérkép</t>
        </is>
      </c>
      <c r="P65" s="7" t="inlineStr">
        <is>
          <t>Nem találtuk: Bodega Bordwände katalógus 2010 (PDF); bodega.it oldaltérkép</t>
        </is>
      </c>
      <c r="Q65" s="6" t="inlineStr"/>
      <c r="R65" s="13" t="inlineStr">
        <is>
          <t>https://website-9ib.pages.dev/termek/235339-25x35-mm-specialis-teto-profil-elox-ih/</t>
        </is>
      </c>
      <c r="S65" s="6" t="inlineStr">
        <is>
          <t>235339-25x35-mm-specialis-teto-profil-elox-ih</t>
        </is>
      </c>
    </row>
    <row r="66">
      <c r="A66" s="6" t="inlineStr">
        <is>
          <t>BODEGA</t>
        </is>
      </c>
      <c r="B66" s="7" t="inlineStr">
        <is>
          <t>35x35 mm Speciális tető profil elox HT</t>
        </is>
      </c>
      <c r="C66" s="11" t="inlineStr"/>
      <c r="D66" s="12" t="inlineStr"/>
      <c r="E66" s="6" t="inlineStr">
        <is>
          <t>2346457</t>
        </is>
      </c>
      <c r="F66" s="6" t="inlineStr">
        <is>
          <t>TB46457</t>
        </is>
      </c>
      <c r="G66" s="6" t="inlineStr">
        <is>
          <t>Zárt-dobozos és hűtős profilok</t>
        </is>
      </c>
      <c r="H66" s="6" t="inlineStr">
        <is>
          <t>Zárt-dobozos és hűtős profilok</t>
        </is>
      </c>
      <c r="I66" s="6" t="inlineStr">
        <is>
          <t>Quadris Excel</t>
        </is>
      </c>
      <c r="J66" s="6" t="n">
        <v>0</v>
      </c>
      <c r="K66" s="6" t="n">
        <v>0</v>
      </c>
      <c r="L66" s="6" t="inlineStr">
        <is>
          <t>nincs</t>
        </is>
      </c>
      <c r="M66" s="6">
        <f>IF(AND(J66&gt;0,K66&gt;0),"Rendben",IF(AND(J66=0,K66=0),"Nincs kép és adat",IF(J66=0,"Nincs kép","Nincs adat")))</f>
        <v/>
      </c>
      <c r="N66" s="6" t="inlineStr">
        <is>
          <t>Igen</t>
        </is>
      </c>
      <c r="O66" s="7" t="inlineStr">
        <is>
          <t>Bodega Bordwände katalógus 2010 (PDF); bodega.it oldaltérkép</t>
        </is>
      </c>
      <c r="P66" s="7" t="inlineStr">
        <is>
          <t>Nem találtuk: Bodega Bordwände katalógus 2010 (PDF); bodega.it oldaltérkép</t>
        </is>
      </c>
      <c r="Q66" s="6" t="inlineStr"/>
      <c r="R66" s="13" t="inlineStr">
        <is>
          <t>https://website-9ib.pages.dev/termek/2346457-35x35-mm-specialis-teto-profil-elox-ht/</t>
        </is>
      </c>
      <c r="S66" s="6" t="inlineStr">
        <is>
          <t>2346457-35x35-mm-specialis-teto-profil-elox-ht</t>
        </is>
      </c>
    </row>
    <row r="67">
      <c r="A67" s="6" t="inlineStr">
        <is>
          <t>BODEGA</t>
        </is>
      </c>
      <c r="B67" s="7" t="inlineStr">
        <is>
          <t>Speciális h szegő profil</t>
        </is>
      </c>
      <c r="C67" s="11" t="inlineStr"/>
      <c r="D67" s="12" t="inlineStr"/>
      <c r="E67" s="6" t="inlineStr">
        <is>
          <t>235426</t>
        </is>
      </c>
      <c r="F67" s="6" t="inlineStr">
        <is>
          <t>TB54026</t>
        </is>
      </c>
      <c r="G67" s="6" t="inlineStr">
        <is>
          <t>Zárt-dobozos és hűtős profilok</t>
        </is>
      </c>
      <c r="H67" s="6" t="inlineStr">
        <is>
          <t>Zárt-dobozos és hűtős profilok</t>
        </is>
      </c>
      <c r="I67" s="6" t="inlineStr">
        <is>
          <t>Quadris Excel</t>
        </is>
      </c>
      <c r="J67" s="6" t="n">
        <v>0</v>
      </c>
      <c r="K67" s="6" t="n">
        <v>0</v>
      </c>
      <c r="L67" s="6" t="inlineStr">
        <is>
          <t>nincs</t>
        </is>
      </c>
      <c r="M67" s="6">
        <f>IF(AND(J67&gt;0,K67&gt;0),"Rendben",IF(AND(J67=0,K67=0),"Nincs kép és adat",IF(J67=0,"Nincs kép","Nincs adat")))</f>
        <v/>
      </c>
      <c r="N67" s="6" t="inlineStr">
        <is>
          <t>Igen</t>
        </is>
      </c>
      <c r="O67" s="7" t="inlineStr">
        <is>
          <t>Bodega Bordwände katalógus 2010 (PDF); bodega.it oldaltérkép</t>
        </is>
      </c>
      <c r="P67" s="7" t="inlineStr">
        <is>
          <t>Nem találtuk: Bodega Bordwände katalógus 2010 (PDF); bodega.it oldaltérkép</t>
        </is>
      </c>
      <c r="Q67" s="6" t="inlineStr"/>
      <c r="R67" s="13" t="inlineStr">
        <is>
          <t>https://website-9ib.pages.dev/termek/235426-specialis-h-szego-profil/</t>
        </is>
      </c>
      <c r="S67" s="6" t="inlineStr">
        <is>
          <t>235426-specialis-h-szego-profil</t>
        </is>
      </c>
    </row>
    <row r="68">
      <c r="A68" s="6" t="inlineStr">
        <is>
          <t>Car-Alu</t>
        </is>
      </c>
      <c r="B68" s="7" t="inlineStr">
        <is>
          <t>M1 001 "C"sín - alumínium</t>
        </is>
      </c>
      <c r="C68" s="11" t="inlineStr"/>
      <c r="D68" s="12" t="inlineStr"/>
      <c r="E68" s="6" t="inlineStr"/>
      <c r="F68" s="6" t="inlineStr">
        <is>
          <t>1172 340-000</t>
        </is>
      </c>
      <c r="G68" s="6" t="inlineStr">
        <is>
          <t>Gumi- és kéderprofilok</t>
        </is>
      </c>
      <c r="H68" s="6" t="inlineStr">
        <is>
          <t>Egyéb kéder- és tömítőgumik</t>
        </is>
      </c>
      <c r="I68" s="6" t="inlineStr">
        <is>
          <t>Quadris Excel</t>
        </is>
      </c>
      <c r="J68" s="6" t="n">
        <v>0</v>
      </c>
      <c r="K68" s="6" t="n">
        <v>0</v>
      </c>
      <c r="L68" s="6" t="inlineStr">
        <is>
          <t>nincs</t>
        </is>
      </c>
      <c r="M68" s="6">
        <f>IF(AND(J68&gt;0,K68&gt;0),"Rendben",IF(AND(J68=0,K68=0),"Nincs kép és adat",IF(J68=0,"Nincs kép","Nincs adat")))</f>
        <v/>
      </c>
      <c r="N68" s="6" t="inlineStr">
        <is>
          <t>Igen</t>
        </is>
      </c>
      <c r="O68" s="7" t="inlineStr">
        <is>
          <t>caralushop.nl webshop</t>
        </is>
      </c>
      <c r="P68" s="7" t="inlineStr">
        <is>
          <t>Nem találtuk: caralushop.nl webshop</t>
        </is>
      </c>
      <c r="Q68" s="6" t="inlineStr"/>
      <c r="R68" s="13" t="inlineStr">
        <is>
          <t>https://website-9ib.pages.dev/termek/m1-001-c-sin-aluminium/</t>
        </is>
      </c>
      <c r="S68" s="6" t="inlineStr">
        <is>
          <t>m1-001-c-sin-aluminium</t>
        </is>
      </c>
    </row>
    <row r="69">
      <c r="A69" s="6" t="inlineStr">
        <is>
          <t>Car-Alu</t>
        </is>
      </c>
      <c r="B69" s="7" t="inlineStr">
        <is>
          <t>H toldó - szegő profil elox</t>
        </is>
      </c>
      <c r="C69" s="11" t="inlineStr"/>
      <c r="D69" s="12" t="inlineStr"/>
      <c r="E69" s="6" t="inlineStr">
        <is>
          <t>221746</t>
        </is>
      </c>
      <c r="F69" s="6" t="inlineStr">
        <is>
          <t>1320 090-011</t>
        </is>
      </c>
      <c r="G69" s="6" t="inlineStr">
        <is>
          <t>Platós és ponyvás oldalfal profilok és szegők</t>
        </is>
      </c>
      <c r="H69" s="6" t="inlineStr">
        <is>
          <t>Szegő profilok</t>
        </is>
      </c>
      <c r="I69" s="6" t="inlineStr">
        <is>
          <t>Quadris Excel</t>
        </is>
      </c>
      <c r="J69" s="6" t="n">
        <v>0</v>
      </c>
      <c r="K69" s="6" t="n">
        <v>0</v>
      </c>
      <c r="L69" s="6" t="inlineStr">
        <is>
          <t>nincs</t>
        </is>
      </c>
      <c r="M69" s="6">
        <f>IF(AND(J69&gt;0,K69&gt;0),"Rendben",IF(AND(J69=0,K69=0),"Nincs kép és adat",IF(J69=0,"Nincs kép","Nincs adat")))</f>
        <v/>
      </c>
      <c r="N69" s="6" t="inlineStr">
        <is>
          <t>Igen</t>
        </is>
      </c>
      <c r="O69" s="7" t="inlineStr">
        <is>
          <t>caralushop.nl webshop</t>
        </is>
      </c>
      <c r="P69" s="7" t="inlineStr">
        <is>
          <t>Nem találtuk: caralushop.nl webshop</t>
        </is>
      </c>
      <c r="Q69" s="6" t="inlineStr"/>
      <c r="R69" s="13" t="inlineStr">
        <is>
          <t>https://website-9ib.pages.dev/termek/221746-h-toldo-szego-profil-elox/</t>
        </is>
      </c>
      <c r="S69" s="6" t="inlineStr">
        <is>
          <t>221746-h-toldo-szego-profil-elox</t>
        </is>
      </c>
    </row>
    <row r="70">
      <c r="A70" s="6" t="inlineStr">
        <is>
          <t>Car-Alu</t>
        </is>
      </c>
      <c r="B70" s="7" t="inlineStr">
        <is>
          <t>Műanyag lépcsőnyitó - kicsi</t>
        </is>
      </c>
      <c r="C70" s="11" t="inlineStr"/>
      <c r="D70" s="12" t="inlineStr"/>
      <c r="E70" s="6" t="inlineStr">
        <is>
          <t>092901</t>
        </is>
      </c>
      <c r="F70" s="6" t="inlineStr"/>
      <c r="G70" s="6" t="inlineStr">
        <is>
          <t>Speciális felépítmény alkatrészek</t>
        </is>
      </c>
      <c r="H70" s="6" t="inlineStr">
        <is>
          <t>Egyéb</t>
        </is>
      </c>
      <c r="I70" s="6" t="inlineStr">
        <is>
          <t>Quadris Excel</t>
        </is>
      </c>
      <c r="J70" s="6" t="n">
        <v>0</v>
      </c>
      <c r="K70" s="6" t="n">
        <v>0</v>
      </c>
      <c r="L70" s="6" t="inlineStr">
        <is>
          <t>nincs</t>
        </is>
      </c>
      <c r="M70" s="6">
        <f>IF(AND(J70&gt;0,K70&gt;0),"Rendben",IF(AND(J70=0,K70=0),"Nincs kép és adat",IF(J70=0,"Nincs kép","Nincs adat")))</f>
        <v/>
      </c>
      <c r="N70" s="6" t="inlineStr">
        <is>
          <t>Igen</t>
        </is>
      </c>
      <c r="O70" s="7" t="inlineStr">
        <is>
          <t>caralushop.nl webshop</t>
        </is>
      </c>
      <c r="P70" s="7" t="inlineStr">
        <is>
          <t>Nem találtuk: caralushop.nl webshop</t>
        </is>
      </c>
      <c r="Q70" s="6" t="inlineStr"/>
      <c r="R70" s="13" t="inlineStr">
        <is>
          <t>https://website-9ib.pages.dev/termek/092901-muanyag-lepcsonyito-kicsi/</t>
        </is>
      </c>
      <c r="S70" s="6" t="inlineStr">
        <is>
          <t>092901-muanyag-lepcsonyito-kicsi</t>
        </is>
      </c>
    </row>
    <row r="71">
      <c r="A71" s="6" t="inlineStr">
        <is>
          <t>Car-Alu</t>
        </is>
      </c>
      <c r="B71" s="7" t="inlineStr">
        <is>
          <t>Zár ellendarab ívelt lemez</t>
        </is>
      </c>
      <c r="C71" s="11" t="inlineStr"/>
      <c r="D71" s="12" t="inlineStr"/>
      <c r="E71" s="6" t="inlineStr">
        <is>
          <t>617280</t>
        </is>
      </c>
      <c r="F71" s="6" t="inlineStr">
        <is>
          <t>7280 112-000</t>
        </is>
      </c>
      <c r="G71" s="6" t="inlineStr">
        <is>
          <t>Speciális felépítmény alkatrészek</t>
        </is>
      </c>
      <c r="H71" s="6" t="inlineStr">
        <is>
          <t>Zárak</t>
        </is>
      </c>
      <c r="I71" s="6" t="inlineStr">
        <is>
          <t>Quadris Excel</t>
        </is>
      </c>
      <c r="J71" s="6" t="n">
        <v>0</v>
      </c>
      <c r="K71" s="6" t="n">
        <v>0</v>
      </c>
      <c r="L71" s="6" t="inlineStr">
        <is>
          <t>nincs</t>
        </is>
      </c>
      <c r="M71" s="6">
        <f>IF(AND(J71&gt;0,K71&gt;0),"Rendben",IF(AND(J71=0,K71=0),"Nincs kép és adat",IF(J71=0,"Nincs kép","Nincs adat")))</f>
        <v/>
      </c>
      <c r="N71" s="6" t="inlineStr">
        <is>
          <t>Igen</t>
        </is>
      </c>
      <c r="O71" s="7" t="inlineStr">
        <is>
          <t>caralushop.nl webshop</t>
        </is>
      </c>
      <c r="P71" s="7" t="inlineStr">
        <is>
          <t>Nem találtuk: caralushop.nl webshop</t>
        </is>
      </c>
      <c r="Q71" s="6" t="inlineStr"/>
      <c r="R71" s="13" t="inlineStr">
        <is>
          <t>https://website-9ib.pages.dev/termek/617280-zar-ellendarab-ivelt-lemez/</t>
        </is>
      </c>
      <c r="S71" s="6" t="inlineStr">
        <is>
          <t>617280-zar-ellendarab-ivelt-lemez</t>
        </is>
      </c>
    </row>
    <row r="72">
      <c r="A72" s="6" t="inlineStr">
        <is>
          <t>Car-Alu</t>
        </is>
      </c>
      <c r="B72" s="7" t="inlineStr">
        <is>
          <t>B front tömítéses "u" ajtószegő 25 mm elox</t>
        </is>
      </c>
      <c r="C72" s="11" t="inlineStr"/>
      <c r="D72" s="12" t="inlineStr"/>
      <c r="E72" s="6" t="inlineStr">
        <is>
          <t>231729</t>
        </is>
      </c>
      <c r="F72" s="6" t="inlineStr">
        <is>
          <t>1317 290-011</t>
        </is>
      </c>
      <c r="G72" s="6" t="inlineStr">
        <is>
          <t>Zárt-dobozos és hűtős profilok</t>
        </is>
      </c>
      <c r="H72" s="6" t="inlineStr">
        <is>
          <t>Zárt-dobozos és hűtős profilok</t>
        </is>
      </c>
      <c r="I72" s="6" t="inlineStr">
        <is>
          <t>Quadris Excel</t>
        </is>
      </c>
      <c r="J72" s="6" t="n">
        <v>0</v>
      </c>
      <c r="K72" s="6" t="n">
        <v>0</v>
      </c>
      <c r="L72" s="6" t="inlineStr">
        <is>
          <t>nincs</t>
        </is>
      </c>
      <c r="M72" s="6">
        <f>IF(AND(J72&gt;0,K72&gt;0),"Rendben",IF(AND(J72=0,K72=0),"Nincs kép és adat",IF(J72=0,"Nincs kép","Nincs adat")))</f>
        <v/>
      </c>
      <c r="N72" s="6" t="inlineStr">
        <is>
          <t>Igen</t>
        </is>
      </c>
      <c r="O72" s="7" t="inlineStr">
        <is>
          <t>caralushop.nl webshop</t>
        </is>
      </c>
      <c r="P72" s="7" t="inlineStr">
        <is>
          <t>Nem találtuk: caralushop.nl webshop</t>
        </is>
      </c>
      <c r="Q72" s="6" t="inlineStr"/>
      <c r="R72" s="13" t="inlineStr">
        <is>
          <t>https://website-9ib.pages.dev/termek/231729-b-front-tomiteses-u-ajtoszego-25-mm-elox/</t>
        </is>
      </c>
      <c r="S72" s="6" t="inlineStr">
        <is>
          <t>231729-b-front-tomiteses-u-ajtoszego-25-mm-elox</t>
        </is>
      </c>
    </row>
    <row r="73">
      <c r="A73" s="6" t="inlineStr">
        <is>
          <t>Car-Alu</t>
        </is>
      </c>
      <c r="B73" s="7" t="inlineStr">
        <is>
          <t>Dobozos keretprofil ívelt elox</t>
        </is>
      </c>
      <c r="C73" s="11" t="inlineStr"/>
      <c r="D73" s="12" t="inlineStr"/>
      <c r="E73" s="6" t="inlineStr">
        <is>
          <t>235215</t>
        </is>
      </c>
      <c r="F73" s="6" t="inlineStr">
        <is>
          <t>1305 215-011</t>
        </is>
      </c>
      <c r="G73" s="6" t="inlineStr">
        <is>
          <t>Zárt-dobozos és hűtős profilok</t>
        </is>
      </c>
      <c r="H73" s="6" t="inlineStr">
        <is>
          <t>Zárt-dobozos és hűtős profilok</t>
        </is>
      </c>
      <c r="I73" s="6" t="inlineStr">
        <is>
          <t>Quadris Excel</t>
        </is>
      </c>
      <c r="J73" s="6" t="n">
        <v>0</v>
      </c>
      <c r="K73" s="6" t="n">
        <v>0</v>
      </c>
      <c r="L73" s="6" t="inlineStr">
        <is>
          <t>nincs</t>
        </is>
      </c>
      <c r="M73" s="6">
        <f>IF(AND(J73&gt;0,K73&gt;0),"Rendben",IF(AND(J73=0,K73=0),"Nincs kép és adat",IF(J73=0,"Nincs kép","Nincs adat")))</f>
        <v/>
      </c>
      <c r="N73" s="6" t="inlineStr">
        <is>
          <t>Igen</t>
        </is>
      </c>
      <c r="O73" s="7" t="inlineStr">
        <is>
          <t>caralushop.nl webshop</t>
        </is>
      </c>
      <c r="P73" s="7" t="inlineStr">
        <is>
          <t>Nem találtuk: caralushop.nl webshop</t>
        </is>
      </c>
      <c r="Q73" s="6" t="inlineStr"/>
      <c r="R73" s="13" t="inlineStr">
        <is>
          <t>https://website-9ib.pages.dev/termek/235215-dobozos-keretprofil-ivelt-elox/</t>
        </is>
      </c>
      <c r="S73" s="6" t="inlineStr">
        <is>
          <t>235215-dobozos-keretprofil-ivelt-elox</t>
        </is>
      </c>
    </row>
    <row r="74">
      <c r="A74" s="6" t="inlineStr">
        <is>
          <t>Car-Alu</t>
        </is>
      </c>
      <c r="B74" s="7" t="inlineStr">
        <is>
          <t>Dobozos Íves alsó keretprofil elox 25 mm panelhez</t>
        </is>
      </c>
      <c r="C74" s="11" t="inlineStr"/>
      <c r="D74" s="12" t="inlineStr"/>
      <c r="E74" s="6" t="inlineStr">
        <is>
          <t>233901</t>
        </is>
      </c>
      <c r="F74" s="6" t="inlineStr">
        <is>
          <t>139001</t>
        </is>
      </c>
      <c r="G74" s="6" t="inlineStr">
        <is>
          <t>Zárt-dobozos és hűtős profilok</t>
        </is>
      </c>
      <c r="H74" s="6" t="inlineStr">
        <is>
          <t>Zárt-dobozos és hűtős profilok</t>
        </is>
      </c>
      <c r="I74" s="6" t="inlineStr">
        <is>
          <t>Quadris Excel</t>
        </is>
      </c>
      <c r="J74" s="6" t="n">
        <v>0</v>
      </c>
      <c r="K74" s="6" t="n">
        <v>0</v>
      </c>
      <c r="L74" s="6" t="inlineStr">
        <is>
          <t>nincs</t>
        </is>
      </c>
      <c r="M74" s="6">
        <f>IF(AND(J74&gt;0,K74&gt;0),"Rendben",IF(AND(J74=0,K74=0),"Nincs kép és adat",IF(J74=0,"Nincs kép","Nincs adat")))</f>
        <v/>
      </c>
      <c r="N74" s="6" t="inlineStr">
        <is>
          <t>Igen</t>
        </is>
      </c>
      <c r="O74" s="7" t="inlineStr">
        <is>
          <t>caralushop.nl webshop</t>
        </is>
      </c>
      <c r="P74" s="7" t="inlineStr">
        <is>
          <t>Nem találtuk: caralushop.nl webshop</t>
        </is>
      </c>
      <c r="Q74" s="6" t="inlineStr"/>
      <c r="R74" s="13" t="inlineStr">
        <is>
          <t>https://website-9ib.pages.dev/termek/233901-dobozos-ives-also-keretprofil-elox-25-mm-panelhez/</t>
        </is>
      </c>
      <c r="S74" s="6" t="inlineStr">
        <is>
          <t>233901-dobozos-ives-also-keretprofil-elox-25-mm-panelhez</t>
        </is>
      </c>
    </row>
    <row r="75">
      <c r="A75" s="6" t="inlineStr">
        <is>
          <t>Cargoframes Czech</t>
        </is>
      </c>
      <c r="B75" s="7" t="inlineStr">
        <is>
          <t>Dugó perforált acél kerethez</t>
        </is>
      </c>
      <c r="C75" s="11" t="inlineStr"/>
      <c r="D75" s="12" t="inlineStr"/>
      <c r="E75" s="6" t="inlineStr">
        <is>
          <t>100001</t>
        </is>
      </c>
      <c r="F75" s="6" t="inlineStr">
        <is>
          <t>ZAS0000001</t>
        </is>
      </c>
      <c r="G75" s="6" t="inlineStr">
        <is>
          <t>Ponyvarendszer kiegészítők</t>
        </is>
      </c>
      <c r="H75" s="6" t="inlineStr">
        <is>
          <t>Ponyvatartó alkatrészek</t>
        </is>
      </c>
      <c r="I75" s="6" t="inlineStr">
        <is>
          <t>Quadris Excel</t>
        </is>
      </c>
      <c r="J75" s="6" t="n">
        <v>0</v>
      </c>
      <c r="K75" s="6" t="n">
        <v>0</v>
      </c>
      <c r="L75" s="6" t="inlineStr">
        <is>
          <t>nincs</t>
        </is>
      </c>
      <c r="M75" s="6">
        <f>IF(AND(J75&gt;0,K75&gt;0),"Rendben",IF(AND(J75=0,K75=0),"Nincs kép és adat",IF(J75=0,"Nincs kép","Nincs adat")))</f>
        <v/>
      </c>
      <c r="N75" s="6" t="inlineStr">
        <is>
          <t>Igen</t>
        </is>
      </c>
      <c r="O75" s="7" t="inlineStr">
        <is>
          <t>cargoframes.eu oldaltérkép; Cargo Frames profilrajzok és műszaki lista (Quadris e-mail)</t>
        </is>
      </c>
      <c r="P75" s="7" t="inlineStr">
        <is>
          <t>Nem találtuk: cargoframes.eu oldaltérkép; Cargo Frames profilrajzok és műszaki lista (Quadris e-mail)</t>
        </is>
      </c>
      <c r="Q75" s="6" t="inlineStr"/>
      <c r="R75" s="13" t="inlineStr">
        <is>
          <t>https://website-9ib.pages.dev/termek/100001-dugo-perforalt-acel-kerethez/</t>
        </is>
      </c>
      <c r="S75" s="6" t="inlineStr">
        <is>
          <t>100001-dugo-perforalt-acel-kerethez</t>
        </is>
      </c>
    </row>
    <row r="76">
      <c r="A76" s="6" t="inlineStr">
        <is>
          <t>Cimaplast</t>
        </is>
      </c>
      <c r="B76" s="7" t="inlineStr">
        <is>
          <t>0157GR PVC Saroktakaró csík, szürke</t>
        </is>
      </c>
      <c r="C76" s="11" t="inlineStr"/>
      <c r="D76" s="12" t="inlineStr"/>
      <c r="E76" s="6" t="inlineStr"/>
      <c r="F76" s="6" t="inlineStr"/>
      <c r="G76" s="6" t="inlineStr">
        <is>
          <t>Dobozos felépítmény alkatrészek</t>
        </is>
      </c>
      <c r="H76" s="6" t="inlineStr">
        <is>
          <t>Tömítések</t>
        </is>
      </c>
      <c r="I76" s="6" t="inlineStr">
        <is>
          <t>Quadris Excel</t>
        </is>
      </c>
      <c r="J76" s="6" t="n">
        <v>0</v>
      </c>
      <c r="K76" s="6" t="n">
        <v>0</v>
      </c>
      <c r="L76" s="6" t="inlineStr">
        <is>
          <t>nincs</t>
        </is>
      </c>
      <c r="M76" s="6">
        <f>IF(AND(J76&gt;0,K76&gt;0),"Rendben",IF(AND(J76=0,K76=0),"Nincs kép és adat",IF(J76=0,"Nincs kép","Nincs adat")))</f>
        <v/>
      </c>
      <c r="N76" s="6" t="inlineStr">
        <is>
          <t>Igen</t>
        </is>
      </c>
      <c r="O76" s="7" t="inlineStr">
        <is>
          <t>cimaplast.it kategóriaoldalak</t>
        </is>
      </c>
      <c r="P76" s="7" t="inlineStr">
        <is>
          <t>Nem találtuk: cimaplast.it kategóriaoldalak</t>
        </is>
      </c>
      <c r="Q76" s="6" t="inlineStr"/>
      <c r="R76" s="13" t="inlineStr">
        <is>
          <t>https://website-9ib.pages.dev/termek/0157gr-pvc-saroktakaro-csik-szurke/</t>
        </is>
      </c>
      <c r="S76" s="6" t="inlineStr">
        <is>
          <t>0157gr-pvc-saroktakaro-csik-szurke</t>
        </is>
      </c>
    </row>
    <row r="77">
      <c r="A77" s="6" t="inlineStr">
        <is>
          <t>Cimaplast</t>
        </is>
      </c>
      <c r="B77" s="7" t="inlineStr">
        <is>
          <t>55 mm-es PVC tömítés N/N</t>
        </is>
      </c>
      <c r="C77" s="11" t="inlineStr"/>
      <c r="D77" s="12" t="inlineStr"/>
      <c r="E77" s="6" t="inlineStr">
        <is>
          <t>515727</t>
        </is>
      </c>
      <c r="F77" s="6" t="inlineStr">
        <is>
          <t>570C</t>
        </is>
      </c>
      <c r="G77" s="6" t="inlineStr">
        <is>
          <t>Dobozos felépítmény alkatrészek</t>
        </is>
      </c>
      <c r="H77" s="6" t="inlineStr">
        <is>
          <t>Tömítések</t>
        </is>
      </c>
      <c r="I77" s="6" t="inlineStr">
        <is>
          <t>Quadris Excel</t>
        </is>
      </c>
      <c r="J77" s="6" t="n">
        <v>0</v>
      </c>
      <c r="K77" s="6" t="n">
        <v>0</v>
      </c>
      <c r="L77" s="6" t="inlineStr">
        <is>
          <t>nincs</t>
        </is>
      </c>
      <c r="M77" s="6">
        <f>IF(AND(J77&gt;0,K77&gt;0),"Rendben",IF(AND(J77=0,K77=0),"Nincs kép és adat",IF(J77=0,"Nincs kép","Nincs adat")))</f>
        <v/>
      </c>
      <c r="N77" s="6" t="inlineStr">
        <is>
          <t>Igen</t>
        </is>
      </c>
      <c r="O77" s="7" t="inlineStr">
        <is>
          <t>cimaplast.it kategóriaoldalak</t>
        </is>
      </c>
      <c r="P77" s="7" t="inlineStr">
        <is>
          <t>Nem találtuk: cimaplast.it kategóriaoldalak</t>
        </is>
      </c>
      <c r="Q77" s="6" t="inlineStr"/>
      <c r="R77" s="13" t="inlineStr">
        <is>
          <t>https://website-9ib.pages.dev/termek/515727-55-mm-es-pvc-tomites-n-n/</t>
        </is>
      </c>
      <c r="S77" s="6" t="inlineStr">
        <is>
          <t>515727-55-mm-es-pvc-tomites-n-n</t>
        </is>
      </c>
    </row>
    <row r="78">
      <c r="A78" s="6" t="inlineStr">
        <is>
          <t>Cimaplast</t>
        </is>
      </c>
      <c r="B78" s="7" t="inlineStr">
        <is>
          <t>65 mm-es PVC tömítés G</t>
        </is>
      </c>
      <c r="C78" s="11" t="inlineStr"/>
      <c r="D78" s="12" t="inlineStr"/>
      <c r="E78" s="6" t="inlineStr">
        <is>
          <t>516550</t>
        </is>
      </c>
      <c r="F78" s="6" t="inlineStr">
        <is>
          <t>016527</t>
        </is>
      </c>
      <c r="G78" s="6" t="inlineStr">
        <is>
          <t>Dobozos felépítmény alkatrészek</t>
        </is>
      </c>
      <c r="H78" s="6" t="inlineStr">
        <is>
          <t>Tömítések</t>
        </is>
      </c>
      <c r="I78" s="6" t="inlineStr">
        <is>
          <t>Quadris Excel</t>
        </is>
      </c>
      <c r="J78" s="6" t="n">
        <v>0</v>
      </c>
      <c r="K78" s="6" t="n">
        <v>0</v>
      </c>
      <c r="L78" s="6" t="inlineStr">
        <is>
          <t>nincs</t>
        </is>
      </c>
      <c r="M78" s="6">
        <f>IF(AND(J78&gt;0,K78&gt;0),"Rendben",IF(AND(J78=0,K78=0),"Nincs kép és adat",IF(J78=0,"Nincs kép","Nincs adat")))</f>
        <v/>
      </c>
      <c r="N78" s="6" t="inlineStr">
        <is>
          <t>Igen</t>
        </is>
      </c>
      <c r="O78" s="7" t="inlineStr">
        <is>
          <t>cimaplast.it kategóriaoldalak</t>
        </is>
      </c>
      <c r="P78" s="7" t="inlineStr">
        <is>
          <t>Nem találtuk: cimaplast.it kategóriaoldalak</t>
        </is>
      </c>
      <c r="Q78" s="6" t="inlineStr"/>
      <c r="R78" s="13" t="inlineStr">
        <is>
          <t>https://website-9ib.pages.dev/termek/516550-65-mm-es-pvc-tomites-g/</t>
        </is>
      </c>
      <c r="S78" s="6" t="inlineStr">
        <is>
          <t>516550-65-mm-es-pvc-tomites-g</t>
        </is>
      </c>
    </row>
    <row r="79">
      <c r="A79" s="6" t="inlineStr">
        <is>
          <t>Cimaplast</t>
        </is>
      </c>
      <c r="B79" s="7" t="inlineStr">
        <is>
          <t>E87370 Edscha takaró gumi COMPACT 110</t>
        </is>
      </c>
      <c r="C79" s="11" t="inlineStr"/>
      <c r="D79" s="12" t="inlineStr"/>
      <c r="E79" s="6" t="inlineStr"/>
      <c r="F79" s="6" t="inlineStr">
        <is>
          <t>4038087370</t>
        </is>
      </c>
      <c r="G79" s="6" t="inlineStr">
        <is>
          <t>Elhúzható rolóponyvás rendszer</t>
        </is>
      </c>
      <c r="H79" s="6" t="inlineStr">
        <is>
          <t>Edscha</t>
        </is>
      </c>
      <c r="I79" s="6" t="inlineStr">
        <is>
          <t>Quadris Excel</t>
        </is>
      </c>
      <c r="J79" s="6" t="n">
        <v>0</v>
      </c>
      <c r="K79" s="6" t="n">
        <v>0</v>
      </c>
      <c r="L79" s="6" t="inlineStr">
        <is>
          <t>nincs</t>
        </is>
      </c>
      <c r="M79" s="6">
        <f>IF(AND(J79&gt;0,K79&gt;0),"Rendben",IF(AND(J79=0,K79=0),"Nincs kép és adat",IF(J79=0,"Nincs kép","Nincs adat")))</f>
        <v/>
      </c>
      <c r="N79" s="6" t="inlineStr">
        <is>
          <t>Igen</t>
        </is>
      </c>
      <c r="O79" s="7" t="inlineStr">
        <is>
          <t>cimaplast.it kategóriaoldalak</t>
        </is>
      </c>
      <c r="P79" s="7" t="inlineStr">
        <is>
          <t>Nem találtuk: cimaplast.it kategóriaoldalak</t>
        </is>
      </c>
      <c r="Q79" s="6" t="inlineStr"/>
      <c r="R79" s="13" t="inlineStr">
        <is>
          <t>https://website-9ib.pages.dev/termek/e87370-edscha-takaro-gumi-compact-110/</t>
        </is>
      </c>
      <c r="S79" s="6" t="inlineStr">
        <is>
          <t>e87370-edscha-takaro-gumi-compact-110</t>
        </is>
      </c>
    </row>
    <row r="80">
      <c r="A80" s="6" t="inlineStr">
        <is>
          <t>CNT conta</t>
        </is>
      </c>
      <c r="B80" s="7" t="inlineStr">
        <is>
          <t>55 mm CC TÖMÍTÉS L: 2850 mm</t>
        </is>
      </c>
      <c r="C80" s="11" t="inlineStr"/>
      <c r="D80" s="12" t="inlineStr"/>
      <c r="E80" s="6" t="inlineStr">
        <is>
          <t>532200</t>
        </is>
      </c>
      <c r="F80" s="6" t="inlineStr">
        <is>
          <t>9.D08.32200.010001</t>
        </is>
      </c>
      <c r="G80" s="6" t="inlineStr">
        <is>
          <t>Dobozos felépítmény alkatrészek</t>
        </is>
      </c>
      <c r="H80" s="6" t="inlineStr">
        <is>
          <t>Tömítések</t>
        </is>
      </c>
      <c r="I80" s="6" t="inlineStr">
        <is>
          <t>Quadris Excel</t>
        </is>
      </c>
      <c r="J80" s="6" t="n">
        <v>0</v>
      </c>
      <c r="K80" s="6" t="n">
        <v>0</v>
      </c>
      <c r="L80" s="6" t="inlineStr">
        <is>
          <t>nincs</t>
        </is>
      </c>
      <c r="M80" s="6">
        <f>IF(AND(J80&gt;0,K80&gt;0),"Rendben",IF(AND(J80=0,K80=0),"Nincs kép és adat",IF(J80=0,"Nincs kép","Nincs adat")))</f>
        <v/>
      </c>
      <c r="N80" s="6" t="inlineStr">
        <is>
          <t>Nem</t>
        </is>
      </c>
      <c r="O80" s="7" t="inlineStr">
        <is>
          <t>–</t>
        </is>
      </c>
      <c r="P80" s="7" t="inlineStr">
        <is>
          <t>Nem kerestük – nincs ismert weboldal vagy katalógus</t>
        </is>
      </c>
      <c r="Q80" s="6" t="inlineStr"/>
      <c r="R80" s="13" t="inlineStr">
        <is>
          <t>https://website-9ib.pages.dev/termek/532200-55-mm-cc-tomites-l-2850-mm/</t>
        </is>
      </c>
      <c r="S80" s="6" t="inlineStr">
        <is>
          <t>532200-55-mm-cc-tomites-l-2850-mm</t>
        </is>
      </c>
    </row>
    <row r="81">
      <c r="A81" s="6" t="inlineStr">
        <is>
          <t>CNT conta</t>
        </is>
      </c>
      <c r="B81" s="7" t="inlineStr">
        <is>
          <t>55 mm CENTER profil L: 2850 mm</t>
        </is>
      </c>
      <c r="C81" s="11" t="inlineStr"/>
      <c r="D81" s="12" t="inlineStr"/>
      <c r="E81" s="6" t="inlineStr">
        <is>
          <t>532231</t>
        </is>
      </c>
      <c r="F81" s="6" t="inlineStr">
        <is>
          <t>9.D08.32231.010001</t>
        </is>
      </c>
      <c r="G81" s="6" t="inlineStr">
        <is>
          <t>Dobozos felépítmény alkatrészek</t>
        </is>
      </c>
      <c r="H81" s="6" t="inlineStr">
        <is>
          <t>Tömítések</t>
        </is>
      </c>
      <c r="I81" s="6" t="inlineStr">
        <is>
          <t>Quadris Excel</t>
        </is>
      </c>
      <c r="J81" s="6" t="n">
        <v>0</v>
      </c>
      <c r="K81" s="6" t="n">
        <v>0</v>
      </c>
      <c r="L81" s="6" t="inlineStr">
        <is>
          <t>nincs</t>
        </is>
      </c>
      <c r="M81" s="6">
        <f>IF(AND(J81&gt;0,K81&gt;0),"Rendben",IF(AND(J81=0,K81=0),"Nincs kép és adat",IF(J81=0,"Nincs kép","Nincs adat")))</f>
        <v/>
      </c>
      <c r="N81" s="6" t="inlineStr">
        <is>
          <t>Nem</t>
        </is>
      </c>
      <c r="O81" s="7" t="inlineStr">
        <is>
          <t>–</t>
        </is>
      </c>
      <c r="P81" s="7" t="inlineStr">
        <is>
          <t>Nem kerestük – nincs ismert weboldal vagy katalógus</t>
        </is>
      </c>
      <c r="Q81" s="6" t="inlineStr"/>
      <c r="R81" s="13" t="inlineStr">
        <is>
          <t>https://website-9ib.pages.dev/termek/532231-55-mm-center-profil-l-2850-mm/</t>
        </is>
      </c>
      <c r="S81" s="6" t="inlineStr">
        <is>
          <t>532231-55-mm-center-profil-l-2850-mm</t>
        </is>
      </c>
    </row>
    <row r="82">
      <c r="A82" s="6" t="inlineStr">
        <is>
          <t>CNT conta</t>
        </is>
      </c>
      <c r="B82" s="7" t="inlineStr">
        <is>
          <t>85 mm CC TÖMÍTÉS L: 2850 mm</t>
        </is>
      </c>
      <c r="C82" s="11" t="inlineStr"/>
      <c r="D82" s="12" t="inlineStr"/>
      <c r="E82" s="6" t="inlineStr">
        <is>
          <t>532941</t>
        </is>
      </c>
      <c r="F82" s="6" t="inlineStr">
        <is>
          <t>9.D08.32941.010001</t>
        </is>
      </c>
      <c r="G82" s="6" t="inlineStr">
        <is>
          <t>Dobozos felépítmény alkatrészek</t>
        </is>
      </c>
      <c r="H82" s="6" t="inlineStr">
        <is>
          <t>Tömítések</t>
        </is>
      </c>
      <c r="I82" s="6" t="inlineStr">
        <is>
          <t>Quadris Excel</t>
        </is>
      </c>
      <c r="J82" s="6" t="n">
        <v>0</v>
      </c>
      <c r="K82" s="6" t="n">
        <v>0</v>
      </c>
      <c r="L82" s="6" t="inlineStr">
        <is>
          <t>nincs</t>
        </is>
      </c>
      <c r="M82" s="6">
        <f>IF(AND(J82&gt;0,K82&gt;0),"Rendben",IF(AND(J82=0,K82=0),"Nincs kép és adat",IF(J82=0,"Nincs kép","Nincs adat")))</f>
        <v/>
      </c>
      <c r="N82" s="6" t="inlineStr">
        <is>
          <t>Nem</t>
        </is>
      </c>
      <c r="O82" s="7" t="inlineStr">
        <is>
          <t>–</t>
        </is>
      </c>
      <c r="P82" s="7" t="inlineStr">
        <is>
          <t>Nem kerestük – nincs ismert weboldal vagy katalógus</t>
        </is>
      </c>
      <c r="Q82" s="6" t="inlineStr"/>
      <c r="R82" s="13" t="inlineStr">
        <is>
          <t>https://website-9ib.pages.dev/termek/532941-85-mm-cc-tomites-l-2850-mm/</t>
        </is>
      </c>
      <c r="S82" s="6" t="inlineStr">
        <is>
          <t>532941-85-mm-cc-tomites-l-2850-mm</t>
        </is>
      </c>
    </row>
    <row r="83">
      <c r="A83" s="6" t="inlineStr">
        <is>
          <t>CNT conta</t>
        </is>
      </c>
      <c r="B83" s="7" t="inlineStr">
        <is>
          <t>85 mm CENTER profil L: 2850 mm</t>
        </is>
      </c>
      <c r="C83" s="11" t="inlineStr"/>
      <c r="D83" s="12" t="inlineStr"/>
      <c r="E83" s="6" t="inlineStr">
        <is>
          <t>532925</t>
        </is>
      </c>
      <c r="F83" s="6" t="inlineStr">
        <is>
          <t>9.D08.32925.010001</t>
        </is>
      </c>
      <c r="G83" s="6" t="inlineStr">
        <is>
          <t>Dobozos felépítmény alkatrészek</t>
        </is>
      </c>
      <c r="H83" s="6" t="inlineStr">
        <is>
          <t>Tömítések</t>
        </is>
      </c>
      <c r="I83" s="6" t="inlineStr">
        <is>
          <t>Quadris Excel</t>
        </is>
      </c>
      <c r="J83" s="6" t="n">
        <v>0</v>
      </c>
      <c r="K83" s="6" t="n">
        <v>0</v>
      </c>
      <c r="L83" s="6" t="inlineStr">
        <is>
          <t>nincs</t>
        </is>
      </c>
      <c r="M83" s="6">
        <f>IF(AND(J83&gt;0,K83&gt;0),"Rendben",IF(AND(J83=0,K83=0),"Nincs kép és adat",IF(J83=0,"Nincs kép","Nincs adat")))</f>
        <v/>
      </c>
      <c r="N83" s="6" t="inlineStr">
        <is>
          <t>Nem</t>
        </is>
      </c>
      <c r="O83" s="7" t="inlineStr">
        <is>
          <t>–</t>
        </is>
      </c>
      <c r="P83" s="7" t="inlineStr">
        <is>
          <t>Nem kerestük – nincs ismert weboldal vagy katalógus</t>
        </is>
      </c>
      <c r="Q83" s="6" t="inlineStr"/>
      <c r="R83" s="13" t="inlineStr">
        <is>
          <t>https://website-9ib.pages.dev/termek/532925-85-mm-center-profil-l-2850-mm/</t>
        </is>
      </c>
      <c r="S83" s="6" t="inlineStr">
        <is>
          <t>532925-85-mm-center-profil-l-2850-mm</t>
        </is>
      </c>
    </row>
    <row r="84">
      <c r="A84" s="6" t="inlineStr">
        <is>
          <t>Constellium Decin</t>
        </is>
      </c>
      <c r="B84" s="7" t="inlineStr">
        <is>
          <t>"I" 70 Kereszttartó</t>
        </is>
      </c>
      <c r="C84" s="11" t="inlineStr"/>
      <c r="D84" s="12" t="inlineStr"/>
      <c r="E84" s="6" t="inlineStr">
        <is>
          <t>202387</t>
        </is>
      </c>
      <c r="F84" s="6" t="inlineStr">
        <is>
          <t>12387</t>
        </is>
      </c>
      <c r="G84" s="6" t="inlineStr">
        <is>
          <t>Alumínium alváz profilok</t>
        </is>
      </c>
      <c r="H84" s="6" t="inlineStr">
        <is>
          <t>Kereszttartók</t>
        </is>
      </c>
      <c r="I84" s="6" t="inlineStr">
        <is>
          <t>Quadris Excel</t>
        </is>
      </c>
      <c r="J84" s="6" t="n">
        <v>0</v>
      </c>
      <c r="K84" s="6" t="n">
        <v>0</v>
      </c>
      <c r="L84" s="6" t="inlineStr">
        <is>
          <t>nincs</t>
        </is>
      </c>
      <c r="M84" s="6">
        <f>IF(AND(J84&gt;0,K84&gt;0),"Rendben",IF(AND(J84=0,K84=0),"Nincs kép és adat",IF(J84=0,"Nincs kép","Nincs adat")))</f>
        <v/>
      </c>
      <c r="N84" s="6" t="inlineStr">
        <is>
          <t>Igen</t>
        </is>
      </c>
      <c r="O84" s="7" t="inlineStr">
        <is>
          <t>alu-sv.com (a kód utolsó számjegyei); Ital Accessori katalógus; Drive: CONSTELLIUM DECIN Excel – nem letölthető (&gt;10 MB)</t>
        </is>
      </c>
      <c r="P84" s="7" t="inlineStr">
        <is>
          <t>Nem találtuk: alu-sv.com (a kód utolsó számjegyei); Ital Accessori katalógus; Drive: CONSTELLIUM DECIN Excel – nem letölthető (&gt;10 MB)</t>
        </is>
      </c>
      <c r="Q84" s="6" t="inlineStr"/>
      <c r="R84" s="13" t="inlineStr">
        <is>
          <t>https://website-9ib.pages.dev/termek/202387-i-70-kereszttarto/</t>
        </is>
      </c>
      <c r="S84" s="6" t="inlineStr">
        <is>
          <t>202387-i-70-kereszttarto</t>
        </is>
      </c>
    </row>
    <row r="85">
      <c r="A85" s="6" t="inlineStr">
        <is>
          <t>Constellium Decin</t>
        </is>
      </c>
      <c r="B85" s="7" t="inlineStr">
        <is>
          <t>"I" 90 csavarozható kereszttartó</t>
        </is>
      </c>
      <c r="C85" s="11" t="inlineStr"/>
      <c r="D85" s="12" t="inlineStr"/>
      <c r="E85" s="6" t="inlineStr">
        <is>
          <t>2073902</t>
        </is>
      </c>
      <c r="F85" s="6" t="inlineStr">
        <is>
          <t>10902</t>
        </is>
      </c>
      <c r="G85" s="6" t="inlineStr">
        <is>
          <t>Alumínium alváz profilok</t>
        </is>
      </c>
      <c r="H85" s="6" t="inlineStr">
        <is>
          <t>Kereszttartók</t>
        </is>
      </c>
      <c r="I85" s="6" t="inlineStr">
        <is>
          <t>Quadris Excel</t>
        </is>
      </c>
      <c r="J85" s="6" t="n">
        <v>0</v>
      </c>
      <c r="K85" s="6" t="n">
        <v>0</v>
      </c>
      <c r="L85" s="6" t="inlineStr">
        <is>
          <t>nincs</t>
        </is>
      </c>
      <c r="M85" s="6">
        <f>IF(AND(J85&gt;0,K85&gt;0),"Rendben",IF(AND(J85=0,K85=0),"Nincs kép és adat",IF(J85=0,"Nincs kép","Nincs adat")))</f>
        <v/>
      </c>
      <c r="N85" s="6" t="inlineStr">
        <is>
          <t>Igen</t>
        </is>
      </c>
      <c r="O85" s="7" t="inlineStr">
        <is>
          <t>alu-sv.com (a kód utolsó számjegyei); Ital Accessori katalógus; Drive: CONSTELLIUM DECIN Excel – nem letölthető (&gt;10 MB)</t>
        </is>
      </c>
      <c r="P85" s="7" t="inlineStr">
        <is>
          <t>Nem találtuk: alu-sv.com (a kód utolsó számjegyei); Ital Accessori katalógus; Drive: CONSTELLIUM DECIN Excel – nem letölthető (&gt;10 MB)</t>
        </is>
      </c>
      <c r="Q85" s="6" t="inlineStr"/>
      <c r="R85" s="13" t="inlineStr">
        <is>
          <t>https://website-9ib.pages.dev/termek/2073902-i-90-csavarozhato-kereszttarto/</t>
        </is>
      </c>
      <c r="S85" s="6" t="inlineStr">
        <is>
          <t>2073902-i-90-csavarozhato-kereszttarto</t>
        </is>
      </c>
    </row>
    <row r="86">
      <c r="A86" s="6" t="inlineStr">
        <is>
          <t>Constellium Decin</t>
        </is>
      </c>
      <c r="B86" s="7" t="inlineStr">
        <is>
          <t>"U" 130 Hossztartó</t>
        </is>
      </c>
      <c r="C86" s="11" t="inlineStr"/>
      <c r="D86" s="12" t="inlineStr"/>
      <c r="E86" s="6" t="inlineStr">
        <is>
          <t>202386</t>
        </is>
      </c>
      <c r="F86" s="6" t="inlineStr">
        <is>
          <t>12386</t>
        </is>
      </c>
      <c r="G86" s="6" t="inlineStr">
        <is>
          <t>Alumínium alváz profilok</t>
        </is>
      </c>
      <c r="H86" s="6" t="inlineStr">
        <is>
          <t>Hossztartók</t>
        </is>
      </c>
      <c r="I86" s="6" t="inlineStr">
        <is>
          <t>Quadris Excel</t>
        </is>
      </c>
      <c r="J86" s="6" t="n">
        <v>0</v>
      </c>
      <c r="K86" s="6" t="n">
        <v>0</v>
      </c>
      <c r="L86" s="6" t="inlineStr">
        <is>
          <t>nincs</t>
        </is>
      </c>
      <c r="M86" s="6">
        <f>IF(AND(J86&gt;0,K86&gt;0),"Rendben",IF(AND(J86=0,K86=0),"Nincs kép és adat",IF(J86=0,"Nincs kép","Nincs adat")))</f>
        <v/>
      </c>
      <c r="N86" s="6" t="inlineStr">
        <is>
          <t>Igen</t>
        </is>
      </c>
      <c r="O86" s="7" t="inlineStr">
        <is>
          <t>alu-sv.com (a kód utolsó számjegyei); Ital Accessori katalógus; Drive: CONSTELLIUM DECIN Excel – nem letölthető (&gt;10 MB)</t>
        </is>
      </c>
      <c r="P86" s="7" t="inlineStr">
        <is>
          <t>Nem találtuk: alu-sv.com (a kód utolsó számjegyei); Ital Accessori katalógus; Drive: CONSTELLIUM DECIN Excel – nem letölthető (&gt;10 MB) – A Quadris kérésére most kihagyva (csak a Decin Excelben van rajz).</t>
        </is>
      </c>
      <c r="Q86" s="6" t="inlineStr"/>
      <c r="R86" s="13" t="inlineStr">
        <is>
          <t>https://website-9ib.pages.dev/termek/202386-u-130-hossztarto/</t>
        </is>
      </c>
      <c r="S86" s="6" t="inlineStr">
        <is>
          <t>202386-u-130-hossztarto</t>
        </is>
      </c>
    </row>
    <row r="87">
      <c r="A87" s="6" t="inlineStr">
        <is>
          <t>Constellium Decin</t>
        </is>
      </c>
      <c r="B87" s="7" t="inlineStr">
        <is>
          <t>15/70 mm Keretprofil elox CD</t>
        </is>
      </c>
      <c r="C87" s="11" t="inlineStr"/>
      <c r="D87" s="12" t="inlineStr"/>
      <c r="E87" s="6" t="inlineStr">
        <is>
          <t>202388</t>
        </is>
      </c>
      <c r="F87" s="6" t="inlineStr">
        <is>
          <t>12388</t>
        </is>
      </c>
      <c r="G87" s="6" t="inlineStr">
        <is>
          <t>Alumínium alváz profilok</t>
        </is>
      </c>
      <c r="H87" s="6" t="inlineStr">
        <is>
          <t>Keret profilok</t>
        </is>
      </c>
      <c r="I87" s="6" t="inlineStr">
        <is>
          <t>Quadris Excel</t>
        </is>
      </c>
      <c r="J87" s="6" t="n">
        <v>0</v>
      </c>
      <c r="K87" s="6" t="n">
        <v>0</v>
      </c>
      <c r="L87" s="6" t="inlineStr">
        <is>
          <t>nincs</t>
        </is>
      </c>
      <c r="M87" s="6">
        <f>IF(AND(J87&gt;0,K87&gt;0),"Rendben",IF(AND(J87=0,K87=0),"Nincs kép és adat",IF(J87=0,"Nincs kép","Nincs adat")))</f>
        <v/>
      </c>
      <c r="N87" s="6" t="inlineStr">
        <is>
          <t>Igen</t>
        </is>
      </c>
      <c r="O87" s="7" t="inlineStr">
        <is>
          <t>alu-sv.com (a kód utolsó számjegyei); Ital Accessori katalógus; Drive: CONSTELLIUM DECIN Excel – nem letölthető (&gt;10 MB)</t>
        </is>
      </c>
      <c r="P87" s="7" t="inlineStr">
        <is>
          <t>Nem találtuk: alu-sv.com (a kód utolsó számjegyei); Ital Accessori katalógus; Drive: CONSTELLIUM DECIN Excel – nem letölthető (&gt;10 MB)</t>
        </is>
      </c>
      <c r="Q87" s="6" t="inlineStr"/>
      <c r="R87" s="13" t="inlineStr">
        <is>
          <t>https://website-9ib.pages.dev/termek/202388-15-70-mm-keretprofil-elox-cd/</t>
        </is>
      </c>
      <c r="S87" s="6" t="inlineStr">
        <is>
          <t>202388-15-70-mm-keretprofil-elox-cd</t>
        </is>
      </c>
    </row>
    <row r="88">
      <c r="A88" s="6" t="inlineStr">
        <is>
          <t>Constellium Decin</t>
        </is>
      </c>
      <c r="B88" s="7" t="inlineStr">
        <is>
          <t>18 mm Keretprofil erősített elox</t>
        </is>
      </c>
      <c r="C88" s="11" t="inlineStr"/>
      <c r="D88" s="12" t="inlineStr"/>
      <c r="E88" s="6" t="inlineStr">
        <is>
          <t>2018652</t>
        </is>
      </c>
      <c r="F88" s="6" t="inlineStr">
        <is>
          <t>8652</t>
        </is>
      </c>
      <c r="G88" s="6" t="inlineStr">
        <is>
          <t>Alumínium alváz profilok</t>
        </is>
      </c>
      <c r="H88" s="6" t="inlineStr">
        <is>
          <t>Keret profilok</t>
        </is>
      </c>
      <c r="I88" s="6" t="inlineStr">
        <is>
          <t>Quadris Excel</t>
        </is>
      </c>
      <c r="J88" s="6" t="n">
        <v>0</v>
      </c>
      <c r="K88" s="6" t="n">
        <v>0</v>
      </c>
      <c r="L88" s="6" t="inlineStr">
        <is>
          <t>nincs</t>
        </is>
      </c>
      <c r="M88" s="6">
        <f>IF(AND(J88&gt;0,K88&gt;0),"Rendben",IF(AND(J88=0,K88=0),"Nincs kép és adat",IF(J88=0,"Nincs kép","Nincs adat")))</f>
        <v/>
      </c>
      <c r="N88" s="6" t="inlineStr">
        <is>
          <t>Igen</t>
        </is>
      </c>
      <c r="O88" s="7" t="inlineStr">
        <is>
          <t>alu-sv.com (a kód utolsó számjegyei); Ital Accessori katalógus; Drive: CONSTELLIUM DECIN Excel – nem letölthető (&gt;10 MB)</t>
        </is>
      </c>
      <c r="P88" s="7" t="inlineStr">
        <is>
          <t>Nem találtuk: alu-sv.com (a kód utolsó számjegyei); Ital Accessori katalógus; Drive: CONSTELLIUM DECIN Excel – nem letölthető (&gt;10 MB)</t>
        </is>
      </c>
      <c r="Q88" s="6" t="inlineStr"/>
      <c r="R88" s="13" t="inlineStr">
        <is>
          <t>https://website-9ib.pages.dev/termek/2018652-18-mm-keretprofil-erositett-elox/</t>
        </is>
      </c>
      <c r="S88" s="6" t="inlineStr">
        <is>
          <t>2018652-18-mm-keretprofil-erositett-elox</t>
        </is>
      </c>
    </row>
    <row r="89">
      <c r="A89" s="6" t="inlineStr">
        <is>
          <t>Constellium Decin</t>
        </is>
      </c>
      <c r="B89" s="7" t="inlineStr">
        <is>
          <t>CD 100x30 mm Aláfutásgátló elox profil</t>
        </is>
      </c>
      <c r="C89" s="11" t="inlineStr"/>
      <c r="D89" s="12" t="inlineStr"/>
      <c r="E89" s="6" t="inlineStr">
        <is>
          <t>206941</t>
        </is>
      </c>
      <c r="F89" s="6" t="inlineStr">
        <is>
          <t>6941</t>
        </is>
      </c>
      <c r="G89" s="6" t="inlineStr">
        <is>
          <t>Alumínium alváz profilok</t>
        </is>
      </c>
      <c r="H89" s="6" t="inlineStr">
        <is>
          <t>Aláfutásgátló profilok</t>
        </is>
      </c>
      <c r="I89" s="6" t="inlineStr">
        <is>
          <t>Quadris Excel</t>
        </is>
      </c>
      <c r="J89" s="6" t="n">
        <v>0</v>
      </c>
      <c r="K89" s="6" t="n">
        <v>0</v>
      </c>
      <c r="L89" s="6" t="inlineStr">
        <is>
          <t>nincs</t>
        </is>
      </c>
      <c r="M89" s="6">
        <f>IF(AND(J89&gt;0,K89&gt;0),"Rendben",IF(AND(J89=0,K89=0),"Nincs kép és adat",IF(J89=0,"Nincs kép","Nincs adat")))</f>
        <v/>
      </c>
      <c r="N89" s="6" t="inlineStr">
        <is>
          <t>Igen</t>
        </is>
      </c>
      <c r="O89" s="7" t="inlineStr">
        <is>
          <t>alu-sv.com (a kód utolsó számjegyei); Ital Accessori katalógus; Drive: CONSTELLIUM DECIN Excel – nem letölthető (&gt;10 MB)</t>
        </is>
      </c>
      <c r="P89" s="7" t="inlineStr">
        <is>
          <t>Nem találtuk: alu-sv.com (a kód utolsó számjegyei); Ital Accessori katalógus; Drive: CONSTELLIUM DECIN Excel – nem letölthető (&gt;10 MB)</t>
        </is>
      </c>
      <c r="Q89" s="6" t="inlineStr"/>
      <c r="R89" s="13" t="inlineStr">
        <is>
          <t>https://website-9ib.pages.dev/termek/206941-cd-100x30-mm-alafutasgatlo-elox-profil/</t>
        </is>
      </c>
      <c r="S89" s="6" t="inlineStr">
        <is>
          <t>206941-cd-100x30-mm-alafutasgatlo-elox-profil</t>
        </is>
      </c>
    </row>
    <row r="90">
      <c r="A90" s="6" t="inlineStr">
        <is>
          <t>Constellium Decin</t>
        </is>
      </c>
      <c r="B90" s="7" t="inlineStr">
        <is>
          <t>CD2 100x30 mm Aláfutásgátló elox profil</t>
        </is>
      </c>
      <c r="C90" s="11" t="inlineStr"/>
      <c r="D90" s="12" t="inlineStr"/>
      <c r="E90" s="6" t="inlineStr">
        <is>
          <t>208477</t>
        </is>
      </c>
      <c r="F90" s="6" t="inlineStr">
        <is>
          <t>8477</t>
        </is>
      </c>
      <c r="G90" s="6" t="inlineStr">
        <is>
          <t>Alumínium alváz profilok</t>
        </is>
      </c>
      <c r="H90" s="6" t="inlineStr">
        <is>
          <t>Aláfutásgátló profilok</t>
        </is>
      </c>
      <c r="I90" s="6" t="inlineStr">
        <is>
          <t>Quadris Excel</t>
        </is>
      </c>
      <c r="J90" s="6" t="n">
        <v>0</v>
      </c>
      <c r="K90" s="6" t="n">
        <v>0</v>
      </c>
      <c r="L90" s="6" t="inlineStr">
        <is>
          <t>nincs</t>
        </is>
      </c>
      <c r="M90" s="6">
        <f>IF(AND(J90&gt;0,K90&gt;0),"Rendben",IF(AND(J90=0,K90=0),"Nincs kép és adat",IF(J90=0,"Nincs kép","Nincs adat")))</f>
        <v/>
      </c>
      <c r="N90" s="6" t="inlineStr">
        <is>
          <t>Igen</t>
        </is>
      </c>
      <c r="O90" s="7" t="inlineStr">
        <is>
          <t>alu-sv.com (a kód utolsó számjegyei); Ital Accessori katalógus; Drive: CONSTELLIUM DECIN Excel – nem letölthető (&gt;10 MB)</t>
        </is>
      </c>
      <c r="P90" s="7" t="inlineStr">
        <is>
          <t>Nem találtuk: alu-sv.com (a kód utolsó számjegyei); Ital Accessori katalógus; Drive: CONSTELLIUM DECIN Excel – nem letölthető (&gt;10 MB)</t>
        </is>
      </c>
      <c r="Q90" s="6" t="inlineStr"/>
      <c r="R90" s="13" t="inlineStr">
        <is>
          <t>https://website-9ib.pages.dev/termek/208477-cd2-100x30-mm-alafutasgatlo-elox-profil/</t>
        </is>
      </c>
      <c r="S90" s="6" t="inlineStr">
        <is>
          <t>208477-cd2-100x30-mm-alafutasgatlo-elox-profil</t>
        </is>
      </c>
    </row>
    <row r="91">
      <c r="A91" s="6" t="inlineStr">
        <is>
          <t>Constellium Decin</t>
        </is>
      </c>
      <c r="B91" s="7" t="inlineStr">
        <is>
          <t>Hossztartó, talpas 140/6 magas,120/10; 60/8 mm</t>
        </is>
      </c>
      <c r="C91" s="11" t="inlineStr"/>
      <c r="D91" s="12" t="inlineStr"/>
      <c r="E91" s="6" t="inlineStr">
        <is>
          <t>208755</t>
        </is>
      </c>
      <c r="F91" s="6" t="inlineStr">
        <is>
          <t>8755</t>
        </is>
      </c>
      <c r="G91" s="6" t="inlineStr">
        <is>
          <t>Alumínium alváz profilok</t>
        </is>
      </c>
      <c r="H91" s="6" t="inlineStr">
        <is>
          <t>Hossztartók</t>
        </is>
      </c>
      <c r="I91" s="6" t="inlineStr">
        <is>
          <t>Quadris Excel</t>
        </is>
      </c>
      <c r="J91" s="6" t="n">
        <v>0</v>
      </c>
      <c r="K91" s="6" t="n">
        <v>0</v>
      </c>
      <c r="L91" s="6" t="inlineStr">
        <is>
          <t>nincs</t>
        </is>
      </c>
      <c r="M91" s="6">
        <f>IF(AND(J91&gt;0,K91&gt;0),"Rendben",IF(AND(J91=0,K91=0),"Nincs kép és adat",IF(J91=0,"Nincs kép","Nincs adat")))</f>
        <v/>
      </c>
      <c r="N91" s="6" t="inlineStr">
        <is>
          <t>Igen</t>
        </is>
      </c>
      <c r="O91" s="7" t="inlineStr">
        <is>
          <t>alu-sv.com (a kód utolsó számjegyei); Ital Accessori katalógus; Drive: CONSTELLIUM DECIN Excel – nem letölthető (&gt;10 MB)</t>
        </is>
      </c>
      <c r="P91" s="7" t="inlineStr">
        <is>
          <t>Nem találtuk: alu-sv.com (a kód utolsó számjegyei); Ital Accessori katalógus; Drive: CONSTELLIUM DECIN Excel – nem letölthető (&gt;10 MB)</t>
        </is>
      </c>
      <c r="Q91" s="6" t="inlineStr"/>
      <c r="R91" s="13" t="inlineStr">
        <is>
          <t>https://website-9ib.pages.dev/termek/208755-hossztarto-talpas-140-6-magas-120-10-60-8-mm/</t>
        </is>
      </c>
      <c r="S91" s="6" t="inlineStr">
        <is>
          <t>208755-hossztarto-talpas-140-6-magas-120-10-60-8-mm</t>
        </is>
      </c>
    </row>
    <row r="92">
      <c r="A92" s="6" t="inlineStr">
        <is>
          <t>Constellium Decin</t>
        </is>
      </c>
      <c r="B92" s="7" t="inlineStr">
        <is>
          <t>Padló profil 200 mm</t>
        </is>
      </c>
      <c r="C92" s="11" t="inlineStr"/>
      <c r="D92" s="12" t="inlineStr"/>
      <c r="E92" s="6" t="inlineStr">
        <is>
          <t>227543/30</t>
        </is>
      </c>
      <c r="F92" s="6" t="inlineStr">
        <is>
          <t>7543</t>
        </is>
      </c>
      <c r="G92" s="6" t="inlineStr">
        <is>
          <t>Alumínium padló profilok</t>
        </is>
      </c>
      <c r="H92" s="6" t="inlineStr">
        <is>
          <t>Padló profilok</t>
        </is>
      </c>
      <c r="I92" s="6" t="inlineStr">
        <is>
          <t>Quadris Excel</t>
        </is>
      </c>
      <c r="J92" s="6" t="n">
        <v>0</v>
      </c>
      <c r="K92" s="6" t="n">
        <v>0</v>
      </c>
      <c r="L92" s="6" t="inlineStr">
        <is>
          <t>nincs</t>
        </is>
      </c>
      <c r="M92" s="6">
        <f>IF(AND(J92&gt;0,K92&gt;0),"Rendben",IF(AND(J92=0,K92=0),"Nincs kép és adat",IF(J92=0,"Nincs kép","Nincs adat")))</f>
        <v/>
      </c>
      <c r="N92" s="6" t="inlineStr">
        <is>
          <t>Igen</t>
        </is>
      </c>
      <c r="O92" s="7" t="inlineStr">
        <is>
          <t>alu-sv.com (a kód utolsó számjegyei); Ital Accessori katalógus; Drive: CONSTELLIUM DECIN Excel – nem letölthető (&gt;10 MB)</t>
        </is>
      </c>
      <c r="P92" s="7" t="inlineStr">
        <is>
          <t>Nem találtuk: alu-sv.com (a kód utolsó számjegyei); Ital Accessori katalógus; Drive: CONSTELLIUM DECIN Excel – nem letölthető (&gt;10 MB)</t>
        </is>
      </c>
      <c r="Q92" s="6" t="inlineStr"/>
      <c r="R92" s="13" t="inlineStr">
        <is>
          <t>https://website-9ib.pages.dev/termek/227543-30-padlo-profil-200-mm/</t>
        </is>
      </c>
      <c r="S92" s="6" t="inlineStr">
        <is>
          <t>227543-30-padlo-profil-200-mm</t>
        </is>
      </c>
    </row>
    <row r="93">
      <c r="A93" s="6" t="inlineStr">
        <is>
          <t>Constellium Decin</t>
        </is>
      </c>
      <c r="B93" s="7" t="inlineStr">
        <is>
          <t>Padló profil 200 mm ELOX</t>
        </is>
      </c>
      <c r="C93" s="11" t="inlineStr"/>
      <c r="D93" s="12" t="inlineStr"/>
      <c r="E93" s="6" t="inlineStr">
        <is>
          <t>227543/30</t>
        </is>
      </c>
      <c r="F93" s="6" t="inlineStr">
        <is>
          <t>7543</t>
        </is>
      </c>
      <c r="G93" s="6" t="inlineStr">
        <is>
          <t>Alumínium padló profilok</t>
        </is>
      </c>
      <c r="H93" s="6" t="inlineStr">
        <is>
          <t>Padló profilok</t>
        </is>
      </c>
      <c r="I93" s="6" t="inlineStr">
        <is>
          <t>Quadris Excel</t>
        </is>
      </c>
      <c r="J93" s="6" t="n">
        <v>0</v>
      </c>
      <c r="K93" s="6" t="n">
        <v>0</v>
      </c>
      <c r="L93" s="6" t="inlineStr">
        <is>
          <t>nincs</t>
        </is>
      </c>
      <c r="M93" s="6">
        <f>IF(AND(J93&gt;0,K93&gt;0),"Rendben",IF(AND(J93=0,K93=0),"Nincs kép és adat",IF(J93=0,"Nincs kép","Nincs adat")))</f>
        <v/>
      </c>
      <c r="N93" s="6" t="inlineStr">
        <is>
          <t>Igen</t>
        </is>
      </c>
      <c r="O93" s="7" t="inlineStr">
        <is>
          <t>alu-sv.com (a kód utolsó számjegyei); Ital Accessori katalógus; Drive: CONSTELLIUM DECIN Excel – nem letölthető (&gt;10 MB)</t>
        </is>
      </c>
      <c r="P93" s="7" t="inlineStr">
        <is>
          <t>Nem találtuk: alu-sv.com (a kód utolsó számjegyei); Ital Accessori katalógus; Drive: CONSTELLIUM DECIN Excel – nem letölthető (&gt;10 MB)</t>
        </is>
      </c>
      <c r="Q93" s="6" t="inlineStr"/>
      <c r="R93" s="13" t="inlineStr">
        <is>
          <t>https://website-9ib.pages.dev/termek/227543-30-padlo-profil-200-mm-elox/</t>
        </is>
      </c>
      <c r="S93" s="6" t="inlineStr">
        <is>
          <t>227543-30-padlo-profil-200-mm-elox</t>
        </is>
      </c>
    </row>
    <row r="94">
      <c r="A94" s="6" t="inlineStr">
        <is>
          <t>Constellium Decin</t>
        </is>
      </c>
      <c r="B94" s="7" t="inlineStr">
        <is>
          <t>Első oszlop 90/70 alu elox D</t>
        </is>
      </c>
      <c r="C94" s="11" t="inlineStr"/>
      <c r="D94" s="12" t="inlineStr"/>
      <c r="E94" s="6" t="inlineStr">
        <is>
          <t>6612225</t>
        </is>
      </c>
      <c r="F94" s="6" t="inlineStr">
        <is>
          <t>12225</t>
        </is>
      </c>
      <c r="G94" s="6" t="inlineStr">
        <is>
          <t>Elhúzható rolóponyvás rendszer</t>
        </is>
      </c>
      <c r="H94" s="6" t="inlineStr">
        <is>
          <t>Alumínium sarok oszlopok</t>
        </is>
      </c>
      <c r="I94" s="6" t="inlineStr">
        <is>
          <t>Quadris Excel</t>
        </is>
      </c>
      <c r="J94" s="6" t="n">
        <v>0</v>
      </c>
      <c r="K94" s="6" t="n">
        <v>0</v>
      </c>
      <c r="L94" s="6" t="inlineStr">
        <is>
          <t>nincs</t>
        </is>
      </c>
      <c r="M94" s="6">
        <f>IF(AND(J94&gt;0,K94&gt;0),"Rendben",IF(AND(J94=0,K94=0),"Nincs kép és adat",IF(J94=0,"Nincs kép","Nincs adat")))</f>
        <v/>
      </c>
      <c r="N94" s="6" t="inlineStr">
        <is>
          <t>Igen</t>
        </is>
      </c>
      <c r="O94" s="7" t="inlineStr">
        <is>
          <t>alu-sv.com (a kód utolsó számjegyei); Ital Accessori katalógus; Drive: CONSTELLIUM DECIN Excel – nem letölthető (&gt;10 MB)</t>
        </is>
      </c>
      <c r="P94" s="7" t="inlineStr">
        <is>
          <t>Nem találtuk: alu-sv.com (a kód utolsó számjegyei); Ital Accessori katalógus; Drive: CONSTELLIUM DECIN Excel – nem letölthető (&gt;10 MB)</t>
        </is>
      </c>
      <c r="Q94" s="6" t="inlineStr"/>
      <c r="R94" s="13" t="inlineStr">
        <is>
          <t>https://website-9ib.pages.dev/termek/6612225-elso-oszlop-90-70-alu-elox-d/</t>
        </is>
      </c>
      <c r="S94" s="6" t="inlineStr">
        <is>
          <t>6612225-elso-oszlop-90-70-alu-elox-d</t>
        </is>
      </c>
    </row>
    <row r="95">
      <c r="A95" s="6" t="inlineStr">
        <is>
          <t>Constellium Decin</t>
        </is>
      </c>
      <c r="B95" s="7" t="inlineStr">
        <is>
          <t>Hátsó oszlop 128/35 alu elox D</t>
        </is>
      </c>
      <c r="C95" s="11" t="inlineStr"/>
      <c r="D95" s="12" t="inlineStr"/>
      <c r="E95" s="6" t="inlineStr">
        <is>
          <t>6612226</t>
        </is>
      </c>
      <c r="F95" s="6" t="inlineStr">
        <is>
          <t>12226</t>
        </is>
      </c>
      <c r="G95" s="6" t="inlineStr">
        <is>
          <t>Elhúzható rolóponyvás rendszer</t>
        </is>
      </c>
      <c r="H95" s="6" t="inlineStr">
        <is>
          <t>Alumínium sarok oszlopok</t>
        </is>
      </c>
      <c r="I95" s="6" t="inlineStr">
        <is>
          <t>Quadris Excel</t>
        </is>
      </c>
      <c r="J95" s="6" t="n">
        <v>0</v>
      </c>
      <c r="K95" s="6" t="n">
        <v>0</v>
      </c>
      <c r="L95" s="6" t="inlineStr">
        <is>
          <t>nincs</t>
        </is>
      </c>
      <c r="M95" s="6">
        <f>IF(AND(J95&gt;0,K95&gt;0),"Rendben",IF(AND(J95=0,K95=0),"Nincs kép és adat",IF(J95=0,"Nincs kép","Nincs adat")))</f>
        <v/>
      </c>
      <c r="N95" s="6" t="inlineStr">
        <is>
          <t>Igen</t>
        </is>
      </c>
      <c r="O95" s="7" t="inlineStr">
        <is>
          <t>alu-sv.com (a kód utolsó számjegyei); Ital Accessori katalógus; Drive: CONSTELLIUM DECIN Excel – nem letölthető (&gt;10 MB)</t>
        </is>
      </c>
      <c r="P95" s="7" t="inlineStr">
        <is>
          <t>Nem találtuk: alu-sv.com (a kód utolsó számjegyei); Ital Accessori katalógus; Drive: CONSTELLIUM DECIN Excel – nem letölthető (&gt;10 MB)</t>
        </is>
      </c>
      <c r="Q95" s="6" t="inlineStr"/>
      <c r="R95" s="13" t="inlineStr">
        <is>
          <t>https://website-9ib.pages.dev/termek/6612226-hatso-oszlop-128-35-alu-elox-d/</t>
        </is>
      </c>
      <c r="S95" s="6" t="inlineStr">
        <is>
          <t>6612226-hatso-oszlop-128-35-alu-elox-d</t>
        </is>
      </c>
    </row>
    <row r="96">
      <c r="A96" s="6" t="inlineStr">
        <is>
          <t>Constellium Decin</t>
        </is>
      </c>
      <c r="B96" s="7" t="inlineStr">
        <is>
          <t>Köztes 200 mm elox profil</t>
        </is>
      </c>
      <c r="C96" s="11" t="inlineStr"/>
      <c r="D96" s="12" t="inlineStr"/>
      <c r="E96" s="6" t="inlineStr">
        <is>
          <t>227046/CK10</t>
        </is>
      </c>
      <c r="F96" s="6" t="inlineStr">
        <is>
          <t>12579</t>
        </is>
      </c>
      <c r="G96" s="6" t="inlineStr">
        <is>
          <t>Platós és ponyvás oldalfal profilok és szegők</t>
        </is>
      </c>
      <c r="H96" s="6" t="inlineStr">
        <is>
          <t>25 mm vastag oldalfal rendszerek</t>
        </is>
      </c>
      <c r="I96" s="6" t="inlineStr">
        <is>
          <t>Quadris Excel</t>
        </is>
      </c>
      <c r="J96" s="6" t="n">
        <v>0</v>
      </c>
      <c r="K96" s="6" t="n">
        <v>0</v>
      </c>
      <c r="L96" s="6" t="inlineStr">
        <is>
          <t>nincs</t>
        </is>
      </c>
      <c r="M96" s="6">
        <f>IF(AND(J96&gt;0,K96&gt;0),"Rendben",IF(AND(J96=0,K96=0),"Nincs kép és adat",IF(J96=0,"Nincs kép","Nincs adat")))</f>
        <v/>
      </c>
      <c r="N96" s="6" t="inlineStr">
        <is>
          <t>Igen</t>
        </is>
      </c>
      <c r="O96" s="7" t="inlineStr">
        <is>
          <t>alu-sv.com (a kód utolsó számjegyei); Ital Accessori katalógus; Drive: CONSTELLIUM DECIN Excel – nem letölthető (&gt;10 MB)</t>
        </is>
      </c>
      <c r="P96" s="7" t="inlineStr">
        <is>
          <t>Nem találtuk: alu-sv.com (a kód utolsó számjegyei); Ital Accessori katalógus; Drive: CONSTELLIUM DECIN Excel – nem letölthető (&gt;10 MB)</t>
        </is>
      </c>
      <c r="Q96" s="6" t="inlineStr"/>
      <c r="R96" s="13" t="inlineStr">
        <is>
          <t>https://website-9ib.pages.dev/termek/227046-ck10-koztes-200-mm-elox-profil/</t>
        </is>
      </c>
      <c r="S96" s="6" t="inlineStr">
        <is>
          <t>227046-ck10-koztes-200-mm-elox-profil</t>
        </is>
      </c>
    </row>
    <row r="97">
      <c r="A97" s="6" t="inlineStr">
        <is>
          <t>Constellium Decin</t>
        </is>
      </c>
      <c r="B97" s="7" t="inlineStr">
        <is>
          <t>Köztes 250 mm elox profil CD</t>
        </is>
      </c>
      <c r="C97" s="11" t="inlineStr"/>
      <c r="D97" s="12" t="inlineStr"/>
      <c r="E97" s="6" t="inlineStr">
        <is>
          <t>224230</t>
        </is>
      </c>
      <c r="F97" s="6" t="inlineStr">
        <is>
          <t>14230</t>
        </is>
      </c>
      <c r="G97" s="6" t="inlineStr">
        <is>
          <t>Platós és ponyvás oldalfal profilok és szegők</t>
        </is>
      </c>
      <c r="H97" s="6" t="inlineStr">
        <is>
          <t>25 mm vastag oldalfal rendszerek</t>
        </is>
      </c>
      <c r="I97" s="6" t="inlineStr">
        <is>
          <t>Quadris Excel</t>
        </is>
      </c>
      <c r="J97" s="6" t="n">
        <v>0</v>
      </c>
      <c r="K97" s="6" t="n">
        <v>0</v>
      </c>
      <c r="L97" s="6" t="inlineStr">
        <is>
          <t>nincs</t>
        </is>
      </c>
      <c r="M97" s="6">
        <f>IF(AND(J97&gt;0,K97&gt;0),"Rendben",IF(AND(J97=0,K97=0),"Nincs kép és adat",IF(J97=0,"Nincs kép","Nincs adat")))</f>
        <v/>
      </c>
      <c r="N97" s="6" t="inlineStr">
        <is>
          <t>Igen</t>
        </is>
      </c>
      <c r="O97" s="7" t="inlineStr">
        <is>
          <t>alu-sv.com (a kód utolsó számjegyei); Ital Accessori katalógus; Drive: CONSTELLIUM DECIN Excel – nem letölthető (&gt;10 MB)</t>
        </is>
      </c>
      <c r="P97" s="7" t="inlineStr">
        <is>
          <t>Nem találtuk: alu-sv.com (a kód utolsó számjegyei); Ital Accessori katalógus; Drive: CONSTELLIUM DECIN Excel – nem letölthető (&gt;10 MB)</t>
        </is>
      </c>
      <c r="Q97" s="6" t="inlineStr"/>
      <c r="R97" s="13" t="inlineStr">
        <is>
          <t>https://website-9ib.pages.dev/termek/224230-koztes-250-mm-elox-profil-cd/</t>
        </is>
      </c>
      <c r="S97" s="6" t="inlineStr">
        <is>
          <t>224230-koztes-250-mm-elox-profil-cd</t>
        </is>
      </c>
    </row>
    <row r="98">
      <c r="A98" s="6" t="inlineStr">
        <is>
          <t>Constellium Decin</t>
        </is>
      </c>
      <c r="B98" s="7" t="inlineStr">
        <is>
          <t>Köztes 250 mm profil CD</t>
        </is>
      </c>
      <c r="C98" s="11" t="inlineStr"/>
      <c r="D98" s="12" t="inlineStr"/>
      <c r="E98" s="6" t="inlineStr">
        <is>
          <t>224230/n</t>
        </is>
      </c>
      <c r="F98" s="6" t="inlineStr">
        <is>
          <t>14230</t>
        </is>
      </c>
      <c r="G98" s="6" t="inlineStr">
        <is>
          <t>Platós és ponyvás oldalfal profilok és szegők</t>
        </is>
      </c>
      <c r="H98" s="6" t="inlineStr">
        <is>
          <t>25 mm vastag oldalfal rendszerek</t>
        </is>
      </c>
      <c r="I98" s="6" t="inlineStr">
        <is>
          <t>Quadris Excel</t>
        </is>
      </c>
      <c r="J98" s="6" t="n">
        <v>0</v>
      </c>
      <c r="K98" s="6" t="n">
        <v>0</v>
      </c>
      <c r="L98" s="6" t="inlineStr">
        <is>
          <t>nincs</t>
        </is>
      </c>
      <c r="M98" s="6">
        <f>IF(AND(J98&gt;0,K98&gt;0),"Rendben",IF(AND(J98=0,K98=0),"Nincs kép és adat",IF(J98=0,"Nincs kép","Nincs adat")))</f>
        <v/>
      </c>
      <c r="N98" s="6" t="inlineStr">
        <is>
          <t>Igen</t>
        </is>
      </c>
      <c r="O98" s="7" t="inlineStr">
        <is>
          <t>alu-sv.com (a kód utolsó számjegyei); Ital Accessori katalógus; Drive: CONSTELLIUM DECIN Excel – nem letölthető (&gt;10 MB)</t>
        </is>
      </c>
      <c r="P98" s="7" t="inlineStr">
        <is>
          <t>Nem találtuk: alu-sv.com (a kód utolsó számjegyei); Ital Accessori katalógus; Drive: CONSTELLIUM DECIN Excel – nem letölthető (&gt;10 MB)</t>
        </is>
      </c>
      <c r="Q98" s="6" t="inlineStr"/>
      <c r="R98" s="13" t="inlineStr">
        <is>
          <t>https://website-9ib.pages.dev/termek/224230-n-koztes-250-mm-profil-cd/</t>
        </is>
      </c>
      <c r="S98" s="6" t="inlineStr">
        <is>
          <t>224230-n-koztes-250-mm-profil-cd</t>
        </is>
      </c>
    </row>
    <row r="99">
      <c r="A99" s="6" t="inlineStr">
        <is>
          <t>Constellium Decin</t>
        </is>
      </c>
      <c r="B99" s="7" t="inlineStr">
        <is>
          <t>"h" Ajtószegő 30 mm D</t>
        </is>
      </c>
      <c r="C99" s="11" t="inlineStr"/>
      <c r="D99" s="12" t="inlineStr"/>
      <c r="E99" s="6" t="inlineStr">
        <is>
          <t>237847/n</t>
        </is>
      </c>
      <c r="F99" s="6" t="inlineStr">
        <is>
          <t>7847</t>
        </is>
      </c>
      <c r="G99" s="6" t="inlineStr">
        <is>
          <t>Zárt-dobozos és hűtős profilok</t>
        </is>
      </c>
      <c r="H99" s="6" t="inlineStr">
        <is>
          <t>Zárt-dobozos és hűtős profilok</t>
        </is>
      </c>
      <c r="I99" s="6" t="inlineStr">
        <is>
          <t>Quadris Excel</t>
        </is>
      </c>
      <c r="J99" s="6" t="n">
        <v>0</v>
      </c>
      <c r="K99" s="6" t="n">
        <v>0</v>
      </c>
      <c r="L99" s="6" t="inlineStr">
        <is>
          <t>nincs</t>
        </is>
      </c>
      <c r="M99" s="6">
        <f>IF(AND(J99&gt;0,K99&gt;0),"Rendben",IF(AND(J99=0,K99=0),"Nincs kép és adat",IF(J99=0,"Nincs kép","Nincs adat")))</f>
        <v/>
      </c>
      <c r="N99" s="6" t="inlineStr">
        <is>
          <t>Igen</t>
        </is>
      </c>
      <c r="O99" s="7" t="inlineStr">
        <is>
          <t>alu-sv.com (a kód utolsó számjegyei); Ital Accessori katalógus; Drive: CONSTELLIUM DECIN Excel – nem letölthető (&gt;10 MB)</t>
        </is>
      </c>
      <c r="P99" s="7" t="inlineStr">
        <is>
          <t>Nem találtuk: alu-sv.com (a kód utolsó számjegyei); Ital Accessori katalógus; Drive: CONSTELLIUM DECIN Excel – nem letölthető (&gt;10 MB)</t>
        </is>
      </c>
      <c r="Q99" s="6" t="inlineStr"/>
      <c r="R99" s="13" t="inlineStr">
        <is>
          <t>https://website-9ib.pages.dev/termek/237847-n-h-ajtoszego-30-mm-d/</t>
        </is>
      </c>
      <c r="S99" s="6" t="inlineStr">
        <is>
          <t>237847-n-h-ajtoszego-30-mm-d</t>
        </is>
      </c>
    </row>
    <row r="100">
      <c r="A100" s="6" t="inlineStr">
        <is>
          <t>Constellium Decin</t>
        </is>
      </c>
      <c r="B100" s="7" t="inlineStr">
        <is>
          <t>Dobozos keret elox 134/80</t>
        </is>
      </c>
      <c r="C100" s="11" t="inlineStr"/>
      <c r="D100" s="12" t="inlineStr"/>
      <c r="E100" s="6" t="inlineStr">
        <is>
          <t>231543</t>
        </is>
      </c>
      <c r="F100" s="6" t="inlineStr"/>
      <c r="G100" s="6" t="inlineStr">
        <is>
          <t>Zárt-dobozos és hűtős profilok</t>
        </is>
      </c>
      <c r="H100" s="6" t="inlineStr">
        <is>
          <t>Zárt-dobozos és hűtős profilok</t>
        </is>
      </c>
      <c r="I100" s="6" t="inlineStr">
        <is>
          <t>Quadris Excel</t>
        </is>
      </c>
      <c r="J100" s="6" t="n">
        <v>0</v>
      </c>
      <c r="K100" s="6" t="n">
        <v>0</v>
      </c>
      <c r="L100" s="6" t="inlineStr">
        <is>
          <t>nincs</t>
        </is>
      </c>
      <c r="M100" s="6">
        <f>IF(AND(J100&gt;0,K100&gt;0),"Rendben",IF(AND(J100=0,K100=0),"Nincs kép és adat",IF(J100=0,"Nincs kép","Nincs adat")))</f>
        <v/>
      </c>
      <c r="N100" s="6" t="inlineStr">
        <is>
          <t>Igen</t>
        </is>
      </c>
      <c r="O100" s="7" t="inlineStr">
        <is>
          <t>alu-sv.com (a kód utolsó számjegyei); Ital Accessori katalógus; Drive: CONSTELLIUM DECIN Excel – nem letölthető (&gt;10 MB)</t>
        </is>
      </c>
      <c r="P100" s="7" t="inlineStr">
        <is>
          <t>Nem találtuk: alu-sv.com (a kód utolsó számjegyei); Ital Accessori katalógus; Drive: CONSTELLIUM DECIN Excel – nem letölthető (&gt;10 MB)</t>
        </is>
      </c>
      <c r="Q100" s="6" t="inlineStr"/>
      <c r="R100" s="13" t="inlineStr">
        <is>
          <t>https://website-9ib.pages.dev/termek/231543-dobozos-keret-elox-134-80/</t>
        </is>
      </c>
      <c r="S100" s="6" t="inlineStr">
        <is>
          <t>231543-dobozos-keret-elox-134-80</t>
        </is>
      </c>
    </row>
    <row r="101">
      <c r="A101" s="6" t="inlineStr">
        <is>
          <t>Constellium Decin</t>
        </is>
      </c>
      <c r="B101" s="7" t="inlineStr">
        <is>
          <t>Hűtős keretprofil nyitott elox</t>
        </is>
      </c>
      <c r="C101" s="11" t="inlineStr"/>
      <c r="D101" s="12" t="inlineStr"/>
      <c r="E101" s="6" t="inlineStr">
        <is>
          <t>237971</t>
        </is>
      </c>
      <c r="F101" s="6" t="inlineStr"/>
      <c r="G101" s="6" t="inlineStr">
        <is>
          <t>Zárt-dobozos és hűtős profilok</t>
        </is>
      </c>
      <c r="H101" s="6" t="inlineStr">
        <is>
          <t>Zárt-dobozos és hűtős profilok</t>
        </is>
      </c>
      <c r="I101" s="6" t="inlineStr">
        <is>
          <t>Quadris Excel</t>
        </is>
      </c>
      <c r="J101" s="6" t="n">
        <v>0</v>
      </c>
      <c r="K101" s="6" t="n">
        <v>0</v>
      </c>
      <c r="L101" s="6" t="inlineStr">
        <is>
          <t>nincs</t>
        </is>
      </c>
      <c r="M101" s="6">
        <f>IF(AND(J101&gt;0,K101&gt;0),"Rendben",IF(AND(J101=0,K101=0),"Nincs kép és adat",IF(J101=0,"Nincs kép","Nincs adat")))</f>
        <v/>
      </c>
      <c r="N101" s="6" t="inlineStr">
        <is>
          <t>Igen</t>
        </is>
      </c>
      <c r="O101" s="7" t="inlineStr">
        <is>
          <t>alu-sv.com (a kód utolsó számjegyei); Ital Accessori katalógus; Drive: CONSTELLIUM DECIN Excel – nem letölthető (&gt;10 MB)</t>
        </is>
      </c>
      <c r="P101" s="7" t="inlineStr">
        <is>
          <t>Nem találtuk: alu-sv.com (a kód utolsó számjegyei); Ital Accessori katalógus; Drive: CONSTELLIUM DECIN Excel – nem letölthető (&gt;10 MB)</t>
        </is>
      </c>
      <c r="Q101" s="6" t="inlineStr"/>
      <c r="R101" s="13" t="inlineStr">
        <is>
          <t>https://website-9ib.pages.dev/termek/237971-hutos-keretprofil-nyitott-elox/</t>
        </is>
      </c>
      <c r="S101" s="6" t="inlineStr">
        <is>
          <t>237971-hutos-keretprofil-nyitott-elox</t>
        </is>
      </c>
    </row>
    <row r="102">
      <c r="A102" s="6" t="inlineStr">
        <is>
          <t>Constellium Decin</t>
        </is>
      </c>
      <c r="B102" s="7" t="inlineStr">
        <is>
          <t>Tömítéses ajtószegő 30 mm D</t>
        </is>
      </c>
      <c r="C102" s="11" t="inlineStr"/>
      <c r="D102" s="12" t="inlineStr"/>
      <c r="E102" s="6" t="inlineStr">
        <is>
          <t>237846/n</t>
        </is>
      </c>
      <c r="F102" s="6" t="inlineStr">
        <is>
          <t>7846</t>
        </is>
      </c>
      <c r="G102" s="6" t="inlineStr">
        <is>
          <t>Zárt-dobozos és hűtős profilok</t>
        </is>
      </c>
      <c r="H102" s="6" t="inlineStr">
        <is>
          <t>Zárt-dobozos és hűtős profilok</t>
        </is>
      </c>
      <c r="I102" s="6" t="inlineStr">
        <is>
          <t>Quadris Excel</t>
        </is>
      </c>
      <c r="J102" s="6" t="n">
        <v>0</v>
      </c>
      <c r="K102" s="6" t="n">
        <v>0</v>
      </c>
      <c r="L102" s="6" t="inlineStr">
        <is>
          <t>nincs</t>
        </is>
      </c>
      <c r="M102" s="6">
        <f>IF(AND(J102&gt;0,K102&gt;0),"Rendben",IF(AND(J102=0,K102=0),"Nincs kép és adat",IF(J102=0,"Nincs kép","Nincs adat")))</f>
        <v/>
      </c>
      <c r="N102" s="6" t="inlineStr">
        <is>
          <t>Igen</t>
        </is>
      </c>
      <c r="O102" s="7" t="inlineStr">
        <is>
          <t>alu-sv.com (a kód utolsó számjegyei); Ital Accessori katalógus; Drive: CONSTELLIUM DECIN Excel – nem letölthető (&gt;10 MB)</t>
        </is>
      </c>
      <c r="P102" s="7" t="inlineStr">
        <is>
          <t>Nem találtuk: alu-sv.com (a kód utolsó számjegyei); Ital Accessori katalógus; Drive: CONSTELLIUM DECIN Excel – nem letölthető (&gt;10 MB)</t>
        </is>
      </c>
      <c r="Q102" s="6" t="inlineStr"/>
      <c r="R102" s="13" t="inlineStr">
        <is>
          <t>https://website-9ib.pages.dev/termek/237846-n-tomiteses-ajtoszego-30-mm-d/</t>
        </is>
      </c>
      <c r="S102" s="6" t="inlineStr">
        <is>
          <t>237846-n-tomiteses-ajtoszego-30-mm-d</t>
        </is>
      </c>
    </row>
    <row r="103">
      <c r="A103" s="6" t="inlineStr">
        <is>
          <t>D.LaPorte</t>
        </is>
      </c>
      <c r="B103" s="7" t="inlineStr">
        <is>
          <t>"B" Oldalajtó zárszerkezet FEKETE</t>
        </is>
      </c>
      <c r="C103" s="11" t="inlineStr"/>
      <c r="D103" s="12" t="inlineStr"/>
      <c r="E103" s="6" t="inlineStr">
        <is>
          <t>614603</t>
        </is>
      </c>
      <c r="F103" s="6" t="inlineStr">
        <is>
          <t>2141199DR</t>
        </is>
      </c>
      <c r="G103" s="6" t="inlineStr">
        <is>
          <t>Speciális felépítmény alkatrészek</t>
        </is>
      </c>
      <c r="H103" s="6" t="inlineStr">
        <is>
          <t>Zárak</t>
        </is>
      </c>
      <c r="I103" s="6" t="inlineStr">
        <is>
          <t>Quadris Excel</t>
        </is>
      </c>
      <c r="J103" s="6" t="n">
        <v>0</v>
      </c>
      <c r="K103" s="6" t="n">
        <v>0</v>
      </c>
      <c r="L103" s="6" t="inlineStr">
        <is>
          <t>nincs</t>
        </is>
      </c>
      <c r="M103" s="6">
        <f>IF(AND(J103&gt;0,K103&gt;0),"Rendben",IF(AND(J103=0,K103=0),"Nincs kép és adat",IF(J103=0,"Nincs kép","Nincs adat")))</f>
        <v/>
      </c>
      <c r="N103" s="6" t="inlineStr">
        <is>
          <t>Nem</t>
        </is>
      </c>
      <c r="O103" s="7" t="inlineStr">
        <is>
          <t>–</t>
        </is>
      </c>
      <c r="P103" s="7" t="inlineStr">
        <is>
          <t>Nem kerestük – nincs ismert weboldal vagy katalógus</t>
        </is>
      </c>
      <c r="Q103" s="6" t="inlineStr"/>
      <c r="R103" s="13" t="inlineStr">
        <is>
          <t>https://website-9ib.pages.dev/termek/614603-b-oldalajto-zarszerkezet-fekete/</t>
        </is>
      </c>
      <c r="S103" s="6" t="inlineStr">
        <is>
          <t>614603-b-oldalajto-zarszerkezet-fekete</t>
        </is>
      </c>
    </row>
    <row r="104">
      <c r="A104" s="6" t="inlineStr">
        <is>
          <t>D.LaPorte</t>
        </is>
      </c>
      <c r="B104" s="7" t="inlineStr">
        <is>
          <t>"J" Oldalajtó zárszerkezet</t>
        </is>
      </c>
      <c r="C104" s="11" t="inlineStr"/>
      <c r="D104" s="12" t="inlineStr"/>
      <c r="E104" s="6" t="inlineStr">
        <is>
          <t>614602</t>
        </is>
      </c>
      <c r="F104" s="6" t="inlineStr">
        <is>
          <t>61.4600.0002</t>
        </is>
      </c>
      <c r="G104" s="6" t="inlineStr">
        <is>
          <t>Speciális felépítmény alkatrészek</t>
        </is>
      </c>
      <c r="H104" s="6" t="inlineStr">
        <is>
          <t>Zárak</t>
        </is>
      </c>
      <c r="I104" s="6" t="inlineStr">
        <is>
          <t>Quadris Excel</t>
        </is>
      </c>
      <c r="J104" s="6" t="n">
        <v>0</v>
      </c>
      <c r="K104" s="6" t="n">
        <v>0</v>
      </c>
      <c r="L104" s="6" t="inlineStr">
        <is>
          <t>nincs</t>
        </is>
      </c>
      <c r="M104" s="6">
        <f>IF(AND(J104&gt;0,K104&gt;0),"Rendben",IF(AND(J104=0,K104=0),"Nincs kép és adat",IF(J104=0,"Nincs kép","Nincs adat")))</f>
        <v/>
      </c>
      <c r="N104" s="6" t="inlineStr">
        <is>
          <t>Nem</t>
        </is>
      </c>
      <c r="O104" s="7" t="inlineStr">
        <is>
          <t>–</t>
        </is>
      </c>
      <c r="P104" s="7" t="inlineStr">
        <is>
          <t>Nem kerestük – nincs ismert weboldal vagy katalógus</t>
        </is>
      </c>
      <c r="Q104" s="6" t="inlineStr"/>
      <c r="R104" s="13" t="inlineStr">
        <is>
          <t>https://website-9ib.pages.dev/termek/614602-j-oldalajto-zarszerkezet/</t>
        </is>
      </c>
      <c r="S104" s="6" t="inlineStr">
        <is>
          <t>614602-j-oldalajto-zarszerkezet</t>
        </is>
      </c>
    </row>
    <row r="105">
      <c r="A105" s="6" t="inlineStr">
        <is>
          <t>D.LaPorte</t>
        </is>
      </c>
      <c r="B105" s="7" t="inlineStr">
        <is>
          <t>Belsőzárszerk. oldalajtóhoz 500 mm kar "B"</t>
        </is>
      </c>
      <c r="C105" s="11" t="inlineStr"/>
      <c r="D105" s="12" t="inlineStr"/>
      <c r="E105" s="6" t="inlineStr">
        <is>
          <t>615003</t>
        </is>
      </c>
      <c r="F105" s="6" t="inlineStr">
        <is>
          <t>61.5101.0003</t>
        </is>
      </c>
      <c r="G105" s="6" t="inlineStr">
        <is>
          <t>Speciális felépítmény alkatrészek</t>
        </is>
      </c>
      <c r="H105" s="6" t="inlineStr">
        <is>
          <t>Zárak</t>
        </is>
      </c>
      <c r="I105" s="6" t="inlineStr">
        <is>
          <t>Quadris Excel</t>
        </is>
      </c>
      <c r="J105" s="6" t="n">
        <v>0</v>
      </c>
      <c r="K105" s="6" t="n">
        <v>0</v>
      </c>
      <c r="L105" s="6" t="inlineStr">
        <is>
          <t>nincs</t>
        </is>
      </c>
      <c r="M105" s="6">
        <f>IF(AND(J105&gt;0,K105&gt;0),"Rendben",IF(AND(J105=0,K105=0),"Nincs kép és adat",IF(J105=0,"Nincs kép","Nincs adat")))</f>
        <v/>
      </c>
      <c r="N105" s="6" t="inlineStr">
        <is>
          <t>Nem</t>
        </is>
      </c>
      <c r="O105" s="7" t="inlineStr">
        <is>
          <t>–</t>
        </is>
      </c>
      <c r="P105" s="7" t="inlineStr">
        <is>
          <t>Nem kerestük – nincs ismert weboldal vagy katalógus</t>
        </is>
      </c>
      <c r="Q105" s="6" t="inlineStr"/>
      <c r="R105" s="13" t="inlineStr">
        <is>
          <t>https://website-9ib.pages.dev/termek/615003-belsozarszerk-oldalajtohoz-500-mm-kar-b/</t>
        </is>
      </c>
      <c r="S105" s="6" t="inlineStr">
        <is>
          <t>615003-belsozarszerk-oldalajtohoz-500-mm-kar-b</t>
        </is>
      </c>
    </row>
    <row r="106">
      <c r="A106" s="6" t="inlineStr">
        <is>
          <t>D.LaPorte</t>
        </is>
      </c>
      <c r="B106" s="7" t="inlineStr">
        <is>
          <t>Kulcs+zárbetét</t>
        </is>
      </c>
      <c r="C106" s="11" t="inlineStr"/>
      <c r="D106" s="12" t="inlineStr"/>
      <c r="E106" s="6" t="inlineStr">
        <is>
          <t>700020</t>
        </is>
      </c>
      <c r="F106" s="6" t="inlineStr">
        <is>
          <t>44.0113.8704</t>
        </is>
      </c>
      <c r="G106" s="6" t="inlineStr">
        <is>
          <t>Speciális felépítmény alkatrészek</t>
        </is>
      </c>
      <c r="H106" s="6" t="inlineStr">
        <is>
          <t>Zárak</t>
        </is>
      </c>
      <c r="I106" s="6" t="inlineStr">
        <is>
          <t>Quadris Excel</t>
        </is>
      </c>
      <c r="J106" s="6" t="n">
        <v>0</v>
      </c>
      <c r="K106" s="6" t="n">
        <v>0</v>
      </c>
      <c r="L106" s="6" t="inlineStr">
        <is>
          <t>nincs</t>
        </is>
      </c>
      <c r="M106" s="6">
        <f>IF(AND(J106&gt;0,K106&gt;0),"Rendben",IF(AND(J106=0,K106=0),"Nincs kép és adat",IF(J106=0,"Nincs kép","Nincs adat")))</f>
        <v/>
      </c>
      <c r="N106" s="6" t="inlineStr">
        <is>
          <t>Nem</t>
        </is>
      </c>
      <c r="O106" s="7" t="inlineStr">
        <is>
          <t>–</t>
        </is>
      </c>
      <c r="P106" s="7" t="inlineStr">
        <is>
          <t>Nem kerestük – nincs ismert weboldal vagy katalógus</t>
        </is>
      </c>
      <c r="Q106" s="6" t="inlineStr"/>
      <c r="R106" s="13" t="inlineStr">
        <is>
          <t>https://website-9ib.pages.dev/termek/700020-kulcs-zarbetet/</t>
        </is>
      </c>
      <c r="S106" s="6" t="inlineStr">
        <is>
          <t>700020-kulcs-zarbetet</t>
        </is>
      </c>
    </row>
    <row r="107">
      <c r="A107" s="6" t="inlineStr">
        <is>
          <t>D.LaPorte</t>
        </is>
      </c>
      <c r="B107" s="7" t="inlineStr">
        <is>
          <t>Külső oldalajtó kilincs</t>
        </is>
      </c>
      <c r="C107" s="11" t="inlineStr"/>
      <c r="D107" s="12" t="inlineStr"/>
      <c r="E107" s="6" t="inlineStr">
        <is>
          <t>615102</t>
        </is>
      </c>
      <c r="F107" s="6" t="inlineStr">
        <is>
          <t>53.4560.0004</t>
        </is>
      </c>
      <c r="G107" s="6" t="inlineStr">
        <is>
          <t>Speciális felépítmény alkatrészek</t>
        </is>
      </c>
      <c r="H107" s="6" t="inlineStr">
        <is>
          <t>Zárak</t>
        </is>
      </c>
      <c r="I107" s="6" t="inlineStr">
        <is>
          <t>Quadris Excel</t>
        </is>
      </c>
      <c r="J107" s="6" t="n">
        <v>0</v>
      </c>
      <c r="K107" s="6" t="n">
        <v>0</v>
      </c>
      <c r="L107" s="6" t="inlineStr">
        <is>
          <t>nincs</t>
        </is>
      </c>
      <c r="M107" s="6">
        <f>IF(AND(J107&gt;0,K107&gt;0),"Rendben",IF(AND(J107=0,K107=0),"Nincs kép és adat",IF(J107=0,"Nincs kép","Nincs adat")))</f>
        <v/>
      </c>
      <c r="N107" s="6" t="inlineStr">
        <is>
          <t>Nem</t>
        </is>
      </c>
      <c r="O107" s="7" t="inlineStr">
        <is>
          <t>–</t>
        </is>
      </c>
      <c r="P107" s="7" t="inlineStr">
        <is>
          <t>Nem kerestük – nincs ismert weboldal vagy katalógus</t>
        </is>
      </c>
      <c r="Q107" s="6" t="inlineStr"/>
      <c r="R107" s="13" t="inlineStr">
        <is>
          <t>https://website-9ib.pages.dev/termek/615102-kulso-oldalajto-kilincs/</t>
        </is>
      </c>
      <c r="S107" s="6" t="inlineStr">
        <is>
          <t>615102-kulso-oldalajto-kilincs</t>
        </is>
      </c>
    </row>
    <row r="108">
      <c r="A108" s="6" t="inlineStr">
        <is>
          <t>D.LaPorte</t>
        </is>
      </c>
      <c r="B108" s="7" t="inlineStr">
        <is>
          <t>Ládaajtózár zárt</t>
        </is>
      </c>
      <c r="C108" s="11" t="inlineStr"/>
      <c r="D108" s="12" t="inlineStr"/>
      <c r="E108" s="6" t="inlineStr">
        <is>
          <t>700021</t>
        </is>
      </c>
      <c r="F108" s="6" t="inlineStr">
        <is>
          <t>58.4713.0201</t>
        </is>
      </c>
      <c r="G108" s="6" t="inlineStr">
        <is>
          <t>Speciális felépítmény alkatrészek</t>
        </is>
      </c>
      <c r="H108" s="6" t="inlineStr">
        <is>
          <t>Zárak</t>
        </is>
      </c>
      <c r="I108" s="6" t="inlineStr">
        <is>
          <t>Quadris Excel</t>
        </is>
      </c>
      <c r="J108" s="6" t="n">
        <v>0</v>
      </c>
      <c r="K108" s="6" t="n">
        <v>0</v>
      </c>
      <c r="L108" s="6" t="inlineStr">
        <is>
          <t>nincs</t>
        </is>
      </c>
      <c r="M108" s="6">
        <f>IF(AND(J108&gt;0,K108&gt;0),"Rendben",IF(AND(J108=0,K108=0),"Nincs kép és adat",IF(J108=0,"Nincs kép","Nincs adat")))</f>
        <v/>
      </c>
      <c r="N108" s="6" t="inlineStr">
        <is>
          <t>Nem</t>
        </is>
      </c>
      <c r="O108" s="7" t="inlineStr">
        <is>
          <t>–</t>
        </is>
      </c>
      <c r="P108" s="7" t="inlineStr">
        <is>
          <t>Nem kerestük – nincs ismert weboldal vagy katalógus</t>
        </is>
      </c>
      <c r="Q108" s="6" t="inlineStr"/>
      <c r="R108" s="13" t="inlineStr">
        <is>
          <t>https://website-9ib.pages.dev/termek/700021-ladaajtozar-zart/</t>
        </is>
      </c>
      <c r="S108" s="6" t="inlineStr">
        <is>
          <t>700021-ladaajtozar-zart</t>
        </is>
      </c>
    </row>
    <row r="109">
      <c r="A109" s="6" t="inlineStr">
        <is>
          <t>D.LaPorte</t>
        </is>
      </c>
      <c r="B109" s="7" t="inlineStr">
        <is>
          <t>Ládaajtózár zárt nyitott</t>
        </is>
      </c>
      <c r="C109" s="11" t="inlineStr"/>
      <c r="D109" s="12" t="inlineStr"/>
      <c r="E109" s="6" t="inlineStr">
        <is>
          <t>700011</t>
        </is>
      </c>
      <c r="F109" s="6" t="inlineStr">
        <is>
          <t>58.4713.0101</t>
        </is>
      </c>
      <c r="G109" s="6" t="inlineStr">
        <is>
          <t>Speciális felépítmény alkatrészek</t>
        </is>
      </c>
      <c r="H109" s="6" t="inlineStr">
        <is>
          <t>Zárak</t>
        </is>
      </c>
      <c r="I109" s="6" t="inlineStr">
        <is>
          <t>Quadris Excel</t>
        </is>
      </c>
      <c r="J109" s="6" t="n">
        <v>0</v>
      </c>
      <c r="K109" s="6" t="n">
        <v>0</v>
      </c>
      <c r="L109" s="6" t="inlineStr">
        <is>
          <t>nincs</t>
        </is>
      </c>
      <c r="M109" s="6">
        <f>IF(AND(J109&gt;0,K109&gt;0),"Rendben",IF(AND(J109=0,K109=0),"Nincs kép és adat",IF(J109=0,"Nincs kép","Nincs adat")))</f>
        <v/>
      </c>
      <c r="N109" s="6" t="inlineStr">
        <is>
          <t>Nem</t>
        </is>
      </c>
      <c r="O109" s="7" t="inlineStr">
        <is>
          <t>–</t>
        </is>
      </c>
      <c r="P109" s="7" t="inlineStr">
        <is>
          <t>Nem kerestük – nincs ismert weboldal vagy katalógus</t>
        </is>
      </c>
      <c r="Q109" s="6" t="inlineStr"/>
      <c r="R109" s="13" t="inlineStr">
        <is>
          <t>https://website-9ib.pages.dev/termek/700011-ladaajtozar-zart-nyitott/</t>
        </is>
      </c>
      <c r="S109" s="6" t="inlineStr">
        <is>
          <t>700011-ladaajtozar-zart-nyitott</t>
        </is>
      </c>
    </row>
    <row r="110">
      <c r="A110" s="6" t="inlineStr">
        <is>
          <t>D.LaPorte</t>
        </is>
      </c>
      <c r="B110" s="7" t="inlineStr">
        <is>
          <t>Oldalajtózár belső 500 mm kar (jobb)</t>
        </is>
      </c>
      <c r="C110" s="11" t="inlineStr"/>
      <c r="D110" s="12" t="inlineStr"/>
      <c r="E110" s="6" t="inlineStr">
        <is>
          <t>615104</t>
        </is>
      </c>
      <c r="F110" s="6" t="inlineStr"/>
      <c r="G110" s="6" t="inlineStr">
        <is>
          <t>Speciális felépítmény alkatrészek</t>
        </is>
      </c>
      <c r="H110" s="6" t="inlineStr">
        <is>
          <t>Zárak</t>
        </is>
      </c>
      <c r="I110" s="6" t="inlineStr">
        <is>
          <t>Quadris Excel</t>
        </is>
      </c>
      <c r="J110" s="6" t="n">
        <v>0</v>
      </c>
      <c r="K110" s="6" t="n">
        <v>0</v>
      </c>
      <c r="L110" s="6" t="inlineStr">
        <is>
          <t>nincs</t>
        </is>
      </c>
      <c r="M110" s="6">
        <f>IF(AND(J110&gt;0,K110&gt;0),"Rendben",IF(AND(J110=0,K110=0),"Nincs kép és adat",IF(J110=0,"Nincs kép","Nincs adat")))</f>
        <v/>
      </c>
      <c r="N110" s="6" t="inlineStr">
        <is>
          <t>Nem</t>
        </is>
      </c>
      <c r="O110" s="7" t="inlineStr">
        <is>
          <t>–</t>
        </is>
      </c>
      <c r="P110" s="7" t="inlineStr">
        <is>
          <t>Nem kerestük – nincs ismert weboldal vagy katalógus</t>
        </is>
      </c>
      <c r="Q110" s="6" t="inlineStr"/>
      <c r="R110" s="13" t="inlineStr">
        <is>
          <t>https://website-9ib.pages.dev/termek/615104-oldalajtozar-belso-500-mm-kar-jobb/</t>
        </is>
      </c>
      <c r="S110" s="6" t="inlineStr">
        <is>
          <t>615104-oldalajtozar-belso-500-mm-kar-jobb</t>
        </is>
      </c>
    </row>
    <row r="111">
      <c r="A111" s="6" t="inlineStr">
        <is>
          <t>D.LaPorte</t>
        </is>
      </c>
      <c r="B111" s="7" t="inlineStr">
        <is>
          <t>Oldalajtózár kompetten (bal)</t>
        </is>
      </c>
      <c r="C111" s="11" t="inlineStr"/>
      <c r="D111" s="12" t="inlineStr"/>
      <c r="E111" s="6" t="inlineStr">
        <is>
          <t>615103</t>
        </is>
      </c>
      <c r="F111" s="6" t="inlineStr"/>
      <c r="G111" s="6" t="inlineStr">
        <is>
          <t>Speciális felépítmény alkatrészek</t>
        </is>
      </c>
      <c r="H111" s="6" t="inlineStr">
        <is>
          <t>Zárak</t>
        </is>
      </c>
      <c r="I111" s="6" t="inlineStr">
        <is>
          <t>Quadris Excel</t>
        </is>
      </c>
      <c r="J111" s="6" t="n">
        <v>0</v>
      </c>
      <c r="K111" s="6" t="n">
        <v>0</v>
      </c>
      <c r="L111" s="6" t="inlineStr">
        <is>
          <t>nincs</t>
        </is>
      </c>
      <c r="M111" s="6">
        <f>IF(AND(J111&gt;0,K111&gt;0),"Rendben",IF(AND(J111=0,K111=0),"Nincs kép és adat",IF(J111=0,"Nincs kép","Nincs adat")))</f>
        <v/>
      </c>
      <c r="N111" s="6" t="inlineStr">
        <is>
          <t>Nem</t>
        </is>
      </c>
      <c r="O111" s="7" t="inlineStr">
        <is>
          <t>–</t>
        </is>
      </c>
      <c r="P111" s="7" t="inlineStr">
        <is>
          <t>Nem kerestük – nincs ismert weboldal vagy katalógus</t>
        </is>
      </c>
      <c r="Q111" s="6" t="inlineStr"/>
      <c r="R111" s="13" t="inlineStr">
        <is>
          <t>https://website-9ib.pages.dev/termek/615103-oldalajtozar-kompetten-bal/</t>
        </is>
      </c>
      <c r="S111" s="6" t="inlineStr">
        <is>
          <t>615103-oldalajtozar-kompetten-bal</t>
        </is>
      </c>
    </row>
    <row r="112">
      <c r="A112" s="6" t="inlineStr">
        <is>
          <t>D.LaPorte</t>
        </is>
      </c>
      <c r="B112" s="7" t="inlineStr">
        <is>
          <t>Oldalsó zárszerkezet ládazárhoz (bal) zárcsappal</t>
        </is>
      </c>
      <c r="C112" s="11" t="inlineStr"/>
      <c r="D112" s="12" t="inlineStr"/>
      <c r="E112" s="6" t="inlineStr">
        <is>
          <t>615501</t>
        </is>
      </c>
      <c r="F112" s="6" t="inlineStr">
        <is>
          <t>61.5005.0001</t>
        </is>
      </c>
      <c r="G112" s="6" t="inlineStr">
        <is>
          <t>Speciális felépítmény alkatrészek</t>
        </is>
      </c>
      <c r="H112" s="6" t="inlineStr">
        <is>
          <t>Zárak</t>
        </is>
      </c>
      <c r="I112" s="6" t="inlineStr">
        <is>
          <t>Quadris Excel</t>
        </is>
      </c>
      <c r="J112" s="6" t="n">
        <v>0</v>
      </c>
      <c r="K112" s="6" t="n">
        <v>0</v>
      </c>
      <c r="L112" s="6" t="inlineStr">
        <is>
          <t>nincs</t>
        </is>
      </c>
      <c r="M112" s="6">
        <f>IF(AND(J112&gt;0,K112&gt;0),"Rendben",IF(AND(J112=0,K112=0),"Nincs kép és adat",IF(J112=0,"Nincs kép","Nincs adat")))</f>
        <v/>
      </c>
      <c r="N112" s="6" t="inlineStr">
        <is>
          <t>Nem</t>
        </is>
      </c>
      <c r="O112" s="7" t="inlineStr">
        <is>
          <t>–</t>
        </is>
      </c>
      <c r="P112" s="7" t="inlineStr">
        <is>
          <t>Nem kerestük – nincs ismert weboldal vagy katalógus</t>
        </is>
      </c>
      <c r="Q112" s="6" t="inlineStr"/>
      <c r="R112" s="13" t="inlineStr">
        <is>
          <t>https://website-9ib.pages.dev/termek/615501-oldalso-zarszerkezet-ladazarhoz-bal-zarcsappal/</t>
        </is>
      </c>
      <c r="S112" s="6" t="inlineStr">
        <is>
          <t>615501-oldalso-zarszerkezet-ladazarhoz-bal-zarcsappal</t>
        </is>
      </c>
    </row>
    <row r="113">
      <c r="A113" s="6" t="inlineStr">
        <is>
          <t>D.LaPorte</t>
        </is>
      </c>
      <c r="B113" s="7" t="inlineStr">
        <is>
          <t>Oldalsó zárszerkezet ládazárhoz (jobb) zárcsappal</t>
        </is>
      </c>
      <c r="C113" s="11" t="inlineStr"/>
      <c r="D113" s="12" t="inlineStr"/>
      <c r="E113" s="6" t="inlineStr">
        <is>
          <t>615502</t>
        </is>
      </c>
      <c r="F113" s="6" t="inlineStr">
        <is>
          <t>61.5005.0002</t>
        </is>
      </c>
      <c r="G113" s="6" t="inlineStr">
        <is>
          <t>Speciális felépítmény alkatrészek</t>
        </is>
      </c>
      <c r="H113" s="6" t="inlineStr">
        <is>
          <t>Zárak</t>
        </is>
      </c>
      <c r="I113" s="6" t="inlineStr">
        <is>
          <t>Quadris Excel</t>
        </is>
      </c>
      <c r="J113" s="6" t="n">
        <v>0</v>
      </c>
      <c r="K113" s="6" t="n">
        <v>0</v>
      </c>
      <c r="L113" s="6" t="inlineStr">
        <is>
          <t>nincs</t>
        </is>
      </c>
      <c r="M113" s="6">
        <f>IF(AND(J113&gt;0,K113&gt;0),"Rendben",IF(AND(J113=0,K113=0),"Nincs kép és adat",IF(J113=0,"Nincs kép","Nincs adat")))</f>
        <v/>
      </c>
      <c r="N113" s="6" t="inlineStr">
        <is>
          <t>Nem</t>
        </is>
      </c>
      <c r="O113" s="7" t="inlineStr">
        <is>
          <t>–</t>
        </is>
      </c>
      <c r="P113" s="7" t="inlineStr">
        <is>
          <t>Nem kerestük – nincs ismert weboldal vagy katalógus</t>
        </is>
      </c>
      <c r="Q113" s="6" t="inlineStr"/>
      <c r="R113" s="13" t="inlineStr">
        <is>
          <t>https://website-9ib.pages.dev/termek/615502-oldalso-zarszerkezet-ladazarhoz-jobb-zarcsappal/</t>
        </is>
      </c>
      <c r="S113" s="6" t="inlineStr">
        <is>
          <t>615502-oldalso-zarszerkezet-ladazarhoz-jobb-zarcsappal</t>
        </is>
      </c>
    </row>
    <row r="114">
      <c r="A114" s="6" t="inlineStr">
        <is>
          <t>D.LaPorte</t>
        </is>
      </c>
      <c r="B114" s="7" t="inlineStr">
        <is>
          <t>Zárcsap</t>
        </is>
      </c>
      <c r="C114" s="11" t="inlineStr"/>
      <c r="D114" s="12" t="inlineStr"/>
      <c r="E114" s="6" t="inlineStr">
        <is>
          <t>615000</t>
        </is>
      </c>
      <c r="F114" s="6" t="inlineStr">
        <is>
          <t>07.2122, 01.4022</t>
        </is>
      </c>
      <c r="G114" s="6" t="inlineStr">
        <is>
          <t>Speciális felépítmény alkatrészek</t>
        </is>
      </c>
      <c r="H114" s="6" t="inlineStr">
        <is>
          <t>Zárak</t>
        </is>
      </c>
      <c r="I114" s="6" t="inlineStr">
        <is>
          <t>Quadris Excel</t>
        </is>
      </c>
      <c r="J114" s="6" t="n">
        <v>0</v>
      </c>
      <c r="K114" s="6" t="n">
        <v>0</v>
      </c>
      <c r="L114" s="6" t="inlineStr">
        <is>
          <t>nincs</t>
        </is>
      </c>
      <c r="M114" s="6">
        <f>IF(AND(J114&gt;0,K114&gt;0),"Rendben",IF(AND(J114=0,K114=0),"Nincs kép és adat",IF(J114=0,"Nincs kép","Nincs adat")))</f>
        <v/>
      </c>
      <c r="N114" s="6" t="inlineStr">
        <is>
          <t>Nem</t>
        </is>
      </c>
      <c r="O114" s="7" t="inlineStr">
        <is>
          <t>–</t>
        </is>
      </c>
      <c r="P114" s="7" t="inlineStr">
        <is>
          <t>Nem kerestük – nincs ismert weboldal vagy katalógus</t>
        </is>
      </c>
      <c r="Q114" s="6" t="inlineStr"/>
      <c r="R114" s="13" t="inlineStr">
        <is>
          <t>https://website-9ib.pages.dev/termek/615000-zarcsap/</t>
        </is>
      </c>
      <c r="S114" s="6" t="inlineStr">
        <is>
          <t>615000-zarcsap</t>
        </is>
      </c>
    </row>
    <row r="115">
      <c r="A115" s="6" t="inlineStr">
        <is>
          <t>DG</t>
        </is>
      </c>
      <c r="B115" s="7" t="inlineStr">
        <is>
          <t>DG -TOP</t>
        </is>
      </c>
      <c r="C115" s="11" t="inlineStr"/>
      <c r="D115" s="12" t="inlineStr"/>
      <c r="E115" s="6" t="inlineStr">
        <is>
          <t>351208</t>
        </is>
      </c>
      <c r="F115" s="6" t="inlineStr">
        <is>
          <t>12-0008</t>
        </is>
      </c>
      <c r="G115" s="6" t="inlineStr">
        <is>
          <t>Acél és alu rakoncák és szegők</t>
        </is>
      </c>
      <c r="H115" s="6" t="inlineStr">
        <is>
          <t>DG</t>
        </is>
      </c>
      <c r="I115" s="6" t="inlineStr">
        <is>
          <t>Quadris Excel</t>
        </is>
      </c>
      <c r="J115" s="6" t="n">
        <v>0</v>
      </c>
      <c r="K115" s="6" t="n">
        <v>0</v>
      </c>
      <c r="L115" s="6" t="inlineStr">
        <is>
          <t>nincs</t>
        </is>
      </c>
      <c r="M115" s="6">
        <f>IF(AND(J115&gt;0,K115&gt;0),"Rendben",IF(AND(J115=0,K115=0),"Nincs kép és adat",IF(J115=0,"Nincs kép","Nincs adat")))</f>
        <v/>
      </c>
      <c r="N115" s="6" t="inlineStr">
        <is>
          <t>Nem</t>
        </is>
      </c>
      <c r="O115" s="7" t="inlineStr">
        <is>
          <t>–</t>
        </is>
      </c>
      <c r="P115" s="7" t="inlineStr">
        <is>
          <t>Nem kerestük – nincs ismert weboldal vagy katalógus</t>
        </is>
      </c>
      <c r="Q115" s="6" t="inlineStr"/>
      <c r="R115" s="13" t="inlineStr">
        <is>
          <t>https://website-9ib.pages.dev/termek/351208-dg-top/</t>
        </is>
      </c>
      <c r="S115" s="6" t="inlineStr">
        <is>
          <t>351208-dg-top</t>
        </is>
      </c>
    </row>
    <row r="116">
      <c r="A116" s="6" t="inlineStr">
        <is>
          <t>DG</t>
        </is>
      </c>
      <c r="B116" s="7" t="inlineStr">
        <is>
          <t>DG 400 Rakonca középső szegő J-B</t>
        </is>
      </c>
      <c r="C116" s="11" t="inlineStr"/>
      <c r="D116" s="12" t="inlineStr"/>
      <c r="E116" s="6" t="inlineStr">
        <is>
          <t>352530/31</t>
        </is>
      </c>
      <c r="F116" s="6" t="inlineStr">
        <is>
          <t>06-2530 06-2531</t>
        </is>
      </c>
      <c r="G116" s="6" t="inlineStr">
        <is>
          <t>Acél és alu rakoncák és szegők</t>
        </is>
      </c>
      <c r="H116" s="6" t="inlineStr">
        <is>
          <t>DG</t>
        </is>
      </c>
      <c r="I116" s="6" t="inlineStr">
        <is>
          <t>Quadris Excel</t>
        </is>
      </c>
      <c r="J116" s="6" t="n">
        <v>0</v>
      </c>
      <c r="K116" s="6" t="n">
        <v>0</v>
      </c>
      <c r="L116" s="6" t="inlineStr">
        <is>
          <t>nincs</t>
        </is>
      </c>
      <c r="M116" s="6">
        <f>IF(AND(J116&gt;0,K116&gt;0),"Rendben",IF(AND(J116=0,K116=0),"Nincs kép és adat",IF(J116=0,"Nincs kép","Nincs adat")))</f>
        <v/>
      </c>
      <c r="N116" s="6" t="inlineStr">
        <is>
          <t>Nem</t>
        </is>
      </c>
      <c r="O116" s="7" t="inlineStr">
        <is>
          <t>–</t>
        </is>
      </c>
      <c r="P116" s="7" t="inlineStr">
        <is>
          <t>Nem kerestük – nincs ismert weboldal vagy katalógus</t>
        </is>
      </c>
      <c r="Q116" s="6" t="inlineStr"/>
      <c r="R116" s="13" t="inlineStr">
        <is>
          <t>https://website-9ib.pages.dev/termek/352530-31-dg-400-rakonca-kozepso-szego-j-b/</t>
        </is>
      </c>
      <c r="S116" s="6" t="inlineStr">
        <is>
          <t>352530-31-dg-400-rakonca-kozepso-szego-j-b</t>
        </is>
      </c>
    </row>
    <row r="117">
      <c r="A117" s="6" t="inlineStr">
        <is>
          <t>DG</t>
        </is>
      </c>
      <c r="B117" s="7" t="inlineStr">
        <is>
          <t>DG 500 Első rakonca J-B</t>
        </is>
      </c>
      <c r="C117" s="11" t="inlineStr"/>
      <c r="D117" s="12" t="inlineStr"/>
      <c r="E117" s="6" t="inlineStr">
        <is>
          <t>35003/4</t>
        </is>
      </c>
      <c r="F117" s="6" t="inlineStr">
        <is>
          <t>12-5003</t>
        </is>
      </c>
      <c r="G117" s="6" t="inlineStr">
        <is>
          <t>Acél és alu rakoncák és szegők</t>
        </is>
      </c>
      <c r="H117" s="6" t="inlineStr">
        <is>
          <t>DG</t>
        </is>
      </c>
      <c r="I117" s="6" t="inlineStr">
        <is>
          <t>Quadris Excel</t>
        </is>
      </c>
      <c r="J117" s="6" t="n">
        <v>0</v>
      </c>
      <c r="K117" s="6" t="n">
        <v>0</v>
      </c>
      <c r="L117" s="6" t="inlineStr">
        <is>
          <t>nincs</t>
        </is>
      </c>
      <c r="M117" s="6">
        <f>IF(AND(J117&gt;0,K117&gt;0),"Rendben",IF(AND(J117=0,K117=0),"Nincs kép és adat",IF(J117=0,"Nincs kép","Nincs adat")))</f>
        <v/>
      </c>
      <c r="N117" s="6" t="inlineStr">
        <is>
          <t>Nem</t>
        </is>
      </c>
      <c r="O117" s="7" t="inlineStr">
        <is>
          <t>–</t>
        </is>
      </c>
      <c r="P117" s="7" t="inlineStr">
        <is>
          <t>Nem kerestük – nincs ismert weboldal vagy katalógus</t>
        </is>
      </c>
      <c r="Q117" s="6" t="inlineStr"/>
      <c r="R117" s="13" t="inlineStr">
        <is>
          <t>https://website-9ib.pages.dev/termek/35003-4-dg-500-elso-rakonca-j-b/</t>
        </is>
      </c>
      <c r="S117" s="6" t="inlineStr">
        <is>
          <t>35003-4-dg-500-elso-rakonca-j-b</t>
        </is>
      </c>
    </row>
    <row r="118">
      <c r="A118" s="6" t="inlineStr">
        <is>
          <t>DG</t>
        </is>
      </c>
      <c r="B118" s="7" t="inlineStr">
        <is>
          <t>DG 500 Hátsó rakonca J-B</t>
        </is>
      </c>
      <c r="C118" s="11" t="inlineStr"/>
      <c r="D118" s="12" t="inlineStr"/>
      <c r="E118" s="6" t="inlineStr">
        <is>
          <t>35001/2</t>
        </is>
      </c>
      <c r="F118" s="6" t="inlineStr">
        <is>
          <t>12-5001</t>
        </is>
      </c>
      <c r="G118" s="6" t="inlineStr">
        <is>
          <t>Acél és alu rakoncák és szegők</t>
        </is>
      </c>
      <c r="H118" s="6" t="inlineStr">
        <is>
          <t>DG</t>
        </is>
      </c>
      <c r="I118" s="6" t="inlineStr">
        <is>
          <t>Quadris Excel</t>
        </is>
      </c>
      <c r="J118" s="6" t="n">
        <v>0</v>
      </c>
      <c r="K118" s="6" t="n">
        <v>0</v>
      </c>
      <c r="L118" s="6" t="inlineStr">
        <is>
          <t>nincs</t>
        </is>
      </c>
      <c r="M118" s="6">
        <f>IF(AND(J118&gt;0,K118&gt;0),"Rendben",IF(AND(J118=0,K118=0),"Nincs kép és adat",IF(J118=0,"Nincs kép","Nincs adat")))</f>
        <v/>
      </c>
      <c r="N118" s="6" t="inlineStr">
        <is>
          <t>Nem</t>
        </is>
      </c>
      <c r="O118" s="7" t="inlineStr">
        <is>
          <t>–</t>
        </is>
      </c>
      <c r="P118" s="7" t="inlineStr">
        <is>
          <t>Nem kerestük – nincs ismert weboldal vagy katalógus</t>
        </is>
      </c>
      <c r="Q118" s="6" t="inlineStr"/>
      <c r="R118" s="13" t="inlineStr">
        <is>
          <t>https://website-9ib.pages.dev/termek/35001-2-dg-500-hatso-rakonca-j-b/</t>
        </is>
      </c>
      <c r="S118" s="6" t="inlineStr">
        <is>
          <t>35001-2-dg-500-hatso-rakonca-j-b</t>
        </is>
      </c>
    </row>
    <row r="119">
      <c r="A119" s="6" t="inlineStr">
        <is>
          <t>DG</t>
        </is>
      </c>
      <c r="B119" s="7" t="inlineStr">
        <is>
          <t>DG 500 Köztes rakonca</t>
        </is>
      </c>
      <c r="C119" s="11" t="inlineStr"/>
      <c r="D119" s="12" t="inlineStr"/>
      <c r="E119" s="6" t="inlineStr">
        <is>
          <t>35000</t>
        </is>
      </c>
      <c r="F119" s="6" t="inlineStr">
        <is>
          <t>12-5000</t>
        </is>
      </c>
      <c r="G119" s="6" t="inlineStr">
        <is>
          <t>Acél és alu rakoncák és szegők</t>
        </is>
      </c>
      <c r="H119" s="6" t="inlineStr">
        <is>
          <t>DG</t>
        </is>
      </c>
      <c r="I119" s="6" t="inlineStr">
        <is>
          <t>Quadris Excel</t>
        </is>
      </c>
      <c r="J119" s="6" t="n">
        <v>0</v>
      </c>
      <c r="K119" s="6" t="n">
        <v>0</v>
      </c>
      <c r="L119" s="6" t="inlineStr">
        <is>
          <t>nincs</t>
        </is>
      </c>
      <c r="M119" s="6">
        <f>IF(AND(J119&gt;0,K119&gt;0),"Rendben",IF(AND(J119=0,K119=0),"Nincs kép és adat",IF(J119=0,"Nincs kép","Nincs adat")))</f>
        <v/>
      </c>
      <c r="N119" s="6" t="inlineStr">
        <is>
          <t>Nem</t>
        </is>
      </c>
      <c r="O119" s="7" t="inlineStr">
        <is>
          <t>–</t>
        </is>
      </c>
      <c r="P119" s="7" t="inlineStr">
        <is>
          <t>Nem kerestük – nincs ismert weboldal vagy katalógus</t>
        </is>
      </c>
      <c r="Q119" s="6" t="inlineStr"/>
      <c r="R119" s="13" t="inlineStr">
        <is>
          <t>https://website-9ib.pages.dev/termek/35000-dg-500-koztes-rakonca/</t>
        </is>
      </c>
      <c r="S119" s="6" t="inlineStr">
        <is>
          <t>35000-dg-500-koztes-rakonca</t>
        </is>
      </c>
    </row>
    <row r="120">
      <c r="A120" s="6" t="inlineStr">
        <is>
          <t>DG</t>
        </is>
      </c>
      <c r="B120" s="7" t="inlineStr">
        <is>
          <t>DG Első 400 mm-es rakonca J-B</t>
        </is>
      </c>
      <c r="C120" s="11" t="inlineStr"/>
      <c r="D120" s="12" t="inlineStr"/>
      <c r="E120" s="6" t="inlineStr">
        <is>
          <t>352500/10</t>
        </is>
      </c>
      <c r="F120" s="6" t="inlineStr">
        <is>
          <t>06-25000.01/25010.01</t>
        </is>
      </c>
      <c r="G120" s="6" t="inlineStr">
        <is>
          <t>Acél és alu rakoncák és szegők</t>
        </is>
      </c>
      <c r="H120" s="6" t="inlineStr">
        <is>
          <t>DG</t>
        </is>
      </c>
      <c r="I120" s="6" t="inlineStr">
        <is>
          <t>Quadris Excel</t>
        </is>
      </c>
      <c r="J120" s="6" t="n">
        <v>0</v>
      </c>
      <c r="K120" s="6" t="n">
        <v>0</v>
      </c>
      <c r="L120" s="6" t="inlineStr">
        <is>
          <t>nincs</t>
        </is>
      </c>
      <c r="M120" s="6">
        <f>IF(AND(J120&gt;0,K120&gt;0),"Rendben",IF(AND(J120=0,K120=0),"Nincs kép és adat",IF(J120=0,"Nincs kép","Nincs adat")))</f>
        <v/>
      </c>
      <c r="N120" s="6" t="inlineStr">
        <is>
          <t>Nem</t>
        </is>
      </c>
      <c r="O120" s="7" t="inlineStr">
        <is>
          <t>–</t>
        </is>
      </c>
      <c r="P120" s="7" t="inlineStr">
        <is>
          <t>Nem kerestük – nincs ismert weboldal vagy katalógus</t>
        </is>
      </c>
      <c r="Q120" s="6" t="inlineStr"/>
      <c r="R120" s="13" t="inlineStr">
        <is>
          <t>https://website-9ib.pages.dev/termek/352500-10-dg-elso-400-mm-es-rakonca-j-b/</t>
        </is>
      </c>
      <c r="S120" s="6" t="inlineStr">
        <is>
          <t>352500-10-dg-elso-400-mm-es-rakonca-j-b</t>
        </is>
      </c>
    </row>
    <row r="121">
      <c r="A121" s="6" t="inlineStr">
        <is>
          <t>DG</t>
        </is>
      </c>
      <c r="B121" s="7" t="inlineStr">
        <is>
          <t>DG Első 600 mm-es rakonca J-B</t>
        </is>
      </c>
      <c r="C121" s="11" t="inlineStr"/>
      <c r="D121" s="12" t="inlineStr"/>
      <c r="E121" s="6" t="inlineStr">
        <is>
          <t>351263/4</t>
        </is>
      </c>
      <c r="F121" s="6" t="inlineStr">
        <is>
          <t>12-6003, 12-6004</t>
        </is>
      </c>
      <c r="G121" s="6" t="inlineStr">
        <is>
          <t>Acél és alu rakoncák és szegők</t>
        </is>
      </c>
      <c r="H121" s="6" t="inlineStr">
        <is>
          <t>DG</t>
        </is>
      </c>
      <c r="I121" s="6" t="inlineStr">
        <is>
          <t>Quadris Excel</t>
        </is>
      </c>
      <c r="J121" s="6" t="n">
        <v>0</v>
      </c>
      <c r="K121" s="6" t="n">
        <v>0</v>
      </c>
      <c r="L121" s="6" t="inlineStr">
        <is>
          <t>nincs</t>
        </is>
      </c>
      <c r="M121" s="6">
        <f>IF(AND(J121&gt;0,K121&gt;0),"Rendben",IF(AND(J121=0,K121=0),"Nincs kép és adat",IF(J121=0,"Nincs kép","Nincs adat")))</f>
        <v/>
      </c>
      <c r="N121" s="6" t="inlineStr">
        <is>
          <t>Nem</t>
        </is>
      </c>
      <c r="O121" s="7" t="inlineStr">
        <is>
          <t>–</t>
        </is>
      </c>
      <c r="P121" s="7" t="inlineStr">
        <is>
          <t>Nem kerestük – nincs ismert weboldal vagy katalógus</t>
        </is>
      </c>
      <c r="Q121" s="6" t="inlineStr"/>
      <c r="R121" s="13" t="inlineStr">
        <is>
          <t>https://website-9ib.pages.dev/termek/351263-4-dg-elso-600-mm-es-rakonca-j-b/</t>
        </is>
      </c>
      <c r="S121" s="6" t="inlineStr">
        <is>
          <t>351263-4-dg-elso-600-mm-es-rakonca-j-b</t>
        </is>
      </c>
    </row>
    <row r="122">
      <c r="A122" s="6" t="inlineStr">
        <is>
          <t>DG</t>
        </is>
      </c>
      <c r="B122" s="7" t="inlineStr">
        <is>
          <t>DG Hátsó 400 mm rakonca szegő J-B</t>
        </is>
      </c>
      <c r="C122" s="11" t="inlineStr"/>
      <c r="D122" s="12" t="inlineStr"/>
      <c r="E122" s="6" t="inlineStr">
        <is>
          <t>352532/33</t>
        </is>
      </c>
      <c r="F122" s="6" t="inlineStr">
        <is>
          <t>06-2532 06-2533</t>
        </is>
      </c>
      <c r="G122" s="6" t="inlineStr">
        <is>
          <t>Acél és alu rakoncák és szegők</t>
        </is>
      </c>
      <c r="H122" s="6" t="inlineStr">
        <is>
          <t>DG</t>
        </is>
      </c>
      <c r="I122" s="6" t="inlineStr">
        <is>
          <t>Quadris Excel</t>
        </is>
      </c>
      <c r="J122" s="6" t="n">
        <v>0</v>
      </c>
      <c r="K122" s="6" t="n">
        <v>0</v>
      </c>
      <c r="L122" s="6" t="inlineStr">
        <is>
          <t>nincs</t>
        </is>
      </c>
      <c r="M122" s="6">
        <f>IF(AND(J122&gt;0,K122&gt;0),"Rendben",IF(AND(J122=0,K122=0),"Nincs kép és adat",IF(J122=0,"Nincs kép","Nincs adat")))</f>
        <v/>
      </c>
      <c r="N122" s="6" t="inlineStr">
        <is>
          <t>Nem</t>
        </is>
      </c>
      <c r="O122" s="7" t="inlineStr">
        <is>
          <t>–</t>
        </is>
      </c>
      <c r="P122" s="7" t="inlineStr">
        <is>
          <t>Nem kerestük – nincs ismert weboldal vagy katalógus</t>
        </is>
      </c>
      <c r="Q122" s="6" t="inlineStr"/>
      <c r="R122" s="13" t="inlineStr">
        <is>
          <t>https://website-9ib.pages.dev/termek/352532-33-dg-hatso-400-mm-rakonca-szego-j-b/</t>
        </is>
      </c>
      <c r="S122" s="6" t="inlineStr">
        <is>
          <t>352532-33-dg-hatso-400-mm-rakonca-szego-j-b</t>
        </is>
      </c>
    </row>
    <row r="123">
      <c r="A123" s="6" t="inlineStr">
        <is>
          <t>DG</t>
        </is>
      </c>
      <c r="B123" s="7" t="inlineStr">
        <is>
          <t>DG Hátsó 400 mm-es rakonca J-B</t>
        </is>
      </c>
      <c r="C123" s="11" t="inlineStr"/>
      <c r="D123" s="12" t="inlineStr"/>
      <c r="E123" s="6" t="inlineStr">
        <is>
          <t>352550/60</t>
        </is>
      </c>
      <c r="F123" s="6" t="inlineStr">
        <is>
          <t>06-25050.01,25060.01</t>
        </is>
      </c>
      <c r="G123" s="6" t="inlineStr">
        <is>
          <t>Acél és alu rakoncák és szegők</t>
        </is>
      </c>
      <c r="H123" s="6" t="inlineStr">
        <is>
          <t>DG</t>
        </is>
      </c>
      <c r="I123" s="6" t="inlineStr">
        <is>
          <t>Quadris Excel</t>
        </is>
      </c>
      <c r="J123" s="6" t="n">
        <v>0</v>
      </c>
      <c r="K123" s="6" t="n">
        <v>0</v>
      </c>
      <c r="L123" s="6" t="inlineStr">
        <is>
          <t>nincs</t>
        </is>
      </c>
      <c r="M123" s="6">
        <f>IF(AND(J123&gt;0,K123&gt;0),"Rendben",IF(AND(J123=0,K123=0),"Nincs kép és adat",IF(J123=0,"Nincs kép","Nincs adat")))</f>
        <v/>
      </c>
      <c r="N123" s="6" t="inlineStr">
        <is>
          <t>Nem</t>
        </is>
      </c>
      <c r="O123" s="7" t="inlineStr">
        <is>
          <t>–</t>
        </is>
      </c>
      <c r="P123" s="7" t="inlineStr">
        <is>
          <t>Nem kerestük – nincs ismert weboldal vagy katalógus</t>
        </is>
      </c>
      <c r="Q123" s="6" t="inlineStr"/>
      <c r="R123" s="13" t="inlineStr">
        <is>
          <t>https://website-9ib.pages.dev/termek/352550-60-dg-hatso-400-mm-es-rakonca-j-b/</t>
        </is>
      </c>
      <c r="S123" s="6" t="inlineStr">
        <is>
          <t>352550-60-dg-hatso-400-mm-es-rakonca-j-b</t>
        </is>
      </c>
    </row>
    <row r="124">
      <c r="A124" s="6" t="inlineStr">
        <is>
          <t>DG</t>
        </is>
      </c>
      <c r="B124" s="7" t="inlineStr">
        <is>
          <t>DG Hátsó 600 mm-es rakonca J-B</t>
        </is>
      </c>
      <c r="C124" s="11" t="inlineStr"/>
      <c r="D124" s="12" t="inlineStr"/>
      <c r="E124" s="6" t="inlineStr">
        <is>
          <t>351261/2</t>
        </is>
      </c>
      <c r="F124" s="6" t="inlineStr">
        <is>
          <t>12-6001</t>
        </is>
      </c>
      <c r="G124" s="6" t="inlineStr">
        <is>
          <t>Acél és alu rakoncák és szegők</t>
        </is>
      </c>
      <c r="H124" s="6" t="inlineStr">
        <is>
          <t>DG</t>
        </is>
      </c>
      <c r="I124" s="6" t="inlineStr">
        <is>
          <t>Quadris Excel</t>
        </is>
      </c>
      <c r="J124" s="6" t="n">
        <v>0</v>
      </c>
      <c r="K124" s="6" t="n">
        <v>0</v>
      </c>
      <c r="L124" s="6" t="inlineStr">
        <is>
          <t>nincs</t>
        </is>
      </c>
      <c r="M124" s="6">
        <f>IF(AND(J124&gt;0,K124&gt;0),"Rendben",IF(AND(J124=0,K124=0),"Nincs kép és adat",IF(J124=0,"Nincs kép","Nincs adat")))</f>
        <v/>
      </c>
      <c r="N124" s="6" t="inlineStr">
        <is>
          <t>Nem</t>
        </is>
      </c>
      <c r="O124" s="7" t="inlineStr">
        <is>
          <t>–</t>
        </is>
      </c>
      <c r="P124" s="7" t="inlineStr">
        <is>
          <t>Nem kerestük – nincs ismert weboldal vagy katalógus</t>
        </is>
      </c>
      <c r="Q124" s="6" t="inlineStr"/>
      <c r="R124" s="13" t="inlineStr">
        <is>
          <t>https://website-9ib.pages.dev/termek/351261-2-dg-hatso-600-mm-es-rakonca-j-b/</t>
        </is>
      </c>
      <c r="S124" s="6" t="inlineStr">
        <is>
          <t>351261-2-dg-hatso-600-mm-es-rakonca-j-b</t>
        </is>
      </c>
    </row>
    <row r="125">
      <c r="A125" s="6" t="inlineStr">
        <is>
          <t>DG</t>
        </is>
      </c>
      <c r="B125" s="7" t="inlineStr">
        <is>
          <t>DG TOP köztes 400 mm-es rakonca</t>
        </is>
      </c>
      <c r="C125" s="11" t="inlineStr"/>
      <c r="D125" s="12" t="inlineStr"/>
      <c r="E125" s="6" t="inlineStr">
        <is>
          <t>352570</t>
        </is>
      </c>
      <c r="F125" s="6" t="inlineStr">
        <is>
          <t>06-25070.01</t>
        </is>
      </c>
      <c r="G125" s="6" t="inlineStr">
        <is>
          <t>Acél és alu rakoncák és szegők</t>
        </is>
      </c>
      <c r="H125" s="6" t="inlineStr">
        <is>
          <t>DG</t>
        </is>
      </c>
      <c r="I125" s="6" t="inlineStr">
        <is>
          <t>Quadris Excel</t>
        </is>
      </c>
      <c r="J125" s="6" t="n">
        <v>0</v>
      </c>
      <c r="K125" s="6" t="n">
        <v>0</v>
      </c>
      <c r="L125" s="6" t="inlineStr">
        <is>
          <t>nincs</t>
        </is>
      </c>
      <c r="M125" s="6">
        <f>IF(AND(J125&gt;0,K125&gt;0),"Rendben",IF(AND(J125=0,K125=0),"Nincs kép és adat",IF(J125=0,"Nincs kép","Nincs adat")))</f>
        <v/>
      </c>
      <c r="N125" s="6" t="inlineStr">
        <is>
          <t>Nem</t>
        </is>
      </c>
      <c r="O125" s="7" t="inlineStr">
        <is>
          <t>–</t>
        </is>
      </c>
      <c r="P125" s="7" t="inlineStr">
        <is>
          <t>Nem kerestük – nincs ismert weboldal vagy katalógus</t>
        </is>
      </c>
      <c r="Q125" s="6" t="inlineStr"/>
      <c r="R125" s="13" t="inlineStr">
        <is>
          <t>https://website-9ib.pages.dev/termek/352570-dg-top-koztes-400-mm-es-rakonca/</t>
        </is>
      </c>
      <c r="S125" s="6" t="inlineStr">
        <is>
          <t>352570-dg-top-koztes-400-mm-es-rakonca</t>
        </is>
      </c>
    </row>
    <row r="126">
      <c r="A126" s="6" t="inlineStr">
        <is>
          <t>DG</t>
        </is>
      </c>
      <c r="B126" s="7" t="inlineStr">
        <is>
          <t>DG első 1000 mm-es rakonca J-B</t>
        </is>
      </c>
      <c r="C126" s="11" t="inlineStr"/>
      <c r="D126" s="12" t="inlineStr"/>
      <c r="E126" s="6" t="inlineStr">
        <is>
          <t>351213/4</t>
        </is>
      </c>
      <c r="F126" s="6" t="inlineStr"/>
      <c r="G126" s="6" t="inlineStr">
        <is>
          <t>Acél és alu rakoncák és szegők</t>
        </is>
      </c>
      <c r="H126" s="6" t="inlineStr">
        <is>
          <t>DG</t>
        </is>
      </c>
      <c r="I126" s="6" t="inlineStr">
        <is>
          <t>Quadris Excel</t>
        </is>
      </c>
      <c r="J126" s="6" t="n">
        <v>0</v>
      </c>
      <c r="K126" s="6" t="n">
        <v>0</v>
      </c>
      <c r="L126" s="6" t="inlineStr">
        <is>
          <t>nincs</t>
        </is>
      </c>
      <c r="M126" s="6">
        <f>IF(AND(J126&gt;0,K126&gt;0),"Rendben",IF(AND(J126=0,K126=0),"Nincs kép és adat",IF(J126=0,"Nincs kép","Nincs adat")))</f>
        <v/>
      </c>
      <c r="N126" s="6" t="inlineStr">
        <is>
          <t>Nem</t>
        </is>
      </c>
      <c r="O126" s="7" t="inlineStr">
        <is>
          <t>–</t>
        </is>
      </c>
      <c r="P126" s="7" t="inlineStr">
        <is>
          <t>Nem kerestük – nincs ismert weboldal vagy katalógus</t>
        </is>
      </c>
      <c r="Q126" s="6" t="inlineStr"/>
      <c r="R126" s="13" t="inlineStr">
        <is>
          <t>https://website-9ib.pages.dev/termek/351213-4-dg-elso-1000-mm-es-rakonca-j-b/</t>
        </is>
      </c>
      <c r="S126" s="6" t="inlineStr">
        <is>
          <t>351213-4-dg-elso-1000-mm-es-rakonca-j-b</t>
        </is>
      </c>
    </row>
    <row r="127">
      <c r="A127" s="6" t="inlineStr">
        <is>
          <t>DG</t>
        </is>
      </c>
      <c r="B127" s="7" t="inlineStr">
        <is>
          <t>DG első 800 mm-es rakonca J-B</t>
        </is>
      </c>
      <c r="C127" s="11" t="inlineStr"/>
      <c r="D127" s="12" t="inlineStr"/>
      <c r="E127" s="6" t="inlineStr">
        <is>
          <t>351283/4</t>
        </is>
      </c>
      <c r="F127" s="6" t="inlineStr">
        <is>
          <t>12-8003</t>
        </is>
      </c>
      <c r="G127" s="6" t="inlineStr">
        <is>
          <t>Acél és alu rakoncák és szegők</t>
        </is>
      </c>
      <c r="H127" s="6" t="inlineStr">
        <is>
          <t>DG</t>
        </is>
      </c>
      <c r="I127" s="6" t="inlineStr">
        <is>
          <t>Quadris Excel</t>
        </is>
      </c>
      <c r="J127" s="6" t="n">
        <v>0</v>
      </c>
      <c r="K127" s="6" t="n">
        <v>0</v>
      </c>
      <c r="L127" s="6" t="inlineStr">
        <is>
          <t>nincs</t>
        </is>
      </c>
      <c r="M127" s="6">
        <f>IF(AND(J127&gt;0,K127&gt;0),"Rendben",IF(AND(J127=0,K127=0),"Nincs kép és adat",IF(J127=0,"Nincs kép","Nincs adat")))</f>
        <v/>
      </c>
      <c r="N127" s="6" t="inlineStr">
        <is>
          <t>Nem</t>
        </is>
      </c>
      <c r="O127" s="7" t="inlineStr">
        <is>
          <t>–</t>
        </is>
      </c>
      <c r="P127" s="7" t="inlineStr">
        <is>
          <t>Nem kerestük – nincs ismert weboldal vagy katalógus</t>
        </is>
      </c>
      <c r="Q127" s="6" t="inlineStr"/>
      <c r="R127" s="13" t="inlineStr">
        <is>
          <t>https://website-9ib.pages.dev/termek/351283-4-dg-elso-800-mm-es-rakonca-j-b/</t>
        </is>
      </c>
      <c r="S127" s="6" t="inlineStr">
        <is>
          <t>351283-4-dg-elso-800-mm-es-rakonca-j-b</t>
        </is>
      </c>
    </row>
    <row r="128">
      <c r="A128" s="6" t="inlineStr">
        <is>
          <t>DG</t>
        </is>
      </c>
      <c r="B128" s="7" t="inlineStr">
        <is>
          <t>DG hátsó 800 mm-es rakonca J-B</t>
        </is>
      </c>
      <c r="C128" s="11" t="inlineStr"/>
      <c r="D128" s="12" t="inlineStr"/>
      <c r="E128" s="6" t="inlineStr">
        <is>
          <t>351281/2</t>
        </is>
      </c>
      <c r="F128" s="6" t="inlineStr">
        <is>
          <t>12-8001, 12-8002</t>
        </is>
      </c>
      <c r="G128" s="6" t="inlineStr">
        <is>
          <t>Acél és alu rakoncák és szegők</t>
        </is>
      </c>
      <c r="H128" s="6" t="inlineStr">
        <is>
          <t>DG</t>
        </is>
      </c>
      <c r="I128" s="6" t="inlineStr">
        <is>
          <t>Quadris Excel</t>
        </is>
      </c>
      <c r="J128" s="6" t="n">
        <v>0</v>
      </c>
      <c r="K128" s="6" t="n">
        <v>0</v>
      </c>
      <c r="L128" s="6" t="inlineStr">
        <is>
          <t>nincs</t>
        </is>
      </c>
      <c r="M128" s="6">
        <f>IF(AND(J128&gt;0,K128&gt;0),"Rendben",IF(AND(J128=0,K128=0),"Nincs kép és adat",IF(J128=0,"Nincs kép","Nincs adat")))</f>
        <v/>
      </c>
      <c r="N128" s="6" t="inlineStr">
        <is>
          <t>Nem</t>
        </is>
      </c>
      <c r="O128" s="7" t="inlineStr">
        <is>
          <t>–</t>
        </is>
      </c>
      <c r="P128" s="7" t="inlineStr">
        <is>
          <t>Nem kerestük – nincs ismert weboldal vagy katalógus</t>
        </is>
      </c>
      <c r="Q128" s="6" t="inlineStr"/>
      <c r="R128" s="13" t="inlineStr">
        <is>
          <t>https://website-9ib.pages.dev/termek/351281-2-dg-hatso-800-mm-es-rakonca-j-b/</t>
        </is>
      </c>
      <c r="S128" s="6" t="inlineStr">
        <is>
          <t>351281-2-dg-hatso-800-mm-es-rakonca-j-b</t>
        </is>
      </c>
    </row>
    <row r="129">
      <c r="A129" s="6" t="inlineStr">
        <is>
          <t>DG</t>
        </is>
      </c>
      <c r="B129" s="7" t="inlineStr">
        <is>
          <t>DG köztes 1000 mm-es rakonca</t>
        </is>
      </c>
      <c r="C129" s="11" t="inlineStr"/>
      <c r="D129" s="12" t="inlineStr"/>
      <c r="E129" s="6" t="inlineStr">
        <is>
          <t>351210</t>
        </is>
      </c>
      <c r="F129" s="6" t="inlineStr"/>
      <c r="G129" s="6" t="inlineStr">
        <is>
          <t>Acél és alu rakoncák és szegők</t>
        </is>
      </c>
      <c r="H129" s="6" t="inlineStr">
        <is>
          <t>DG</t>
        </is>
      </c>
      <c r="I129" s="6" t="inlineStr">
        <is>
          <t>Quadris Excel</t>
        </is>
      </c>
      <c r="J129" s="6" t="n">
        <v>0</v>
      </c>
      <c r="K129" s="6" t="n">
        <v>0</v>
      </c>
      <c r="L129" s="6" t="inlineStr">
        <is>
          <t>nincs</t>
        </is>
      </c>
      <c r="M129" s="6">
        <f>IF(AND(J129&gt;0,K129&gt;0),"Rendben",IF(AND(J129=0,K129=0),"Nincs kép és adat",IF(J129=0,"Nincs kép","Nincs adat")))</f>
        <v/>
      </c>
      <c r="N129" s="6" t="inlineStr">
        <is>
          <t>Nem</t>
        </is>
      </c>
      <c r="O129" s="7" t="inlineStr">
        <is>
          <t>–</t>
        </is>
      </c>
      <c r="P129" s="7" t="inlineStr">
        <is>
          <t>Nem kerestük – nincs ismert weboldal vagy katalógus</t>
        </is>
      </c>
      <c r="Q129" s="6" t="inlineStr"/>
      <c r="R129" s="13" t="inlineStr">
        <is>
          <t>https://website-9ib.pages.dev/termek/351210-dg-koztes-1000-mm-es-rakonca/</t>
        </is>
      </c>
      <c r="S129" s="6" t="inlineStr">
        <is>
          <t>351210-dg-koztes-1000-mm-es-rakonca</t>
        </is>
      </c>
    </row>
    <row r="130">
      <c r="A130" s="6" t="inlineStr">
        <is>
          <t>DG</t>
        </is>
      </c>
      <c r="B130" s="7" t="inlineStr">
        <is>
          <t>DG köztes 400 mm-es rakonca</t>
        </is>
      </c>
      <c r="C130" s="11" t="inlineStr"/>
      <c r="D130" s="12" t="inlineStr"/>
      <c r="E130" s="6" t="inlineStr">
        <is>
          <t>352540/NT</t>
        </is>
      </c>
      <c r="F130" s="6" t="inlineStr">
        <is>
          <t>06-25040.01</t>
        </is>
      </c>
      <c r="G130" s="6" t="inlineStr">
        <is>
          <t>Acél és alu rakoncák és szegők</t>
        </is>
      </c>
      <c r="H130" s="6" t="inlineStr">
        <is>
          <t>DG</t>
        </is>
      </c>
      <c r="I130" s="6" t="inlineStr">
        <is>
          <t>Quadris Excel</t>
        </is>
      </c>
      <c r="J130" s="6" t="n">
        <v>0</v>
      </c>
      <c r="K130" s="6" t="n">
        <v>0</v>
      </c>
      <c r="L130" s="6" t="inlineStr">
        <is>
          <t>nincs</t>
        </is>
      </c>
      <c r="M130" s="6">
        <f>IF(AND(J130&gt;0,K130&gt;0),"Rendben",IF(AND(J130=0,K130=0),"Nincs kép és adat",IF(J130=0,"Nincs kép","Nincs adat")))</f>
        <v/>
      </c>
      <c r="N130" s="6" t="inlineStr">
        <is>
          <t>Nem</t>
        </is>
      </c>
      <c r="O130" s="7" t="inlineStr">
        <is>
          <t>–</t>
        </is>
      </c>
      <c r="P130" s="7" t="inlineStr">
        <is>
          <t>Nem kerestük – nincs ismert weboldal vagy katalógus</t>
        </is>
      </c>
      <c r="Q130" s="6" t="inlineStr"/>
      <c r="R130" s="13" t="inlineStr">
        <is>
          <t>https://website-9ib.pages.dev/termek/352540-nt-dg-koztes-400-mm-es-rakonca/</t>
        </is>
      </c>
      <c r="S130" s="6" t="inlineStr">
        <is>
          <t>352540-nt-dg-koztes-400-mm-es-rakonca</t>
        </is>
      </c>
    </row>
    <row r="131">
      <c r="A131" s="6" t="inlineStr">
        <is>
          <t>DG</t>
        </is>
      </c>
      <c r="B131" s="7" t="inlineStr">
        <is>
          <t>DG köztes 600 mm-es rakonca</t>
        </is>
      </c>
      <c r="C131" s="11" t="inlineStr"/>
      <c r="D131" s="12" t="inlineStr"/>
      <c r="E131" s="6" t="inlineStr">
        <is>
          <t>351260</t>
        </is>
      </c>
      <c r="F131" s="6" t="inlineStr">
        <is>
          <t>12-6000</t>
        </is>
      </c>
      <c r="G131" s="6" t="inlineStr">
        <is>
          <t>Acél és alu rakoncák és szegők</t>
        </is>
      </c>
      <c r="H131" s="6" t="inlineStr">
        <is>
          <t>DG</t>
        </is>
      </c>
      <c r="I131" s="6" t="inlineStr">
        <is>
          <t>Quadris Excel</t>
        </is>
      </c>
      <c r="J131" s="6" t="n">
        <v>0</v>
      </c>
      <c r="K131" s="6" t="n">
        <v>0</v>
      </c>
      <c r="L131" s="6" t="inlineStr">
        <is>
          <t>nincs</t>
        </is>
      </c>
      <c r="M131" s="6">
        <f>IF(AND(J131&gt;0,K131&gt;0),"Rendben",IF(AND(J131=0,K131=0),"Nincs kép és adat",IF(J131=0,"Nincs kép","Nincs adat")))</f>
        <v/>
      </c>
      <c r="N131" s="6" t="inlineStr">
        <is>
          <t>Nem</t>
        </is>
      </c>
      <c r="O131" s="7" t="inlineStr">
        <is>
          <t>–</t>
        </is>
      </c>
      <c r="P131" s="7" t="inlineStr">
        <is>
          <t>Nem kerestük – nincs ismert weboldal vagy katalógus</t>
        </is>
      </c>
      <c r="Q131" s="6" t="inlineStr"/>
      <c r="R131" s="13" t="inlineStr">
        <is>
          <t>https://website-9ib.pages.dev/termek/351260-dg-koztes-600-mm-es-rakonca/</t>
        </is>
      </c>
      <c r="S131" s="6" t="inlineStr">
        <is>
          <t>351260-dg-koztes-600-mm-es-rakonca</t>
        </is>
      </c>
    </row>
    <row r="132">
      <c r="A132" s="6" t="inlineStr">
        <is>
          <t>DG</t>
        </is>
      </c>
      <c r="B132" s="7" t="inlineStr">
        <is>
          <t>DG köztes 800 mm-es rakonca</t>
        </is>
      </c>
      <c r="C132" s="11" t="inlineStr"/>
      <c r="D132" s="12" t="inlineStr"/>
      <c r="E132" s="6" t="inlineStr">
        <is>
          <t>351280</t>
        </is>
      </c>
      <c r="F132" s="6" t="inlineStr">
        <is>
          <t>12-8000</t>
        </is>
      </c>
      <c r="G132" s="6" t="inlineStr">
        <is>
          <t>Acél és alu rakoncák és szegők</t>
        </is>
      </c>
      <c r="H132" s="6" t="inlineStr">
        <is>
          <t>DG</t>
        </is>
      </c>
      <c r="I132" s="6" t="inlineStr">
        <is>
          <t>Quadris Excel</t>
        </is>
      </c>
      <c r="J132" s="6" t="n">
        <v>0</v>
      </c>
      <c r="K132" s="6" t="n">
        <v>0</v>
      </c>
      <c r="L132" s="6" t="inlineStr">
        <is>
          <t>nincs</t>
        </is>
      </c>
      <c r="M132" s="6">
        <f>IF(AND(J132&gt;0,K132&gt;0),"Rendben",IF(AND(J132=0,K132=0),"Nincs kép és adat",IF(J132=0,"Nincs kép","Nincs adat")))</f>
        <v/>
      </c>
      <c r="N132" s="6" t="inlineStr">
        <is>
          <t>Nem</t>
        </is>
      </c>
      <c r="O132" s="7" t="inlineStr">
        <is>
          <t>–</t>
        </is>
      </c>
      <c r="P132" s="7" t="inlineStr">
        <is>
          <t>Nem kerestük – nincs ismert weboldal vagy katalógus</t>
        </is>
      </c>
      <c r="Q132" s="6" t="inlineStr"/>
      <c r="R132" s="13" t="inlineStr">
        <is>
          <t>https://website-9ib.pages.dev/termek/351280-dg-koztes-800-mm-es-rakonca/</t>
        </is>
      </c>
      <c r="S132" s="6" t="inlineStr">
        <is>
          <t>351280-dg-koztes-800-mm-es-rakonca</t>
        </is>
      </c>
    </row>
    <row r="133">
      <c r="A133" s="6" t="inlineStr">
        <is>
          <t>DG</t>
        </is>
      </c>
      <c r="B133" s="7" t="inlineStr">
        <is>
          <t>KDG első 400 mm-es rakonca J-B</t>
        </is>
      </c>
      <c r="C133" s="11" t="inlineStr"/>
      <c r="D133" s="12" t="inlineStr"/>
      <c r="E133" s="6" t="inlineStr">
        <is>
          <t>351243/4</t>
        </is>
      </c>
      <c r="F133" s="6" t="inlineStr">
        <is>
          <t>12-4003, 12-4004</t>
        </is>
      </c>
      <c r="G133" s="6" t="inlineStr">
        <is>
          <t>Acél és alu rakoncák és szegők</t>
        </is>
      </c>
      <c r="H133" s="6" t="inlineStr">
        <is>
          <t>DG</t>
        </is>
      </c>
      <c r="I133" s="6" t="inlineStr">
        <is>
          <t>Quadris Excel</t>
        </is>
      </c>
      <c r="J133" s="6" t="n">
        <v>0</v>
      </c>
      <c r="K133" s="6" t="n">
        <v>0</v>
      </c>
      <c r="L133" s="6" t="inlineStr">
        <is>
          <t>nincs</t>
        </is>
      </c>
      <c r="M133" s="6">
        <f>IF(AND(J133&gt;0,K133&gt;0),"Rendben",IF(AND(J133=0,K133=0),"Nincs kép és adat",IF(J133=0,"Nincs kép","Nincs adat")))</f>
        <v/>
      </c>
      <c r="N133" s="6" t="inlineStr">
        <is>
          <t>Nem</t>
        </is>
      </c>
      <c r="O133" s="7" t="inlineStr">
        <is>
          <t>–</t>
        </is>
      </c>
      <c r="P133" s="7" t="inlineStr">
        <is>
          <t>Nem kerestük – nincs ismert weboldal vagy katalógus</t>
        </is>
      </c>
      <c r="Q133" s="6" t="inlineStr"/>
      <c r="R133" s="13" t="inlineStr">
        <is>
          <t>https://website-9ib.pages.dev/termek/351243-4-kdg-elso-400-mm-es-rakonca-j-b/</t>
        </is>
      </c>
      <c r="S133" s="6" t="inlineStr">
        <is>
          <t>351243-4-kdg-elso-400-mm-es-rakonca-j-b</t>
        </is>
      </c>
    </row>
    <row r="134">
      <c r="A134" s="6" t="inlineStr">
        <is>
          <t>DG</t>
        </is>
      </c>
      <c r="B134" s="7" t="inlineStr">
        <is>
          <t>KDG hátsó 400 mm-es rakonca J-B</t>
        </is>
      </c>
      <c r="C134" s="11" t="inlineStr"/>
      <c r="D134" s="12" t="inlineStr"/>
      <c r="E134" s="6" t="inlineStr">
        <is>
          <t>351241/2</t>
        </is>
      </c>
      <c r="F134" s="6" t="inlineStr">
        <is>
          <t>12-4001, 12-4002</t>
        </is>
      </c>
      <c r="G134" s="6" t="inlineStr">
        <is>
          <t>Acél és alu rakoncák és szegők</t>
        </is>
      </c>
      <c r="H134" s="6" t="inlineStr">
        <is>
          <t>DG</t>
        </is>
      </c>
      <c r="I134" s="6" t="inlineStr">
        <is>
          <t>Quadris Excel</t>
        </is>
      </c>
      <c r="J134" s="6" t="n">
        <v>0</v>
      </c>
      <c r="K134" s="6" t="n">
        <v>0</v>
      </c>
      <c r="L134" s="6" t="inlineStr">
        <is>
          <t>nincs</t>
        </is>
      </c>
      <c r="M134" s="6">
        <f>IF(AND(J134&gt;0,K134&gt;0),"Rendben",IF(AND(J134=0,K134=0),"Nincs kép és adat",IF(J134=0,"Nincs kép","Nincs adat")))</f>
        <v/>
      </c>
      <c r="N134" s="6" t="inlineStr">
        <is>
          <t>Nem</t>
        </is>
      </c>
      <c r="O134" s="7" t="inlineStr">
        <is>
          <t>–</t>
        </is>
      </c>
      <c r="P134" s="7" t="inlineStr">
        <is>
          <t>Nem kerestük – nincs ismert weboldal vagy katalógus</t>
        </is>
      </c>
      <c r="Q134" s="6" t="inlineStr"/>
      <c r="R134" s="13" t="inlineStr">
        <is>
          <t>https://website-9ib.pages.dev/termek/351241-2-kdg-hatso-400-mm-es-rakonca-j-b/</t>
        </is>
      </c>
      <c r="S134" s="6" t="inlineStr">
        <is>
          <t>351241-2-kdg-hatso-400-mm-es-rakonca-j-b</t>
        </is>
      </c>
    </row>
    <row r="135">
      <c r="A135" s="6" t="inlineStr">
        <is>
          <t>DG</t>
        </is>
      </c>
      <c r="B135" s="7" t="inlineStr">
        <is>
          <t>KDG köztes 400 mm-es rakonca NT</t>
        </is>
      </c>
      <c r="C135" s="11" t="inlineStr"/>
      <c r="D135" s="12" t="inlineStr"/>
      <c r="E135" s="6" t="inlineStr">
        <is>
          <t>351240</t>
        </is>
      </c>
      <c r="F135" s="6" t="inlineStr">
        <is>
          <t>12-4000</t>
        </is>
      </c>
      <c r="G135" s="6" t="inlineStr">
        <is>
          <t>Acél és alu rakoncák és szegők</t>
        </is>
      </c>
      <c r="H135" s="6" t="inlineStr">
        <is>
          <t>DG</t>
        </is>
      </c>
      <c r="I135" s="6" t="inlineStr">
        <is>
          <t>Quadris Excel</t>
        </is>
      </c>
      <c r="J135" s="6" t="n">
        <v>0</v>
      </c>
      <c r="K135" s="6" t="n">
        <v>0</v>
      </c>
      <c r="L135" s="6" t="inlineStr">
        <is>
          <t>nincs</t>
        </is>
      </c>
      <c r="M135" s="6">
        <f>IF(AND(J135&gt;0,K135&gt;0),"Rendben",IF(AND(J135=0,K135=0),"Nincs kép és adat",IF(J135=0,"Nincs kép","Nincs adat")))</f>
        <v/>
      </c>
      <c r="N135" s="6" t="inlineStr">
        <is>
          <t>Nem</t>
        </is>
      </c>
      <c r="O135" s="7" t="inlineStr">
        <is>
          <t>–</t>
        </is>
      </c>
      <c r="P135" s="7" t="inlineStr">
        <is>
          <t>Nem kerestük – nincs ismert weboldal vagy katalógus</t>
        </is>
      </c>
      <c r="Q135" s="6" t="inlineStr"/>
      <c r="R135" s="13" t="inlineStr">
        <is>
          <t>https://website-9ib.pages.dev/termek/351240-kdg-koztes-400-mm-es-rakonca-nt/</t>
        </is>
      </c>
      <c r="S135" s="6" t="inlineStr">
        <is>
          <t>351240-kdg-koztes-400-mm-es-rakonca-nt</t>
        </is>
      </c>
    </row>
    <row r="136">
      <c r="A136" s="6" t="inlineStr">
        <is>
          <t>DG</t>
        </is>
      </c>
      <c r="B136" s="7" t="inlineStr">
        <is>
          <t>Rakonca ellendarab hátsó</t>
        </is>
      </c>
      <c r="C136" s="11" t="inlineStr"/>
      <c r="D136" s="12" t="inlineStr"/>
      <c r="E136" s="6" t="inlineStr">
        <is>
          <t>356511</t>
        </is>
      </c>
      <c r="F136" s="6" t="inlineStr">
        <is>
          <t>30-0511ZF</t>
        </is>
      </c>
      <c r="G136" s="6" t="inlineStr">
        <is>
          <t>Acél és alu rakoncák és szegők</t>
        </is>
      </c>
      <c r="H136" s="6" t="inlineStr">
        <is>
          <t>DG</t>
        </is>
      </c>
      <c r="I136" s="6" t="inlineStr">
        <is>
          <t>Quadris Excel</t>
        </is>
      </c>
      <c r="J136" s="6" t="n">
        <v>0</v>
      </c>
      <c r="K136" s="6" t="n">
        <v>0</v>
      </c>
      <c r="L136" s="6" t="inlineStr">
        <is>
          <t>nincs</t>
        </is>
      </c>
      <c r="M136" s="6">
        <f>IF(AND(J136&gt;0,K136&gt;0),"Rendben",IF(AND(J136=0,K136=0),"Nincs kép és adat",IF(J136=0,"Nincs kép","Nincs adat")))</f>
        <v/>
      </c>
      <c r="N136" s="6" t="inlineStr">
        <is>
          <t>Nem</t>
        </is>
      </c>
      <c r="O136" s="7" t="inlineStr">
        <is>
          <t>–</t>
        </is>
      </c>
      <c r="P136" s="7" t="inlineStr">
        <is>
          <t>Nem kerestük – nincs ismert weboldal vagy katalógus</t>
        </is>
      </c>
      <c r="Q136" s="6" t="inlineStr"/>
      <c r="R136" s="13" t="inlineStr">
        <is>
          <t>https://website-9ib.pages.dev/termek/356511-rakonca-ellendarab-hatso/</t>
        </is>
      </c>
      <c r="S136" s="6" t="inlineStr">
        <is>
          <t>356511-rakonca-ellendarab-hatso</t>
        </is>
      </c>
    </row>
    <row r="137">
      <c r="A137" s="6" t="inlineStr">
        <is>
          <t>DG</t>
        </is>
      </c>
      <c r="B137" s="7" t="inlineStr">
        <is>
          <t>Rakonca ellendarab oldalsó</t>
        </is>
      </c>
      <c r="C137" s="11" t="inlineStr"/>
      <c r="D137" s="12" t="inlineStr"/>
      <c r="E137" s="6" t="inlineStr">
        <is>
          <t>356510</t>
        </is>
      </c>
      <c r="F137" s="6" t="inlineStr">
        <is>
          <t>30-0510ZF</t>
        </is>
      </c>
      <c r="G137" s="6" t="inlineStr">
        <is>
          <t>Acél és alu rakoncák és szegők</t>
        </is>
      </c>
      <c r="H137" s="6" t="inlineStr">
        <is>
          <t>DG</t>
        </is>
      </c>
      <c r="I137" s="6" t="inlineStr">
        <is>
          <t>Quadris Excel</t>
        </is>
      </c>
      <c r="J137" s="6" t="n">
        <v>0</v>
      </c>
      <c r="K137" s="6" t="n">
        <v>0</v>
      </c>
      <c r="L137" s="6" t="inlineStr">
        <is>
          <t>nincs</t>
        </is>
      </c>
      <c r="M137" s="6">
        <f>IF(AND(J137&gt;0,K137&gt;0),"Rendben",IF(AND(J137=0,K137=0),"Nincs kép és adat",IF(J137=0,"Nincs kép","Nincs adat")))</f>
        <v/>
      </c>
      <c r="N137" s="6" t="inlineStr">
        <is>
          <t>Nem</t>
        </is>
      </c>
      <c r="O137" s="7" t="inlineStr">
        <is>
          <t>–</t>
        </is>
      </c>
      <c r="P137" s="7" t="inlineStr">
        <is>
          <t>Nem kerestük – nincs ismert weboldal vagy katalógus</t>
        </is>
      </c>
      <c r="Q137" s="6" t="inlineStr"/>
      <c r="R137" s="13" t="inlineStr">
        <is>
          <t>https://website-9ib.pages.dev/termek/356510-rakonca-ellendarab-oldalso/</t>
        </is>
      </c>
      <c r="S137" s="6" t="inlineStr">
        <is>
          <t>356510-rakonca-ellendarab-oldalso</t>
        </is>
      </c>
    </row>
    <row r="138">
      <c r="A138" s="6" t="inlineStr">
        <is>
          <t>Dost</t>
        </is>
      </c>
      <c r="B138" s="7" t="inlineStr">
        <is>
          <t>Ponyvagörgő acél sínhez csapágyas</t>
        </is>
      </c>
      <c r="C138" s="11" t="inlineStr"/>
      <c r="D138" s="12" t="inlineStr"/>
      <c r="E138" s="6" t="inlineStr">
        <is>
          <t>216516</t>
        </is>
      </c>
      <c r="F138" s="6" t="inlineStr">
        <is>
          <t>40-SPR-0048-8</t>
        </is>
      </c>
      <c r="G138" s="6" t="inlineStr">
        <is>
          <t>Elhúzható rolóponyvás rendszer</t>
        </is>
      </c>
      <c r="H138" s="6" t="inlineStr">
        <is>
          <t>ADAICO "C" sín acél</t>
        </is>
      </c>
      <c r="I138" s="6" t="inlineStr">
        <is>
          <t>Quadris Excel</t>
        </is>
      </c>
      <c r="J138" s="6" t="n">
        <v>0</v>
      </c>
      <c r="K138" s="6" t="n">
        <v>0</v>
      </c>
      <c r="L138" s="6" t="inlineStr">
        <is>
          <t>nincs</t>
        </is>
      </c>
      <c r="M138" s="6">
        <f>IF(AND(J138&gt;0,K138&gt;0),"Rendben",IF(AND(J138=0,K138=0),"Nincs kép és adat",IF(J138=0,"Nincs kép","Nincs adat")))</f>
        <v/>
      </c>
      <c r="N138" s="6" t="inlineStr">
        <is>
          <t>Igen</t>
        </is>
      </c>
      <c r="O138" s="7" t="inlineStr">
        <is>
          <t>Dost Teknik 2024 katalógus (PDF)</t>
        </is>
      </c>
      <c r="P138" s="7" t="inlineStr">
        <is>
          <t>Nem találtuk: Dost Teknik 2024 katalógus (PDF)</t>
        </is>
      </c>
      <c r="Q138" s="6" t="inlineStr"/>
      <c r="R138" s="13" t="inlineStr">
        <is>
          <t>https://website-9ib.pages.dev/termek/216516-ponyvagorgo-acel-sinhez-csapagyas/</t>
        </is>
      </c>
      <c r="S138" s="6" t="inlineStr">
        <is>
          <t>216516-ponyvagorgo-acel-sinhez-csapagyas</t>
        </is>
      </c>
    </row>
    <row r="139">
      <c r="A139" s="6" t="inlineStr">
        <is>
          <t>EMEPE</t>
        </is>
      </c>
      <c r="B139" s="7" t="inlineStr">
        <is>
          <t>MP FEX27 002+KLCEX11/KB1G Nyomólapos rúdzár szett</t>
        </is>
      </c>
      <c r="C139" s="11" t="inlineStr"/>
      <c r="D139" s="12" t="inlineStr"/>
      <c r="E139" s="6" t="inlineStr"/>
      <c r="F139" s="6" t="inlineStr">
        <is>
          <t>FEX27002,KLC-E11,KB1</t>
        </is>
      </c>
      <c r="G139" s="6" t="inlineStr">
        <is>
          <t>Dobozos felépítmény alkatrészek</t>
        </is>
      </c>
      <c r="H139" s="6" t="inlineStr">
        <is>
          <t>Zárak</t>
        </is>
      </c>
      <c r="I139" s="6" t="inlineStr">
        <is>
          <t>Quadris Excel</t>
        </is>
      </c>
      <c r="J139" s="6" t="n">
        <v>0</v>
      </c>
      <c r="K139" s="6" t="n">
        <v>0</v>
      </c>
      <c r="L139" s="6" t="inlineStr">
        <is>
          <t>nincs</t>
        </is>
      </c>
      <c r="M139" s="6">
        <f>IF(AND(J139&gt;0,K139&gt;0),"Rendben",IF(AND(J139=0,K139=0),"Nincs kép és adat",IF(J139=0,"Nincs kép","Nincs adat")))</f>
        <v/>
      </c>
      <c r="N139" s="6" t="inlineStr">
        <is>
          <t>Igen</t>
        </is>
      </c>
      <c r="O139" s="7" t="inlineStr">
        <is>
          <t>mpsteel.es – MP Steel katalógus 12/2016 (PDF)</t>
        </is>
      </c>
      <c r="P139" s="7" t="inlineStr">
        <is>
          <t>Nem találtuk: mpsteel.es – MP Steel katalógus 12/2016 (PDF)</t>
        </is>
      </c>
      <c r="Q139" s="6" t="inlineStr"/>
      <c r="R139" s="13" t="inlineStr">
        <is>
          <t>https://website-9ib.pages.dev/termek/mp-fex27-002-klcex11-kb1g-nyomolapos-rudzar-szett/</t>
        </is>
      </c>
      <c r="S139" s="6" t="inlineStr">
        <is>
          <t>mp-fex27-002-klcex11-kb1g-nyomolapos-rudzar-szett</t>
        </is>
      </c>
    </row>
    <row r="140">
      <c r="A140" s="6" t="inlineStr">
        <is>
          <t>EMEPE</t>
        </is>
      </c>
      <c r="B140" s="7" t="inlineStr">
        <is>
          <t>MP22 KLC-EX41 RM kampó+fészek</t>
        </is>
      </c>
      <c r="C140" s="11" t="inlineStr"/>
      <c r="D140" s="12" t="inlineStr"/>
      <c r="E140" s="6" t="inlineStr"/>
      <c r="F140" s="6" t="inlineStr">
        <is>
          <t>KLC-EX41</t>
        </is>
      </c>
      <c r="G140" s="6" t="inlineStr">
        <is>
          <t>Dobozos felépítmény alkatrészek</t>
        </is>
      </c>
      <c r="H140" s="6" t="inlineStr">
        <is>
          <t>Zárak</t>
        </is>
      </c>
      <c r="I140" s="6" t="inlineStr">
        <is>
          <t>Quadris Excel</t>
        </is>
      </c>
      <c r="J140" s="6" t="n">
        <v>0</v>
      </c>
      <c r="K140" s="6" t="n">
        <v>0</v>
      </c>
      <c r="L140" s="6" t="inlineStr">
        <is>
          <t>nincs</t>
        </is>
      </c>
      <c r="M140" s="6">
        <f>IF(AND(J140&gt;0,K140&gt;0),"Rendben",IF(AND(J140=0,K140=0),"Nincs kép és adat",IF(J140=0,"Nincs kép","Nincs adat")))</f>
        <v/>
      </c>
      <c r="N140" s="6" t="inlineStr">
        <is>
          <t>Igen</t>
        </is>
      </c>
      <c r="O140" s="7" t="inlineStr">
        <is>
          <t>mpsteel.es – MP Steel katalógus 12/2016 (PDF)</t>
        </is>
      </c>
      <c r="P140" s="7" t="inlineStr">
        <is>
          <t>Nem találtuk: mpsteel.es – MP Steel katalógus 12/2016 (PDF)</t>
        </is>
      </c>
      <c r="Q140" s="6" t="inlineStr"/>
      <c r="R140" s="13" t="inlineStr">
        <is>
          <t>https://website-9ib.pages.dev/termek/mp22-klc-ex41-rm-kampo-feszek/</t>
        </is>
      </c>
      <c r="S140" s="6" t="inlineStr">
        <is>
          <t>mp22-klc-ex41-rm-kampo-feszek</t>
        </is>
      </c>
    </row>
    <row r="141">
      <c r="A141" s="6" t="inlineStr">
        <is>
          <t>EMEPE</t>
        </is>
      </c>
      <c r="B141" s="7" t="inlineStr">
        <is>
          <t>MP22 KLCB-EX41E RM kampó+fészek+omegák KIT</t>
        </is>
      </c>
      <c r="C141" s="11" t="inlineStr"/>
      <c r="D141" s="12" t="inlineStr"/>
      <c r="E141" s="6" t="inlineStr"/>
      <c r="F141" s="6" t="inlineStr">
        <is>
          <t>KLCB-EX41E</t>
        </is>
      </c>
      <c r="G141" s="6" t="inlineStr">
        <is>
          <t>Dobozos felépítmény alkatrészek</t>
        </is>
      </c>
      <c r="H141" s="6" t="inlineStr">
        <is>
          <t>Zárak</t>
        </is>
      </c>
      <c r="I141" s="6" t="inlineStr">
        <is>
          <t>Quadris Excel</t>
        </is>
      </c>
      <c r="J141" s="6" t="n">
        <v>0</v>
      </c>
      <c r="K141" s="6" t="n">
        <v>0</v>
      </c>
      <c r="L141" s="6" t="inlineStr">
        <is>
          <t>nincs</t>
        </is>
      </c>
      <c r="M141" s="6">
        <f>IF(AND(J141&gt;0,K141&gt;0),"Rendben",IF(AND(J141=0,K141=0),"Nincs kép és adat",IF(J141=0,"Nincs kép","Nincs adat")))</f>
        <v/>
      </c>
      <c r="N141" s="6" t="inlineStr">
        <is>
          <t>Igen</t>
        </is>
      </c>
      <c r="O141" s="7" t="inlineStr">
        <is>
          <t>mpsteel.es – MP Steel katalógus 12/2016 (PDF)</t>
        </is>
      </c>
      <c r="P141" s="7" t="inlineStr">
        <is>
          <t>Nem találtuk: mpsteel.es – MP Steel katalógus 12/2016 (PDF)</t>
        </is>
      </c>
      <c r="Q141" s="6" t="inlineStr"/>
      <c r="R141" s="13" t="inlineStr">
        <is>
          <t>https://website-9ib.pages.dev/termek/mp22-klcb-ex41e-rm-kampo-feszek-omegak-kit/</t>
        </is>
      </c>
      <c r="S141" s="6" t="inlineStr">
        <is>
          <t>mp22-klcb-ex41e-rm-kampo-feszek-omegak-kit</t>
        </is>
      </c>
    </row>
    <row r="142">
      <c r="A142" s="6" t="inlineStr">
        <is>
          <t>ESAL</t>
        </is>
      </c>
      <c r="B142" s="7" t="inlineStr">
        <is>
          <t>Dugó spitzprofilhoz 150 mm magas</t>
        </is>
      </c>
      <c r="C142" s="11" t="inlineStr"/>
      <c r="D142" s="12" t="inlineStr"/>
      <c r="E142" s="6" t="inlineStr">
        <is>
          <t>102439</t>
        </is>
      </c>
      <c r="F142" s="6" t="inlineStr">
        <is>
          <t>12439</t>
        </is>
      </c>
      <c r="G142" s="6" t="inlineStr">
        <is>
          <t>Ponyvarendszer kiegészítők</t>
        </is>
      </c>
      <c r="H142" s="6" t="inlineStr">
        <is>
          <t>Ponyvatartó alkatrészek</t>
        </is>
      </c>
      <c r="I142" s="6" t="inlineStr">
        <is>
          <t>Quadris Excel</t>
        </is>
      </c>
      <c r="J142" s="6" t="n">
        <v>0</v>
      </c>
      <c r="K142" s="6" t="n">
        <v>0</v>
      </c>
      <c r="L142" s="6" t="inlineStr">
        <is>
          <t>nincs</t>
        </is>
      </c>
      <c r="M142" s="6">
        <f>IF(AND(J142&gt;0,K142&gt;0),"Rendben",IF(AND(J142=0,K142=0),"Nincs kép és adat",IF(J142=0,"Nincs kép","Nincs adat")))</f>
        <v/>
      </c>
      <c r="N142" s="6" t="inlineStr">
        <is>
          <t>Igen</t>
        </is>
      </c>
      <c r="O142" s="7" t="inlineStr">
        <is>
          <t>ESAL Catalogo Sponde 2020 (PDF); ESAL Profili commerciali (PDF)</t>
        </is>
      </c>
      <c r="P142" s="7" t="inlineStr">
        <is>
          <t>Nem találtuk: ESAL Catalogo Sponde 2020 (PDF); ESAL Profili commerciali (PDF)</t>
        </is>
      </c>
      <c r="Q142" s="6" t="inlineStr"/>
      <c r="R142" s="13" t="inlineStr">
        <is>
          <t>https://website-9ib.pages.dev/termek/102439-dugo-spitzprofilhoz-150-mm-magas/</t>
        </is>
      </c>
      <c r="S142" s="6" t="inlineStr">
        <is>
          <t>102439-dugo-spitzprofilhoz-150-mm-magas</t>
        </is>
      </c>
    </row>
    <row r="143">
      <c r="A143" s="6" t="inlineStr">
        <is>
          <t>ESAL</t>
        </is>
      </c>
      <c r="B143" s="7" t="inlineStr">
        <is>
          <t>Spanner profil</t>
        </is>
      </c>
      <c r="C143" s="11" t="inlineStr"/>
      <c r="D143" s="12" t="inlineStr"/>
      <c r="E143" s="6" t="inlineStr">
        <is>
          <t>203101</t>
        </is>
      </c>
      <c r="F143" s="6" t="inlineStr">
        <is>
          <t>7KPB3101</t>
        </is>
      </c>
      <c r="G143" s="6" t="inlineStr">
        <is>
          <t>Ponyvarendszer kiegészítők</t>
        </is>
      </c>
      <c r="H143" s="6" t="inlineStr">
        <is>
          <t>Spanner profil</t>
        </is>
      </c>
      <c r="I143" s="6" t="inlineStr">
        <is>
          <t>Quadris Excel</t>
        </is>
      </c>
      <c r="J143" s="6" t="n">
        <v>0</v>
      </c>
      <c r="K143" s="6" t="n">
        <v>0</v>
      </c>
      <c r="L143" s="6" t="inlineStr">
        <is>
          <t>nincs</t>
        </is>
      </c>
      <c r="M143" s="6">
        <f>IF(AND(J143&gt;0,K143&gt;0),"Rendben",IF(AND(J143=0,K143=0),"Nincs kép és adat",IF(J143=0,"Nincs kép","Nincs adat")))</f>
        <v/>
      </c>
      <c r="N143" s="6" t="inlineStr">
        <is>
          <t>Igen</t>
        </is>
      </c>
      <c r="O143" s="7" t="inlineStr">
        <is>
          <t>ESAL Catalogo Sponde 2020 (PDF); ESAL Profili commerciali (PDF)</t>
        </is>
      </c>
      <c r="P143" s="7" t="inlineStr">
        <is>
          <t>Nem találtuk: ESAL Catalogo Sponde 2020 (PDF); ESAL Profili commerciali (PDF)</t>
        </is>
      </c>
      <c r="Q143" s="6" t="inlineStr"/>
      <c r="R143" s="13" t="inlineStr">
        <is>
          <t>https://website-9ib.pages.dev/termek/203101-spanner-profil/</t>
        </is>
      </c>
      <c r="S143" s="6" t="inlineStr">
        <is>
          <t>203101-spanner-profil</t>
        </is>
      </c>
    </row>
    <row r="144">
      <c r="A144" s="6" t="inlineStr">
        <is>
          <t>ESAL</t>
        </is>
      </c>
      <c r="B144" s="7" t="inlineStr">
        <is>
          <t>142 mm I Koptató profil elox</t>
        </is>
      </c>
      <c r="C144" s="11" t="inlineStr"/>
      <c r="D144" s="12" t="inlineStr"/>
      <c r="E144" s="6" t="inlineStr">
        <is>
          <t>237005</t>
        </is>
      </c>
      <c r="F144" s="6" t="inlineStr">
        <is>
          <t>T1.7005.1</t>
        </is>
      </c>
      <c r="G144" s="6" t="inlineStr">
        <is>
          <t>Zárt-dobozos és hűtős profilok</t>
        </is>
      </c>
      <c r="H144" s="6" t="inlineStr">
        <is>
          <t>Zárt-dobozos és hűtős profilok</t>
        </is>
      </c>
      <c r="I144" s="6" t="inlineStr">
        <is>
          <t>Quadris Excel</t>
        </is>
      </c>
      <c r="J144" s="6" t="n">
        <v>0</v>
      </c>
      <c r="K144" s="6" t="n">
        <v>0</v>
      </c>
      <c r="L144" s="6" t="inlineStr">
        <is>
          <t>nincs</t>
        </is>
      </c>
      <c r="M144" s="6">
        <f>IF(AND(J144&gt;0,K144&gt;0),"Rendben",IF(AND(J144=0,K144=0),"Nincs kép és adat",IF(J144=0,"Nincs kép","Nincs adat")))</f>
        <v/>
      </c>
      <c r="N144" s="6" t="inlineStr">
        <is>
          <t>Igen</t>
        </is>
      </c>
      <c r="O144" s="7" t="inlineStr">
        <is>
          <t>ESAL Catalogo Sponde 2020 (PDF); ESAL Profili commerciali (PDF)</t>
        </is>
      </c>
      <c r="P144" s="7" t="inlineStr">
        <is>
          <t>Nem találtuk: ESAL Catalogo Sponde 2020 (PDF); ESAL Profili commerciali (PDF)</t>
        </is>
      </c>
      <c r="Q144" s="6" t="inlineStr"/>
      <c r="R144" s="13" t="inlineStr">
        <is>
          <t>https://website-9ib.pages.dev/termek/237005-142-mm-i-koptato-profil-elox/</t>
        </is>
      </c>
      <c r="S144" s="6" t="inlineStr">
        <is>
          <t>237005-142-mm-i-koptato-profil-elox</t>
        </is>
      </c>
    </row>
    <row r="145">
      <c r="A145" s="6" t="inlineStr">
        <is>
          <t>ESAL</t>
        </is>
      </c>
      <c r="B145" s="7" t="inlineStr">
        <is>
          <t>Tömítés a szegő profilhoz OR</t>
        </is>
      </c>
      <c r="C145" s="11" t="inlineStr"/>
      <c r="D145" s="12" t="inlineStr"/>
      <c r="E145" s="6" t="inlineStr">
        <is>
          <t>234002</t>
        </is>
      </c>
      <c r="F145" s="6" t="inlineStr">
        <is>
          <t>GK40020</t>
        </is>
      </c>
      <c r="G145" s="6" t="inlineStr">
        <is>
          <t>Zárt-dobozos és hűtős profilok</t>
        </is>
      </c>
      <c r="H145" s="6" t="inlineStr">
        <is>
          <t>Zárt-dobozos és hűtős profilok</t>
        </is>
      </c>
      <c r="I145" s="6" t="inlineStr">
        <is>
          <t>Quadris Excel</t>
        </is>
      </c>
      <c r="J145" s="6" t="n">
        <v>0</v>
      </c>
      <c r="K145" s="6" t="n">
        <v>0</v>
      </c>
      <c r="L145" s="6" t="inlineStr">
        <is>
          <t>nincs</t>
        </is>
      </c>
      <c r="M145" s="6">
        <f>IF(AND(J145&gt;0,K145&gt;0),"Rendben",IF(AND(J145=0,K145=0),"Nincs kép és adat",IF(J145=0,"Nincs kép","Nincs adat")))</f>
        <v/>
      </c>
      <c r="N145" s="6" t="inlineStr">
        <is>
          <t>Igen</t>
        </is>
      </c>
      <c r="O145" s="7" t="inlineStr">
        <is>
          <t>ESAL Catalogo Sponde 2020 (PDF); ESAL Profili commerciali (PDF)</t>
        </is>
      </c>
      <c r="P145" s="7" t="inlineStr">
        <is>
          <t>Nem találtuk: ESAL Catalogo Sponde 2020 (PDF); ESAL Profili commerciali (PDF)</t>
        </is>
      </c>
      <c r="Q145" s="6" t="inlineStr"/>
      <c r="R145" s="13" t="inlineStr">
        <is>
          <t>https://website-9ib.pages.dev/termek/234002-tomites-a-szego-profilhoz-or/</t>
        </is>
      </c>
      <c r="S145" s="6" t="inlineStr">
        <is>
          <t>234002-tomites-a-szego-profilhoz-or</t>
        </is>
      </c>
    </row>
    <row r="146">
      <c r="A146" s="6" t="inlineStr">
        <is>
          <t>Exlabesa ES</t>
        </is>
      </c>
      <c r="B146" s="7" t="inlineStr">
        <is>
          <t>Spitz profil 140 mm magas</t>
        </is>
      </c>
      <c r="C146" s="11" t="inlineStr"/>
      <c r="D146" s="12" t="inlineStr"/>
      <c r="E146" s="6" t="inlineStr">
        <is>
          <t>226887</t>
        </is>
      </c>
      <c r="F146" s="6" t="inlineStr">
        <is>
          <t>06887</t>
        </is>
      </c>
      <c r="G146" s="6" t="inlineStr">
        <is>
          <t>Ponyvarendszer kiegészítők</t>
        </is>
      </c>
      <c r="H146" s="6" t="inlineStr">
        <is>
          <t>Spitzprofilok</t>
        </is>
      </c>
      <c r="I146" s="6" t="inlineStr">
        <is>
          <t>Quadris Excel</t>
        </is>
      </c>
      <c r="J146" s="6" t="n">
        <v>0</v>
      </c>
      <c r="K146" s="6" t="n">
        <v>0</v>
      </c>
      <c r="L146" s="6" t="inlineStr">
        <is>
          <t>nincs</t>
        </is>
      </c>
      <c r="M146" s="6">
        <f>IF(AND(J146&gt;0,K146&gt;0),"Rendben",IF(AND(J146=0,K146=0),"Nincs kép és adat",IF(J146=0,"Nincs kép","Nincs adat")))</f>
        <v/>
      </c>
      <c r="N146" s="6" t="inlineStr">
        <is>
          <t>Igen</t>
        </is>
      </c>
      <c r="O146" s="7" t="inlineStr">
        <is>
          <t>Exlabesa 2023 standard katalógus (Drive); exlabesa.com összes letölthető katalógusa (2023–2026)</t>
        </is>
      </c>
      <c r="P146" s="7" t="inlineStr">
        <is>
          <t>Nem találtuk: Exlabesa 2023 standard katalógus (Drive); exlabesa.com összes letölthető katalógusa (2023–2026)</t>
        </is>
      </c>
      <c r="Q146" s="6" t="inlineStr"/>
      <c r="R146" s="13" t="inlineStr">
        <is>
          <t>https://website-9ib.pages.dev/termek/226887-spitz-profil-140-mm-magas/</t>
        </is>
      </c>
      <c r="S146" s="6" t="inlineStr">
        <is>
          <t>226887-spitz-profil-140-mm-magas</t>
        </is>
      </c>
    </row>
    <row r="147">
      <c r="A147" s="6" t="inlineStr">
        <is>
          <t>Exlabesa PL</t>
        </is>
      </c>
      <c r="B147" s="7" t="inlineStr">
        <is>
          <t>Padló profil 200 mm EXL</t>
        </is>
      </c>
      <c r="C147" s="11" t="inlineStr"/>
      <c r="D147" s="12" t="inlineStr"/>
      <c r="E147" s="6" t="inlineStr">
        <is>
          <t>222910/30</t>
        </is>
      </c>
      <c r="F147" s="6" t="inlineStr">
        <is>
          <t>29100</t>
        </is>
      </c>
      <c r="G147" s="6" t="inlineStr">
        <is>
          <t>Alumínium padló profilok</t>
        </is>
      </c>
      <c r="H147" s="6" t="inlineStr">
        <is>
          <t>Padló profilok</t>
        </is>
      </c>
      <c r="I147" s="6" t="inlineStr">
        <is>
          <t>Quadris Excel</t>
        </is>
      </c>
      <c r="J147" s="6" t="n">
        <v>0</v>
      </c>
      <c r="K147" s="6" t="n">
        <v>0</v>
      </c>
      <c r="L147" s="6" t="inlineStr">
        <is>
          <t>nincs</t>
        </is>
      </c>
      <c r="M147" s="6">
        <f>IF(AND(J147&gt;0,K147&gt;0),"Rendben",IF(AND(J147=0,K147=0),"Nincs kép és adat",IF(J147=0,"Nincs kép","Nincs adat")))</f>
        <v/>
      </c>
      <c r="N147" s="6" t="inlineStr">
        <is>
          <t>Igen</t>
        </is>
      </c>
      <c r="O147" s="7" t="inlineStr">
        <is>
          <t>Exlabesa 2023 standard katalógus (Drive); exlabesa.com összes letölthető katalógusa (2023–2026)</t>
        </is>
      </c>
      <c r="P147" s="7" t="inlineStr">
        <is>
          <t>Nem találtuk: Exlabesa 2023 standard katalógus (Drive); exlabesa.com összes letölthető katalógusa (2023–2026)</t>
        </is>
      </c>
      <c r="Q147" s="6" t="inlineStr"/>
      <c r="R147" s="13" t="inlineStr">
        <is>
          <t>https://website-9ib.pages.dev/termek/222910-30-padlo-profil-200-mm-exl/</t>
        </is>
      </c>
      <c r="S147" s="6" t="inlineStr">
        <is>
          <t>222910-30-padlo-profil-200-mm-exl</t>
        </is>
      </c>
    </row>
    <row r="148">
      <c r="A148" s="6" t="inlineStr">
        <is>
          <t>Exlabesa PL</t>
        </is>
      </c>
      <c r="B148" s="7" t="inlineStr">
        <is>
          <t>Padló profil 250 mm zárt</t>
        </is>
      </c>
      <c r="C148" s="11" t="inlineStr"/>
      <c r="D148" s="12" t="inlineStr"/>
      <c r="E148" s="6" t="inlineStr">
        <is>
          <t>225630/55</t>
        </is>
      </c>
      <c r="F148" s="6" t="inlineStr">
        <is>
          <t>05630</t>
        </is>
      </c>
      <c r="G148" s="6" t="inlineStr">
        <is>
          <t>Alumínium padló profilok</t>
        </is>
      </c>
      <c r="H148" s="6" t="inlineStr">
        <is>
          <t>Padló profilok</t>
        </is>
      </c>
      <c r="I148" s="6" t="inlineStr">
        <is>
          <t>Quadris Excel</t>
        </is>
      </c>
      <c r="J148" s="6" t="n">
        <v>0</v>
      </c>
      <c r="K148" s="6" t="n">
        <v>0</v>
      </c>
      <c r="L148" s="6" t="inlineStr">
        <is>
          <t>nincs</t>
        </is>
      </c>
      <c r="M148" s="6">
        <f>IF(AND(J148&gt;0,K148&gt;0),"Rendben",IF(AND(J148=0,K148=0),"Nincs kép és adat",IF(J148=0,"Nincs kép","Nincs adat")))</f>
        <v/>
      </c>
      <c r="N148" s="6" t="inlineStr">
        <is>
          <t>Igen</t>
        </is>
      </c>
      <c r="O148" s="7" t="inlineStr">
        <is>
          <t>Exlabesa 2023 standard katalógus (Drive); exlabesa.com összes letölthető katalógusa (2023–2026)</t>
        </is>
      </c>
      <c r="P148" s="7" t="inlineStr">
        <is>
          <t>Nem találtuk: Exlabesa 2023 standard katalógus (Drive); exlabesa.com összes letölthető katalógusa (2023–2026)</t>
        </is>
      </c>
      <c r="Q148" s="6" t="inlineStr"/>
      <c r="R148" s="13" t="inlineStr">
        <is>
          <t>https://website-9ib.pages.dev/termek/225630-55-padlo-profil-250-mm-zart/</t>
        </is>
      </c>
      <c r="S148" s="6" t="inlineStr">
        <is>
          <t>225630-55-padlo-profil-250-mm-zart</t>
        </is>
      </c>
    </row>
    <row r="149">
      <c r="A149" s="6" t="inlineStr">
        <is>
          <t>FTS</t>
        </is>
      </c>
      <c r="B149" s="7" t="inlineStr">
        <is>
          <t>3 Kardán</t>
        </is>
      </c>
      <c r="C149" s="11" t="inlineStr"/>
      <c r="D149" s="12" t="inlineStr"/>
      <c r="E149" s="6" t="inlineStr">
        <is>
          <t>142103/V</t>
        </is>
      </c>
      <c r="F149" s="6" t="inlineStr"/>
      <c r="G149" s="6" t="inlineStr">
        <is>
          <t>Billencs alkatrészek</t>
        </is>
      </c>
      <c r="H149" s="6" t="inlineStr">
        <is>
          <t>Billencs alkatrészek</t>
        </is>
      </c>
      <c r="I149" s="6" t="inlineStr">
        <is>
          <t>Quadris Excel</t>
        </is>
      </c>
      <c r="J149" s="6" t="n">
        <v>0</v>
      </c>
      <c r="K149" s="6" t="n">
        <v>0</v>
      </c>
      <c r="L149" s="6" t="inlineStr">
        <is>
          <t>nincs</t>
        </is>
      </c>
      <c r="M149" s="6">
        <f>IF(AND(J149&gt;0,K149&gt;0),"Rendben",IF(AND(J149=0,K149=0),"Nincs kép és adat",IF(J149=0,"Nincs kép","Nincs adat")))</f>
        <v/>
      </c>
      <c r="N149" s="6" t="inlineStr">
        <is>
          <t>Igen</t>
        </is>
      </c>
      <c r="O149" s="7" t="inlineStr">
        <is>
          <t>fts-farina.it webáruház (WooCommerce API); FTS 2024 katalógus (PDF)</t>
        </is>
      </c>
      <c r="P149" s="7" t="inlineStr">
        <is>
          <t>Nem találtuk: fts-farina.it webáruház (WooCommerce API); FTS 2024 katalógus (PDF)</t>
        </is>
      </c>
      <c r="Q149" s="6" t="inlineStr"/>
      <c r="R149" s="13" t="inlineStr">
        <is>
          <t>https://website-9ib.pages.dev/termek/142103-v-3-kardan/</t>
        </is>
      </c>
      <c r="S149" s="6" t="inlineStr">
        <is>
          <t>142103-v-3-kardan</t>
        </is>
      </c>
    </row>
    <row r="150">
      <c r="A150" s="6" t="inlineStr">
        <is>
          <t>FTS</t>
        </is>
      </c>
      <c r="B150" s="7" t="inlineStr">
        <is>
          <t>43 mm Gömbcsukló készlet kicsi</t>
        </is>
      </c>
      <c r="C150" s="11" t="inlineStr"/>
      <c r="D150" s="12" t="inlineStr"/>
      <c r="E150" s="6" t="inlineStr">
        <is>
          <t>143100</t>
        </is>
      </c>
      <c r="F150" s="6" t="inlineStr"/>
      <c r="G150" s="6" t="inlineStr">
        <is>
          <t>Billencs alkatrészek</t>
        </is>
      </c>
      <c r="H150" s="6" t="inlineStr">
        <is>
          <t>Billencs alkatrészek</t>
        </is>
      </c>
      <c r="I150" s="6" t="inlineStr">
        <is>
          <t>Quadris Excel</t>
        </is>
      </c>
      <c r="J150" s="6" t="n">
        <v>0</v>
      </c>
      <c r="K150" s="6" t="n">
        <v>0</v>
      </c>
      <c r="L150" s="6" t="inlineStr">
        <is>
          <t>nincs</t>
        </is>
      </c>
      <c r="M150" s="6">
        <f>IF(AND(J150&gt;0,K150&gt;0),"Rendben",IF(AND(J150=0,K150=0),"Nincs kép és adat",IF(J150=0,"Nincs kép","Nincs adat")))</f>
        <v/>
      </c>
      <c r="N150" s="6" t="inlineStr">
        <is>
          <t>Igen</t>
        </is>
      </c>
      <c r="O150" s="7" t="inlineStr">
        <is>
          <t>fts-farina.it webáruház (WooCommerce API); FTS 2024 katalógus (PDF)</t>
        </is>
      </c>
      <c r="P150" s="7" t="inlineStr">
        <is>
          <t>Nem találtuk: fts-farina.it webáruház (WooCommerce API); FTS 2024 katalógus (PDF)</t>
        </is>
      </c>
      <c r="Q150" s="6" t="inlineStr"/>
      <c r="R150" s="13" t="inlineStr">
        <is>
          <t>https://website-9ib.pages.dev/termek/143100-43-mm-gombcsuklo-keszlet-kicsi/</t>
        </is>
      </c>
      <c r="S150" s="6" t="inlineStr">
        <is>
          <t>143100-43-mm-gombcsuklo-keszlet-kicsi</t>
        </is>
      </c>
    </row>
    <row r="151">
      <c r="A151" s="6" t="inlineStr">
        <is>
          <t>FTS</t>
        </is>
      </c>
      <c r="B151" s="7" t="inlineStr">
        <is>
          <t>Billencs rakonca szegő háromszöges</t>
        </is>
      </c>
      <c r="C151" s="11" t="inlineStr"/>
      <c r="D151" s="12" t="inlineStr"/>
      <c r="E151" s="6" t="inlineStr">
        <is>
          <t>3514400/1</t>
        </is>
      </c>
      <c r="F151" s="6" t="inlineStr"/>
      <c r="G151" s="6" t="inlineStr">
        <is>
          <t>Billencs alkatrészek</t>
        </is>
      </c>
      <c r="H151" s="6" t="inlineStr">
        <is>
          <t>Billencs rakoncák</t>
        </is>
      </c>
      <c r="I151" s="6" t="inlineStr">
        <is>
          <t>Quadris Excel</t>
        </is>
      </c>
      <c r="J151" s="6" t="n">
        <v>0</v>
      </c>
      <c r="K151" s="6" t="n">
        <v>0</v>
      </c>
      <c r="L151" s="6" t="inlineStr">
        <is>
          <t>nincs</t>
        </is>
      </c>
      <c r="M151" s="6">
        <f>IF(AND(J151&gt;0,K151&gt;0),"Rendben",IF(AND(J151=0,K151=0),"Nincs kép és adat",IF(J151=0,"Nincs kép","Nincs adat")))</f>
        <v/>
      </c>
      <c r="N151" s="6" t="inlineStr">
        <is>
          <t>Igen</t>
        </is>
      </c>
      <c r="O151" s="7" t="inlineStr">
        <is>
          <t>fts-farina.it webáruház (WooCommerce API); FTS 2024 katalógus (PDF)</t>
        </is>
      </c>
      <c r="P151" s="7" t="inlineStr">
        <is>
          <t>Nem találtuk: fts-farina.it webáruház (WooCommerce API); FTS 2024 katalógus (PDF)</t>
        </is>
      </c>
      <c r="Q151" s="6" t="inlineStr"/>
      <c r="R151" s="13" t="inlineStr">
        <is>
          <t>https://website-9ib.pages.dev/termek/3514400-1-billencs-rakonca-szego-haromszoges/</t>
        </is>
      </c>
      <c r="S151" s="6" t="inlineStr">
        <is>
          <t>3514400-1-billencs-rakonca-szego-haromszoges</t>
        </is>
      </c>
    </row>
    <row r="152">
      <c r="A152" s="6" t="inlineStr">
        <is>
          <t>FTS</t>
        </is>
      </c>
      <c r="B152" s="7" t="inlineStr">
        <is>
          <t>Biztosító tüske</t>
        </is>
      </c>
      <c r="C152" s="11" t="inlineStr"/>
      <c r="D152" s="12" t="inlineStr"/>
      <c r="E152" s="6" t="inlineStr">
        <is>
          <t>148110</t>
        </is>
      </c>
      <c r="F152" s="6" t="inlineStr"/>
      <c r="G152" s="6" t="inlineStr">
        <is>
          <t>Billencs alkatrészek</t>
        </is>
      </c>
      <c r="H152" s="6" t="inlineStr">
        <is>
          <t>Billencs alkatrészek</t>
        </is>
      </c>
      <c r="I152" s="6" t="inlineStr">
        <is>
          <t>Quadris Excel</t>
        </is>
      </c>
      <c r="J152" s="6" t="n">
        <v>0</v>
      </c>
      <c r="K152" s="6" t="n">
        <v>0</v>
      </c>
      <c r="L152" s="6" t="inlineStr">
        <is>
          <t>nincs</t>
        </is>
      </c>
      <c r="M152" s="6">
        <f>IF(AND(J152&gt;0,K152&gt;0),"Rendben",IF(AND(J152=0,K152=0),"Nincs kép és adat",IF(J152=0,"Nincs kép","Nincs adat")))</f>
        <v/>
      </c>
      <c r="N152" s="6" t="inlineStr">
        <is>
          <t>Igen</t>
        </is>
      </c>
      <c r="O152" s="7" t="inlineStr">
        <is>
          <t>fts-farina.it webáruház (WooCommerce API); FTS 2024 katalógus (PDF)</t>
        </is>
      </c>
      <c r="P152" s="7" t="inlineStr">
        <is>
          <t>Nem találtuk: fts-farina.it webáruház (WooCommerce API); FTS 2024 katalógus (PDF)</t>
        </is>
      </c>
      <c r="Q152" s="6" t="inlineStr"/>
      <c r="R152" s="13" t="inlineStr">
        <is>
          <t>https://website-9ib.pages.dev/termek/148110-biztosito-tuske/</t>
        </is>
      </c>
      <c r="S152" s="6" t="inlineStr">
        <is>
          <t>148110-biztosito-tuske</t>
        </is>
      </c>
    </row>
    <row r="153">
      <c r="A153" s="6" t="inlineStr">
        <is>
          <t>FTS</t>
        </is>
      </c>
      <c r="B153" s="7" t="inlineStr">
        <is>
          <t>D35 zárt omega lefogató</t>
        </is>
      </c>
      <c r="C153" s="11" t="inlineStr"/>
      <c r="D153" s="12" t="inlineStr"/>
      <c r="E153" s="6" t="inlineStr">
        <is>
          <t>140235</t>
        </is>
      </c>
      <c r="F153" s="6" t="inlineStr">
        <is>
          <t>510352</t>
        </is>
      </c>
      <c r="G153" s="6" t="inlineStr">
        <is>
          <t>Billencs alkatrészek</t>
        </is>
      </c>
      <c r="H153" s="6" t="inlineStr">
        <is>
          <t>Billencs alkatrészek</t>
        </is>
      </c>
      <c r="I153" s="6" t="inlineStr">
        <is>
          <t>Quadris Excel</t>
        </is>
      </c>
      <c r="J153" s="6" t="n">
        <v>0</v>
      </c>
      <c r="K153" s="6" t="n">
        <v>0</v>
      </c>
      <c r="L153" s="6" t="inlineStr">
        <is>
          <t>nincs</t>
        </is>
      </c>
      <c r="M153" s="6">
        <f>IF(AND(J153&gt;0,K153&gt;0),"Rendben",IF(AND(J153=0,K153=0),"Nincs kép és adat",IF(J153=0,"Nincs kép","Nincs adat")))</f>
        <v/>
      </c>
      <c r="N153" s="6" t="inlineStr">
        <is>
          <t>Igen</t>
        </is>
      </c>
      <c r="O153" s="7" t="inlineStr">
        <is>
          <t>fts-farina.it webáruház (WooCommerce API); FTS 2024 katalógus (PDF)</t>
        </is>
      </c>
      <c r="P153" s="7" t="inlineStr">
        <is>
          <t>Nem találtuk: fts-farina.it webáruház (WooCommerce API); FTS 2024 katalógus (PDF)</t>
        </is>
      </c>
      <c r="Q153" s="6" t="inlineStr"/>
      <c r="R153" s="13" t="inlineStr">
        <is>
          <t>https://website-9ib.pages.dev/termek/140235-d35-zart-omega-lefogato/</t>
        </is>
      </c>
      <c r="S153" s="6" t="inlineStr">
        <is>
          <t>140235-d35-zart-omega-lefogato</t>
        </is>
      </c>
    </row>
    <row r="154">
      <c r="A154" s="6" t="inlineStr">
        <is>
          <t>FTS</t>
        </is>
      </c>
      <c r="B154" s="7" t="inlineStr">
        <is>
          <t>D40 zárt omega lefogató</t>
        </is>
      </c>
      <c r="C154" s="11" t="inlineStr"/>
      <c r="D154" s="12" t="inlineStr"/>
      <c r="E154" s="6" t="inlineStr">
        <is>
          <t>140240</t>
        </is>
      </c>
      <c r="F154" s="6" t="inlineStr"/>
      <c r="G154" s="6" t="inlineStr">
        <is>
          <t>Billencs alkatrészek</t>
        </is>
      </c>
      <c r="H154" s="6" t="inlineStr">
        <is>
          <t>Billencs alkatrészek</t>
        </is>
      </c>
      <c r="I154" s="6" t="inlineStr">
        <is>
          <t>Quadris Excel</t>
        </is>
      </c>
      <c r="J154" s="6" t="n">
        <v>0</v>
      </c>
      <c r="K154" s="6" t="n">
        <v>0</v>
      </c>
      <c r="L154" s="6" t="inlineStr">
        <is>
          <t>nincs</t>
        </is>
      </c>
      <c r="M154" s="6">
        <f>IF(AND(J154&gt;0,K154&gt;0),"Rendben",IF(AND(J154=0,K154=0),"Nincs kép és adat",IF(J154=0,"Nincs kép","Nincs adat")))</f>
        <v/>
      </c>
      <c r="N154" s="6" t="inlineStr">
        <is>
          <t>Igen</t>
        </is>
      </c>
      <c r="O154" s="7" t="inlineStr">
        <is>
          <t>fts-farina.it webáruház (WooCommerce API); FTS 2024 katalógus (PDF)</t>
        </is>
      </c>
      <c r="P154" s="7" t="inlineStr">
        <is>
          <t>Nem találtuk: fts-farina.it webáruház (WooCommerce API); FTS 2024 katalógus (PDF)</t>
        </is>
      </c>
      <c r="Q154" s="6" t="inlineStr"/>
      <c r="R154" s="13" t="inlineStr">
        <is>
          <t>https://website-9ib.pages.dev/termek/140240-d40-zart-omega-lefogato/</t>
        </is>
      </c>
      <c r="S154" s="6" t="inlineStr">
        <is>
          <t>140240-d40-zart-omega-lefogato</t>
        </is>
      </c>
    </row>
    <row r="155">
      <c r="A155" s="6" t="inlineStr">
        <is>
          <t>FTS</t>
        </is>
      </c>
      <c r="B155" s="7" t="inlineStr">
        <is>
          <t>Kapcsolótábla</t>
        </is>
      </c>
      <c r="C155" s="11" t="inlineStr"/>
      <c r="D155" s="12" t="inlineStr"/>
      <c r="E155" s="6" t="inlineStr">
        <is>
          <t>146001</t>
        </is>
      </c>
      <c r="F155" s="6" t="inlineStr"/>
      <c r="G155" s="6" t="inlineStr">
        <is>
          <t>Billencs alkatrészek</t>
        </is>
      </c>
      <c r="H155" s="6" t="inlineStr">
        <is>
          <t>Billencs alkatrészek</t>
        </is>
      </c>
      <c r="I155" s="6" t="inlineStr">
        <is>
          <t>Quadris Excel</t>
        </is>
      </c>
      <c r="J155" s="6" t="n">
        <v>0</v>
      </c>
      <c r="K155" s="6" t="n">
        <v>0</v>
      </c>
      <c r="L155" s="6" t="inlineStr">
        <is>
          <t>nincs</t>
        </is>
      </c>
      <c r="M155" s="6">
        <f>IF(AND(J155&gt;0,K155&gt;0),"Rendben",IF(AND(J155=0,K155=0),"Nincs kép és adat",IF(J155=0,"Nincs kép","Nincs adat")))</f>
        <v/>
      </c>
      <c r="N155" s="6" t="inlineStr">
        <is>
          <t>Igen</t>
        </is>
      </c>
      <c r="O155" s="7" t="inlineStr">
        <is>
          <t>fts-farina.it webáruház (WooCommerce API); FTS 2024 katalógus (PDF)</t>
        </is>
      </c>
      <c r="P155" s="7" t="inlineStr">
        <is>
          <t>Nem találtuk: fts-farina.it webáruház (WooCommerce API); FTS 2024 katalógus (PDF)</t>
        </is>
      </c>
      <c r="Q155" s="6" t="inlineStr"/>
      <c r="R155" s="13" t="inlineStr">
        <is>
          <t>https://website-9ib.pages.dev/termek/146001-kapcsolotabla/</t>
        </is>
      </c>
      <c r="S155" s="6" t="inlineStr">
        <is>
          <t>146001-kapcsolotabla</t>
        </is>
      </c>
    </row>
    <row r="156">
      <c r="A156" s="6" t="inlineStr">
        <is>
          <t>FTS</t>
        </is>
      </c>
      <c r="B156" s="7" t="inlineStr">
        <is>
          <t>Kábeles távkapcsoló</t>
        </is>
      </c>
      <c r="C156" s="11" t="inlineStr"/>
      <c r="D156" s="12" t="inlineStr"/>
      <c r="E156" s="6" t="inlineStr">
        <is>
          <t>146006</t>
        </is>
      </c>
      <c r="F156" s="6" t="inlineStr"/>
      <c r="G156" s="6" t="inlineStr">
        <is>
          <t>Billencs alkatrészek</t>
        </is>
      </c>
      <c r="H156" s="6" t="inlineStr">
        <is>
          <t>Billencs alkatrészek</t>
        </is>
      </c>
      <c r="I156" s="6" t="inlineStr">
        <is>
          <t>Quadris Excel</t>
        </is>
      </c>
      <c r="J156" s="6" t="n">
        <v>0</v>
      </c>
      <c r="K156" s="6" t="n">
        <v>0</v>
      </c>
      <c r="L156" s="6" t="inlineStr">
        <is>
          <t>nincs</t>
        </is>
      </c>
      <c r="M156" s="6">
        <f>IF(AND(J156&gt;0,K156&gt;0),"Rendben",IF(AND(J156=0,K156=0),"Nincs kép és adat",IF(J156=0,"Nincs kép","Nincs adat")))</f>
        <v/>
      </c>
      <c r="N156" s="6" t="inlineStr">
        <is>
          <t>Igen</t>
        </is>
      </c>
      <c r="O156" s="7" t="inlineStr">
        <is>
          <t>fts-farina.it webáruház (WooCommerce API); FTS 2024 katalógus (PDF)</t>
        </is>
      </c>
      <c r="P156" s="7" t="inlineStr">
        <is>
          <t>Nem találtuk: fts-farina.it webáruház (WooCommerce API); FTS 2024 katalógus (PDF)</t>
        </is>
      </c>
      <c r="Q156" s="6" t="inlineStr"/>
      <c r="R156" s="13" t="inlineStr">
        <is>
          <t>https://website-9ib.pages.dev/termek/146006-kabeles-tavkapcsolo/</t>
        </is>
      </c>
      <c r="S156" s="6" t="inlineStr">
        <is>
          <t>146006-kabeles-tavkapcsolo</t>
        </is>
      </c>
    </row>
    <row r="157">
      <c r="A157" s="6" t="inlineStr">
        <is>
          <t>FTS</t>
        </is>
      </c>
      <c r="B157" s="7" t="inlineStr">
        <is>
          <t>Szivattyú 24V 3000W 20L 1P3.1CC</t>
        </is>
      </c>
      <c r="C157" s="11" t="inlineStr"/>
      <c r="D157" s="12" t="inlineStr"/>
      <c r="E157" s="6" t="inlineStr">
        <is>
          <t>140319</t>
        </is>
      </c>
      <c r="F157" s="6" t="inlineStr">
        <is>
          <t>770319</t>
        </is>
      </c>
      <c r="G157" s="6" t="inlineStr">
        <is>
          <t>Billencs alkatrészek</t>
        </is>
      </c>
      <c r="H157" s="6" t="inlineStr">
        <is>
          <t>Billencs alkatrészek</t>
        </is>
      </c>
      <c r="I157" s="6" t="inlineStr">
        <is>
          <t>Quadris Excel</t>
        </is>
      </c>
      <c r="J157" s="6" t="n">
        <v>0</v>
      </c>
      <c r="K157" s="6" t="n">
        <v>0</v>
      </c>
      <c r="L157" s="6" t="inlineStr">
        <is>
          <t>nincs</t>
        </is>
      </c>
      <c r="M157" s="6">
        <f>IF(AND(J157&gt;0,K157&gt;0),"Rendben",IF(AND(J157=0,K157=0),"Nincs kép és adat",IF(J157=0,"Nincs kép","Nincs adat")))</f>
        <v/>
      </c>
      <c r="N157" s="6" t="inlineStr">
        <is>
          <t>Igen</t>
        </is>
      </c>
      <c r="O157" s="7" t="inlineStr">
        <is>
          <t>fts-farina.it webáruház (WooCommerce API); FTS 2024 katalógus (PDF)</t>
        </is>
      </c>
      <c r="P157" s="7" t="inlineStr">
        <is>
          <t>Nem találtuk: fts-farina.it webáruház (WooCommerce API); FTS 2024 katalógus (PDF)</t>
        </is>
      </c>
      <c r="Q157" s="6" t="inlineStr"/>
      <c r="R157" s="13" t="inlineStr">
        <is>
          <t>https://website-9ib.pages.dev/termek/140319-szivattyu-24v-3000w-20l-1p3-1cc/</t>
        </is>
      </c>
      <c r="S157" s="6" t="inlineStr">
        <is>
          <t>140319-szivattyu-24v-3000w-20l-1p3-1cc</t>
        </is>
      </c>
    </row>
    <row r="158">
      <c r="A158" s="6" t="inlineStr">
        <is>
          <t>FTS</t>
        </is>
      </c>
      <c r="B158" s="7" t="inlineStr">
        <is>
          <t>Végálláskapcsoló</t>
        </is>
      </c>
      <c r="C158" s="11" t="inlineStr"/>
      <c r="D158" s="12" t="inlineStr"/>
      <c r="E158" s="6" t="inlineStr">
        <is>
          <t>146002</t>
        </is>
      </c>
      <c r="F158" s="6" t="inlineStr"/>
      <c r="G158" s="6" t="inlineStr">
        <is>
          <t>Billencs alkatrészek</t>
        </is>
      </c>
      <c r="H158" s="6" t="inlineStr">
        <is>
          <t>Billencs alkatrészek</t>
        </is>
      </c>
      <c r="I158" s="6" t="inlineStr">
        <is>
          <t>Quadris Excel</t>
        </is>
      </c>
      <c r="J158" s="6" t="n">
        <v>0</v>
      </c>
      <c r="K158" s="6" t="n">
        <v>0</v>
      </c>
      <c r="L158" s="6" t="inlineStr">
        <is>
          <t>nincs</t>
        </is>
      </c>
      <c r="M158" s="6">
        <f>IF(AND(J158&gt;0,K158&gt;0),"Rendben",IF(AND(J158=0,K158=0),"Nincs kép és adat",IF(J158=0,"Nincs kép","Nincs adat")))</f>
        <v/>
      </c>
      <c r="N158" s="6" t="inlineStr">
        <is>
          <t>Igen</t>
        </is>
      </c>
      <c r="O158" s="7" t="inlineStr">
        <is>
          <t>fts-farina.it webáruház (WooCommerce API); FTS 2024 katalógus (PDF)</t>
        </is>
      </c>
      <c r="P158" s="7" t="inlineStr">
        <is>
          <t>Nem találtuk: fts-farina.it webáruház (WooCommerce API); FTS 2024 katalógus (PDF)</t>
        </is>
      </c>
      <c r="Q158" s="6" t="inlineStr"/>
      <c r="R158" s="13" t="inlineStr">
        <is>
          <t>https://website-9ib.pages.dev/termek/146002-vegallaskapcsolo/</t>
        </is>
      </c>
      <c r="S158" s="6" t="inlineStr">
        <is>
          <t>146002-vegallaskapcsolo</t>
        </is>
      </c>
    </row>
    <row r="159">
      <c r="A159" s="6" t="inlineStr">
        <is>
          <t>FTS</t>
        </is>
      </c>
      <c r="B159" s="7" t="inlineStr">
        <is>
          <t>2 fokos létra TH</t>
        </is>
      </c>
      <c r="C159" s="11" t="inlineStr"/>
      <c r="D159" s="12" t="inlineStr"/>
      <c r="E159" s="6" t="inlineStr">
        <is>
          <t>509665</t>
        </is>
      </c>
      <c r="F159" s="6" t="inlineStr">
        <is>
          <t>50399665</t>
        </is>
      </c>
      <c r="G159" s="6" t="inlineStr">
        <is>
          <t>Dobozos felépítmény alkatrészek</t>
        </is>
      </c>
      <c r="H159" s="6" t="inlineStr">
        <is>
          <t>Létrák</t>
        </is>
      </c>
      <c r="I159" s="6" t="inlineStr">
        <is>
          <t>Quadris Excel</t>
        </is>
      </c>
      <c r="J159" s="6" t="n">
        <v>0</v>
      </c>
      <c r="K159" s="6" t="n">
        <v>0</v>
      </c>
      <c r="L159" s="6" t="inlineStr">
        <is>
          <t>nincs</t>
        </is>
      </c>
      <c r="M159" s="6">
        <f>IF(AND(J159&gt;0,K159&gt;0),"Rendben",IF(AND(J159=0,K159=0),"Nincs kép és adat",IF(J159=0,"Nincs kép","Nincs adat")))</f>
        <v/>
      </c>
      <c r="N159" s="6" t="inlineStr">
        <is>
          <t>Igen</t>
        </is>
      </c>
      <c r="O159" s="7" t="inlineStr">
        <is>
          <t>fts-farina.it webáruház (WooCommerce API); FTS 2024 katalógus (PDF)</t>
        </is>
      </c>
      <c r="P159" s="7" t="inlineStr">
        <is>
          <t>Nem találtuk: fts-farina.it webáruház (WooCommerce API); FTS 2024 katalógus (PDF)</t>
        </is>
      </c>
      <c r="Q159" s="6" t="inlineStr"/>
      <c r="R159" s="13" t="inlineStr">
        <is>
          <t>https://website-9ib.pages.dev/termek/509665-2-fokos-letra-th/</t>
        </is>
      </c>
      <c r="S159" s="6" t="inlineStr">
        <is>
          <t>509665-2-fokos-letra-th</t>
        </is>
      </c>
    </row>
    <row r="160">
      <c r="A160" s="6" t="inlineStr">
        <is>
          <t>FTS</t>
        </is>
      </c>
      <c r="B160" s="7" t="inlineStr">
        <is>
          <t>5 fokos létra</t>
        </is>
      </c>
      <c r="C160" s="11" t="inlineStr"/>
      <c r="D160" s="12" t="inlineStr"/>
      <c r="E160" s="6" t="inlineStr">
        <is>
          <t>882050</t>
        </is>
      </c>
      <c r="F160" s="6" t="inlineStr"/>
      <c r="G160" s="6" t="inlineStr">
        <is>
          <t>Dobozos felépítmény alkatrészek</t>
        </is>
      </c>
      <c r="H160" s="6" t="inlineStr">
        <is>
          <t>Létrák</t>
        </is>
      </c>
      <c r="I160" s="6" t="inlineStr">
        <is>
          <t>Quadris Excel</t>
        </is>
      </c>
      <c r="J160" s="6" t="n">
        <v>0</v>
      </c>
      <c r="K160" s="6" t="n">
        <v>0</v>
      </c>
      <c r="L160" s="6" t="inlineStr">
        <is>
          <t>nincs</t>
        </is>
      </c>
      <c r="M160" s="6">
        <f>IF(AND(J160&gt;0,K160&gt;0),"Rendben",IF(AND(J160=0,K160=0),"Nincs kép és adat",IF(J160=0,"Nincs kép","Nincs adat")))</f>
        <v/>
      </c>
      <c r="N160" s="6" t="inlineStr">
        <is>
          <t>Igen</t>
        </is>
      </c>
      <c r="O160" s="7" t="inlineStr">
        <is>
          <t>fts-farina.it webáruház (WooCommerce API); FTS 2024 katalógus (PDF)</t>
        </is>
      </c>
      <c r="P160" s="7" t="inlineStr">
        <is>
          <t>Nem találtuk: fts-farina.it webáruház (WooCommerce API); FTS 2024 katalógus (PDF)</t>
        </is>
      </c>
      <c r="Q160" s="6" t="inlineStr"/>
      <c r="R160" s="13" t="inlineStr">
        <is>
          <t>https://website-9ib.pages.dev/termek/882050-5-fokos-letra/</t>
        </is>
      </c>
      <c r="S160" s="6" t="inlineStr">
        <is>
          <t>882050-5-fokos-letra</t>
        </is>
      </c>
    </row>
    <row r="161">
      <c r="A161" s="6" t="inlineStr">
        <is>
          <t>FTS</t>
        </is>
      </c>
      <c r="B161" s="7" t="inlineStr">
        <is>
          <t>Horganyzott lapos zsanér</t>
        </is>
      </c>
      <c r="C161" s="11" t="inlineStr"/>
      <c r="D161" s="12" t="inlineStr"/>
      <c r="E161" s="6" t="inlineStr">
        <is>
          <t>831211</t>
        </is>
      </c>
      <c r="F161" s="6" t="inlineStr"/>
      <c r="G161" s="6" t="inlineStr">
        <is>
          <t>Dobozos felépítmény alkatrészek</t>
        </is>
      </c>
      <c r="H161" s="6" t="inlineStr">
        <is>
          <t>Zsanérok</t>
        </is>
      </c>
      <c r="I161" s="6" t="inlineStr">
        <is>
          <t>Quadris Excel</t>
        </is>
      </c>
      <c r="J161" s="6" t="n">
        <v>0</v>
      </c>
      <c r="K161" s="6" t="n">
        <v>0</v>
      </c>
      <c r="L161" s="6" t="inlineStr">
        <is>
          <t>nincs</t>
        </is>
      </c>
      <c r="M161" s="6">
        <f>IF(AND(J161&gt;0,K161&gt;0),"Rendben",IF(AND(J161=0,K161=0),"Nincs kép és adat",IF(J161=0,"Nincs kép","Nincs adat")))</f>
        <v/>
      </c>
      <c r="N161" s="6" t="inlineStr">
        <is>
          <t>Igen</t>
        </is>
      </c>
      <c r="O161" s="7" t="inlineStr">
        <is>
          <t>fts-farina.it webáruház (WooCommerce API); FTS 2024 katalógus (PDF)</t>
        </is>
      </c>
      <c r="P161" s="7" t="inlineStr">
        <is>
          <t>Nem találtuk: fts-farina.it webáruház (WooCommerce API); FTS 2024 katalógus (PDF)</t>
        </is>
      </c>
      <c r="Q161" s="6" t="inlineStr"/>
      <c r="R161" s="13" t="inlineStr">
        <is>
          <t>https://website-9ib.pages.dev/termek/831211-horganyzott-lapos-zsaner/</t>
        </is>
      </c>
      <c r="S161" s="6" t="inlineStr">
        <is>
          <t>831211-horganyzott-lapos-zsaner</t>
        </is>
      </c>
    </row>
    <row r="162">
      <c r="A162" s="6" t="inlineStr">
        <is>
          <t>FTS</t>
        </is>
      </c>
      <c r="B162" s="7" t="inlineStr">
        <is>
          <t>Horganyzott oldalajtó zsanér, lépcsős 183 mm</t>
        </is>
      </c>
      <c r="C162" s="11" t="inlineStr"/>
      <c r="D162" s="12" t="inlineStr"/>
      <c r="E162" s="6" t="inlineStr">
        <is>
          <t>806408</t>
        </is>
      </c>
      <c r="F162" s="6" t="inlineStr"/>
      <c r="G162" s="6" t="inlineStr">
        <is>
          <t>Dobozos felépítmény alkatrészek</t>
        </is>
      </c>
      <c r="H162" s="6" t="inlineStr">
        <is>
          <t>Zsanérok</t>
        </is>
      </c>
      <c r="I162" s="6" t="inlineStr">
        <is>
          <t>Quadris Excel</t>
        </is>
      </c>
      <c r="J162" s="6" t="n">
        <v>0</v>
      </c>
      <c r="K162" s="6" t="n">
        <v>0</v>
      </c>
      <c r="L162" s="6" t="inlineStr">
        <is>
          <t>nincs</t>
        </is>
      </c>
      <c r="M162" s="6">
        <f>IF(AND(J162&gt;0,K162&gt;0),"Rendben",IF(AND(J162=0,K162=0),"Nincs kép és adat",IF(J162=0,"Nincs kép","Nincs adat")))</f>
        <v/>
      </c>
      <c r="N162" s="6" t="inlineStr">
        <is>
          <t>Igen</t>
        </is>
      </c>
      <c r="O162" s="7" t="inlineStr">
        <is>
          <t>fts-farina.it webáruház (WooCommerce API); FTS 2024 katalógus (PDF)</t>
        </is>
      </c>
      <c r="P162" s="7" t="inlineStr">
        <is>
          <t>Nem találtuk: fts-farina.it webáruház (WooCommerce API); FTS 2024 katalógus (PDF)</t>
        </is>
      </c>
      <c r="Q162" s="6" t="inlineStr"/>
      <c r="R162" s="13" t="inlineStr">
        <is>
          <t>https://website-9ib.pages.dev/termek/806408-horganyzott-oldalajto-zsaner-lepcsos-183-mm/</t>
        </is>
      </c>
      <c r="S162" s="6" t="inlineStr">
        <is>
          <t>806408-horganyzott-oldalajto-zsaner-lepcsos-183-mm</t>
        </is>
      </c>
    </row>
    <row r="163">
      <c r="A163" s="6" t="inlineStr">
        <is>
          <t>FTS</t>
        </is>
      </c>
      <c r="B163" s="7" t="inlineStr">
        <is>
          <t>RM Lapos lépcsős zsanér 140/4 mm</t>
        </is>
      </c>
      <c r="C163" s="11" t="inlineStr"/>
      <c r="D163" s="12" t="inlineStr"/>
      <c r="E163" s="6" t="inlineStr">
        <is>
          <t>831810</t>
        </is>
      </c>
      <c r="F163" s="6" t="inlineStr"/>
      <c r="G163" s="6" t="inlineStr">
        <is>
          <t>Dobozos felépítmény alkatrészek</t>
        </is>
      </c>
      <c r="H163" s="6" t="inlineStr">
        <is>
          <t>Zsanérok</t>
        </is>
      </c>
      <c r="I163" s="6" t="inlineStr">
        <is>
          <t>Quadris Excel</t>
        </is>
      </c>
      <c r="J163" s="6" t="n">
        <v>0</v>
      </c>
      <c r="K163" s="6" t="n">
        <v>0</v>
      </c>
      <c r="L163" s="6" t="inlineStr">
        <is>
          <t>nincs</t>
        </is>
      </c>
      <c r="M163" s="6">
        <f>IF(AND(J163&gt;0,K163&gt;0),"Rendben",IF(AND(J163=0,K163=0),"Nincs kép és adat",IF(J163=0,"Nincs kép","Nincs adat")))</f>
        <v/>
      </c>
      <c r="N163" s="6" t="inlineStr">
        <is>
          <t>Igen</t>
        </is>
      </c>
      <c r="O163" s="7" t="inlineStr">
        <is>
          <t>fts-farina.it webáruház (WooCommerce API); FTS 2024 katalógus (PDF)</t>
        </is>
      </c>
      <c r="P163" s="7" t="inlineStr">
        <is>
          <t>Nem találtuk: fts-farina.it webáruház (WooCommerce API); FTS 2024 katalógus (PDF)</t>
        </is>
      </c>
      <c r="Q163" s="6" t="inlineStr"/>
      <c r="R163" s="13" t="inlineStr">
        <is>
          <t>https://website-9ib.pages.dev/termek/831810-rm-lapos-lepcsos-zsaner-140-4-mm/</t>
        </is>
      </c>
      <c r="S163" s="6" t="inlineStr">
        <is>
          <t>831810-rm-lapos-lepcsos-zsaner-140-4-mm</t>
        </is>
      </c>
    </row>
    <row r="164">
      <c r="A164" s="6" t="inlineStr">
        <is>
          <t>FTS</t>
        </is>
      </c>
      <c r="B164" s="7" t="inlineStr">
        <is>
          <t>RM Nagy kapaszkodó IN</t>
        </is>
      </c>
      <c r="C164" s="11" t="inlineStr"/>
      <c r="D164" s="12" t="inlineStr"/>
      <c r="E164" s="6" t="inlineStr">
        <is>
          <t>893154</t>
        </is>
      </c>
      <c r="F164" s="6" t="inlineStr"/>
      <c r="G164" s="6" t="inlineStr">
        <is>
          <t>Dobozos felépítmény alkatrészek</t>
        </is>
      </c>
      <c r="H164" s="6" t="inlineStr">
        <is>
          <t>Egyéb dobozos felépítmény tartozékok</t>
        </is>
      </c>
      <c r="I164" s="6" t="inlineStr">
        <is>
          <t>Quadris Excel</t>
        </is>
      </c>
      <c r="J164" s="6" t="n">
        <v>0</v>
      </c>
      <c r="K164" s="6" t="n">
        <v>0</v>
      </c>
      <c r="L164" s="6" t="inlineStr">
        <is>
          <t>nincs</t>
        </is>
      </c>
      <c r="M164" s="6">
        <f>IF(AND(J164&gt;0,K164&gt;0),"Rendben",IF(AND(J164=0,K164=0),"Nincs kép és adat",IF(J164=0,"Nincs kép","Nincs adat")))</f>
        <v/>
      </c>
      <c r="N164" s="6" t="inlineStr">
        <is>
          <t>Igen</t>
        </is>
      </c>
      <c r="O164" s="7" t="inlineStr">
        <is>
          <t>fts-farina.it webáruház (WooCommerce API); FTS 2024 katalógus (PDF)</t>
        </is>
      </c>
      <c r="P164" s="7" t="inlineStr">
        <is>
          <t>Nem találtuk: fts-farina.it webáruház (WooCommerce API); FTS 2024 katalógus (PDF)</t>
        </is>
      </c>
      <c r="Q164" s="6" t="inlineStr"/>
      <c r="R164" s="13" t="inlineStr">
        <is>
          <t>https://website-9ib.pages.dev/termek/893154-rm-nagy-kapaszkodo-in/</t>
        </is>
      </c>
      <c r="S164" s="6" t="inlineStr">
        <is>
          <t>893154-rm-nagy-kapaszkodo-in</t>
        </is>
      </c>
    </row>
    <row r="165">
      <c r="A165" s="6" t="inlineStr">
        <is>
          <t>FTS</t>
        </is>
      </c>
      <c r="B165" s="7" t="inlineStr">
        <is>
          <t>RM hátsóajtó zsanérlap 280/3 TS</t>
        </is>
      </c>
      <c r="C165" s="11" t="inlineStr"/>
      <c r="D165" s="12" t="inlineStr"/>
      <c r="E165" s="6" t="inlineStr">
        <is>
          <t>899210/S</t>
        </is>
      </c>
      <c r="F165" s="6" t="inlineStr"/>
      <c r="G165" s="6" t="inlineStr">
        <is>
          <t>Dobozos felépítmény alkatrészek</t>
        </is>
      </c>
      <c r="H165" s="6" t="inlineStr">
        <is>
          <t>Zsanérok</t>
        </is>
      </c>
      <c r="I165" s="6" t="inlineStr">
        <is>
          <t>Quadris Excel</t>
        </is>
      </c>
      <c r="J165" s="6" t="n">
        <v>0</v>
      </c>
      <c r="K165" s="6" t="n">
        <v>0</v>
      </c>
      <c r="L165" s="6" t="inlineStr">
        <is>
          <t>nincs</t>
        </is>
      </c>
      <c r="M165" s="6">
        <f>IF(AND(J165&gt;0,K165&gt;0),"Rendben",IF(AND(J165=0,K165=0),"Nincs kép és adat",IF(J165=0,"Nincs kép","Nincs adat")))</f>
        <v/>
      </c>
      <c r="N165" s="6" t="inlineStr">
        <is>
          <t>Igen</t>
        </is>
      </c>
      <c r="O165" s="7" t="inlineStr">
        <is>
          <t>fts-farina.it webáruház (WooCommerce API); FTS 2024 katalógus (PDF)</t>
        </is>
      </c>
      <c r="P165" s="7" t="inlineStr">
        <is>
          <t>Nem találtuk: fts-farina.it webáruház (WooCommerce API); FTS 2024 katalógus (PDF)</t>
        </is>
      </c>
      <c r="Q165" s="6" t="inlineStr"/>
      <c r="R165" s="13" t="inlineStr">
        <is>
          <t>https://website-9ib.pages.dev/termek/899210-s-rm-hatsoajto-zsanerlap-280-3-ts/</t>
        </is>
      </c>
      <c r="S165" s="6" t="inlineStr">
        <is>
          <t>899210-s-rm-hatsoajto-zsanerlap-280-3-ts</t>
        </is>
      </c>
    </row>
    <row r="166">
      <c r="A166" s="6" t="inlineStr">
        <is>
          <t>FTS</t>
        </is>
      </c>
      <c r="B166" s="7" t="inlineStr">
        <is>
          <t>RM lapos zsanér 134/104</t>
        </is>
      </c>
      <c r="C166" s="11" t="inlineStr"/>
      <c r="D166" s="12" t="inlineStr"/>
      <c r="E166" s="6" t="inlineStr">
        <is>
          <t>831410</t>
        </is>
      </c>
      <c r="F166" s="6" t="inlineStr"/>
      <c r="G166" s="6" t="inlineStr">
        <is>
          <t>Dobozos felépítmény alkatrészek</t>
        </is>
      </c>
      <c r="H166" s="6" t="inlineStr">
        <is>
          <t>Zsanérok</t>
        </is>
      </c>
      <c r="I166" s="6" t="inlineStr">
        <is>
          <t>Quadris Excel</t>
        </is>
      </c>
      <c r="J166" s="6" t="n">
        <v>0</v>
      </c>
      <c r="K166" s="6" t="n">
        <v>0</v>
      </c>
      <c r="L166" s="6" t="inlineStr">
        <is>
          <t>nincs</t>
        </is>
      </c>
      <c r="M166" s="6">
        <f>IF(AND(J166&gt;0,K166&gt;0),"Rendben",IF(AND(J166=0,K166=0),"Nincs kép és adat",IF(J166=0,"Nincs kép","Nincs adat")))</f>
        <v/>
      </c>
      <c r="N166" s="6" t="inlineStr">
        <is>
          <t>Igen</t>
        </is>
      </c>
      <c r="O166" s="7" t="inlineStr">
        <is>
          <t>fts-farina.it webáruház (WooCommerce API); FTS 2024 katalógus (PDF)</t>
        </is>
      </c>
      <c r="P166" s="7" t="inlineStr">
        <is>
          <t>Nem találtuk: fts-farina.it webáruház (WooCommerce API); FTS 2024 katalógus (PDF)</t>
        </is>
      </c>
      <c r="Q166" s="6" t="inlineStr"/>
      <c r="R166" s="13" t="inlineStr">
        <is>
          <t>https://website-9ib.pages.dev/termek/831410-rm-lapos-zsaner-134-104/</t>
        </is>
      </c>
      <c r="S166" s="6" t="inlineStr">
        <is>
          <t>831410-rm-lapos-zsaner-134-104</t>
        </is>
      </c>
    </row>
    <row r="167">
      <c r="A167" s="6" t="inlineStr">
        <is>
          <t>FTS</t>
        </is>
      </c>
      <c r="B167" s="7" t="inlineStr">
        <is>
          <t>Ütközőgumi 455x38x48</t>
        </is>
      </c>
      <c r="C167" s="11" t="inlineStr"/>
      <c r="D167" s="12" t="inlineStr"/>
      <c r="E167" s="6" t="inlineStr">
        <is>
          <t>555455</t>
        </is>
      </c>
      <c r="F167" s="6" t="inlineStr">
        <is>
          <t>335100</t>
        </is>
      </c>
      <c r="G167" s="6" t="inlineStr">
        <is>
          <t>Dobozos felépítmény alkatrészek</t>
        </is>
      </c>
      <c r="H167" s="6" t="inlineStr">
        <is>
          <t>Gumiütközők</t>
        </is>
      </c>
      <c r="I167" s="6" t="inlineStr">
        <is>
          <t>Quadris Excel</t>
        </is>
      </c>
      <c r="J167" s="6" t="n">
        <v>0</v>
      </c>
      <c r="K167" s="6" t="n">
        <v>0</v>
      </c>
      <c r="L167" s="6" t="inlineStr">
        <is>
          <t>nincs</t>
        </is>
      </c>
      <c r="M167" s="6">
        <f>IF(AND(J167&gt;0,K167&gt;0),"Rendben",IF(AND(J167=0,K167=0),"Nincs kép és adat",IF(J167=0,"Nincs kép","Nincs adat")))</f>
        <v/>
      </c>
      <c r="N167" s="6" t="inlineStr">
        <is>
          <t>Igen</t>
        </is>
      </c>
      <c r="O167" s="7" t="inlineStr">
        <is>
          <t>fts-farina.it webáruház (WooCommerce API); FTS 2024 katalógus (PDF)</t>
        </is>
      </c>
      <c r="P167" s="7" t="inlineStr">
        <is>
          <t>Nem találtuk: fts-farina.it webáruház (WooCommerce API); FTS 2024 katalógus (PDF)</t>
        </is>
      </c>
      <c r="Q167" s="6" t="inlineStr"/>
      <c r="R167" s="13" t="inlineStr">
        <is>
          <t>https://website-9ib.pages.dev/termek/555455-utkozogumi-455x38x48/</t>
        </is>
      </c>
      <c r="S167" s="6" t="inlineStr">
        <is>
          <t>555455-utkozogumi-455x38x48</t>
        </is>
      </c>
    </row>
    <row r="168">
      <c r="A168" s="6" t="inlineStr">
        <is>
          <t>FTS</t>
        </is>
      </c>
      <c r="B168" s="7" t="inlineStr">
        <is>
          <t>Billencs zsanér garnitúra</t>
        </is>
      </c>
      <c r="C168" s="11" t="inlineStr"/>
      <c r="D168" s="12" t="inlineStr"/>
      <c r="E168" s="6" t="inlineStr">
        <is>
          <t>156560</t>
        </is>
      </c>
      <c r="F168" s="6" t="inlineStr">
        <is>
          <t>156560</t>
        </is>
      </c>
      <c r="G168" s="6" t="inlineStr">
        <is>
          <t>Platós alkatrészek és kiegészítők</t>
        </is>
      </c>
      <c r="H168" s="6" t="inlineStr">
        <is>
          <t>TIR zsanérok</t>
        </is>
      </c>
      <c r="I168" s="6" t="inlineStr">
        <is>
          <t>Quadris Excel</t>
        </is>
      </c>
      <c r="J168" s="6" t="n">
        <v>0</v>
      </c>
      <c r="K168" s="6" t="n">
        <v>0</v>
      </c>
      <c r="L168" s="6" t="inlineStr">
        <is>
          <t>nincs</t>
        </is>
      </c>
      <c r="M168" s="6">
        <f>IF(AND(J168&gt;0,K168&gt;0),"Rendben",IF(AND(J168=0,K168=0),"Nincs kép és adat",IF(J168=0,"Nincs kép","Nincs adat")))</f>
        <v/>
      </c>
      <c r="N168" s="6" t="inlineStr">
        <is>
          <t>Igen</t>
        </is>
      </c>
      <c r="O168" s="7" t="inlineStr">
        <is>
          <t>fts-farina.it webáruház (WooCommerce API); FTS 2024 katalógus (PDF)</t>
        </is>
      </c>
      <c r="P168" s="7" t="inlineStr">
        <is>
          <t>Nem találtuk: fts-farina.it webáruház (WooCommerce API); FTS 2024 katalógus (PDF)</t>
        </is>
      </c>
      <c r="Q168" s="6" t="inlineStr"/>
      <c r="R168" s="13" t="inlineStr">
        <is>
          <t>https://website-9ib.pages.dev/termek/156560-billencs-zsaner-garnitura/</t>
        </is>
      </c>
      <c r="S168" s="6" t="inlineStr">
        <is>
          <t>156560-billencs-zsaner-garnitura</t>
        </is>
      </c>
    </row>
    <row r="169">
      <c r="A169" s="6" t="inlineStr">
        <is>
          <t>FTS</t>
        </is>
      </c>
      <c r="B169" s="7" t="inlineStr">
        <is>
          <t>Billencs zsanér lap</t>
        </is>
      </c>
      <c r="C169" s="11" t="inlineStr"/>
      <c r="D169" s="12" t="inlineStr"/>
      <c r="E169" s="6" t="inlineStr">
        <is>
          <t>152531</t>
        </is>
      </c>
      <c r="F169" s="6" t="inlineStr">
        <is>
          <t>322531</t>
        </is>
      </c>
      <c r="G169" s="6" t="inlineStr">
        <is>
          <t>Platós alkatrészek és kiegészítők</t>
        </is>
      </c>
      <c r="H169" s="6" t="inlineStr">
        <is>
          <t>TIR zsanérok</t>
        </is>
      </c>
      <c r="I169" s="6" t="inlineStr">
        <is>
          <t>Quadris Excel</t>
        </is>
      </c>
      <c r="J169" s="6" t="n">
        <v>0</v>
      </c>
      <c r="K169" s="6" t="n">
        <v>0</v>
      </c>
      <c r="L169" s="6" t="inlineStr">
        <is>
          <t>nincs</t>
        </is>
      </c>
      <c r="M169" s="6">
        <f>IF(AND(J169&gt;0,K169&gt;0),"Rendben",IF(AND(J169=0,K169=0),"Nincs kép és adat",IF(J169=0,"Nincs kép","Nincs adat")))</f>
        <v/>
      </c>
      <c r="N169" s="6" t="inlineStr">
        <is>
          <t>Igen</t>
        </is>
      </c>
      <c r="O169" s="7" t="inlineStr">
        <is>
          <t>fts-farina.it webáruház (WooCommerce API); FTS 2024 katalógus (PDF)</t>
        </is>
      </c>
      <c r="P169" s="7" t="inlineStr">
        <is>
          <t>Nem találtuk: fts-farina.it webáruház (WooCommerce API); FTS 2024 katalógus (PDF)</t>
        </is>
      </c>
      <c r="Q169" s="6" t="inlineStr"/>
      <c r="R169" s="13" t="inlineStr">
        <is>
          <t>https://website-9ib.pages.dev/termek/152531-billencs-zsaner-lap/</t>
        </is>
      </c>
      <c r="S169" s="6" t="inlineStr">
        <is>
          <t>152531-billencs-zsaner-lap</t>
        </is>
      </c>
    </row>
    <row r="170">
      <c r="A170" s="6" t="inlineStr">
        <is>
          <t>FTS</t>
        </is>
      </c>
      <c r="B170" s="7" t="inlineStr">
        <is>
          <t>Kiskonzol IVECO</t>
        </is>
      </c>
      <c r="C170" s="11" t="inlineStr"/>
      <c r="D170" s="12" t="inlineStr"/>
      <c r="E170" s="6" t="inlineStr">
        <is>
          <t>451030/TH</t>
        </is>
      </c>
      <c r="F170" s="6" t="inlineStr">
        <is>
          <t>2001030</t>
        </is>
      </c>
      <c r="G170" s="6" t="inlineStr">
        <is>
          <t>Platós alkatrészek és kiegészítők</t>
        </is>
      </c>
      <c r="H170" s="6" t="inlineStr">
        <is>
          <t>Alváz konzolok</t>
        </is>
      </c>
      <c r="I170" s="6" t="inlineStr">
        <is>
          <t>Quadris Excel</t>
        </is>
      </c>
      <c r="J170" s="6" t="n">
        <v>0</v>
      </c>
      <c r="K170" s="6" t="n">
        <v>0</v>
      </c>
      <c r="L170" s="6" t="inlineStr">
        <is>
          <t>nincs</t>
        </is>
      </c>
      <c r="M170" s="6">
        <f>IF(AND(J170&gt;0,K170&gt;0),"Rendben",IF(AND(J170=0,K170=0),"Nincs kép és adat",IF(J170=0,"Nincs kép","Nincs adat")))</f>
        <v/>
      </c>
      <c r="N170" s="6" t="inlineStr">
        <is>
          <t>Igen</t>
        </is>
      </c>
      <c r="O170" s="7" t="inlineStr">
        <is>
          <t>fts-farina.it webáruház (WooCommerce API); FTS 2024 katalógus (PDF)</t>
        </is>
      </c>
      <c r="P170" s="7" t="inlineStr">
        <is>
          <t>Nem találtuk: fts-farina.it webáruház (WooCommerce API); FTS 2024 katalógus (PDF)</t>
        </is>
      </c>
      <c r="Q170" s="6" t="inlineStr"/>
      <c r="R170" s="13" t="inlineStr">
        <is>
          <t>https://website-9ib.pages.dev/termek/451030-th-kiskonzol-iveco/</t>
        </is>
      </c>
      <c r="S170" s="6" t="inlineStr">
        <is>
          <t>451030-th-kiskonzol-iveco</t>
        </is>
      </c>
    </row>
    <row r="171">
      <c r="A171" s="6" t="inlineStr">
        <is>
          <t>FTS</t>
        </is>
      </c>
      <c r="B171" s="7" t="inlineStr">
        <is>
          <t>TIR-zsanér garnitúra DC</t>
        </is>
      </c>
      <c r="C171" s="11" t="inlineStr"/>
      <c r="D171" s="12" t="inlineStr"/>
      <c r="E171" s="6" t="inlineStr">
        <is>
          <t>152815</t>
        </is>
      </c>
      <c r="F171" s="6" t="inlineStr">
        <is>
          <t>152815</t>
        </is>
      </c>
      <c r="G171" s="6" t="inlineStr">
        <is>
          <t>Platós alkatrészek és kiegészítők</t>
        </is>
      </c>
      <c r="H171" s="6" t="inlineStr">
        <is>
          <t>TIR zsanérok</t>
        </is>
      </c>
      <c r="I171" s="6" t="inlineStr">
        <is>
          <t>Quadris Excel</t>
        </is>
      </c>
      <c r="J171" s="6" t="n">
        <v>0</v>
      </c>
      <c r="K171" s="6" t="n">
        <v>0</v>
      </c>
      <c r="L171" s="6" t="inlineStr">
        <is>
          <t>nincs</t>
        </is>
      </c>
      <c r="M171" s="6">
        <f>IF(AND(J171&gt;0,K171&gt;0),"Rendben",IF(AND(J171=0,K171=0),"Nincs kép és adat",IF(J171=0,"Nincs kép","Nincs adat")))</f>
        <v/>
      </c>
      <c r="N171" s="6" t="inlineStr">
        <is>
          <t>Igen</t>
        </is>
      </c>
      <c r="O171" s="7" t="inlineStr">
        <is>
          <t>fts-farina.it webáruház (WooCommerce API); FTS 2024 katalógus (PDF)</t>
        </is>
      </c>
      <c r="P171" s="7" t="inlineStr">
        <is>
          <t>Nem találtuk: fts-farina.it webáruház (WooCommerce API); FTS 2024 katalógus (PDF)</t>
        </is>
      </c>
      <c r="Q171" s="6" t="inlineStr"/>
      <c r="R171" s="13" t="inlineStr">
        <is>
          <t>https://website-9ib.pages.dev/termek/152815-tir-zsaner-garnitura-dc/</t>
        </is>
      </c>
      <c r="S171" s="6" t="inlineStr">
        <is>
          <t>152815-tir-zsaner-garnitura-dc</t>
        </is>
      </c>
    </row>
    <row r="172">
      <c r="A172" s="6" t="inlineStr">
        <is>
          <t>FTS</t>
        </is>
      </c>
      <c r="B172" s="7" t="inlineStr">
        <is>
          <t>TIR-zsanér garnitúra NAGY horg.</t>
        </is>
      </c>
      <c r="C172" s="11" t="inlineStr"/>
      <c r="D172" s="12" t="inlineStr"/>
      <c r="E172" s="6" t="inlineStr">
        <is>
          <t>152901</t>
        </is>
      </c>
      <c r="F172" s="6" t="inlineStr">
        <is>
          <t>152901</t>
        </is>
      </c>
      <c r="G172" s="6" t="inlineStr">
        <is>
          <t>Platós alkatrészek és kiegészítők</t>
        </is>
      </c>
      <c r="H172" s="6" t="inlineStr">
        <is>
          <t>TIR zsanérok</t>
        </is>
      </c>
      <c r="I172" s="6" t="inlineStr">
        <is>
          <t>Quadris Excel</t>
        </is>
      </c>
      <c r="J172" s="6" t="n">
        <v>0</v>
      </c>
      <c r="K172" s="6" t="n">
        <v>0</v>
      </c>
      <c r="L172" s="6" t="inlineStr">
        <is>
          <t>nincs</t>
        </is>
      </c>
      <c r="M172" s="6">
        <f>IF(AND(J172&gt;0,K172&gt;0),"Rendben",IF(AND(J172=0,K172=0),"Nincs kép és adat",IF(J172=0,"Nincs kép","Nincs adat")))</f>
        <v/>
      </c>
      <c r="N172" s="6" t="inlineStr">
        <is>
          <t>Igen</t>
        </is>
      </c>
      <c r="O172" s="7" t="inlineStr">
        <is>
          <t>fts-farina.it webáruház (WooCommerce API); FTS 2024 katalógus (PDF)</t>
        </is>
      </c>
      <c r="P172" s="7" t="inlineStr">
        <is>
          <t>Nem találtuk: fts-farina.it webáruház (WooCommerce API); FTS 2024 katalógus (PDF)</t>
        </is>
      </c>
      <c r="Q172" s="6" t="inlineStr"/>
      <c r="R172" s="13" t="inlineStr">
        <is>
          <t>https://website-9ib.pages.dev/termek/152901-tir-zsaner-garnitura-nagy-horg/</t>
        </is>
      </c>
      <c r="S172" s="6" t="inlineStr">
        <is>
          <t>152901-tir-zsaner-garnitura-nagy-horg</t>
        </is>
      </c>
    </row>
    <row r="173">
      <c r="A173" s="6" t="inlineStr">
        <is>
          <t>FTS</t>
        </is>
      </c>
      <c r="B173" s="7" t="inlineStr">
        <is>
          <t>TIR-zsanér garnitúra horg.</t>
        </is>
      </c>
      <c r="C173" s="11" t="inlineStr"/>
      <c r="D173" s="12" t="inlineStr"/>
      <c r="E173" s="6" t="inlineStr">
        <is>
          <t>152811</t>
        </is>
      </c>
      <c r="F173" s="6" t="inlineStr">
        <is>
          <t>15279110</t>
        </is>
      </c>
      <c r="G173" s="6" t="inlineStr">
        <is>
          <t>Platós alkatrészek és kiegészítők</t>
        </is>
      </c>
      <c r="H173" s="6" t="inlineStr">
        <is>
          <t>TIR zsanérok</t>
        </is>
      </c>
      <c r="I173" s="6" t="inlineStr">
        <is>
          <t>Quadris Excel</t>
        </is>
      </c>
      <c r="J173" s="6" t="n">
        <v>0</v>
      </c>
      <c r="K173" s="6" t="n">
        <v>0</v>
      </c>
      <c r="L173" s="6" t="inlineStr">
        <is>
          <t>nincs</t>
        </is>
      </c>
      <c r="M173" s="6">
        <f>IF(AND(J173&gt;0,K173&gt;0),"Rendben",IF(AND(J173=0,K173=0),"Nincs kép és adat",IF(J173=0,"Nincs kép","Nincs adat")))</f>
        <v/>
      </c>
      <c r="N173" s="6" t="inlineStr">
        <is>
          <t>Igen</t>
        </is>
      </c>
      <c r="O173" s="7" t="inlineStr">
        <is>
          <t>fts-farina.it webáruház (WooCommerce API); FTS 2024 katalógus (PDF)</t>
        </is>
      </c>
      <c r="P173" s="7" t="inlineStr">
        <is>
          <t>Nem találtuk: fts-farina.it webáruház (WooCommerce API); FTS 2024 katalógus (PDF)</t>
        </is>
      </c>
      <c r="Q173" s="6" t="inlineStr"/>
      <c r="R173" s="13" t="inlineStr">
        <is>
          <t>https://website-9ib.pages.dev/termek/152811-tir-zsaner-garnitura-horg/</t>
        </is>
      </c>
      <c r="S173" s="6" t="inlineStr">
        <is>
          <t>152811-tir-zsaner-garnitura-horg</t>
        </is>
      </c>
    </row>
    <row r="174">
      <c r="A174" s="6" t="inlineStr">
        <is>
          <t>FTS</t>
        </is>
      </c>
      <c r="B174" s="7" t="inlineStr">
        <is>
          <t>Alsó adapter 27-es csőhöz, PWP kocka</t>
        </is>
      </c>
      <c r="C174" s="11" t="inlineStr"/>
      <c r="D174" s="12" t="inlineStr"/>
      <c r="E174" s="6" t="inlineStr">
        <is>
          <t>380022</t>
        </is>
      </c>
      <c r="F174" s="6" t="inlineStr">
        <is>
          <t>736022</t>
        </is>
      </c>
      <c r="G174" s="6" t="inlineStr">
        <is>
          <t>Ponyvarendszer kiegészítők</t>
        </is>
      </c>
      <c r="H174" s="6" t="inlineStr">
        <is>
          <t>Ponyvafeszítő profilok és alkatrészei</t>
        </is>
      </c>
      <c r="I174" s="6" t="inlineStr">
        <is>
          <t>Quadris Excel</t>
        </is>
      </c>
      <c r="J174" s="6" t="n">
        <v>0</v>
      </c>
      <c r="K174" s="6" t="n">
        <v>0</v>
      </c>
      <c r="L174" s="6" t="inlineStr">
        <is>
          <t>nincs</t>
        </is>
      </c>
      <c r="M174" s="6">
        <f>IF(AND(J174&gt;0,K174&gt;0),"Rendben",IF(AND(J174=0,K174=0),"Nincs kép és adat",IF(J174=0,"Nincs kép","Nincs adat")))</f>
        <v/>
      </c>
      <c r="N174" s="6" t="inlineStr">
        <is>
          <t>Igen</t>
        </is>
      </c>
      <c r="O174" s="7" t="inlineStr">
        <is>
          <t>fts-farina.it webáruház (WooCommerce API); FTS 2024 katalógus (PDF)</t>
        </is>
      </c>
      <c r="P174" s="7" t="inlineStr">
        <is>
          <t>Nem találtuk: fts-farina.it webáruház (WooCommerce API); FTS 2024 katalógus (PDF)</t>
        </is>
      </c>
      <c r="Q174" s="6" t="inlineStr"/>
      <c r="R174" s="13" t="inlineStr">
        <is>
          <t>https://website-9ib.pages.dev/termek/380022-also-adapter-27-es-csohoz-pwp-kocka/</t>
        </is>
      </c>
      <c r="S174" s="6" t="inlineStr">
        <is>
          <t>380022-also-adapter-27-es-csohoz-pwp-kocka</t>
        </is>
      </c>
    </row>
    <row r="175">
      <c r="A175" s="6" t="inlineStr">
        <is>
          <t>FTS</t>
        </is>
      </c>
      <c r="B175" s="7" t="inlineStr">
        <is>
          <t>PWP Racsnis feszítő sliccelt L</t>
        </is>
      </c>
      <c r="C175" s="11" t="inlineStr"/>
      <c r="D175" s="12" t="inlineStr"/>
      <c r="E175" s="6" t="inlineStr">
        <is>
          <t>380081</t>
        </is>
      </c>
      <c r="F175" s="6" t="inlineStr">
        <is>
          <t>34480081</t>
        </is>
      </c>
      <c r="G175" s="6" t="inlineStr">
        <is>
          <t>Ponyvarendszer kiegészítők</t>
        </is>
      </c>
      <c r="H175" s="6" t="inlineStr">
        <is>
          <t>Ponyvafeszítő profilok és alkatrészei</t>
        </is>
      </c>
      <c r="I175" s="6" t="inlineStr">
        <is>
          <t>Quadris Excel</t>
        </is>
      </c>
      <c r="J175" s="6" t="n">
        <v>0</v>
      </c>
      <c r="K175" s="6" t="n">
        <v>0</v>
      </c>
      <c r="L175" s="6" t="inlineStr">
        <is>
          <t>nincs</t>
        </is>
      </c>
      <c r="M175" s="6">
        <f>IF(AND(J175&gt;0,K175&gt;0),"Rendben",IF(AND(J175=0,K175=0),"Nincs kép és adat",IF(J175=0,"Nincs kép","Nincs adat")))</f>
        <v/>
      </c>
      <c r="N175" s="6" t="inlineStr">
        <is>
          <t>Igen</t>
        </is>
      </c>
      <c r="O175" s="7" t="inlineStr">
        <is>
          <t>fts-farina.it webáruház (WooCommerce API); FTS 2024 katalógus (PDF)</t>
        </is>
      </c>
      <c r="P175" s="7" t="inlineStr">
        <is>
          <t>Nem találtuk: fts-farina.it webáruház (WooCommerce API); FTS 2024 katalógus (PDF)</t>
        </is>
      </c>
      <c r="Q175" s="6" t="inlineStr"/>
      <c r="R175" s="13" t="inlineStr">
        <is>
          <t>https://website-9ib.pages.dev/termek/380081-pwp-racsnis-feszito-sliccelt-l/</t>
        </is>
      </c>
      <c r="S175" s="6" t="inlineStr">
        <is>
          <t>380081-pwp-racsnis-feszito-sliccelt-l</t>
        </is>
      </c>
    </row>
    <row r="176">
      <c r="A176" s="6" t="inlineStr">
        <is>
          <t>FTS</t>
        </is>
      </c>
      <c r="B176" s="7" t="inlineStr">
        <is>
          <t>PWP Racsnis feszítő sliccelt R</t>
        </is>
      </c>
      <c r="C176" s="11" t="inlineStr"/>
      <c r="D176" s="12" t="inlineStr"/>
      <c r="E176" s="6" t="inlineStr">
        <is>
          <t>380080</t>
        </is>
      </c>
      <c r="F176" s="6" t="inlineStr">
        <is>
          <t>34480080</t>
        </is>
      </c>
      <c r="G176" s="6" t="inlineStr">
        <is>
          <t>Ponyvarendszer kiegészítők</t>
        </is>
      </c>
      <c r="H176" s="6" t="inlineStr">
        <is>
          <t>Ponyvafeszítő profilok és alkatrészei</t>
        </is>
      </c>
      <c r="I176" s="6" t="inlineStr">
        <is>
          <t>Quadris Excel</t>
        </is>
      </c>
      <c r="J176" s="6" t="n">
        <v>0</v>
      </c>
      <c r="K176" s="6" t="n">
        <v>0</v>
      </c>
      <c r="L176" s="6" t="inlineStr">
        <is>
          <t>nincs</t>
        </is>
      </c>
      <c r="M176" s="6">
        <f>IF(AND(J176&gt;0,K176&gt;0),"Rendben",IF(AND(J176=0,K176=0),"Nincs kép és adat",IF(J176=0,"Nincs kép","Nincs adat")))</f>
        <v/>
      </c>
      <c r="N176" s="6" t="inlineStr">
        <is>
          <t>Igen</t>
        </is>
      </c>
      <c r="O176" s="7" t="inlineStr">
        <is>
          <t>fts-farina.it webáruház (WooCommerce API); FTS 2024 katalógus (PDF)</t>
        </is>
      </c>
      <c r="P176" s="7" t="inlineStr">
        <is>
          <t>Nem találtuk: fts-farina.it webáruház (WooCommerce API); FTS 2024 katalógus (PDF)</t>
        </is>
      </c>
      <c r="Q176" s="6" t="inlineStr"/>
      <c r="R176" s="13" t="inlineStr">
        <is>
          <t>https://website-9ib.pages.dev/termek/380080-pwp-racsnis-feszito-sliccelt-r/</t>
        </is>
      </c>
      <c r="S176" s="6" t="inlineStr">
        <is>
          <t>380080-pwp-racsnis-feszito-sliccelt-r</t>
        </is>
      </c>
    </row>
    <row r="177">
      <c r="A177" s="6" t="inlineStr">
        <is>
          <t>FTS</t>
        </is>
      </c>
      <c r="B177" s="7" t="inlineStr">
        <is>
          <t>PWP Racsnis feszítő, kocka adapter L</t>
        </is>
      </c>
      <c r="C177" s="11" t="inlineStr"/>
      <c r="D177" s="12" t="inlineStr"/>
      <c r="E177" s="6" t="inlineStr">
        <is>
          <t>380024</t>
        </is>
      </c>
      <c r="F177" s="6" t="inlineStr">
        <is>
          <t>736024</t>
        </is>
      </c>
      <c r="G177" s="6" t="inlineStr">
        <is>
          <t>Ponyvarendszer kiegészítők</t>
        </is>
      </c>
      <c r="H177" s="6" t="inlineStr">
        <is>
          <t>Ponyvafeszítő profilok és alkatrészei</t>
        </is>
      </c>
      <c r="I177" s="6" t="inlineStr">
        <is>
          <t>Quadris Excel</t>
        </is>
      </c>
      <c r="J177" s="6" t="n">
        <v>0</v>
      </c>
      <c r="K177" s="6" t="n">
        <v>0</v>
      </c>
      <c r="L177" s="6" t="inlineStr">
        <is>
          <t>nincs</t>
        </is>
      </c>
      <c r="M177" s="6">
        <f>IF(AND(J177&gt;0,K177&gt;0),"Rendben",IF(AND(J177=0,K177=0),"Nincs kép és adat",IF(J177=0,"Nincs kép","Nincs adat")))</f>
        <v/>
      </c>
      <c r="N177" s="6" t="inlineStr">
        <is>
          <t>Igen</t>
        </is>
      </c>
      <c r="O177" s="7" t="inlineStr">
        <is>
          <t>fts-farina.it webáruház (WooCommerce API); FTS 2024 katalógus (PDF)</t>
        </is>
      </c>
      <c r="P177" s="7" t="inlineStr">
        <is>
          <t>Nem találtuk: fts-farina.it webáruház (WooCommerce API); FTS 2024 katalógus (PDF)</t>
        </is>
      </c>
      <c r="Q177" s="6" t="inlineStr"/>
      <c r="R177" s="13" t="inlineStr">
        <is>
          <t>https://website-9ib.pages.dev/termek/380024-pwp-racsnis-feszito-kocka-adapter-l/</t>
        </is>
      </c>
      <c r="S177" s="6" t="inlineStr">
        <is>
          <t>380024-pwp-racsnis-feszito-kocka-adapter-l</t>
        </is>
      </c>
    </row>
    <row r="178">
      <c r="A178" s="6" t="inlineStr">
        <is>
          <t>FTS</t>
        </is>
      </c>
      <c r="B178" s="7" t="inlineStr">
        <is>
          <t>PWP Racsnis feszítő, kocka adapter R</t>
        </is>
      </c>
      <c r="C178" s="11" t="inlineStr"/>
      <c r="D178" s="12" t="inlineStr"/>
      <c r="E178" s="6" t="inlineStr">
        <is>
          <t>380025</t>
        </is>
      </c>
      <c r="F178" s="6" t="inlineStr">
        <is>
          <t>736025</t>
        </is>
      </c>
      <c r="G178" s="6" t="inlineStr">
        <is>
          <t>Ponyvarendszer kiegészítők</t>
        </is>
      </c>
      <c r="H178" s="6" t="inlineStr">
        <is>
          <t>Ponyvafeszítő profilok és alkatrészei</t>
        </is>
      </c>
      <c r="I178" s="6" t="inlineStr">
        <is>
          <t>Quadris Excel</t>
        </is>
      </c>
      <c r="J178" s="6" t="n">
        <v>0</v>
      </c>
      <c r="K178" s="6" t="n">
        <v>0</v>
      </c>
      <c r="L178" s="6" t="inlineStr">
        <is>
          <t>nincs</t>
        </is>
      </c>
      <c r="M178" s="6">
        <f>IF(AND(J178&gt;0,K178&gt;0),"Rendben",IF(AND(J178=0,K178=0),"Nincs kép és adat",IF(J178=0,"Nincs kép","Nincs adat")))</f>
        <v/>
      </c>
      <c r="N178" s="6" t="inlineStr">
        <is>
          <t>Igen</t>
        </is>
      </c>
      <c r="O178" s="7" t="inlineStr">
        <is>
          <t>fts-farina.it webáruház (WooCommerce API); FTS 2024 katalógus (PDF)</t>
        </is>
      </c>
      <c r="P178" s="7" t="inlineStr">
        <is>
          <t>Nem találtuk: fts-farina.it webáruház (WooCommerce API); FTS 2024 katalógus (PDF)</t>
        </is>
      </c>
      <c r="Q178" s="6" t="inlineStr"/>
      <c r="R178" s="13" t="inlineStr">
        <is>
          <t>https://website-9ib.pages.dev/termek/380025-pwp-racsnis-feszito-kocka-adapter-r/</t>
        </is>
      </c>
      <c r="S178" s="6" t="inlineStr">
        <is>
          <t>380025-pwp-racsnis-feszito-kocka-adapter-r</t>
        </is>
      </c>
    </row>
    <row r="179">
      <c r="A179" s="6" t="inlineStr">
        <is>
          <t>FTS</t>
        </is>
      </c>
      <c r="B179" s="7" t="inlineStr">
        <is>
          <t>Racsnis feszítő kocka adapterhez J-B H</t>
        </is>
      </c>
      <c r="C179" s="11" t="inlineStr"/>
      <c r="D179" s="12" t="inlineStr"/>
      <c r="E179" s="6" t="inlineStr">
        <is>
          <t>380070/71</t>
        </is>
      </c>
      <c r="F179" s="6" t="inlineStr">
        <is>
          <t>HESTAL</t>
        </is>
      </c>
      <c r="G179" s="6" t="inlineStr">
        <is>
          <t>Ponyvarendszer kiegészítők</t>
        </is>
      </c>
      <c r="H179" s="6" t="inlineStr">
        <is>
          <t>Ponyvafeszítő profilok és alkatrészei</t>
        </is>
      </c>
      <c r="I179" s="6" t="inlineStr">
        <is>
          <t>Quadris Excel</t>
        </is>
      </c>
      <c r="J179" s="6" t="n">
        <v>0</v>
      </c>
      <c r="K179" s="6" t="n">
        <v>0</v>
      </c>
      <c r="L179" s="6" t="inlineStr">
        <is>
          <t>nincs</t>
        </is>
      </c>
      <c r="M179" s="6">
        <f>IF(AND(J179&gt;0,K179&gt;0),"Rendben",IF(AND(J179=0,K179=0),"Nincs kép és adat",IF(J179=0,"Nincs kép","Nincs adat")))</f>
        <v/>
      </c>
      <c r="N179" s="6" t="inlineStr">
        <is>
          <t>Igen</t>
        </is>
      </c>
      <c r="O179" s="7" t="inlineStr">
        <is>
          <t>fts-farina.it webáruház (WooCommerce API); FTS 2024 katalógus (PDF)</t>
        </is>
      </c>
      <c r="P179" s="7" t="inlineStr">
        <is>
          <t>Nem találtuk: fts-farina.it webáruház (WooCommerce API); FTS 2024 katalógus (PDF)</t>
        </is>
      </c>
      <c r="Q179" s="6" t="inlineStr"/>
      <c r="R179" s="13" t="inlineStr">
        <is>
          <t>https://website-9ib.pages.dev/termek/380070-71-racsnis-feszito-kocka-adapterhez-j-b-h/</t>
        </is>
      </c>
      <c r="S179" s="6" t="inlineStr">
        <is>
          <t>380070-71-racsnis-feszito-kocka-adapterhez-j-b-h</t>
        </is>
      </c>
    </row>
    <row r="180">
      <c r="A180" s="6" t="inlineStr">
        <is>
          <t>FTS</t>
        </is>
      </c>
      <c r="B180" s="7" t="inlineStr">
        <is>
          <t>W Racsnis feszítő quadrat L</t>
        </is>
      </c>
      <c r="C180" s="11" t="inlineStr"/>
      <c r="D180" s="12" t="inlineStr"/>
      <c r="E180" s="6" t="inlineStr">
        <is>
          <t>380091</t>
        </is>
      </c>
      <c r="F180" s="6" t="inlineStr">
        <is>
          <t>34480091</t>
        </is>
      </c>
      <c r="G180" s="6" t="inlineStr">
        <is>
          <t>Ponyvarendszer kiegészítők</t>
        </is>
      </c>
      <c r="H180" s="6" t="inlineStr">
        <is>
          <t>Ponyvafeszítő profilok és alkatrészei</t>
        </is>
      </c>
      <c r="I180" s="6" t="inlineStr">
        <is>
          <t>Quadris Excel</t>
        </is>
      </c>
      <c r="J180" s="6" t="n">
        <v>0</v>
      </c>
      <c r="K180" s="6" t="n">
        <v>0</v>
      </c>
      <c r="L180" s="6" t="inlineStr">
        <is>
          <t>nincs</t>
        </is>
      </c>
      <c r="M180" s="6">
        <f>IF(AND(J180&gt;0,K180&gt;0),"Rendben",IF(AND(J180=0,K180=0),"Nincs kép és adat",IF(J180=0,"Nincs kép","Nincs adat")))</f>
        <v/>
      </c>
      <c r="N180" s="6" t="inlineStr">
        <is>
          <t>Igen</t>
        </is>
      </c>
      <c r="O180" s="7" t="inlineStr">
        <is>
          <t>fts-farina.it webáruház (WooCommerce API); FTS 2024 katalógus (PDF)</t>
        </is>
      </c>
      <c r="P180" s="7" t="inlineStr">
        <is>
          <t>Nem találtuk: fts-farina.it webáruház (WooCommerce API); FTS 2024 katalógus (PDF)</t>
        </is>
      </c>
      <c r="Q180" s="6" t="inlineStr"/>
      <c r="R180" s="13" t="inlineStr">
        <is>
          <t>https://website-9ib.pages.dev/termek/380091-w-racsnis-feszito-quadrat-l/</t>
        </is>
      </c>
      <c r="S180" s="6" t="inlineStr">
        <is>
          <t>380091-w-racsnis-feszito-quadrat-l</t>
        </is>
      </c>
    </row>
    <row r="181">
      <c r="A181" s="6" t="inlineStr">
        <is>
          <t>FTS</t>
        </is>
      </c>
      <c r="B181" s="7" t="inlineStr">
        <is>
          <t>W Racsnis feszítő quadrat R</t>
        </is>
      </c>
      <c r="C181" s="11" t="inlineStr"/>
      <c r="D181" s="12" t="inlineStr"/>
      <c r="E181" s="6" t="inlineStr">
        <is>
          <t>380090</t>
        </is>
      </c>
      <c r="F181" s="6" t="inlineStr">
        <is>
          <t>34480090</t>
        </is>
      </c>
      <c r="G181" s="6" t="inlineStr">
        <is>
          <t>Ponyvarendszer kiegészítők</t>
        </is>
      </c>
      <c r="H181" s="6" t="inlineStr">
        <is>
          <t>Ponyvafeszítő profilok és alkatrészei</t>
        </is>
      </c>
      <c r="I181" s="6" t="inlineStr">
        <is>
          <t>Quadris Excel</t>
        </is>
      </c>
      <c r="J181" s="6" t="n">
        <v>0</v>
      </c>
      <c r="K181" s="6" t="n">
        <v>0</v>
      </c>
      <c r="L181" s="6" t="inlineStr">
        <is>
          <t>nincs</t>
        </is>
      </c>
      <c r="M181" s="6">
        <f>IF(AND(J181&gt;0,K181&gt;0),"Rendben",IF(AND(J181=0,K181=0),"Nincs kép és adat",IF(J181=0,"Nincs kép","Nincs adat")))</f>
        <v/>
      </c>
      <c r="N181" s="6" t="inlineStr">
        <is>
          <t>Igen</t>
        </is>
      </c>
      <c r="O181" s="7" t="inlineStr">
        <is>
          <t>fts-farina.it webáruház (WooCommerce API); FTS 2024 katalógus (PDF)</t>
        </is>
      </c>
      <c r="P181" s="7" t="inlineStr">
        <is>
          <t>Nem találtuk: fts-farina.it webáruház (WooCommerce API); FTS 2024 katalógus (PDF)</t>
        </is>
      </c>
      <c r="Q181" s="6" t="inlineStr"/>
      <c r="R181" s="13" t="inlineStr">
        <is>
          <t>https://website-9ib.pages.dev/termek/380090-w-racsnis-feszito-quadrat-r/</t>
        </is>
      </c>
      <c r="S181" s="6" t="inlineStr">
        <is>
          <t>380090-w-racsnis-feszito-quadrat-r</t>
        </is>
      </c>
    </row>
    <row r="182">
      <c r="A182" s="6" t="inlineStr">
        <is>
          <t>FTS</t>
        </is>
      </c>
      <c r="B182" s="7" t="inlineStr">
        <is>
          <t>3M/750daN/ Gurtni, két oldalon csatos</t>
        </is>
      </c>
      <c r="C182" s="11" t="inlineStr"/>
      <c r="D182" s="12" t="inlineStr"/>
      <c r="E182" s="6" t="inlineStr">
        <is>
          <t>127914</t>
        </is>
      </c>
      <c r="F182" s="6" t="inlineStr"/>
      <c r="G182" s="6" t="inlineStr">
        <is>
          <t>Rakományrögzítés</t>
        </is>
      </c>
      <c r="H182" s="6" t="inlineStr">
        <is>
          <t>Rakományrögzítés</t>
        </is>
      </c>
      <c r="I182" s="6" t="inlineStr">
        <is>
          <t>Quadris Excel</t>
        </is>
      </c>
      <c r="J182" s="6" t="n">
        <v>0</v>
      </c>
      <c r="K182" s="6" t="n">
        <v>0</v>
      </c>
      <c r="L182" s="6" t="inlineStr">
        <is>
          <t>nincs</t>
        </is>
      </c>
      <c r="M182" s="6">
        <f>IF(AND(J182&gt;0,K182&gt;0),"Rendben",IF(AND(J182=0,K182=0),"Nincs kép és adat",IF(J182=0,"Nincs kép","Nincs adat")))</f>
        <v/>
      </c>
      <c r="N182" s="6" t="inlineStr">
        <is>
          <t>Igen</t>
        </is>
      </c>
      <c r="O182" s="7" t="inlineStr">
        <is>
          <t>fts-farina.it webáruház (WooCommerce API); FTS 2024 katalógus (PDF)</t>
        </is>
      </c>
      <c r="P182" s="7" t="inlineStr">
        <is>
          <t>Nem találtuk: fts-farina.it webáruház (WooCommerce API); FTS 2024 katalógus (PDF)</t>
        </is>
      </c>
      <c r="Q182" s="6" t="inlineStr"/>
      <c r="R182" s="13" t="inlineStr">
        <is>
          <t>https://website-9ib.pages.dev/termek/127914-3m-750dan-gurtni-ket-oldalon-csatos/</t>
        </is>
      </c>
      <c r="S182" s="6" t="inlineStr">
        <is>
          <t>127914-3m-750dan-gurtni-ket-oldalon-csatos</t>
        </is>
      </c>
    </row>
    <row r="183">
      <c r="A183" s="6" t="inlineStr">
        <is>
          <t>FTS</t>
        </is>
      </c>
      <c r="B183" s="7" t="inlineStr">
        <is>
          <t>INOX rakomány rögz. tányér</t>
        </is>
      </c>
      <c r="C183" s="11" t="inlineStr"/>
      <c r="D183" s="12" t="inlineStr"/>
      <c r="E183" s="6" t="inlineStr">
        <is>
          <t>123210</t>
        </is>
      </c>
      <c r="F183" s="6" t="inlineStr">
        <is>
          <t>4509321</t>
        </is>
      </c>
      <c r="G183" s="6" t="inlineStr">
        <is>
          <t>Rakományrögzítés</t>
        </is>
      </c>
      <c r="H183" s="6" t="inlineStr">
        <is>
          <t>Rakományrögzítés</t>
        </is>
      </c>
      <c r="I183" s="6" t="inlineStr">
        <is>
          <t>Quadris Excel</t>
        </is>
      </c>
      <c r="J183" s="6" t="n">
        <v>0</v>
      </c>
      <c r="K183" s="6" t="n">
        <v>0</v>
      </c>
      <c r="L183" s="6" t="inlineStr">
        <is>
          <t>nincs</t>
        </is>
      </c>
      <c r="M183" s="6">
        <f>IF(AND(J183&gt;0,K183&gt;0),"Rendben",IF(AND(J183=0,K183=0),"Nincs kép és adat",IF(J183=0,"Nincs kép","Nincs adat")))</f>
        <v/>
      </c>
      <c r="N183" s="6" t="inlineStr">
        <is>
          <t>Igen</t>
        </is>
      </c>
      <c r="O183" s="7" t="inlineStr">
        <is>
          <t>fts-farina.it webáruház (WooCommerce API); FTS 2024 katalógus (PDF)</t>
        </is>
      </c>
      <c r="P183" s="7" t="inlineStr">
        <is>
          <t>Nem találtuk: fts-farina.it webáruház (WooCommerce API); FTS 2024 katalógus (PDF)</t>
        </is>
      </c>
      <c r="Q183" s="6" t="inlineStr"/>
      <c r="R183" s="13" t="inlineStr">
        <is>
          <t>https://website-9ib.pages.dev/termek/123210-inox-rakomany-rogz-tanyer/</t>
        </is>
      </c>
      <c r="S183" s="6" t="inlineStr">
        <is>
          <t>123210-inox-rakomany-rogz-tanyer</t>
        </is>
      </c>
    </row>
    <row r="184">
      <c r="A184" s="6" t="inlineStr">
        <is>
          <t>FTS</t>
        </is>
      </c>
      <c r="B184" s="7" t="inlineStr">
        <is>
          <t>Rak.rögz. kengyel+lapka 2500 daN TS</t>
        </is>
      </c>
      <c r="C184" s="11" t="inlineStr"/>
      <c r="D184" s="12" t="inlineStr"/>
      <c r="E184" s="6" t="inlineStr">
        <is>
          <t>129111</t>
        </is>
      </c>
      <c r="F184" s="6" t="inlineStr">
        <is>
          <t>45091110</t>
        </is>
      </c>
      <c r="G184" s="6" t="inlineStr">
        <is>
          <t>Rakományrögzítés</t>
        </is>
      </c>
      <c r="H184" s="6" t="inlineStr">
        <is>
          <t>Rakományrögzítés</t>
        </is>
      </c>
      <c r="I184" s="6" t="inlineStr">
        <is>
          <t>Quadris Excel</t>
        </is>
      </c>
      <c r="J184" s="6" t="n">
        <v>0</v>
      </c>
      <c r="K184" s="6" t="n">
        <v>0</v>
      </c>
      <c r="L184" s="6" t="inlineStr">
        <is>
          <t>nincs</t>
        </is>
      </c>
      <c r="M184" s="6">
        <f>IF(AND(J184&gt;0,K184&gt;0),"Rendben",IF(AND(J184=0,K184=0),"Nincs kép és adat",IF(J184=0,"Nincs kép","Nincs adat")))</f>
        <v/>
      </c>
      <c r="N184" s="6" t="inlineStr">
        <is>
          <t>Igen</t>
        </is>
      </c>
      <c r="O184" s="7" t="inlineStr">
        <is>
          <t>fts-farina.it webáruház (WooCommerce API); FTS 2024 katalógus (PDF)</t>
        </is>
      </c>
      <c r="P184" s="7" t="inlineStr">
        <is>
          <t>Nem találtuk: fts-farina.it webáruház (WooCommerce API); FTS 2024 katalógus (PDF)</t>
        </is>
      </c>
      <c r="Q184" s="6" t="inlineStr"/>
      <c r="R184" s="13" t="inlineStr">
        <is>
          <t>https://website-9ib.pages.dev/termek/129111-rak-rogz-kengyel-lapka-2500-dan-ts/</t>
        </is>
      </c>
      <c r="S184" s="6" t="inlineStr">
        <is>
          <t>129111-rak-rogz-kengyel-lapka-2500-dan-ts</t>
        </is>
      </c>
    </row>
    <row r="185">
      <c r="A185" s="6" t="inlineStr">
        <is>
          <t>FTS</t>
        </is>
      </c>
      <c r="B185" s="7" t="inlineStr">
        <is>
          <t>Rakományrögzítő kengyel HT</t>
        </is>
      </c>
      <c r="C185" s="11" t="inlineStr"/>
      <c r="D185" s="12" t="inlineStr"/>
      <c r="E185" s="6" t="inlineStr">
        <is>
          <t>126514</t>
        </is>
      </c>
      <c r="F185" s="6" t="inlineStr"/>
      <c r="G185" s="6" t="inlineStr">
        <is>
          <t>Rakományrögzítés</t>
        </is>
      </c>
      <c r="H185" s="6" t="inlineStr">
        <is>
          <t>Rakományrögzítés</t>
        </is>
      </c>
      <c r="I185" s="6" t="inlineStr">
        <is>
          <t>Quadris Excel</t>
        </is>
      </c>
      <c r="J185" s="6" t="n">
        <v>0</v>
      </c>
      <c r="K185" s="6" t="n">
        <v>0</v>
      </c>
      <c r="L185" s="6" t="inlineStr">
        <is>
          <t>nincs</t>
        </is>
      </c>
      <c r="M185" s="6">
        <f>IF(AND(J185&gt;0,K185&gt;0),"Rendben",IF(AND(J185=0,K185=0),"Nincs kép és adat",IF(J185=0,"Nincs kép","Nincs adat")))</f>
        <v/>
      </c>
      <c r="N185" s="6" t="inlineStr">
        <is>
          <t>Igen</t>
        </is>
      </c>
      <c r="O185" s="7" t="inlineStr">
        <is>
          <t>fts-farina.it webáruház (WooCommerce API); FTS 2024 katalógus (PDF)</t>
        </is>
      </c>
      <c r="P185" s="7" t="inlineStr">
        <is>
          <t>Nem találtuk: fts-farina.it webáruház (WooCommerce API); FTS 2024 katalógus (PDF)</t>
        </is>
      </c>
      <c r="Q185" s="6" t="inlineStr"/>
      <c r="R185" s="13" t="inlineStr">
        <is>
          <t>https://website-9ib.pages.dev/termek/126514-rakomanyrogzito-kengyel-ht/</t>
        </is>
      </c>
      <c r="S185" s="6" t="inlineStr">
        <is>
          <t>126514-rakomanyrogzito-kengyel-ht</t>
        </is>
      </c>
    </row>
    <row r="186">
      <c r="A186" s="6" t="inlineStr">
        <is>
          <t>FTS</t>
        </is>
      </c>
      <c r="B186" s="7" t="inlineStr">
        <is>
          <t>Rakományrögzítő kengyel TD</t>
        </is>
      </c>
      <c r="C186" s="11" t="inlineStr"/>
      <c r="D186" s="12" t="inlineStr"/>
      <c r="E186" s="6" t="inlineStr">
        <is>
          <t>126516</t>
        </is>
      </c>
      <c r="F186" s="6" t="inlineStr"/>
      <c r="G186" s="6" t="inlineStr">
        <is>
          <t>Rakományrögzítés</t>
        </is>
      </c>
      <c r="H186" s="6" t="inlineStr">
        <is>
          <t>Rakományrögzítés</t>
        </is>
      </c>
      <c r="I186" s="6" t="inlineStr">
        <is>
          <t>Quadris Excel</t>
        </is>
      </c>
      <c r="J186" s="6" t="n">
        <v>0</v>
      </c>
      <c r="K186" s="6" t="n">
        <v>0</v>
      </c>
      <c r="L186" s="6" t="inlineStr">
        <is>
          <t>nincs</t>
        </is>
      </c>
      <c r="M186" s="6">
        <f>IF(AND(J186&gt;0,K186&gt;0),"Rendben",IF(AND(J186=0,K186=0),"Nincs kép és adat",IF(J186=0,"Nincs kép","Nincs adat")))</f>
        <v/>
      </c>
      <c r="N186" s="6" t="inlineStr">
        <is>
          <t>Igen</t>
        </is>
      </c>
      <c r="O186" s="7" t="inlineStr">
        <is>
          <t>fts-farina.it webáruház (WooCommerce API); FTS 2024 katalógus (PDF)</t>
        </is>
      </c>
      <c r="P186" s="7" t="inlineStr">
        <is>
          <t>Nem találtuk: fts-farina.it webáruház (WooCommerce API); FTS 2024 katalógus (PDF)</t>
        </is>
      </c>
      <c r="Q186" s="6" t="inlineStr"/>
      <c r="R186" s="13" t="inlineStr">
        <is>
          <t>https://website-9ib.pages.dev/termek/126516-rakomanyrogzito-kengyel-td/</t>
        </is>
      </c>
      <c r="S186" s="6" t="inlineStr">
        <is>
          <t>126516-rakomanyrogzito-kengyel-td</t>
        </is>
      </c>
    </row>
    <row r="187">
      <c r="A187" s="6" t="inlineStr">
        <is>
          <t>FTS</t>
        </is>
      </c>
      <c r="B187" s="7" t="inlineStr">
        <is>
          <t>Rakományrözítő fül festett fekete</t>
        </is>
      </c>
      <c r="C187" s="11" t="inlineStr"/>
      <c r="D187" s="12" t="inlineStr"/>
      <c r="E187" s="6" t="inlineStr">
        <is>
          <t>128325</t>
        </is>
      </c>
      <c r="F187" s="6" t="inlineStr"/>
      <c r="G187" s="6" t="inlineStr">
        <is>
          <t>Rakományrögzítés</t>
        </is>
      </c>
      <c r="H187" s="6" t="inlineStr">
        <is>
          <t>Rakományrögzítés</t>
        </is>
      </c>
      <c r="I187" s="6" t="inlineStr">
        <is>
          <t>Quadris Excel</t>
        </is>
      </c>
      <c r="J187" s="6" t="n">
        <v>0</v>
      </c>
      <c r="K187" s="6" t="n">
        <v>0</v>
      </c>
      <c r="L187" s="6" t="inlineStr">
        <is>
          <t>nincs</t>
        </is>
      </c>
      <c r="M187" s="6">
        <f>IF(AND(J187&gt;0,K187&gt;0),"Rendben",IF(AND(J187=0,K187=0),"Nincs kép és adat",IF(J187=0,"Nincs kép","Nincs adat")))</f>
        <v/>
      </c>
      <c r="N187" s="6" t="inlineStr">
        <is>
          <t>Igen</t>
        </is>
      </c>
      <c r="O187" s="7" t="inlineStr">
        <is>
          <t>fts-farina.it webáruház (WooCommerce API); FTS 2024 katalógus (PDF)</t>
        </is>
      </c>
      <c r="P187" s="7" t="inlineStr">
        <is>
          <t>Nem találtuk: fts-farina.it webáruház (WooCommerce API); FTS 2024 katalógus (PDF)</t>
        </is>
      </c>
      <c r="Q187" s="6" t="inlineStr"/>
      <c r="R187" s="13" t="inlineStr">
        <is>
          <t>https://website-9ib.pages.dev/termek/128325-rakomanyrozito-ful-festett-fekete/</t>
        </is>
      </c>
      <c r="S187" s="6" t="inlineStr">
        <is>
          <t>128325-rakomanyrozito-ful-festett-fekete</t>
        </is>
      </c>
    </row>
    <row r="188">
      <c r="A188" s="6" t="inlineStr">
        <is>
          <t>FTS</t>
        </is>
      </c>
      <c r="B188" s="7" t="inlineStr">
        <is>
          <t>Horganyzott süllyesztett nyelves zár</t>
        </is>
      </c>
      <c r="C188" s="11" t="inlineStr"/>
      <c r="D188" s="12" t="inlineStr"/>
      <c r="E188" s="6" t="inlineStr">
        <is>
          <t>821000</t>
        </is>
      </c>
      <c r="F188" s="6" t="inlineStr"/>
      <c r="G188" s="6" t="inlineStr">
        <is>
          <t>Speciális felépítmény alkatrészek</t>
        </is>
      </c>
      <c r="H188" s="6" t="inlineStr">
        <is>
          <t>Zárak</t>
        </is>
      </c>
      <c r="I188" s="6" t="inlineStr">
        <is>
          <t>Quadris Excel</t>
        </is>
      </c>
      <c r="J188" s="6" t="n">
        <v>0</v>
      </c>
      <c r="K188" s="6" t="n">
        <v>0</v>
      </c>
      <c r="L188" s="6" t="inlineStr">
        <is>
          <t>nincs</t>
        </is>
      </c>
      <c r="M188" s="6">
        <f>IF(AND(J188&gt;0,K188&gt;0),"Rendben",IF(AND(J188=0,K188=0),"Nincs kép és adat",IF(J188=0,"Nincs kép","Nincs adat")))</f>
        <v/>
      </c>
      <c r="N188" s="6" t="inlineStr">
        <is>
          <t>Igen</t>
        </is>
      </c>
      <c r="O188" s="7" t="inlineStr">
        <is>
          <t>fts-farina.it webáruház (WooCommerce API); FTS 2024 katalógus (PDF)</t>
        </is>
      </c>
      <c r="P188" s="7" t="inlineStr">
        <is>
          <t>Nem találtuk: fts-farina.it webáruház (WooCommerce API); FTS 2024 katalógus (PDF)</t>
        </is>
      </c>
      <c r="Q188" s="6" t="inlineStr"/>
      <c r="R188" s="13" t="inlineStr">
        <is>
          <t>https://website-9ib.pages.dev/termek/821000-horganyzott-sullyesztett-nyelves-zar/</t>
        </is>
      </c>
      <c r="S188" s="6" t="inlineStr">
        <is>
          <t>821000-horganyzott-sullyesztett-nyelves-zar</t>
        </is>
      </c>
    </row>
    <row r="189">
      <c r="A189" s="6" t="inlineStr">
        <is>
          <t>FTS</t>
        </is>
      </c>
      <c r="B189" s="7" t="inlineStr">
        <is>
          <t>Kis négyszög zár INOX</t>
        </is>
      </c>
      <c r="C189" s="11" t="inlineStr"/>
      <c r="D189" s="12" t="inlineStr"/>
      <c r="E189" s="6" t="inlineStr">
        <is>
          <t>813281</t>
        </is>
      </c>
      <c r="F189" s="6" t="inlineStr">
        <is>
          <t>2143281IN</t>
        </is>
      </c>
      <c r="G189" s="6" t="inlineStr">
        <is>
          <t>Speciális felépítmény alkatrészek</t>
        </is>
      </c>
      <c r="H189" s="6" t="inlineStr">
        <is>
          <t>Zárak</t>
        </is>
      </c>
      <c r="I189" s="6" t="inlineStr">
        <is>
          <t>Quadris Excel</t>
        </is>
      </c>
      <c r="J189" s="6" t="n">
        <v>0</v>
      </c>
      <c r="K189" s="6" t="n">
        <v>0</v>
      </c>
      <c r="L189" s="6" t="inlineStr">
        <is>
          <t>nincs</t>
        </is>
      </c>
      <c r="M189" s="6">
        <f>IF(AND(J189&gt;0,K189&gt;0),"Rendben",IF(AND(J189=0,K189=0),"Nincs kép és adat",IF(J189=0,"Nincs kép","Nincs adat")))</f>
        <v/>
      </c>
      <c r="N189" s="6" t="inlineStr">
        <is>
          <t>Igen</t>
        </is>
      </c>
      <c r="O189" s="7" t="inlineStr">
        <is>
          <t>fts-farina.it webáruház (WooCommerce API); FTS 2024 katalógus (PDF)</t>
        </is>
      </c>
      <c r="P189" s="7" t="inlineStr">
        <is>
          <t>Nem találtuk: fts-farina.it webáruház (WooCommerce API); FTS 2024 katalógus (PDF)</t>
        </is>
      </c>
      <c r="Q189" s="6" t="inlineStr"/>
      <c r="R189" s="13" t="inlineStr">
        <is>
          <t>https://website-9ib.pages.dev/termek/813281-kis-negyszog-zar-inox/</t>
        </is>
      </c>
      <c r="S189" s="6" t="inlineStr">
        <is>
          <t>813281-kis-negyszog-zar-inox</t>
        </is>
      </c>
    </row>
    <row r="190">
      <c r="A190" s="6" t="inlineStr">
        <is>
          <t>FTS</t>
        </is>
      </c>
      <c r="B190" s="7" t="inlineStr">
        <is>
          <t>Kis oldalsó ládazár</t>
        </is>
      </c>
      <c r="C190" s="11" t="inlineStr"/>
      <c r="D190" s="12" t="inlineStr"/>
      <c r="E190" s="6" t="inlineStr">
        <is>
          <t>895260</t>
        </is>
      </c>
      <c r="F190" s="6" t="inlineStr"/>
      <c r="G190" s="6" t="inlineStr">
        <is>
          <t>Speciális felépítmény alkatrészek</t>
        </is>
      </c>
      <c r="H190" s="6" t="inlineStr">
        <is>
          <t>Zárak</t>
        </is>
      </c>
      <c r="I190" s="6" t="inlineStr">
        <is>
          <t>Quadris Excel</t>
        </is>
      </c>
      <c r="J190" s="6" t="n">
        <v>0</v>
      </c>
      <c r="K190" s="6" t="n">
        <v>0</v>
      </c>
      <c r="L190" s="6" t="inlineStr">
        <is>
          <t>nincs</t>
        </is>
      </c>
      <c r="M190" s="6">
        <f>IF(AND(J190&gt;0,K190&gt;0),"Rendben",IF(AND(J190=0,K190=0),"Nincs kép és adat",IF(J190=0,"Nincs kép","Nincs adat")))</f>
        <v/>
      </c>
      <c r="N190" s="6" t="inlineStr">
        <is>
          <t>Igen</t>
        </is>
      </c>
      <c r="O190" s="7" t="inlineStr">
        <is>
          <t>fts-farina.it webáruház (WooCommerce API); FTS 2024 katalógus (PDF)</t>
        </is>
      </c>
      <c r="P190" s="7" t="inlineStr">
        <is>
          <t>Nem találtuk: fts-farina.it webáruház (WooCommerce API); FTS 2024 katalógus (PDF)</t>
        </is>
      </c>
      <c r="Q190" s="6" t="inlineStr"/>
      <c r="R190" s="13" t="inlineStr">
        <is>
          <t>https://website-9ib.pages.dev/termek/895260-kis-oldalso-ladazar/</t>
        </is>
      </c>
      <c r="S190" s="6" t="inlineStr">
        <is>
          <t>895260-kis-oldalso-ladazar</t>
        </is>
      </c>
    </row>
    <row r="191">
      <c r="A191" s="6" t="inlineStr">
        <is>
          <t>FTS</t>
        </is>
      </c>
      <c r="B191" s="7" t="inlineStr">
        <is>
          <t>J181310 D42-es FF 3p. sárvédőtartó cső 800 mm</t>
        </is>
      </c>
      <c r="C191" s="11" t="inlineStr"/>
      <c r="D191" s="12" t="inlineStr"/>
      <c r="E191" s="6" t="inlineStr"/>
      <c r="F191" s="6" t="inlineStr"/>
      <c r="G191" s="6" t="inlineStr">
        <is>
          <t>Sárvédők, szerszámosládák</t>
        </is>
      </c>
      <c r="H191" s="6" t="inlineStr">
        <is>
          <t>Felfogatások</t>
        </is>
      </c>
      <c r="I191" s="6" t="inlineStr">
        <is>
          <t>Quadris Excel</t>
        </is>
      </c>
      <c r="J191" s="6" t="n">
        <v>0</v>
      </c>
      <c r="K191" s="6" t="n">
        <v>0</v>
      </c>
      <c r="L191" s="6" t="inlineStr">
        <is>
          <t>nincs</t>
        </is>
      </c>
      <c r="M191" s="6">
        <f>IF(AND(J191&gt;0,K191&gt;0),"Rendben",IF(AND(J191=0,K191=0),"Nincs kép és adat",IF(J191=0,"Nincs kép","Nincs adat")))</f>
        <v/>
      </c>
      <c r="N191" s="6" t="inlineStr">
        <is>
          <t>Igen</t>
        </is>
      </c>
      <c r="O191" s="7" t="inlineStr">
        <is>
          <t>fts-farina.it webáruház (WooCommerce API); FTS 2024 katalógus (PDF)</t>
        </is>
      </c>
      <c r="P191" s="7" t="inlineStr">
        <is>
          <t>Nem találtuk: fts-farina.it webáruház (WooCommerce API); FTS 2024 katalógus (PDF)</t>
        </is>
      </c>
      <c r="Q191" s="6" t="inlineStr"/>
      <c r="R191" s="13" t="inlineStr">
        <is>
          <t>https://website-9ib.pages.dev/termek/j181310-d42-es-ff-3p-sarvedotarto-cso-800-mm/</t>
        </is>
      </c>
      <c r="S191" s="6" t="inlineStr">
        <is>
          <t>j181310-d42-es-ff-3p-sarvedotarto-cso-800-mm</t>
        </is>
      </c>
    </row>
    <row r="192">
      <c r="A192" s="6" t="inlineStr">
        <is>
          <t>Fuhrmann</t>
        </is>
      </c>
      <c r="B192" s="7" t="inlineStr">
        <is>
          <t>Acél oldalfal BAK 450 mm</t>
        </is>
      </c>
      <c r="C192" s="11" t="inlineStr"/>
      <c r="D192" s="12" t="inlineStr"/>
      <c r="E192" s="6" t="inlineStr">
        <is>
          <t>BAK 450</t>
        </is>
      </c>
      <c r="F192" s="6" t="inlineStr">
        <is>
          <t>BAK 450</t>
        </is>
      </c>
      <c r="G192" s="6" t="inlineStr">
        <is>
          <t>Acél profilok</t>
        </is>
      </c>
      <c r="H192" s="6" t="inlineStr">
        <is>
          <t>Lézerhegesztett acél oldalfalak</t>
        </is>
      </c>
      <c r="I192" s="6" t="inlineStr">
        <is>
          <t>Teljes kínálat</t>
        </is>
      </c>
      <c r="J192" s="6" t="n">
        <v>0</v>
      </c>
      <c r="K192" s="6" t="n">
        <v>6</v>
      </c>
      <c r="L192" s="6" t="inlineStr">
        <is>
          <t>van</t>
        </is>
      </c>
      <c r="M192" s="6">
        <f>IF(AND(J192&gt;0,K192&gt;0),"Rendben",IF(AND(J192=0,K192=0),"Nincs kép és adat",IF(J192=0,"Nincs kép","Nincs adat")))</f>
        <v/>
      </c>
      <c r="N192" s="6" t="inlineStr">
        <is>
          <t>Igen</t>
        </is>
      </c>
      <c r="O192" s="7" t="inlineStr">
        <is>
          <t>Fuhrmann teljes kínálata (gyártói katalógus / weboldal)</t>
        </is>
      </c>
      <c r="P192" s="7" t="inlineStr">
        <is>
          <t>Megtalálva: a beszállító teljes kínálatából felvett termék</t>
        </is>
      </c>
      <c r="Q192" s="13" t="inlineStr">
        <is>
          <t>https://www.fuhrmann.at/de/stbw450.php</t>
        </is>
      </c>
      <c r="R192" s="13" t="inlineStr">
        <is>
          <t>https://website-9ib.pages.dev/termek/acel-oldalfal-bak-450/</t>
        </is>
      </c>
      <c r="S192" s="6" t="inlineStr">
        <is>
          <t>acel-oldalfal-bak-450</t>
        </is>
      </c>
    </row>
    <row r="193">
      <c r="A193" s="6" t="inlineStr">
        <is>
          <t>Fuhrmann</t>
        </is>
      </c>
      <c r="B193" s="7" t="inlineStr">
        <is>
          <t>Acél oldalfal HVAK 450 mm</t>
        </is>
      </c>
      <c r="C193" s="11" t="inlineStr"/>
      <c r="D193" s="12" t="inlineStr"/>
      <c r="E193" s="6" t="inlineStr">
        <is>
          <t>HVAK 450</t>
        </is>
      </c>
      <c r="F193" s="6" t="inlineStr">
        <is>
          <t>HVAK 450</t>
        </is>
      </c>
      <c r="G193" s="6" t="inlineStr">
        <is>
          <t>Acél profilok</t>
        </is>
      </c>
      <c r="H193" s="6" t="inlineStr">
        <is>
          <t>Lézerhegesztett acél oldalfalak</t>
        </is>
      </c>
      <c r="I193" s="6" t="inlineStr">
        <is>
          <t>Teljes kínálat</t>
        </is>
      </c>
      <c r="J193" s="6" t="n">
        <v>0</v>
      </c>
      <c r="K193" s="6" t="n">
        <v>6</v>
      </c>
      <c r="L193" s="6" t="inlineStr">
        <is>
          <t>van</t>
        </is>
      </c>
      <c r="M193" s="6">
        <f>IF(AND(J193&gt;0,K193&gt;0),"Rendben",IF(AND(J193=0,K193=0),"Nincs kép és adat",IF(J193=0,"Nincs kép","Nincs adat")))</f>
        <v/>
      </c>
      <c r="N193" s="6" t="inlineStr">
        <is>
          <t>Igen</t>
        </is>
      </c>
      <c r="O193" s="7" t="inlineStr">
        <is>
          <t>Fuhrmann teljes kínálata (gyártói katalógus / weboldal)</t>
        </is>
      </c>
      <c r="P193" s="7" t="inlineStr">
        <is>
          <t>Megtalálva: a beszállító teljes kínálatából felvett termék</t>
        </is>
      </c>
      <c r="Q193" s="13" t="inlineStr">
        <is>
          <t>https://www.fuhrmann.at/de/stbw450.php</t>
        </is>
      </c>
      <c r="R193" s="13" t="inlineStr">
        <is>
          <t>https://website-9ib.pages.dev/termek/acel-oldalfal-hvak-450/</t>
        </is>
      </c>
      <c r="S193" s="6" t="inlineStr">
        <is>
          <t>acel-oldalfal-hvak-450</t>
        </is>
      </c>
    </row>
    <row r="194">
      <c r="A194" s="6" t="inlineStr">
        <is>
          <t>G&amp;C termékek</t>
        </is>
      </c>
      <c r="B194" s="7" t="inlineStr">
        <is>
          <t>12V-LED ventillátor belső takaró</t>
        </is>
      </c>
      <c r="C194" s="11" t="inlineStr"/>
      <c r="D194" s="12" t="inlineStr"/>
      <c r="E194" s="6" t="inlineStr"/>
      <c r="F194" s="6" t="inlineStr">
        <is>
          <t>35-2185</t>
        </is>
      </c>
      <c r="G194" s="6" t="inlineStr">
        <is>
          <t>Szellőzés, tetőablakok, világítás</t>
        </is>
      </c>
      <c r="H194" s="6" t="inlineStr">
        <is>
          <t>Belső szellőzők és rácsok</t>
        </is>
      </c>
      <c r="I194" s="6" t="inlineStr">
        <is>
          <t>Quadris Excel</t>
        </is>
      </c>
      <c r="J194" s="6" t="n">
        <v>0</v>
      </c>
      <c r="K194" s="6" t="n">
        <v>0</v>
      </c>
      <c r="L194" s="6" t="inlineStr">
        <is>
          <t>nincs</t>
        </is>
      </c>
      <c r="M194" s="6">
        <f>IF(AND(J194&gt;0,K194&gt;0),"Rendben",IF(AND(J194=0,K194=0),"Nincs kép és adat",IF(J194=0,"Nincs kép","Nincs adat")))</f>
        <v/>
      </c>
      <c r="N194" s="6" t="inlineStr">
        <is>
          <t>Igen</t>
        </is>
      </c>
      <c r="O194" s="7" t="inlineStr">
        <is>
          <t>gnc-systems.com termékoldalak és adatlapok</t>
        </is>
      </c>
      <c r="P194" s="7" t="inlineStr">
        <is>
          <t>Nem találtuk: gnc-systems.com termékoldalak és adatlapok</t>
        </is>
      </c>
      <c r="Q194" s="6" t="inlineStr"/>
      <c r="R194" s="13" t="inlineStr">
        <is>
          <t>https://website-9ib.pages.dev/termek/12v-led-ventillator-belso-takaro/</t>
        </is>
      </c>
      <c r="S194" s="6" t="inlineStr">
        <is>
          <t>12v-led-ventillator-belso-takaro</t>
        </is>
      </c>
    </row>
    <row r="195">
      <c r="A195" s="6" t="inlineStr">
        <is>
          <t>G&amp;C termékek</t>
        </is>
      </c>
      <c r="B195" s="7" t="inlineStr">
        <is>
          <t>Ledes lámpa kerek fehér</t>
        </is>
      </c>
      <c r="C195" s="11" t="inlineStr"/>
      <c r="D195" s="12" t="inlineStr"/>
      <c r="E195" s="6" t="inlineStr"/>
      <c r="F195" s="6" t="inlineStr">
        <is>
          <t>92-GC01</t>
        </is>
      </c>
      <c r="G195" s="6" t="inlineStr">
        <is>
          <t>Szellőzés, tetőablakok, világítás</t>
        </is>
      </c>
      <c r="H195" s="6" t="inlineStr">
        <is>
          <t>Belső világítás</t>
        </is>
      </c>
      <c r="I195" s="6" t="inlineStr">
        <is>
          <t>Quadris Excel</t>
        </is>
      </c>
      <c r="J195" s="6" t="n">
        <v>0</v>
      </c>
      <c r="K195" s="6" t="n">
        <v>0</v>
      </c>
      <c r="L195" s="6" t="inlineStr">
        <is>
          <t>nincs</t>
        </is>
      </c>
      <c r="M195" s="6">
        <f>IF(AND(J195&gt;0,K195&gt;0),"Rendben",IF(AND(J195=0,K195=0),"Nincs kép és adat",IF(J195=0,"Nincs kép","Nincs adat")))</f>
        <v/>
      </c>
      <c r="N195" s="6" t="inlineStr">
        <is>
          <t>Igen</t>
        </is>
      </c>
      <c r="O195" s="7" t="inlineStr">
        <is>
          <t>gnc-systems.com termékoldalak és adatlapok</t>
        </is>
      </c>
      <c r="P195" s="7" t="inlineStr">
        <is>
          <t>Nem találtuk: gnc-systems.com termékoldalak és adatlapok</t>
        </is>
      </c>
      <c r="Q195" s="6" t="inlineStr"/>
      <c r="R195" s="13" t="inlineStr">
        <is>
          <t>https://website-9ib.pages.dev/termek/ledes-lampa-kerek-feher/</t>
        </is>
      </c>
      <c r="S195" s="6" t="inlineStr">
        <is>
          <t>ledes-lampa-kerek-feher</t>
        </is>
      </c>
    </row>
    <row r="196">
      <c r="A196" s="6" t="inlineStr">
        <is>
          <t>G&amp;C termékek</t>
        </is>
      </c>
      <c r="B196" s="7" t="inlineStr">
        <is>
          <t>Ledes lámpa, szögletes fehér 12/24V</t>
        </is>
      </c>
      <c r="C196" s="11" t="inlineStr"/>
      <c r="D196" s="12" t="inlineStr"/>
      <c r="E196" s="6" t="inlineStr"/>
      <c r="F196" s="6" t="inlineStr">
        <is>
          <t>92-GC05-HP</t>
        </is>
      </c>
      <c r="G196" s="6" t="inlineStr">
        <is>
          <t>Szellőzés, tetőablakok, világítás</t>
        </is>
      </c>
      <c r="H196" s="6" t="inlineStr">
        <is>
          <t>Belső világítás</t>
        </is>
      </c>
      <c r="I196" s="6" t="inlineStr">
        <is>
          <t>Quadris Excel</t>
        </is>
      </c>
      <c r="J196" s="6" t="n">
        <v>0</v>
      </c>
      <c r="K196" s="6" t="n">
        <v>0</v>
      </c>
      <c r="L196" s="6" t="inlineStr">
        <is>
          <t>nincs</t>
        </is>
      </c>
      <c r="M196" s="6">
        <f>IF(AND(J196&gt;0,K196&gt;0),"Rendben",IF(AND(J196=0,K196=0),"Nincs kép és adat",IF(J196=0,"Nincs kép","Nincs adat")))</f>
        <v/>
      </c>
      <c r="N196" s="6" t="inlineStr">
        <is>
          <t>Igen</t>
        </is>
      </c>
      <c r="O196" s="7" t="inlineStr">
        <is>
          <t>gnc-systems.com termékoldalak és adatlapok</t>
        </is>
      </c>
      <c r="P196" s="7" t="inlineStr">
        <is>
          <t>Nem találtuk: gnc-systems.com termékoldalak és adatlapok</t>
        </is>
      </c>
      <c r="Q196" s="6" t="inlineStr"/>
      <c r="R196" s="13" t="inlineStr">
        <is>
          <t>https://website-9ib.pages.dev/termek/ledes-lampa-szogletes-feher-12-24v/</t>
        </is>
      </c>
      <c r="S196" s="6" t="inlineStr">
        <is>
          <t>ledes-lampa-szogletes-feher-12-24v</t>
        </is>
      </c>
    </row>
    <row r="197">
      <c r="A197" s="6" t="inlineStr">
        <is>
          <t>G&amp;C termékek</t>
        </is>
      </c>
      <c r="B197" s="7" t="inlineStr">
        <is>
          <t>Szellőző rács 410x100 mm</t>
        </is>
      </c>
      <c r="C197" s="11" t="inlineStr"/>
      <c r="D197" s="12" t="inlineStr"/>
      <c r="E197" s="6" t="inlineStr"/>
      <c r="F197" s="6" t="inlineStr">
        <is>
          <t>35-4010</t>
        </is>
      </c>
      <c r="G197" s="6" t="inlineStr">
        <is>
          <t>Szellőzés, tetőablakok, világítás</t>
        </is>
      </c>
      <c r="H197" s="6" t="inlineStr">
        <is>
          <t>Belső szellőzők és rácsok</t>
        </is>
      </c>
      <c r="I197" s="6" t="inlineStr">
        <is>
          <t>Quadris Excel</t>
        </is>
      </c>
      <c r="J197" s="6" t="n">
        <v>0</v>
      </c>
      <c r="K197" s="6" t="n">
        <v>0</v>
      </c>
      <c r="L197" s="6" t="inlineStr">
        <is>
          <t>nincs</t>
        </is>
      </c>
      <c r="M197" s="6">
        <f>IF(AND(J197&gt;0,K197&gt;0),"Rendben",IF(AND(J197=0,K197=0),"Nincs kép és adat",IF(J197=0,"Nincs kép","Nincs adat")))</f>
        <v/>
      </c>
      <c r="N197" s="6" t="inlineStr">
        <is>
          <t>Igen</t>
        </is>
      </c>
      <c r="O197" s="7" t="inlineStr">
        <is>
          <t>gnc-systems.com termékoldalak és adatlapok</t>
        </is>
      </c>
      <c r="P197" s="7" t="inlineStr">
        <is>
          <t>Nem találtuk: gnc-systems.com termékoldalak és adatlapok</t>
        </is>
      </c>
      <c r="Q197" s="6" t="inlineStr"/>
      <c r="R197" s="13" t="inlineStr">
        <is>
          <t>https://website-9ib.pages.dev/termek/szellozo-racs-410x100-mm/</t>
        </is>
      </c>
      <c r="S197" s="6" t="inlineStr">
        <is>
          <t>szellozo-racs-410x100-mm</t>
        </is>
      </c>
    </row>
    <row r="198">
      <c r="A198" s="6" t="inlineStr">
        <is>
          <t>G&amp;C termékek</t>
        </is>
      </c>
      <c r="B198" s="7" t="inlineStr">
        <is>
          <t>Tetőablak üveg 970x530</t>
        </is>
      </c>
      <c r="C198" s="11" t="inlineStr"/>
      <c r="D198" s="12" t="inlineStr"/>
      <c r="E198" s="6" t="inlineStr"/>
      <c r="F198" s="6" t="inlineStr">
        <is>
          <t>90-8060-Dark</t>
        </is>
      </c>
      <c r="G198" s="6" t="inlineStr">
        <is>
          <t>Szellőzés, tetőablakok, világítás</t>
        </is>
      </c>
      <c r="H198" s="6" t="inlineStr">
        <is>
          <t>Tetőablakok</t>
        </is>
      </c>
      <c r="I198" s="6" t="inlineStr">
        <is>
          <t>Quadris Excel</t>
        </is>
      </c>
      <c r="J198" s="6" t="n">
        <v>0</v>
      </c>
      <c r="K198" s="6" t="n">
        <v>0</v>
      </c>
      <c r="L198" s="6" t="inlineStr">
        <is>
          <t>nincs</t>
        </is>
      </c>
      <c r="M198" s="6">
        <f>IF(AND(J198&gt;0,K198&gt;0),"Rendben",IF(AND(J198=0,K198=0),"Nincs kép és adat",IF(J198=0,"Nincs kép","Nincs adat")))</f>
        <v/>
      </c>
      <c r="N198" s="6" t="inlineStr">
        <is>
          <t>Igen</t>
        </is>
      </c>
      <c r="O198" s="7" t="inlineStr">
        <is>
          <t>gnc-systems.com termékoldalak és adatlapok</t>
        </is>
      </c>
      <c r="P198" s="7" t="inlineStr">
        <is>
          <t>Nem találtuk: gnc-systems.com termékoldalak és adatlapok</t>
        </is>
      </c>
      <c r="Q198" s="6" t="inlineStr"/>
      <c r="R198" s="13" t="inlineStr">
        <is>
          <t>https://website-9ib.pages.dev/termek/tetoablak-uveg-970x530/</t>
        </is>
      </c>
      <c r="S198" s="6" t="inlineStr">
        <is>
          <t>tetoablak-uveg-970x530</t>
        </is>
      </c>
    </row>
    <row r="199">
      <c r="A199" s="6" t="inlineStr">
        <is>
          <t>G&amp;C termékek</t>
        </is>
      </c>
      <c r="B199" s="7" t="inlineStr">
        <is>
          <t>Ventillátor belső takaró elem</t>
        </is>
      </c>
      <c r="C199" s="11" t="inlineStr"/>
      <c r="D199" s="12" t="inlineStr"/>
      <c r="E199" s="6" t="inlineStr"/>
      <c r="F199" s="6" t="inlineStr">
        <is>
          <t>35-2195-LED-24V</t>
        </is>
      </c>
      <c r="G199" s="6" t="inlineStr">
        <is>
          <t>Szellőzés, tetőablakok, világítás</t>
        </is>
      </c>
      <c r="H199" s="6" t="inlineStr">
        <is>
          <t>Belső szellőzők és rácsok</t>
        </is>
      </c>
      <c r="I199" s="6" t="inlineStr">
        <is>
          <t>Quadris Excel</t>
        </is>
      </c>
      <c r="J199" s="6" t="n">
        <v>0</v>
      </c>
      <c r="K199" s="6" t="n">
        <v>0</v>
      </c>
      <c r="L199" s="6" t="inlineStr">
        <is>
          <t>nincs</t>
        </is>
      </c>
      <c r="M199" s="6">
        <f>IF(AND(J199&gt;0,K199&gt;0),"Rendben",IF(AND(J199=0,K199=0),"Nincs kép és adat",IF(J199=0,"Nincs kép","Nincs adat")))</f>
        <v/>
      </c>
      <c r="N199" s="6" t="inlineStr">
        <is>
          <t>Igen</t>
        </is>
      </c>
      <c r="O199" s="7" t="inlineStr">
        <is>
          <t>gnc-systems.com termékoldalak és adatlapok</t>
        </is>
      </c>
      <c r="P199" s="7" t="inlineStr">
        <is>
          <t>Nem találtuk: gnc-systems.com termékoldalak és adatlapok</t>
        </is>
      </c>
      <c r="Q199" s="6" t="inlineStr"/>
      <c r="R199" s="13" t="inlineStr">
        <is>
          <t>https://website-9ib.pages.dev/termek/ventillator-belso-takaro-elem/</t>
        </is>
      </c>
      <c r="S199" s="6" t="inlineStr">
        <is>
          <t>ventillator-belso-takaro-elem</t>
        </is>
      </c>
    </row>
    <row r="200">
      <c r="A200" s="6" t="inlineStr">
        <is>
          <t>Ital Accessori</t>
        </is>
      </c>
      <c r="B200" s="7" t="inlineStr">
        <is>
          <t>Acél keret 109/21/3/6500</t>
        </is>
      </c>
      <c r="C200" s="11" t="inlineStr"/>
      <c r="D200" s="12" t="inlineStr"/>
      <c r="E200" s="6" t="inlineStr">
        <is>
          <t>141722</t>
        </is>
      </c>
      <c r="F200" s="6" t="inlineStr">
        <is>
          <t>141722</t>
        </is>
      </c>
      <c r="G200" s="6" t="inlineStr">
        <is>
          <t>Acél profilok</t>
        </is>
      </c>
      <c r="H200" s="6" t="inlineStr">
        <is>
          <t>Acél keret</t>
        </is>
      </c>
      <c r="I200" s="6" t="inlineStr">
        <is>
          <t>Quadris Excel</t>
        </is>
      </c>
      <c r="J200" s="6" t="n">
        <v>0</v>
      </c>
      <c r="K200" s="6" t="n">
        <v>0</v>
      </c>
      <c r="L200" s="6" t="inlineStr">
        <is>
          <t>nincs</t>
        </is>
      </c>
      <c r="M200" s="6">
        <f>IF(AND(J200&gt;0,K200&gt;0),"Rendben",IF(AND(J200=0,K200=0),"Nincs kép és adat",IF(J200=0,"Nincs kép","Nincs adat")))</f>
        <v/>
      </c>
      <c r="N200" s="6" t="inlineStr">
        <is>
          <t>Igen</t>
        </is>
      </c>
      <c r="O200" s="7" t="inlineStr">
        <is>
          <t>Ital Accessori teljes PDF katalógus (ital-accessori.sk); Takler termékoldalak (aláfutásgátló konzolok)</t>
        </is>
      </c>
      <c r="P200" s="7" t="inlineStr">
        <is>
          <t>Nem találtuk: Ital Accessori teljes PDF katalógus (ital-accessori.sk); Takler termékoldalak (aláfutásgátló konzolok)</t>
        </is>
      </c>
      <c r="Q200" s="6" t="inlineStr"/>
      <c r="R200" s="13" t="inlineStr">
        <is>
          <t>https://website-9ib.pages.dev/termek/141722-acel-keret-109-21-3-6500/</t>
        </is>
      </c>
      <c r="S200" s="6" t="inlineStr">
        <is>
          <t>141722-acel-keret-109-21-3-6500</t>
        </is>
      </c>
    </row>
    <row r="201">
      <c r="A201" s="6" t="inlineStr">
        <is>
          <t>Ital Accessori</t>
        </is>
      </c>
      <c r="B201" s="7" t="inlineStr">
        <is>
          <t>Acél keret 112/24/3/6500</t>
        </is>
      </c>
      <c r="C201" s="11" t="inlineStr"/>
      <c r="D201" s="12" t="inlineStr"/>
      <c r="E201" s="6" t="inlineStr">
        <is>
          <t>141720</t>
        </is>
      </c>
      <c r="F201" s="6" t="inlineStr">
        <is>
          <t>141720</t>
        </is>
      </c>
      <c r="G201" s="6" t="inlineStr">
        <is>
          <t>Acél profilok</t>
        </is>
      </c>
      <c r="H201" s="6" t="inlineStr">
        <is>
          <t>Acél keret</t>
        </is>
      </c>
      <c r="I201" s="6" t="inlineStr">
        <is>
          <t>Quadris Excel</t>
        </is>
      </c>
      <c r="J201" s="6" t="n">
        <v>0</v>
      </c>
      <c r="K201" s="6" t="n">
        <v>0</v>
      </c>
      <c r="L201" s="6" t="inlineStr">
        <is>
          <t>nincs</t>
        </is>
      </c>
      <c r="M201" s="6">
        <f>IF(AND(J201&gt;0,K201&gt;0),"Rendben",IF(AND(J201=0,K201=0),"Nincs kép és adat",IF(J201=0,"Nincs kép","Nincs adat")))</f>
        <v/>
      </c>
      <c r="N201" s="6" t="inlineStr">
        <is>
          <t>Igen</t>
        </is>
      </c>
      <c r="O201" s="7" t="inlineStr">
        <is>
          <t>Ital Accessori teljes PDF katalógus (ital-accessori.sk); Takler termékoldalak (aláfutásgátló konzolok)</t>
        </is>
      </c>
      <c r="P201" s="7" t="inlineStr">
        <is>
          <t>Nem találtuk: Ital Accessori teljes PDF katalógus (ital-accessori.sk); Takler termékoldalak (aláfutásgátló konzolok)</t>
        </is>
      </c>
      <c r="Q201" s="6" t="inlineStr"/>
      <c r="R201" s="13" t="inlineStr">
        <is>
          <t>https://website-9ib.pages.dev/termek/141720-acel-keret-112-24-3-6500/</t>
        </is>
      </c>
      <c r="S201" s="6" t="inlineStr">
        <is>
          <t>141720-acel-keret-112-24-3-6500</t>
        </is>
      </c>
    </row>
    <row r="202">
      <c r="A202" s="6" t="inlineStr">
        <is>
          <t>Ital Accessori</t>
        </is>
      </c>
      <c r="B202" s="7" t="inlineStr">
        <is>
          <t>MX rakoncaszegőprofil elox</t>
        </is>
      </c>
      <c r="C202" s="11" t="inlineStr"/>
      <c r="D202" s="12" t="inlineStr"/>
      <c r="E202" s="6" t="inlineStr">
        <is>
          <t>351336</t>
        </is>
      </c>
      <c r="F202" s="6" t="inlineStr">
        <is>
          <t>13367</t>
        </is>
      </c>
      <c r="G202" s="6" t="inlineStr">
        <is>
          <t>Acél és alu rakoncák és szegők</t>
        </is>
      </c>
      <c r="H202" s="6" t="inlineStr">
        <is>
          <t>Alumínium rakoncák</t>
        </is>
      </c>
      <c r="I202" s="6" t="inlineStr">
        <is>
          <t>Quadris Excel</t>
        </is>
      </c>
      <c r="J202" s="6" t="n">
        <v>0</v>
      </c>
      <c r="K202" s="6" t="n">
        <v>0</v>
      </c>
      <c r="L202" s="6" t="inlineStr">
        <is>
          <t>nincs</t>
        </is>
      </c>
      <c r="M202" s="6">
        <f>IF(AND(J202&gt;0,K202&gt;0),"Rendben",IF(AND(J202=0,K202=0),"Nincs kép és adat",IF(J202=0,"Nincs kép","Nincs adat")))</f>
        <v/>
      </c>
      <c r="N202" s="6" t="inlineStr">
        <is>
          <t>Igen</t>
        </is>
      </c>
      <c r="O202" s="7" t="inlineStr">
        <is>
          <t>Ital Accessori teljes PDF katalógus (ital-accessori.sk); Takler termékoldalak (aláfutásgátló konzolok)</t>
        </is>
      </c>
      <c r="P202" s="7" t="inlineStr">
        <is>
          <t>Nem találtuk: Ital Accessori teljes PDF katalógus (ital-accessori.sk); Takler termékoldalak (aláfutásgátló konzolok)</t>
        </is>
      </c>
      <c r="Q202" s="6" t="inlineStr"/>
      <c r="R202" s="13" t="inlineStr">
        <is>
          <t>https://website-9ib.pages.dev/termek/351336-mx-rakoncaszegoprofil-elox/</t>
        </is>
      </c>
      <c r="S202" s="6" t="inlineStr">
        <is>
          <t>351336-mx-rakoncaszegoprofil-elox</t>
        </is>
      </c>
    </row>
    <row r="203">
      <c r="A203" s="6" t="inlineStr">
        <is>
          <t>Ital Accessori</t>
        </is>
      </c>
      <c r="B203" s="7" t="inlineStr">
        <is>
          <t>Bill. Rakonca csap SP.41 horg</t>
        </is>
      </c>
      <c r="C203" s="11" t="inlineStr"/>
      <c r="D203" s="12" t="inlineStr"/>
      <c r="E203" s="6" t="inlineStr">
        <is>
          <t>3510460</t>
        </is>
      </c>
      <c r="F203" s="6" t="inlineStr">
        <is>
          <t>H010460</t>
        </is>
      </c>
      <c r="G203" s="6" t="inlineStr">
        <is>
          <t>Billencs alkatrészek</t>
        </is>
      </c>
      <c r="H203" s="6" t="inlineStr">
        <is>
          <t>Billencs rakoncák</t>
        </is>
      </c>
      <c r="I203" s="6" t="inlineStr">
        <is>
          <t>Quadris Excel</t>
        </is>
      </c>
      <c r="J203" s="6" t="n">
        <v>0</v>
      </c>
      <c r="K203" s="6" t="n">
        <v>0</v>
      </c>
      <c r="L203" s="6" t="inlineStr">
        <is>
          <t>nincs</t>
        </is>
      </c>
      <c r="M203" s="6">
        <f>IF(AND(J203&gt;0,K203&gt;0),"Rendben",IF(AND(J203=0,K203=0),"Nincs kép és adat",IF(J203=0,"Nincs kép","Nincs adat")))</f>
        <v/>
      </c>
      <c r="N203" s="6" t="inlineStr">
        <is>
          <t>Igen</t>
        </is>
      </c>
      <c r="O203" s="7" t="inlineStr">
        <is>
          <t>Ital Accessori teljes PDF katalógus (ital-accessori.sk); Takler termékoldalak (aláfutásgátló konzolok)</t>
        </is>
      </c>
      <c r="P203" s="7" t="inlineStr">
        <is>
          <t>Nem találtuk: Ital Accessori teljes PDF katalógus (ital-accessori.sk); Takler termékoldalak (aláfutásgátló konzolok)</t>
        </is>
      </c>
      <c r="Q203" s="6" t="inlineStr"/>
      <c r="R203" s="13" t="inlineStr">
        <is>
          <t>https://website-9ib.pages.dev/termek/3510460-bill-rakonca-csap-sp-41-horg/</t>
        </is>
      </c>
      <c r="S203" s="6" t="inlineStr">
        <is>
          <t>3510460-bill-rakonca-csap-sp-41-horg</t>
        </is>
      </c>
    </row>
    <row r="204">
      <c r="A204" s="6" t="inlineStr">
        <is>
          <t>Ital Accessori</t>
        </is>
      </c>
      <c r="B204" s="7" t="inlineStr">
        <is>
          <t>Bill. első rakonca 805x40 R/L</t>
        </is>
      </c>
      <c r="C204" s="11" t="inlineStr"/>
      <c r="D204" s="12" t="inlineStr"/>
      <c r="E204" s="6" t="inlineStr">
        <is>
          <t>351372</t>
        </is>
      </c>
      <c r="F204" s="6" t="inlineStr">
        <is>
          <t>321372/73</t>
        </is>
      </c>
      <c r="G204" s="6" t="inlineStr">
        <is>
          <t>Billencs alkatrészek</t>
        </is>
      </c>
      <c r="H204" s="6" t="inlineStr">
        <is>
          <t>Billencs rakoncák</t>
        </is>
      </c>
      <c r="I204" s="6" t="inlineStr">
        <is>
          <t>Quadris Excel</t>
        </is>
      </c>
      <c r="J204" s="6" t="n">
        <v>0</v>
      </c>
      <c r="K204" s="6" t="n">
        <v>0</v>
      </c>
      <c r="L204" s="6" t="inlineStr">
        <is>
          <t>nincs</t>
        </is>
      </c>
      <c r="M204" s="6">
        <f>IF(AND(J204&gt;0,K204&gt;0),"Rendben",IF(AND(J204=0,K204=0),"Nincs kép és adat",IF(J204=0,"Nincs kép","Nincs adat")))</f>
        <v/>
      </c>
      <c r="N204" s="6" t="inlineStr">
        <is>
          <t>Igen</t>
        </is>
      </c>
      <c r="O204" s="7" t="inlineStr">
        <is>
          <t>Ital Accessori teljes PDF katalógus (ital-accessori.sk); Takler termékoldalak (aláfutásgátló konzolok)</t>
        </is>
      </c>
      <c r="P204" s="7" t="inlineStr">
        <is>
          <t>Nem találtuk: Ital Accessori teljes PDF katalógus (ital-accessori.sk); Takler termékoldalak (aláfutásgátló konzolok)</t>
        </is>
      </c>
      <c r="Q204" s="6" t="inlineStr"/>
      <c r="R204" s="13" t="inlineStr">
        <is>
          <t>https://website-9ib.pages.dev/termek/351372-bill-elso-rakonca-805x40-r-l/</t>
        </is>
      </c>
      <c r="S204" s="6" t="inlineStr">
        <is>
          <t>351372-bill-elso-rakonca-805x40-r-l</t>
        </is>
      </c>
    </row>
    <row r="205">
      <c r="A205" s="6" t="inlineStr">
        <is>
          <t>Ital Accessori</t>
        </is>
      </c>
      <c r="B205" s="7" t="inlineStr">
        <is>
          <t>Bill. hátsó rakonca 805x40 +zseb R/L</t>
        </is>
      </c>
      <c r="C205" s="11" t="inlineStr"/>
      <c r="D205" s="12" t="inlineStr"/>
      <c r="E205" s="6" t="inlineStr">
        <is>
          <t>351375</t>
        </is>
      </c>
      <c r="F205" s="6" t="inlineStr">
        <is>
          <t>321375/76/321644</t>
        </is>
      </c>
      <c r="G205" s="6" t="inlineStr">
        <is>
          <t>Billencs alkatrészek</t>
        </is>
      </c>
      <c r="H205" s="6" t="inlineStr">
        <is>
          <t>Billencs rakoncák</t>
        </is>
      </c>
      <c r="I205" s="6" t="inlineStr">
        <is>
          <t>Quadris Excel</t>
        </is>
      </c>
      <c r="J205" s="6" t="n">
        <v>0</v>
      </c>
      <c r="K205" s="6" t="n">
        <v>0</v>
      </c>
      <c r="L205" s="6" t="inlineStr">
        <is>
          <t>nincs</t>
        </is>
      </c>
      <c r="M205" s="6">
        <f>IF(AND(J205&gt;0,K205&gt;0),"Rendben",IF(AND(J205=0,K205=0),"Nincs kép és adat",IF(J205=0,"Nincs kép","Nincs adat")))</f>
        <v/>
      </c>
      <c r="N205" s="6" t="inlineStr">
        <is>
          <t>Igen</t>
        </is>
      </c>
      <c r="O205" s="7" t="inlineStr">
        <is>
          <t>Ital Accessori teljes PDF katalógus (ital-accessori.sk); Takler termékoldalak (aláfutásgátló konzolok)</t>
        </is>
      </c>
      <c r="P205" s="7" t="inlineStr">
        <is>
          <t>Nem találtuk: Ital Accessori teljes PDF katalógus (ital-accessori.sk); Takler termékoldalak (aláfutásgátló konzolok)</t>
        </is>
      </c>
      <c r="Q205" s="6" t="inlineStr"/>
      <c r="R205" s="13" t="inlineStr">
        <is>
          <t>https://website-9ib.pages.dev/termek/351375-bill-hatso-rakonca-805x40-zseb-r-l/</t>
        </is>
      </c>
      <c r="S205" s="6" t="inlineStr">
        <is>
          <t>351375-bill-hatso-rakonca-805x40-zseb-r-l</t>
        </is>
      </c>
    </row>
    <row r="206">
      <c r="A206" s="6" t="inlineStr">
        <is>
          <t>Ital Accessori</t>
        </is>
      </c>
      <c r="B206" s="7" t="inlineStr">
        <is>
          <t>Bill. középső rakonca 805x40 +zseb</t>
        </is>
      </c>
      <c r="C206" s="11" t="inlineStr"/>
      <c r="D206" s="12" t="inlineStr"/>
      <c r="E206" s="6" t="inlineStr">
        <is>
          <t>351374</t>
        </is>
      </c>
      <c r="F206" s="6" t="inlineStr">
        <is>
          <t>321374/321644</t>
        </is>
      </c>
      <c r="G206" s="6" t="inlineStr">
        <is>
          <t>Billencs alkatrészek</t>
        </is>
      </c>
      <c r="H206" s="6" t="inlineStr">
        <is>
          <t>Billencs rakoncák</t>
        </is>
      </c>
      <c r="I206" s="6" t="inlineStr">
        <is>
          <t>Quadris Excel</t>
        </is>
      </c>
      <c r="J206" s="6" t="n">
        <v>0</v>
      </c>
      <c r="K206" s="6" t="n">
        <v>0</v>
      </c>
      <c r="L206" s="6" t="inlineStr">
        <is>
          <t>nincs</t>
        </is>
      </c>
      <c r="M206" s="6">
        <f>IF(AND(J206&gt;0,K206&gt;0),"Rendben",IF(AND(J206=0,K206=0),"Nincs kép és adat",IF(J206=0,"Nincs kép","Nincs adat")))</f>
        <v/>
      </c>
      <c r="N206" s="6" t="inlineStr">
        <is>
          <t>Igen</t>
        </is>
      </c>
      <c r="O206" s="7" t="inlineStr">
        <is>
          <t>Ital Accessori teljes PDF katalógus (ital-accessori.sk); Takler termékoldalak (aláfutásgátló konzolok)</t>
        </is>
      </c>
      <c r="P206" s="7" t="inlineStr">
        <is>
          <t>Nem találtuk: Ital Accessori teljes PDF katalógus (ital-accessori.sk); Takler termékoldalak (aláfutásgátló konzolok)</t>
        </is>
      </c>
      <c r="Q206" s="6" t="inlineStr"/>
      <c r="R206" s="13" t="inlineStr">
        <is>
          <t>https://website-9ib.pages.dev/termek/351374-bill-kozepso-rakonca-805x40-zseb/</t>
        </is>
      </c>
      <c r="S206" s="6" t="inlineStr">
        <is>
          <t>351374-bill-kozepso-rakonca-805x40-zseb</t>
        </is>
      </c>
    </row>
    <row r="207">
      <c r="A207" s="6" t="inlineStr">
        <is>
          <t>Ital Accessori</t>
        </is>
      </c>
      <c r="B207" s="7" t="inlineStr">
        <is>
          <t>Billencs első rakonca 400 mm B</t>
        </is>
      </c>
      <c r="C207" s="11" t="inlineStr"/>
      <c r="D207" s="12" t="inlineStr"/>
      <c r="E207" s="6" t="inlineStr">
        <is>
          <t>3526700</t>
        </is>
      </c>
      <c r="F207" s="6" t="inlineStr">
        <is>
          <t>267</t>
        </is>
      </c>
      <c r="G207" s="6" t="inlineStr">
        <is>
          <t>Billencs alkatrészek</t>
        </is>
      </c>
      <c r="H207" s="6" t="inlineStr">
        <is>
          <t>Billencs rakoncák</t>
        </is>
      </c>
      <c r="I207" s="6" t="inlineStr">
        <is>
          <t>Quadris Excel</t>
        </is>
      </c>
      <c r="J207" s="6" t="n">
        <v>0</v>
      </c>
      <c r="K207" s="6" t="n">
        <v>0</v>
      </c>
      <c r="L207" s="6" t="inlineStr">
        <is>
          <t>nincs</t>
        </is>
      </c>
      <c r="M207" s="6">
        <f>IF(AND(J207&gt;0,K207&gt;0),"Rendben",IF(AND(J207=0,K207=0),"Nincs kép és adat",IF(J207=0,"Nincs kép","Nincs adat")))</f>
        <v/>
      </c>
      <c r="N207" s="6" t="inlineStr">
        <is>
          <t>Igen</t>
        </is>
      </c>
      <c r="O207" s="7" t="inlineStr">
        <is>
          <t>Ital Accessori teljes PDF katalógus (ital-accessori.sk); Takler termékoldalak (aláfutásgátló konzolok)</t>
        </is>
      </c>
      <c r="P207" s="7" t="inlineStr">
        <is>
          <t>Nem találtuk: Ital Accessori teljes PDF katalógus (ital-accessori.sk); Takler termékoldalak (aláfutásgátló konzolok)</t>
        </is>
      </c>
      <c r="Q207" s="6" t="inlineStr"/>
      <c r="R207" s="13" t="inlineStr">
        <is>
          <t>https://website-9ib.pages.dev/termek/3526700-billencs-elso-rakonca-400-mm-b/</t>
        </is>
      </c>
      <c r="S207" s="6" t="inlineStr">
        <is>
          <t>3526700-billencs-elso-rakonca-400-mm-b</t>
        </is>
      </c>
    </row>
    <row r="208">
      <c r="A208" s="6" t="inlineStr">
        <is>
          <t>Ital Accessori</t>
        </is>
      </c>
      <c r="B208" s="7" t="inlineStr">
        <is>
          <t>D45,5 zárt omega lefogató</t>
        </is>
      </c>
      <c r="C208" s="11" t="inlineStr"/>
      <c r="D208" s="12" t="inlineStr"/>
      <c r="E208" s="6" t="inlineStr">
        <is>
          <t>140451</t>
        </is>
      </c>
      <c r="F208" s="6" t="inlineStr"/>
      <c r="G208" s="6" t="inlineStr">
        <is>
          <t>Billencs alkatrészek</t>
        </is>
      </c>
      <c r="H208" s="6" t="inlineStr">
        <is>
          <t>Billencs alkatrészek</t>
        </is>
      </c>
      <c r="I208" s="6" t="inlineStr">
        <is>
          <t>Quadris Excel</t>
        </is>
      </c>
      <c r="J208" s="6" t="n">
        <v>0</v>
      </c>
      <c r="K208" s="6" t="n">
        <v>0</v>
      </c>
      <c r="L208" s="6" t="inlineStr">
        <is>
          <t>nincs</t>
        </is>
      </c>
      <c r="M208" s="6">
        <f>IF(AND(J208&gt;0,K208&gt;0),"Rendben",IF(AND(J208=0,K208=0),"Nincs kép és adat",IF(J208=0,"Nincs kép","Nincs adat")))</f>
        <v/>
      </c>
      <c r="N208" s="6" t="inlineStr">
        <is>
          <t>Igen</t>
        </is>
      </c>
      <c r="O208" s="7" t="inlineStr">
        <is>
          <t>Ital Accessori teljes PDF katalógus (ital-accessori.sk); Takler termékoldalak (aláfutásgátló konzolok)</t>
        </is>
      </c>
      <c r="P208" s="7" t="inlineStr">
        <is>
          <t>Nem találtuk: Ital Accessori teljes PDF katalógus (ital-accessori.sk); Takler termékoldalak (aláfutásgátló konzolok)</t>
        </is>
      </c>
      <c r="Q208" s="6" t="inlineStr"/>
      <c r="R208" s="13" t="inlineStr">
        <is>
          <t>https://website-9ib.pages.dev/termek/140451-d45-5-zart-omega-lefogato/</t>
        </is>
      </c>
      <c r="S208" s="6" t="inlineStr">
        <is>
          <t>140451-d45-5-zart-omega-lefogato</t>
        </is>
      </c>
    </row>
    <row r="209">
      <c r="A209" s="6" t="inlineStr">
        <is>
          <t>Ital Accessori</t>
        </is>
      </c>
      <c r="B209" s="7" t="inlineStr">
        <is>
          <t>D50 zárt omega lefogató</t>
        </is>
      </c>
      <c r="C209" s="11" t="inlineStr"/>
      <c r="D209" s="12" t="inlineStr"/>
      <c r="E209" s="6" t="inlineStr">
        <is>
          <t>140501</t>
        </is>
      </c>
      <c r="F209" s="6" t="inlineStr">
        <is>
          <t>510502</t>
        </is>
      </c>
      <c r="G209" s="6" t="inlineStr">
        <is>
          <t>Billencs alkatrészek</t>
        </is>
      </c>
      <c r="H209" s="6" t="inlineStr">
        <is>
          <t>Billencs alkatrészek</t>
        </is>
      </c>
      <c r="I209" s="6" t="inlineStr">
        <is>
          <t>Quadris Excel</t>
        </is>
      </c>
      <c r="J209" s="6" t="n">
        <v>0</v>
      </c>
      <c r="K209" s="6" t="n">
        <v>0</v>
      </c>
      <c r="L209" s="6" t="inlineStr">
        <is>
          <t>nincs</t>
        </is>
      </c>
      <c r="M209" s="6">
        <f>IF(AND(J209&gt;0,K209&gt;0),"Rendben",IF(AND(J209=0,K209=0),"Nincs kép és adat",IF(J209=0,"Nincs kép","Nincs adat")))</f>
        <v/>
      </c>
      <c r="N209" s="6" t="inlineStr">
        <is>
          <t>Igen</t>
        </is>
      </c>
      <c r="O209" s="7" t="inlineStr">
        <is>
          <t>Ital Accessori teljes PDF katalógus (ital-accessori.sk); Takler termékoldalak (aláfutásgátló konzolok)</t>
        </is>
      </c>
      <c r="P209" s="7" t="inlineStr">
        <is>
          <t>Nem találtuk: Ital Accessori teljes PDF katalógus (ital-accessori.sk); Takler termékoldalak (aláfutásgátló konzolok)</t>
        </is>
      </c>
      <c r="Q209" s="6" t="inlineStr"/>
      <c r="R209" s="13" t="inlineStr">
        <is>
          <t>https://website-9ib.pages.dev/termek/140501-d50-zart-omega-lefogato/</t>
        </is>
      </c>
      <c r="S209" s="6" t="inlineStr">
        <is>
          <t>140501-d50-zart-omega-lefogato</t>
        </is>
      </c>
    </row>
    <row r="210">
      <c r="A210" s="6" t="inlineStr">
        <is>
          <t>Ital Accessori</t>
        </is>
      </c>
      <c r="B210" s="7" t="inlineStr">
        <is>
          <t>D55 zárt omega lefogató</t>
        </is>
      </c>
      <c r="C210" s="11" t="inlineStr"/>
      <c r="D210" s="12" t="inlineStr"/>
      <c r="E210" s="6" t="inlineStr">
        <is>
          <t>140552</t>
        </is>
      </c>
      <c r="F210" s="6" t="inlineStr">
        <is>
          <t>510552</t>
        </is>
      </c>
      <c r="G210" s="6" t="inlineStr">
        <is>
          <t>Billencs alkatrészek</t>
        </is>
      </c>
      <c r="H210" s="6" t="inlineStr">
        <is>
          <t>Billencs alkatrészek</t>
        </is>
      </c>
      <c r="I210" s="6" t="inlineStr">
        <is>
          <t>Quadris Excel</t>
        </is>
      </c>
      <c r="J210" s="6" t="n">
        <v>0</v>
      </c>
      <c r="K210" s="6" t="n">
        <v>0</v>
      </c>
      <c r="L210" s="6" t="inlineStr">
        <is>
          <t>nincs</t>
        </is>
      </c>
      <c r="M210" s="6">
        <f>IF(AND(J210&gt;0,K210&gt;0),"Rendben",IF(AND(J210=0,K210=0),"Nincs kép és adat",IF(J210=0,"Nincs kép","Nincs adat")))</f>
        <v/>
      </c>
      <c r="N210" s="6" t="inlineStr">
        <is>
          <t>Igen</t>
        </is>
      </c>
      <c r="O210" s="7" t="inlineStr">
        <is>
          <t>Ital Accessori teljes PDF katalógus (ital-accessori.sk); Takler termékoldalak (aláfutásgátló konzolok)</t>
        </is>
      </c>
      <c r="P210" s="7" t="inlineStr">
        <is>
          <t>Nem találtuk: Ital Accessori teljes PDF katalógus (ital-accessori.sk); Takler termékoldalak (aláfutásgátló konzolok)</t>
        </is>
      </c>
      <c r="Q210" s="6" t="inlineStr"/>
      <c r="R210" s="13" t="inlineStr">
        <is>
          <t>https://website-9ib.pages.dev/termek/140552-d55-zart-omega-lefogato/</t>
        </is>
      </c>
      <c r="S210" s="6" t="inlineStr">
        <is>
          <t>140552-d55-zart-omega-lefogato</t>
        </is>
      </c>
    </row>
    <row r="211">
      <c r="A211" s="6" t="inlineStr">
        <is>
          <t>Ital Accessori</t>
        </is>
      </c>
      <c r="B211" s="7" t="inlineStr">
        <is>
          <t>Olaj szűrő 41L acél</t>
        </is>
      </c>
      <c r="C211" s="11" t="inlineStr"/>
      <c r="D211" s="12" t="inlineStr"/>
      <c r="E211" s="6" t="inlineStr">
        <is>
          <t>779401</t>
        </is>
      </c>
      <c r="F211" s="6" t="inlineStr">
        <is>
          <t>779401</t>
        </is>
      </c>
      <c r="G211" s="6" t="inlineStr">
        <is>
          <t>Billencs alkatrészek</t>
        </is>
      </c>
      <c r="H211" s="6" t="inlineStr">
        <is>
          <t>Billencs alkatrészek</t>
        </is>
      </c>
      <c r="I211" s="6" t="inlineStr">
        <is>
          <t>Quadris Excel</t>
        </is>
      </c>
      <c r="J211" s="6" t="n">
        <v>0</v>
      </c>
      <c r="K211" s="6" t="n">
        <v>0</v>
      </c>
      <c r="L211" s="6" t="inlineStr">
        <is>
          <t>nincs</t>
        </is>
      </c>
      <c r="M211" s="6">
        <f>IF(AND(J211&gt;0,K211&gt;0),"Rendben",IF(AND(J211=0,K211=0),"Nincs kép és adat",IF(J211=0,"Nincs kép","Nincs adat")))</f>
        <v/>
      </c>
      <c r="N211" s="6" t="inlineStr">
        <is>
          <t>Igen</t>
        </is>
      </c>
      <c r="O211" s="7" t="inlineStr">
        <is>
          <t>Ital Accessori teljes PDF katalógus (ital-accessori.sk); Takler termékoldalak (aláfutásgátló konzolok)</t>
        </is>
      </c>
      <c r="P211" s="7" t="inlineStr">
        <is>
          <t>Nem találtuk: Ital Accessori teljes PDF katalógus (ital-accessori.sk); Takler termékoldalak (aláfutásgátló konzolok)</t>
        </is>
      </c>
      <c r="Q211" s="6" t="inlineStr"/>
      <c r="R211" s="13" t="inlineStr">
        <is>
          <t>https://website-9ib.pages.dev/termek/779401-olaj-szuro-41l-acel/</t>
        </is>
      </c>
      <c r="S211" s="6" t="inlineStr">
        <is>
          <t>779401-olaj-szuro-41l-acel</t>
        </is>
      </c>
    </row>
    <row r="212">
      <c r="A212" s="6" t="inlineStr">
        <is>
          <t>Ital Accessori</t>
        </is>
      </c>
      <c r="B212" s="7" t="inlineStr">
        <is>
          <t>Olaj tartály 40L</t>
        </is>
      </c>
      <c r="C212" s="11" t="inlineStr"/>
      <c r="D212" s="12" t="inlineStr"/>
      <c r="E212" s="6" t="inlineStr">
        <is>
          <t>770410</t>
        </is>
      </c>
      <c r="F212" s="6" t="inlineStr">
        <is>
          <t>770410</t>
        </is>
      </c>
      <c r="G212" s="6" t="inlineStr">
        <is>
          <t>Billencs alkatrészek</t>
        </is>
      </c>
      <c r="H212" s="6" t="inlineStr">
        <is>
          <t>Billencs alkatrészek</t>
        </is>
      </c>
      <c r="I212" s="6" t="inlineStr">
        <is>
          <t>Quadris Excel</t>
        </is>
      </c>
      <c r="J212" s="6" t="n">
        <v>0</v>
      </c>
      <c r="K212" s="6" t="n">
        <v>0</v>
      </c>
      <c r="L212" s="6" t="inlineStr">
        <is>
          <t>nincs</t>
        </is>
      </c>
      <c r="M212" s="6">
        <f>IF(AND(J212&gt;0,K212&gt;0),"Rendben",IF(AND(J212=0,K212=0),"Nincs kép és adat",IF(J212=0,"Nincs kép","Nincs adat")))</f>
        <v/>
      </c>
      <c r="N212" s="6" t="inlineStr">
        <is>
          <t>Igen</t>
        </is>
      </c>
      <c r="O212" s="7" t="inlineStr">
        <is>
          <t>Ital Accessori teljes PDF katalógus (ital-accessori.sk); Takler termékoldalak (aláfutásgátló konzolok)</t>
        </is>
      </c>
      <c r="P212" s="7" t="inlineStr">
        <is>
          <t>Nem találtuk: Ital Accessori teljes PDF katalógus (ital-accessori.sk); Takler termékoldalak (aláfutásgátló konzolok)</t>
        </is>
      </c>
      <c r="Q212" s="6" t="inlineStr"/>
      <c r="R212" s="13" t="inlineStr">
        <is>
          <t>https://website-9ib.pages.dev/termek/770410-olaj-tartaly-40l/</t>
        </is>
      </c>
      <c r="S212" s="6" t="inlineStr">
        <is>
          <t>770410-olaj-tartaly-40l</t>
        </is>
      </c>
    </row>
    <row r="213">
      <c r="A213" s="6" t="inlineStr">
        <is>
          <t>Ital Accessori</t>
        </is>
      </c>
      <c r="B213" s="7" t="inlineStr">
        <is>
          <t>Végálláskapcsoló elektromos konzollal</t>
        </is>
      </c>
      <c r="C213" s="11" t="inlineStr"/>
      <c r="D213" s="12" t="inlineStr"/>
      <c r="E213" s="6" t="inlineStr">
        <is>
          <t>146039</t>
        </is>
      </c>
      <c r="F213" s="6" t="inlineStr">
        <is>
          <t>12100039</t>
        </is>
      </c>
      <c r="G213" s="6" t="inlineStr">
        <is>
          <t>Billencs alkatrészek</t>
        </is>
      </c>
      <c r="H213" s="6" t="inlineStr">
        <is>
          <t>Billencs alkatrészek</t>
        </is>
      </c>
      <c r="I213" s="6" t="inlineStr">
        <is>
          <t>Quadris Excel</t>
        </is>
      </c>
      <c r="J213" s="6" t="n">
        <v>0</v>
      </c>
      <c r="K213" s="6" t="n">
        <v>0</v>
      </c>
      <c r="L213" s="6" t="inlineStr">
        <is>
          <t>nincs</t>
        </is>
      </c>
      <c r="M213" s="6">
        <f>IF(AND(J213&gt;0,K213&gt;0),"Rendben",IF(AND(J213=0,K213=0),"Nincs kép és adat",IF(J213=0,"Nincs kép","Nincs adat")))</f>
        <v/>
      </c>
      <c r="N213" s="6" t="inlineStr">
        <is>
          <t>Igen</t>
        </is>
      </c>
      <c r="O213" s="7" t="inlineStr">
        <is>
          <t>Ital Accessori teljes PDF katalógus (ital-accessori.sk); Takler termékoldalak (aláfutásgátló konzolok)</t>
        </is>
      </c>
      <c r="P213" s="7" t="inlineStr">
        <is>
          <t>Nem találtuk: Ital Accessori teljes PDF katalógus (ital-accessori.sk); Takler termékoldalak (aláfutásgátló konzolok)</t>
        </is>
      </c>
      <c r="Q213" s="6" t="inlineStr"/>
      <c r="R213" s="13" t="inlineStr">
        <is>
          <t>https://website-9ib.pages.dev/termek/146039-vegallaskapcsolo-elektromos-konzollal/</t>
        </is>
      </c>
      <c r="S213" s="6" t="inlineStr">
        <is>
          <t>146039-vegallaskapcsolo-elektromos-konzollal</t>
        </is>
      </c>
    </row>
    <row r="214">
      <c r="A214" s="6" t="inlineStr">
        <is>
          <t>Ital Accessori</t>
        </is>
      </c>
      <c r="B214" s="7" t="inlineStr">
        <is>
          <t>Áramtalanító kapcsoló</t>
        </is>
      </c>
      <c r="C214" s="11" t="inlineStr"/>
      <c r="D214" s="12" t="inlineStr"/>
      <c r="E214" s="6" t="inlineStr">
        <is>
          <t>142211</t>
        </is>
      </c>
      <c r="F214" s="6" t="inlineStr">
        <is>
          <t>12201100302</t>
        </is>
      </c>
      <c r="G214" s="6" t="inlineStr">
        <is>
          <t>Billencs alkatrészek</t>
        </is>
      </c>
      <c r="H214" s="6" t="inlineStr">
        <is>
          <t>Billencs alkatrészek</t>
        </is>
      </c>
      <c r="I214" s="6" t="inlineStr">
        <is>
          <t>Quadris Excel</t>
        </is>
      </c>
      <c r="J214" s="6" t="n">
        <v>0</v>
      </c>
      <c r="K214" s="6" t="n">
        <v>0</v>
      </c>
      <c r="L214" s="6" t="inlineStr">
        <is>
          <t>nincs</t>
        </is>
      </c>
      <c r="M214" s="6">
        <f>IF(AND(J214&gt;0,K214&gt;0),"Rendben",IF(AND(J214=0,K214=0),"Nincs kép és adat",IF(J214=0,"Nincs kép","Nincs adat")))</f>
        <v/>
      </c>
      <c r="N214" s="6" t="inlineStr">
        <is>
          <t>Igen</t>
        </is>
      </c>
      <c r="O214" s="7" t="inlineStr">
        <is>
          <t>Ital Accessori teljes PDF katalógus (ital-accessori.sk); Takler termékoldalak (aláfutásgátló konzolok)</t>
        </is>
      </c>
      <c r="P214" s="7" t="inlineStr">
        <is>
          <t>Nem találtuk: Ital Accessori teljes PDF katalógus (ital-accessori.sk); Takler termékoldalak (aláfutásgátló konzolok)</t>
        </is>
      </c>
      <c r="Q214" s="6" t="inlineStr"/>
      <c r="R214" s="13" t="inlineStr">
        <is>
          <t>https://website-9ib.pages.dev/termek/142211-aramtalanito-kapcsolo/</t>
        </is>
      </c>
      <c r="S214" s="6" t="inlineStr">
        <is>
          <t>142211-aramtalanito-kapcsolo</t>
        </is>
      </c>
    </row>
    <row r="215">
      <c r="A215" s="6" t="inlineStr">
        <is>
          <t>Ital Accessori</t>
        </is>
      </c>
      <c r="B215" s="7" t="inlineStr">
        <is>
          <t>Útváltó 3/4"</t>
        </is>
      </c>
      <c r="C215" s="11" t="inlineStr"/>
      <c r="D215" s="12" t="inlineStr"/>
      <c r="E215" s="6" t="inlineStr">
        <is>
          <t>141219</t>
        </is>
      </c>
      <c r="F215" s="6" t="inlineStr">
        <is>
          <t>12101900351</t>
        </is>
      </c>
      <c r="G215" s="6" t="inlineStr">
        <is>
          <t>Billencs alkatrészek</t>
        </is>
      </c>
      <c r="H215" s="6" t="inlineStr">
        <is>
          <t>Billencs alkatrészek</t>
        </is>
      </c>
      <c r="I215" s="6" t="inlineStr">
        <is>
          <t>Quadris Excel</t>
        </is>
      </c>
      <c r="J215" s="6" t="n">
        <v>0</v>
      </c>
      <c r="K215" s="6" t="n">
        <v>0</v>
      </c>
      <c r="L215" s="6" t="inlineStr">
        <is>
          <t>nincs</t>
        </is>
      </c>
      <c r="M215" s="6">
        <f>IF(AND(J215&gt;0,K215&gt;0),"Rendben",IF(AND(J215=0,K215=0),"Nincs kép és adat",IF(J215=0,"Nincs kép","Nincs adat")))</f>
        <v/>
      </c>
      <c r="N215" s="6" t="inlineStr">
        <is>
          <t>Igen</t>
        </is>
      </c>
      <c r="O215" s="7" t="inlineStr">
        <is>
          <t>Ital Accessori teljes PDF katalógus (ital-accessori.sk); Takler termékoldalak (aláfutásgátló konzolok)</t>
        </is>
      </c>
      <c r="P215" s="7" t="inlineStr">
        <is>
          <t>Nem találtuk: Ital Accessori teljes PDF katalógus (ital-accessori.sk); Takler termékoldalak (aláfutásgátló konzolok)</t>
        </is>
      </c>
      <c r="Q215" s="6" t="inlineStr"/>
      <c r="R215" s="13" t="inlineStr">
        <is>
          <t>https://website-9ib.pages.dev/termek/141219-utvalto-3-4/</t>
        </is>
      </c>
      <c r="S215" s="6" t="inlineStr">
        <is>
          <t>141219-utvalto-3-4</t>
        </is>
      </c>
    </row>
    <row r="216">
      <c r="A216" s="6" t="inlineStr">
        <is>
          <t>Ital Accessori</t>
        </is>
      </c>
      <c r="B216" s="7" t="inlineStr">
        <is>
          <t>2 fokos létra Thorg. stéges TK</t>
        </is>
      </c>
      <c r="C216" s="11" t="inlineStr"/>
      <c r="D216" s="12" t="inlineStr"/>
      <c r="E216" s="6" t="inlineStr">
        <is>
          <t>502220</t>
        </is>
      </c>
      <c r="F216" s="6" t="inlineStr">
        <is>
          <t>TK8255</t>
        </is>
      </c>
      <c r="G216" s="6" t="inlineStr">
        <is>
          <t>Dobozos felépítmény alkatrészek</t>
        </is>
      </c>
      <c r="H216" s="6" t="inlineStr">
        <is>
          <t>Létrák</t>
        </is>
      </c>
      <c r="I216" s="6" t="inlineStr">
        <is>
          <t>Quadris Excel</t>
        </is>
      </c>
      <c r="J216" s="6" t="n">
        <v>0</v>
      </c>
      <c r="K216" s="6" t="n">
        <v>0</v>
      </c>
      <c r="L216" s="6" t="inlineStr">
        <is>
          <t>nincs</t>
        </is>
      </c>
      <c r="M216" s="6">
        <f>IF(AND(J216&gt;0,K216&gt;0),"Rendben",IF(AND(J216=0,K216=0),"Nincs kép és adat",IF(J216=0,"Nincs kép","Nincs adat")))</f>
        <v/>
      </c>
      <c r="N216" s="6" t="inlineStr">
        <is>
          <t>Igen</t>
        </is>
      </c>
      <c r="O216" s="7" t="inlineStr">
        <is>
          <t>Ital Accessori teljes PDF katalógus (ital-accessori.sk); Takler termékoldalak (aláfutásgátló konzolok)</t>
        </is>
      </c>
      <c r="P216" s="7" t="inlineStr">
        <is>
          <t>Nem találtuk: Ital Accessori teljes PDF katalógus (ital-accessori.sk); Takler termékoldalak (aláfutásgátló konzolok)</t>
        </is>
      </c>
      <c r="Q216" s="6" t="inlineStr"/>
      <c r="R216" s="13" t="inlineStr">
        <is>
          <t>https://website-9ib.pages.dev/termek/502220-2-fokos-letra-thorg-steges-tk/</t>
        </is>
      </c>
      <c r="S216" s="6" t="inlineStr">
        <is>
          <t>502220-2-fokos-letra-thorg-steges-tk</t>
        </is>
      </c>
    </row>
    <row r="217">
      <c r="A217" s="6" t="inlineStr">
        <is>
          <t>Ital Accessori</t>
        </is>
      </c>
      <c r="B217" s="7" t="inlineStr">
        <is>
          <t>Acéllemezes gumiütköző lap</t>
        </is>
      </c>
      <c r="C217" s="11" t="inlineStr"/>
      <c r="D217" s="12" t="inlineStr"/>
      <c r="E217" s="6" t="inlineStr">
        <is>
          <t>143020</t>
        </is>
      </c>
      <c r="F217" s="6" t="inlineStr"/>
      <c r="G217" s="6" t="inlineStr">
        <is>
          <t>Dobozos felépítmény alkatrészek</t>
        </is>
      </c>
      <c r="H217" s="6" t="inlineStr">
        <is>
          <t>Gumiütközők</t>
        </is>
      </c>
      <c r="I217" s="6" t="inlineStr">
        <is>
          <t>Quadris Excel</t>
        </is>
      </c>
      <c r="J217" s="6" t="n">
        <v>0</v>
      </c>
      <c r="K217" s="6" t="n">
        <v>0</v>
      </c>
      <c r="L217" s="6" t="inlineStr">
        <is>
          <t>nincs</t>
        </is>
      </c>
      <c r="M217" s="6">
        <f>IF(AND(J217&gt;0,K217&gt;0),"Rendben",IF(AND(J217=0,K217=0),"Nincs kép és adat",IF(J217=0,"Nincs kép","Nincs adat")))</f>
        <v/>
      </c>
      <c r="N217" s="6" t="inlineStr">
        <is>
          <t>Igen</t>
        </is>
      </c>
      <c r="O217" s="7" t="inlineStr">
        <is>
          <t>Ital Accessori teljes PDF katalógus (ital-accessori.sk); Takler termékoldalak (aláfutásgátló konzolok)</t>
        </is>
      </c>
      <c r="P217" s="7" t="inlineStr">
        <is>
          <t>Nem találtuk: Ital Accessori teljes PDF katalógus (ital-accessori.sk); Takler termékoldalak (aláfutásgátló konzolok)</t>
        </is>
      </c>
      <c r="Q217" s="6" t="inlineStr"/>
      <c r="R217" s="13" t="inlineStr">
        <is>
          <t>https://website-9ib.pages.dev/termek/143020-acellemezes-gumiutkozo-lap/</t>
        </is>
      </c>
      <c r="S217" s="6" t="inlineStr">
        <is>
          <t>143020-acellemezes-gumiutkozo-lap</t>
        </is>
      </c>
    </row>
    <row r="218">
      <c r="A218" s="6" t="inlineStr">
        <is>
          <t>Ital Accessori</t>
        </is>
      </c>
      <c r="B218" s="7" t="inlineStr">
        <is>
          <t>Aláfutásgátló konzol 572 mm</t>
        </is>
      </c>
      <c r="C218" s="11" t="inlineStr"/>
      <c r="D218" s="12" t="inlineStr"/>
      <c r="E218" s="6" t="inlineStr">
        <is>
          <t>302352/MGR</t>
        </is>
      </c>
      <c r="F218" s="6" t="inlineStr">
        <is>
          <t>TL301208</t>
        </is>
      </c>
      <c r="G218" s="6" t="inlineStr">
        <is>
          <t>Platós alkatrészek és kiegészítők</t>
        </is>
      </c>
      <c r="H218" s="6" t="inlineStr">
        <is>
          <t>Aláfutásgátló konzolok</t>
        </is>
      </c>
      <c r="I218" s="6" t="inlineStr">
        <is>
          <t>Quadris Excel</t>
        </is>
      </c>
      <c r="J218" s="6" t="n">
        <v>0</v>
      </c>
      <c r="K218" s="6" t="n">
        <v>0</v>
      </c>
      <c r="L218" s="6" t="inlineStr">
        <is>
          <t>nincs</t>
        </is>
      </c>
      <c r="M218" s="6">
        <f>IF(AND(J218&gt;0,K218&gt;0),"Rendben",IF(AND(J218=0,K218=0),"Nincs kép és adat",IF(J218=0,"Nincs kép","Nincs adat")))</f>
        <v/>
      </c>
      <c r="N218" s="6" t="inlineStr">
        <is>
          <t>Igen</t>
        </is>
      </c>
      <c r="O218" s="7" t="inlineStr">
        <is>
          <t>Ital Accessori teljes PDF katalógus (ital-accessori.sk); Takler termékoldalak (aláfutásgátló konzolok)</t>
        </is>
      </c>
      <c r="P218" s="7" t="inlineStr">
        <is>
          <t>Nem találtuk: Ital Accessori teljes PDF katalógus (ital-accessori.sk); Takler termékoldalak (aláfutásgátló konzolok)</t>
        </is>
      </c>
      <c r="Q218" s="6" t="inlineStr"/>
      <c r="R218" s="13" t="inlineStr">
        <is>
          <t>https://website-9ib.pages.dev/termek/302352-mgr-alafutasgatlo-konzol-572-mm/</t>
        </is>
      </c>
      <c r="S218" s="6" t="inlineStr">
        <is>
          <t>302352-mgr-alafutasgatlo-konzol-572-mm</t>
        </is>
      </c>
    </row>
    <row r="219">
      <c r="A219" s="6" t="inlineStr">
        <is>
          <t>Ital Accessori</t>
        </is>
      </c>
      <c r="B219" s="7" t="inlineStr">
        <is>
          <t>Aláfutásgátló konzol rőgzítő alátét</t>
        </is>
      </c>
      <c r="C219" s="11" t="inlineStr"/>
      <c r="D219" s="12" t="inlineStr"/>
      <c r="E219" s="6" t="inlineStr">
        <is>
          <t>301390</t>
        </is>
      </c>
      <c r="F219" s="6" t="inlineStr">
        <is>
          <t>TK1390</t>
        </is>
      </c>
      <c r="G219" s="6" t="inlineStr">
        <is>
          <t>Platós alkatrészek és kiegészítők</t>
        </is>
      </c>
      <c r="H219" s="6" t="inlineStr">
        <is>
          <t>Aláfutásgátló konzolok</t>
        </is>
      </c>
      <c r="I219" s="6" t="inlineStr">
        <is>
          <t>Quadris Excel</t>
        </is>
      </c>
      <c r="J219" s="6" t="n">
        <v>0</v>
      </c>
      <c r="K219" s="6" t="n">
        <v>0</v>
      </c>
      <c r="L219" s="6" t="inlineStr">
        <is>
          <t>nincs</t>
        </is>
      </c>
      <c r="M219" s="6">
        <f>IF(AND(J219&gt;0,K219&gt;0),"Rendben",IF(AND(J219=0,K219=0),"Nincs kép és adat",IF(J219=0,"Nincs kép","Nincs adat")))</f>
        <v/>
      </c>
      <c r="N219" s="6" t="inlineStr">
        <is>
          <t>Igen</t>
        </is>
      </c>
      <c r="O219" s="7" t="inlineStr">
        <is>
          <t>Ital Accessori teljes PDF katalógus (ital-accessori.sk); Takler termékoldalak (aláfutásgátló konzolok)</t>
        </is>
      </c>
      <c r="P219" s="7" t="inlineStr">
        <is>
          <t>Nem találtuk: Ital Accessori teljes PDF katalógus (ital-accessori.sk); Takler termékoldalak (aláfutásgátló konzolok)</t>
        </is>
      </c>
      <c r="Q219" s="6" t="inlineStr"/>
      <c r="R219" s="13" t="inlineStr">
        <is>
          <t>https://website-9ib.pages.dev/termek/301390-alafutasgatlo-konzol-rogzito-alatet/</t>
        </is>
      </c>
      <c r="S219" s="6" t="inlineStr">
        <is>
          <t>301390-alafutasgatlo-konzol-rogzito-alatet</t>
        </is>
      </c>
    </row>
    <row r="220">
      <c r="A220" s="6" t="inlineStr">
        <is>
          <t>Ital Accessori</t>
        </is>
      </c>
      <c r="B220" s="7" t="inlineStr">
        <is>
          <t>Hátsó lámpatartó, rendszámtábla tartó ALU</t>
        </is>
      </c>
      <c r="C220" s="11" t="inlineStr"/>
      <c r="D220" s="12" t="inlineStr"/>
      <c r="E220" s="6" t="inlineStr">
        <is>
          <t>337245</t>
        </is>
      </c>
      <c r="F220" s="6" t="inlineStr">
        <is>
          <t>182100245</t>
        </is>
      </c>
      <c r="G220" s="6" t="inlineStr">
        <is>
          <t>Platós alkatrészek és kiegészítők</t>
        </is>
      </c>
      <c r="H220" s="6" t="inlineStr">
        <is>
          <t>Aláfutásgátló konzolok</t>
        </is>
      </c>
      <c r="I220" s="6" t="inlineStr">
        <is>
          <t>Quadris Excel</t>
        </is>
      </c>
      <c r="J220" s="6" t="n">
        <v>0</v>
      </c>
      <c r="K220" s="6" t="n">
        <v>0</v>
      </c>
      <c r="L220" s="6" t="inlineStr">
        <is>
          <t>nincs</t>
        </is>
      </c>
      <c r="M220" s="6">
        <f>IF(AND(J220&gt;0,K220&gt;0),"Rendben",IF(AND(J220=0,K220=0),"Nincs kép és adat",IF(J220=0,"Nincs kép","Nincs adat")))</f>
        <v/>
      </c>
      <c r="N220" s="6" t="inlineStr">
        <is>
          <t>Igen</t>
        </is>
      </c>
      <c r="O220" s="7" t="inlineStr">
        <is>
          <t>Ital Accessori teljes PDF katalógus (ital-accessori.sk); Takler termékoldalak (aláfutásgátló konzolok)</t>
        </is>
      </c>
      <c r="P220" s="7" t="inlineStr">
        <is>
          <t>Nem találtuk: Ital Accessori teljes PDF katalógus (ital-accessori.sk); Takler termékoldalak (aláfutásgátló konzolok)</t>
        </is>
      </c>
      <c r="Q220" s="6" t="inlineStr"/>
      <c r="R220" s="13" t="inlineStr">
        <is>
          <t>https://website-9ib.pages.dev/termek/337245-hatso-lampatarto-rendszamtabla-tarto-alu/</t>
        </is>
      </c>
      <c r="S220" s="6" t="inlineStr">
        <is>
          <t>337245-hatso-lampatarto-rendszamtabla-tarto-alu</t>
        </is>
      </c>
    </row>
    <row r="221">
      <c r="A221" s="6" t="inlineStr">
        <is>
          <t>Ital Accessori</t>
        </is>
      </c>
      <c r="B221" s="7" t="inlineStr">
        <is>
          <t>TIR-zsanér Alu ház</t>
        </is>
      </c>
      <c r="C221" s="11" t="inlineStr"/>
      <c r="D221" s="12" t="inlineStr"/>
      <c r="E221" s="6" t="inlineStr">
        <is>
          <t>152751</t>
        </is>
      </c>
      <c r="F221" s="6" t="inlineStr">
        <is>
          <t>15275101</t>
        </is>
      </c>
      <c r="G221" s="6" t="inlineStr">
        <is>
          <t>Platós alkatrészek és kiegészítők</t>
        </is>
      </c>
      <c r="H221" s="6" t="inlineStr">
        <is>
          <t>TIR zsanérok</t>
        </is>
      </c>
      <c r="I221" s="6" t="inlineStr">
        <is>
          <t>Quadris Excel</t>
        </is>
      </c>
      <c r="J221" s="6" t="n">
        <v>0</v>
      </c>
      <c r="K221" s="6" t="n">
        <v>0</v>
      </c>
      <c r="L221" s="6" t="inlineStr">
        <is>
          <t>nincs</t>
        </is>
      </c>
      <c r="M221" s="6">
        <f>IF(AND(J221&gt;0,K221&gt;0),"Rendben",IF(AND(J221=0,K221=0),"Nincs kép és adat",IF(J221=0,"Nincs kép","Nincs adat")))</f>
        <v/>
      </c>
      <c r="N221" s="6" t="inlineStr">
        <is>
          <t>Igen</t>
        </is>
      </c>
      <c r="O221" s="7" t="inlineStr">
        <is>
          <t>Ital Accessori teljes PDF katalógus (ital-accessori.sk); Takler termékoldalak (aláfutásgátló konzolok)</t>
        </is>
      </c>
      <c r="P221" s="7" t="inlineStr">
        <is>
          <t>Nem találtuk: Ital Accessori teljes PDF katalógus (ital-accessori.sk); Takler termékoldalak (aláfutásgátló konzolok)</t>
        </is>
      </c>
      <c r="Q221" s="6" t="inlineStr"/>
      <c r="R221" s="13" t="inlineStr">
        <is>
          <t>https://website-9ib.pages.dev/termek/152751-tir-zsaner-alu-haz/</t>
        </is>
      </c>
      <c r="S221" s="6" t="inlineStr">
        <is>
          <t>152751-tir-zsaner-alu-haz</t>
        </is>
      </c>
    </row>
    <row r="222">
      <c r="A222" s="6" t="inlineStr">
        <is>
          <t>Ital Accessori</t>
        </is>
      </c>
      <c r="B222" s="7" t="inlineStr">
        <is>
          <t>TIR-zsanér garnitúra Alu házas</t>
        </is>
      </c>
      <c r="C222" s="11" t="inlineStr"/>
      <c r="D222" s="12" t="inlineStr"/>
      <c r="E222" s="6" t="inlineStr">
        <is>
          <t>152761</t>
        </is>
      </c>
      <c r="F222" s="6" t="inlineStr"/>
      <c r="G222" s="6" t="inlineStr">
        <is>
          <t>Platós alkatrészek és kiegészítők</t>
        </is>
      </c>
      <c r="H222" s="6" t="inlineStr">
        <is>
          <t>TIR zsanérok</t>
        </is>
      </c>
      <c r="I222" s="6" t="inlineStr">
        <is>
          <t>Quadris Excel</t>
        </is>
      </c>
      <c r="J222" s="6" t="n">
        <v>0</v>
      </c>
      <c r="K222" s="6" t="n">
        <v>0</v>
      </c>
      <c r="L222" s="6" t="inlineStr">
        <is>
          <t>nincs</t>
        </is>
      </c>
      <c r="M222" s="6">
        <f>IF(AND(J222&gt;0,K222&gt;0),"Rendben",IF(AND(J222=0,K222=0),"Nincs kép és adat",IF(J222=0,"Nincs kép","Nincs adat")))</f>
        <v/>
      </c>
      <c r="N222" s="6" t="inlineStr">
        <is>
          <t>Igen</t>
        </is>
      </c>
      <c r="O222" s="7" t="inlineStr">
        <is>
          <t>Ital Accessori teljes PDF katalógus (ital-accessori.sk); Takler termékoldalak (aláfutásgátló konzolok)</t>
        </is>
      </c>
      <c r="P222" s="7" t="inlineStr">
        <is>
          <t>Nem találtuk: Ital Accessori teljes PDF katalógus (ital-accessori.sk); Takler termékoldalak (aláfutásgátló konzolok)</t>
        </is>
      </c>
      <c r="Q222" s="6" t="inlineStr"/>
      <c r="R222" s="13" t="inlineStr">
        <is>
          <t>https://website-9ib.pages.dev/termek/152761-tir-zsaner-garnitura-alu-hazas/</t>
        </is>
      </c>
      <c r="S222" s="6" t="inlineStr">
        <is>
          <t>152761-tir-zsaner-garnitura-alu-hazas</t>
        </is>
      </c>
    </row>
    <row r="223">
      <c r="A223" s="6" t="inlineStr">
        <is>
          <t>Ital Accessori</t>
        </is>
      </c>
      <c r="B223" s="7" t="inlineStr">
        <is>
          <t>"h" szegő, kiugrós 30 mm elox</t>
        </is>
      </c>
      <c r="C223" s="11" t="inlineStr"/>
      <c r="D223" s="12" t="inlineStr"/>
      <c r="E223" s="6" t="inlineStr">
        <is>
          <t>223085</t>
        </is>
      </c>
      <c r="F223" s="6" t="inlineStr">
        <is>
          <t>463085</t>
        </is>
      </c>
      <c r="G223" s="6" t="inlineStr">
        <is>
          <t>Platós és ponyvás oldalfal profilok és szegők</t>
        </is>
      </c>
      <c r="H223" s="6" t="inlineStr">
        <is>
          <t>Szegő profilok</t>
        </is>
      </c>
      <c r="I223" s="6" t="inlineStr">
        <is>
          <t>Quadris Excel</t>
        </is>
      </c>
      <c r="J223" s="6" t="n">
        <v>0</v>
      </c>
      <c r="K223" s="6" t="n">
        <v>0</v>
      </c>
      <c r="L223" s="6" t="inlineStr">
        <is>
          <t>nincs</t>
        </is>
      </c>
      <c r="M223" s="6">
        <f>IF(AND(J223&gt;0,K223&gt;0),"Rendben",IF(AND(J223=0,K223=0),"Nincs kép és adat",IF(J223=0,"Nincs kép","Nincs adat")))</f>
        <v/>
      </c>
      <c r="N223" s="6" t="inlineStr">
        <is>
          <t>Igen</t>
        </is>
      </c>
      <c r="O223" s="7" t="inlineStr">
        <is>
          <t>Ital Accessori teljes PDF katalógus (ital-accessori.sk); Takler termékoldalak (aláfutásgátló konzolok)</t>
        </is>
      </c>
      <c r="P223" s="7" t="inlineStr">
        <is>
          <t>Nem találtuk: Ital Accessori teljes PDF katalógus (ital-accessori.sk); Takler termékoldalak (aláfutásgátló konzolok)</t>
        </is>
      </c>
      <c r="Q223" s="6" t="inlineStr"/>
      <c r="R223" s="13" t="inlineStr">
        <is>
          <t>https://website-9ib.pages.dev/termek/223085-h-szego-kiugros-30-mm-elox/</t>
        </is>
      </c>
      <c r="S223" s="6" t="inlineStr">
        <is>
          <t>223085-h-szego-kiugros-30-mm-elox</t>
        </is>
      </c>
    </row>
    <row r="224">
      <c r="A224" s="6" t="inlineStr">
        <is>
          <t>Ital Accessori</t>
        </is>
      </c>
      <c r="B224" s="7" t="inlineStr">
        <is>
          <t>"u" 40 mm szegő profil</t>
        </is>
      </c>
      <c r="C224" s="11" t="inlineStr"/>
      <c r="D224" s="12" t="inlineStr"/>
      <c r="E224" s="6" t="inlineStr">
        <is>
          <t>226215</t>
        </is>
      </c>
      <c r="F224" s="6" t="inlineStr">
        <is>
          <t>4616215</t>
        </is>
      </c>
      <c r="G224" s="6" t="inlineStr">
        <is>
          <t>Platós és ponyvás oldalfal profilok és szegők</t>
        </is>
      </c>
      <c r="H224" s="6" t="inlineStr">
        <is>
          <t>Szegő profilok</t>
        </is>
      </c>
      <c r="I224" s="6" t="inlineStr">
        <is>
          <t>Quadris Excel</t>
        </is>
      </c>
      <c r="J224" s="6" t="n">
        <v>0</v>
      </c>
      <c r="K224" s="6" t="n">
        <v>0</v>
      </c>
      <c r="L224" s="6" t="inlineStr">
        <is>
          <t>nincs</t>
        </is>
      </c>
      <c r="M224" s="6">
        <f>IF(AND(J224&gt;0,K224&gt;0),"Rendben",IF(AND(J224=0,K224=0),"Nincs kép és adat",IF(J224=0,"Nincs kép","Nincs adat")))</f>
        <v/>
      </c>
      <c r="N224" s="6" t="inlineStr">
        <is>
          <t>Igen</t>
        </is>
      </c>
      <c r="O224" s="7" t="inlineStr">
        <is>
          <t>Ital Accessori teljes PDF katalógus (ital-accessori.sk); Takler termékoldalak (aláfutásgátló konzolok)</t>
        </is>
      </c>
      <c r="P224" s="7" t="inlineStr">
        <is>
          <t>Nem találtuk: Ital Accessori teljes PDF katalógus (ital-accessori.sk); Takler termékoldalak (aláfutásgátló konzolok)</t>
        </is>
      </c>
      <c r="Q224" s="6" t="inlineStr"/>
      <c r="R224" s="13" t="inlineStr">
        <is>
          <t>https://website-9ib.pages.dev/termek/226215-u-40-mm-szego-profil/</t>
        </is>
      </c>
      <c r="S224" s="6" t="inlineStr">
        <is>
          <t>226215-u-40-mm-szego-profil</t>
        </is>
      </c>
    </row>
    <row r="225">
      <c r="A225" s="6" t="inlineStr">
        <is>
          <t>Ital Accessori</t>
        </is>
      </c>
      <c r="B225" s="7" t="inlineStr">
        <is>
          <t>Tömítés 40 "u" szegőhöz</t>
        </is>
      </c>
      <c r="C225" s="11" t="inlineStr"/>
      <c r="D225" s="12" t="inlineStr"/>
      <c r="E225" s="6" t="inlineStr">
        <is>
          <t>226701</t>
        </is>
      </c>
      <c r="F225" s="6" t="inlineStr">
        <is>
          <t>BT67001</t>
        </is>
      </c>
      <c r="G225" s="6" t="inlineStr">
        <is>
          <t>Platós és ponyvás oldalfal profilok és szegők</t>
        </is>
      </c>
      <c r="H225" s="6" t="inlineStr">
        <is>
          <t>Szegő profilok</t>
        </is>
      </c>
      <c r="I225" s="6" t="inlineStr">
        <is>
          <t>Quadris Excel</t>
        </is>
      </c>
      <c r="J225" s="6" t="n">
        <v>0</v>
      </c>
      <c r="K225" s="6" t="n">
        <v>0</v>
      </c>
      <c r="L225" s="6" t="inlineStr">
        <is>
          <t>nincs</t>
        </is>
      </c>
      <c r="M225" s="6">
        <f>IF(AND(J225&gt;0,K225&gt;0),"Rendben",IF(AND(J225=0,K225=0),"Nincs kép és adat",IF(J225=0,"Nincs kép","Nincs adat")))</f>
        <v/>
      </c>
      <c r="N225" s="6" t="inlineStr">
        <is>
          <t>Igen</t>
        </is>
      </c>
      <c r="O225" s="7" t="inlineStr">
        <is>
          <t>Ital Accessori teljes PDF katalógus (ital-accessori.sk); Takler termékoldalak (aláfutásgátló konzolok)</t>
        </is>
      </c>
      <c r="P225" s="7" t="inlineStr">
        <is>
          <t>Nem találtuk: Ital Accessori teljes PDF katalógus (ital-accessori.sk); Takler termékoldalak (aláfutásgátló konzolok)</t>
        </is>
      </c>
      <c r="Q225" s="6" t="inlineStr"/>
      <c r="R225" s="13" t="inlineStr">
        <is>
          <t>https://website-9ib.pages.dev/termek/226701-tomites-40-u-szegohoz/</t>
        </is>
      </c>
      <c r="S225" s="6" t="inlineStr">
        <is>
          <t>226701-tomites-40-u-szegohoz</t>
        </is>
      </c>
    </row>
    <row r="226">
      <c r="A226" s="6" t="inlineStr">
        <is>
          <t>Ital Accessori</t>
        </is>
      </c>
      <c r="B226" s="7" t="inlineStr">
        <is>
          <t>Tömítéses "u" szegő 40 mm</t>
        </is>
      </c>
      <c r="C226" s="11" t="inlineStr"/>
      <c r="D226" s="12" t="inlineStr"/>
      <c r="E226" s="6" t="inlineStr">
        <is>
          <t>226240</t>
        </is>
      </c>
      <c r="F226" s="6" t="inlineStr">
        <is>
          <t>4616240</t>
        </is>
      </c>
      <c r="G226" s="6" t="inlineStr">
        <is>
          <t>Platós és ponyvás oldalfal profilok és szegők</t>
        </is>
      </c>
      <c r="H226" s="6" t="inlineStr">
        <is>
          <t>Szegő profilok</t>
        </is>
      </c>
      <c r="I226" s="6" t="inlineStr">
        <is>
          <t>Quadris Excel</t>
        </is>
      </c>
      <c r="J226" s="6" t="n">
        <v>0</v>
      </c>
      <c r="K226" s="6" t="n">
        <v>0</v>
      </c>
      <c r="L226" s="6" t="inlineStr">
        <is>
          <t>nincs</t>
        </is>
      </c>
      <c r="M226" s="6">
        <f>IF(AND(J226&gt;0,K226&gt;0),"Rendben",IF(AND(J226=0,K226=0),"Nincs kép és adat",IF(J226=0,"Nincs kép","Nincs adat")))</f>
        <v/>
      </c>
      <c r="N226" s="6" t="inlineStr">
        <is>
          <t>Igen</t>
        </is>
      </c>
      <c r="O226" s="7" t="inlineStr">
        <is>
          <t>Ital Accessori teljes PDF katalógus (ital-accessori.sk); Takler termékoldalak (aláfutásgátló konzolok)</t>
        </is>
      </c>
      <c r="P226" s="7" t="inlineStr">
        <is>
          <t>Nem találtuk: Ital Accessori teljes PDF katalógus (ital-accessori.sk); Takler termékoldalak (aláfutásgátló konzolok)</t>
        </is>
      </c>
      <c r="Q226" s="6" t="inlineStr"/>
      <c r="R226" s="13" t="inlineStr">
        <is>
          <t>https://website-9ib.pages.dev/termek/226240-tomiteses-u-szego-40-mm/</t>
        </is>
      </c>
      <c r="S226" s="6" t="inlineStr">
        <is>
          <t>226240-tomiteses-u-szego-40-mm</t>
        </is>
      </c>
    </row>
    <row r="227">
      <c r="A227" s="6" t="inlineStr">
        <is>
          <t>Ital Accessori</t>
        </is>
      </c>
      <c r="B227" s="7" t="inlineStr">
        <is>
          <t>2-részes rakományrögzítő gyűrű + lefogatás</t>
        </is>
      </c>
      <c r="C227" s="11" t="inlineStr"/>
      <c r="D227" s="12" t="inlineStr"/>
      <c r="E227" s="6" t="inlineStr">
        <is>
          <t>125311</t>
        </is>
      </c>
      <c r="F227" s="6" t="inlineStr">
        <is>
          <t>45095311</t>
        </is>
      </c>
      <c r="G227" s="6" t="inlineStr">
        <is>
          <t>Rakományrögzítés</t>
        </is>
      </c>
      <c r="H227" s="6" t="inlineStr">
        <is>
          <t>Rakományrögzítés</t>
        </is>
      </c>
      <c r="I227" s="6" t="inlineStr">
        <is>
          <t>Quadris Excel</t>
        </is>
      </c>
      <c r="J227" s="6" t="n">
        <v>0</v>
      </c>
      <c r="K227" s="6" t="n">
        <v>0</v>
      </c>
      <c r="L227" s="6" t="inlineStr">
        <is>
          <t>nincs</t>
        </is>
      </c>
      <c r="M227" s="6">
        <f>IF(AND(J227&gt;0,K227&gt;0),"Rendben",IF(AND(J227=0,K227=0),"Nincs kép és adat",IF(J227=0,"Nincs kép","Nincs adat")))</f>
        <v/>
      </c>
      <c r="N227" s="6" t="inlineStr">
        <is>
          <t>Igen</t>
        </is>
      </c>
      <c r="O227" s="7" t="inlineStr">
        <is>
          <t>Ital Accessori teljes PDF katalógus (ital-accessori.sk); Takler termékoldalak (aláfutásgátló konzolok)</t>
        </is>
      </c>
      <c r="P227" s="7" t="inlineStr">
        <is>
          <t>Nem találtuk: Ital Accessori teljes PDF katalógus (ital-accessori.sk); Takler termékoldalak (aláfutásgátló konzolok)</t>
        </is>
      </c>
      <c r="Q227" s="6" t="inlineStr"/>
      <c r="R227" s="13" t="inlineStr">
        <is>
          <t>https://website-9ib.pages.dev/termek/125311-2-reszes-rakomanyrogzito-gyuru-lefogatas/</t>
        </is>
      </c>
      <c r="S227" s="6" t="inlineStr">
        <is>
          <t>125311-2-reszes-rakomanyrogzito-gyuru-lefogatas</t>
        </is>
      </c>
    </row>
    <row r="228">
      <c r="A228" s="6" t="inlineStr">
        <is>
          <t>Ital Accessori</t>
        </is>
      </c>
      <c r="B228" s="7" t="inlineStr">
        <is>
          <t>Acél rak. rögzítő kampós sülly.</t>
        </is>
      </c>
      <c r="C228" s="11" t="inlineStr"/>
      <c r="D228" s="12" t="inlineStr"/>
      <c r="E228" s="6" t="inlineStr">
        <is>
          <t>127706</t>
        </is>
      </c>
      <c r="F228" s="6" t="inlineStr">
        <is>
          <t>070706</t>
        </is>
      </c>
      <c r="G228" s="6" t="inlineStr">
        <is>
          <t>Rakományrögzítés</t>
        </is>
      </c>
      <c r="H228" s="6" t="inlineStr">
        <is>
          <t>Rakományrögzítés</t>
        </is>
      </c>
      <c r="I228" s="6" t="inlineStr">
        <is>
          <t>Quadris Excel</t>
        </is>
      </c>
      <c r="J228" s="6" t="n">
        <v>0</v>
      </c>
      <c r="K228" s="6" t="n">
        <v>0</v>
      </c>
      <c r="L228" s="6" t="inlineStr">
        <is>
          <t>nincs</t>
        </is>
      </c>
      <c r="M228" s="6">
        <f>IF(AND(J228&gt;0,K228&gt;0),"Rendben",IF(AND(J228=0,K228=0),"Nincs kép és adat",IF(J228=0,"Nincs kép","Nincs adat")))</f>
        <v/>
      </c>
      <c r="N228" s="6" t="inlineStr">
        <is>
          <t>Igen</t>
        </is>
      </c>
      <c r="O228" s="7" t="inlineStr">
        <is>
          <t>Ital Accessori teljes PDF katalógus (ital-accessori.sk); Takler termékoldalak (aláfutásgátló konzolok)</t>
        </is>
      </c>
      <c r="P228" s="7" t="inlineStr">
        <is>
          <t>Nem találtuk: Ital Accessori teljes PDF katalógus (ital-accessori.sk); Takler termékoldalak (aláfutásgátló konzolok)</t>
        </is>
      </c>
      <c r="Q228" s="6" t="inlineStr"/>
      <c r="R228" s="13" t="inlineStr">
        <is>
          <t>https://website-9ib.pages.dev/termek/127706-acel-rak-rogzito-kampos-sully/</t>
        </is>
      </c>
      <c r="S228" s="6" t="inlineStr">
        <is>
          <t>127706-acel-rak-rogzito-kampos-sully</t>
        </is>
      </c>
    </row>
    <row r="229">
      <c r="A229" s="6" t="inlineStr">
        <is>
          <t>Ital Accessori</t>
        </is>
      </c>
      <c r="B229" s="7" t="inlineStr">
        <is>
          <t>Talpas térelválasztó rakományrögzítő rúd D42 ALU</t>
        </is>
      </c>
      <c r="C229" s="11" t="inlineStr"/>
      <c r="D229" s="12" t="inlineStr"/>
      <c r="E229" s="6" t="inlineStr">
        <is>
          <t>127184</t>
        </is>
      </c>
      <c r="F229" s="6" t="inlineStr">
        <is>
          <t>50071084</t>
        </is>
      </c>
      <c r="G229" s="6" t="inlineStr">
        <is>
          <t>Rakományrögzítés</t>
        </is>
      </c>
      <c r="H229" s="6" t="inlineStr">
        <is>
          <t>Rakományrögzítés</t>
        </is>
      </c>
      <c r="I229" s="6" t="inlineStr">
        <is>
          <t>Quadris Excel</t>
        </is>
      </c>
      <c r="J229" s="6" t="n">
        <v>0</v>
      </c>
      <c r="K229" s="6" t="n">
        <v>0</v>
      </c>
      <c r="L229" s="6" t="inlineStr">
        <is>
          <t>nincs</t>
        </is>
      </c>
      <c r="M229" s="6">
        <f>IF(AND(J229&gt;0,K229&gt;0),"Rendben",IF(AND(J229=0,K229=0),"Nincs kép és adat",IF(J229=0,"Nincs kép","Nincs adat")))</f>
        <v/>
      </c>
      <c r="N229" s="6" t="inlineStr">
        <is>
          <t>Igen</t>
        </is>
      </c>
      <c r="O229" s="7" t="inlineStr">
        <is>
          <t>Ital Accessori teljes PDF katalógus (ital-accessori.sk); Takler termékoldalak (aláfutásgátló konzolok)</t>
        </is>
      </c>
      <c r="P229" s="7" t="inlineStr">
        <is>
          <t>Nem találtuk: Ital Accessori teljes PDF katalógus (ital-accessori.sk); Takler termékoldalak (aláfutásgátló konzolok)</t>
        </is>
      </c>
      <c r="Q229" s="6" t="inlineStr"/>
      <c r="R229" s="13" t="inlineStr">
        <is>
          <t>https://website-9ib.pages.dev/termek/127184-talpas-terelvalaszto-rakomanyrogzito-rud-d42-alu/</t>
        </is>
      </c>
      <c r="S229" s="6" t="inlineStr">
        <is>
          <t>127184-talpas-terelvalaszto-rakomanyrogzito-rud-d42-alu</t>
        </is>
      </c>
    </row>
    <row r="230">
      <c r="A230" s="6" t="inlineStr">
        <is>
          <t>Ital Accessori</t>
        </is>
      </c>
      <c r="B230" s="7" t="inlineStr">
        <is>
          <t>Reflex szalag piros ponyvára</t>
        </is>
      </c>
      <c r="C230" s="11" t="inlineStr"/>
      <c r="D230" s="12" t="inlineStr"/>
      <c r="E230" s="6" t="inlineStr">
        <is>
          <t>753</t>
        </is>
      </c>
      <c r="F230" s="6" t="inlineStr"/>
      <c r="G230" s="6" t="inlineStr">
        <is>
          <t>Speciális felépítmény alkatrészek</t>
        </is>
      </c>
      <c r="H230" s="6" t="inlineStr">
        <is>
          <t>Egyéb</t>
        </is>
      </c>
      <c r="I230" s="6" t="inlineStr">
        <is>
          <t>Quadris Excel</t>
        </is>
      </c>
      <c r="J230" s="6" t="n">
        <v>0</v>
      </c>
      <c r="K230" s="6" t="n">
        <v>0</v>
      </c>
      <c r="L230" s="6" t="inlineStr">
        <is>
          <t>nincs</t>
        </is>
      </c>
      <c r="M230" s="6">
        <f>IF(AND(J230&gt;0,K230&gt;0),"Rendben",IF(AND(J230=0,K230=0),"Nincs kép és adat",IF(J230=0,"Nincs kép","Nincs adat")))</f>
        <v/>
      </c>
      <c r="N230" s="6" t="inlineStr">
        <is>
          <t>Igen</t>
        </is>
      </c>
      <c r="O230" s="7" t="inlineStr">
        <is>
          <t>Ital Accessori teljes PDF katalógus (ital-accessori.sk); Takler termékoldalak (aláfutásgátló konzolok)</t>
        </is>
      </c>
      <c r="P230" s="7" t="inlineStr">
        <is>
          <t>Nem találtuk: Ital Accessori teljes PDF katalógus (ital-accessori.sk); Takler termékoldalak (aláfutásgátló konzolok)</t>
        </is>
      </c>
      <c r="Q230" s="6" t="inlineStr"/>
      <c r="R230" s="13" t="inlineStr">
        <is>
          <t>https://website-9ib.pages.dev/termek/753-reflex-szalag-piros-ponyvara/</t>
        </is>
      </c>
      <c r="S230" s="6" t="inlineStr">
        <is>
          <t>753-reflex-szalag-piros-ponyvara</t>
        </is>
      </c>
    </row>
    <row r="231">
      <c r="A231" s="6" t="inlineStr">
        <is>
          <t>Ital Accessori</t>
        </is>
      </c>
      <c r="B231" s="7" t="inlineStr">
        <is>
          <t>Reflex szalag ponyvára, fehér</t>
        </is>
      </c>
      <c r="C231" s="11" t="inlineStr"/>
      <c r="D231" s="12" t="inlineStr"/>
      <c r="E231" s="6" t="inlineStr">
        <is>
          <t>752</t>
        </is>
      </c>
      <c r="F231" s="6" t="inlineStr"/>
      <c r="G231" s="6" t="inlineStr">
        <is>
          <t>Speciális felépítmény alkatrészek</t>
        </is>
      </c>
      <c r="H231" s="6" t="inlineStr">
        <is>
          <t>Egyéb</t>
        </is>
      </c>
      <c r="I231" s="6" t="inlineStr">
        <is>
          <t>Quadris Excel</t>
        </is>
      </c>
      <c r="J231" s="6" t="n">
        <v>0</v>
      </c>
      <c r="K231" s="6" t="n">
        <v>0</v>
      </c>
      <c r="L231" s="6" t="inlineStr">
        <is>
          <t>nincs</t>
        </is>
      </c>
      <c r="M231" s="6">
        <f>IF(AND(J231&gt;0,K231&gt;0),"Rendben",IF(AND(J231=0,K231=0),"Nincs kép és adat",IF(J231=0,"Nincs kép","Nincs adat")))</f>
        <v/>
      </c>
      <c r="N231" s="6" t="inlineStr">
        <is>
          <t>Igen</t>
        </is>
      </c>
      <c r="O231" s="7" t="inlineStr">
        <is>
          <t>Ital Accessori teljes PDF katalógus (ital-accessori.sk); Takler termékoldalak (aláfutásgátló konzolok)</t>
        </is>
      </c>
      <c r="P231" s="7" t="inlineStr">
        <is>
          <t>Nem találtuk: Ital Accessori teljes PDF katalógus (ital-accessori.sk); Takler termékoldalak (aláfutásgátló konzolok)</t>
        </is>
      </c>
      <c r="Q231" s="6" t="inlineStr"/>
      <c r="R231" s="13" t="inlineStr">
        <is>
          <t>https://website-9ib.pages.dev/termek/752-reflex-szalag-ponyvara-feher/</t>
        </is>
      </c>
      <c r="S231" s="6" t="inlineStr">
        <is>
          <t>752-reflex-szalag-ponyvara-feher</t>
        </is>
      </c>
    </row>
    <row r="232">
      <c r="A232" s="6" t="inlineStr">
        <is>
          <t>Ital Accessori</t>
        </is>
      </c>
      <c r="B232" s="7" t="inlineStr">
        <is>
          <t>Reflex szalag ponyvára, sárga</t>
        </is>
      </c>
      <c r="C232" s="11" t="inlineStr"/>
      <c r="D232" s="12" t="inlineStr"/>
      <c r="E232" s="6" t="inlineStr">
        <is>
          <t>751</t>
        </is>
      </c>
      <c r="F232" s="6" t="inlineStr"/>
      <c r="G232" s="6" t="inlineStr">
        <is>
          <t>Speciális felépítmény alkatrészek</t>
        </is>
      </c>
      <c r="H232" s="6" t="inlineStr">
        <is>
          <t>Egyéb</t>
        </is>
      </c>
      <c r="I232" s="6" t="inlineStr">
        <is>
          <t>Quadris Excel</t>
        </is>
      </c>
      <c r="J232" s="6" t="n">
        <v>0</v>
      </c>
      <c r="K232" s="6" t="n">
        <v>0</v>
      </c>
      <c r="L232" s="6" t="inlineStr">
        <is>
          <t>nincs</t>
        </is>
      </c>
      <c r="M232" s="6">
        <f>IF(AND(J232&gt;0,K232&gt;0),"Rendben",IF(AND(J232=0,K232=0),"Nincs kép és adat",IF(J232=0,"Nincs kép","Nincs adat")))</f>
        <v/>
      </c>
      <c r="N232" s="6" t="inlineStr">
        <is>
          <t>Igen</t>
        </is>
      </c>
      <c r="O232" s="7" t="inlineStr">
        <is>
          <t>Ital Accessori teljes PDF katalógus (ital-accessori.sk); Takler termékoldalak (aláfutásgátló konzolok)</t>
        </is>
      </c>
      <c r="P232" s="7" t="inlineStr">
        <is>
          <t>Nem találtuk: Ital Accessori teljes PDF katalógus (ital-accessori.sk); Takler termékoldalak (aláfutásgátló konzolok)</t>
        </is>
      </c>
      <c r="Q232" s="6" t="inlineStr"/>
      <c r="R232" s="13" t="inlineStr">
        <is>
          <t>https://website-9ib.pages.dev/termek/751-reflex-szalag-ponyvara-sarga/</t>
        </is>
      </c>
      <c r="S232" s="6" t="inlineStr">
        <is>
          <t>751-reflex-szalag-ponyvara-sarga</t>
        </is>
      </c>
    </row>
    <row r="233">
      <c r="A233" s="6" t="inlineStr">
        <is>
          <t>Ital Accessori</t>
        </is>
      </c>
      <c r="B233" s="7" t="inlineStr">
        <is>
          <t>DAKEN láda 500x350x400 mm</t>
        </is>
      </c>
      <c r="C233" s="11" t="inlineStr"/>
      <c r="D233" s="12" t="inlineStr"/>
      <c r="E233" s="6" t="inlineStr"/>
      <c r="F233" s="6" t="inlineStr"/>
      <c r="G233" s="6" t="inlineStr">
        <is>
          <t>Sárvédők, szerszámosládák</t>
        </is>
      </c>
      <c r="H233" s="6" t="inlineStr">
        <is>
          <t>Dobozok + tartó konzolok</t>
        </is>
      </c>
      <c r="I233" s="6" t="inlineStr">
        <is>
          <t>Quadris Excel</t>
        </is>
      </c>
      <c r="J233" s="6" t="n">
        <v>0</v>
      </c>
      <c r="K233" s="6" t="n">
        <v>0</v>
      </c>
      <c r="L233" s="6" t="inlineStr">
        <is>
          <t>nincs</t>
        </is>
      </c>
      <c r="M233" s="6">
        <f>IF(AND(J233&gt;0,K233&gt;0),"Rendben",IF(AND(J233=0,K233=0),"Nincs kép és adat",IF(J233=0,"Nincs kép","Nincs adat")))</f>
        <v/>
      </c>
      <c r="N233" s="6" t="inlineStr">
        <is>
          <t>Igen</t>
        </is>
      </c>
      <c r="O233" s="7" t="inlineStr">
        <is>
          <t>Ital Accessori teljes PDF katalógus (ital-accessori.sk); Takler termékoldalak (aláfutásgátló konzolok)</t>
        </is>
      </c>
      <c r="P233" s="7" t="inlineStr">
        <is>
          <t>Nem találtuk: Ital Accessori teljes PDF katalógus (ital-accessori.sk); Takler termékoldalak (aláfutásgátló konzolok)</t>
        </is>
      </c>
      <c r="Q233" s="6" t="inlineStr"/>
      <c r="R233" s="13" t="inlineStr">
        <is>
          <t>https://website-9ib.pages.dev/termek/daken-lada-500x350x400-mm/</t>
        </is>
      </c>
      <c r="S233" s="6" t="inlineStr">
        <is>
          <t>daken-lada-500x350x400-mm</t>
        </is>
      </c>
    </row>
    <row r="234">
      <c r="A234" s="6" t="inlineStr">
        <is>
          <t>Ital Accessori</t>
        </is>
      </c>
      <c r="B234" s="7" t="inlineStr">
        <is>
          <t>J6030 Sárfogó lap 600x300</t>
        </is>
      </c>
      <c r="C234" s="11" t="inlineStr"/>
      <c r="D234" s="12" t="inlineStr"/>
      <c r="E234" s="6" t="inlineStr"/>
      <c r="F234" s="6" t="inlineStr"/>
      <c r="G234" s="6" t="inlineStr">
        <is>
          <t>Sárvédők, szerszámosládák</t>
        </is>
      </c>
      <c r="H234" s="6" t="inlineStr">
        <is>
          <t>Sárfogólapok</t>
        </is>
      </c>
      <c r="I234" s="6" t="inlineStr">
        <is>
          <t>Quadris Excel</t>
        </is>
      </c>
      <c r="J234" s="6" t="n">
        <v>0</v>
      </c>
      <c r="K234" s="6" t="n">
        <v>0</v>
      </c>
      <c r="L234" s="6" t="inlineStr">
        <is>
          <t>nincs</t>
        </is>
      </c>
      <c r="M234" s="6">
        <f>IF(AND(J234&gt;0,K234&gt;0),"Rendben",IF(AND(J234=0,K234=0),"Nincs kép és adat",IF(J234=0,"Nincs kép","Nincs adat")))</f>
        <v/>
      </c>
      <c r="N234" s="6" t="inlineStr">
        <is>
          <t>Igen</t>
        </is>
      </c>
      <c r="O234" s="7" t="inlineStr">
        <is>
          <t>Ital Accessori teljes PDF katalógus (ital-accessori.sk); Takler termékoldalak (aláfutásgátló konzolok)</t>
        </is>
      </c>
      <c r="P234" s="7" t="inlineStr">
        <is>
          <t>Nem találtuk: Ital Accessori teljes PDF katalógus (ital-accessori.sk); Takler termékoldalak (aláfutásgátló konzolok)</t>
        </is>
      </c>
      <c r="Q234" s="6" t="inlineStr"/>
      <c r="R234" s="13" t="inlineStr">
        <is>
          <t>https://website-9ib.pages.dev/termek/j6030-sarfogo-lap-600x300/</t>
        </is>
      </c>
      <c r="S234" s="6" t="inlineStr">
        <is>
          <t>j6030-sarfogo-lap-600x300</t>
        </is>
      </c>
    </row>
    <row r="235">
      <c r="A235" s="6" t="inlineStr">
        <is>
          <t>Ital Accessori</t>
        </is>
      </c>
      <c r="B235" s="7" t="inlineStr">
        <is>
          <t>J6040 Sárfogó lap 600x400</t>
        </is>
      </c>
      <c r="C235" s="11" t="inlineStr"/>
      <c r="D235" s="12" t="inlineStr"/>
      <c r="E235" s="6" t="inlineStr"/>
      <c r="F235" s="6" t="inlineStr"/>
      <c r="G235" s="6" t="inlineStr">
        <is>
          <t>Sárvédők, szerszámosládák</t>
        </is>
      </c>
      <c r="H235" s="6" t="inlineStr">
        <is>
          <t>Sárfogólapok</t>
        </is>
      </c>
      <c r="I235" s="6" t="inlineStr">
        <is>
          <t>Quadris Excel</t>
        </is>
      </c>
      <c r="J235" s="6" t="n">
        <v>0</v>
      </c>
      <c r="K235" s="6" t="n">
        <v>0</v>
      </c>
      <c r="L235" s="6" t="inlineStr">
        <is>
          <t>nincs</t>
        </is>
      </c>
      <c r="M235" s="6">
        <f>IF(AND(J235&gt;0,K235&gt;0),"Rendben",IF(AND(J235=0,K235=0),"Nincs kép és adat",IF(J235=0,"Nincs kép","Nincs adat")))</f>
        <v/>
      </c>
      <c r="N235" s="6" t="inlineStr">
        <is>
          <t>Igen</t>
        </is>
      </c>
      <c r="O235" s="7" t="inlineStr">
        <is>
          <t>Ital Accessori teljes PDF katalógus (ital-accessori.sk); Takler termékoldalak (aláfutásgátló konzolok)</t>
        </is>
      </c>
      <c r="P235" s="7" t="inlineStr">
        <is>
          <t>Nem találtuk: Ital Accessori teljes PDF katalógus (ital-accessori.sk); Takler termékoldalak (aláfutásgátló konzolok)</t>
        </is>
      </c>
      <c r="Q235" s="6" t="inlineStr"/>
      <c r="R235" s="13" t="inlineStr">
        <is>
          <t>https://website-9ib.pages.dev/termek/j6040-sarfogo-lap-600x400/</t>
        </is>
      </c>
      <c r="S235" s="6" t="inlineStr">
        <is>
          <t>j6040-sarfogo-lap-600x400</t>
        </is>
      </c>
    </row>
    <row r="236">
      <c r="A236" s="6" t="inlineStr">
        <is>
          <t>Ital Accessori</t>
        </is>
      </c>
      <c r="B236" s="7" t="inlineStr">
        <is>
          <t>Konzol Víztartályhoz</t>
        </is>
      </c>
      <c r="C236" s="11" t="inlineStr"/>
      <c r="D236" s="12" t="inlineStr"/>
      <c r="E236" s="6" t="inlineStr">
        <is>
          <t>302550</t>
        </is>
      </c>
      <c r="F236" s="6" t="inlineStr"/>
      <c r="G236" s="6" t="inlineStr">
        <is>
          <t>Sárvédők, szerszámosládák</t>
        </is>
      </c>
      <c r="H236" s="6" t="inlineStr">
        <is>
          <t>Víztartály</t>
        </is>
      </c>
      <c r="I236" s="6" t="inlineStr">
        <is>
          <t>Quadris Excel</t>
        </is>
      </c>
      <c r="J236" s="6" t="n">
        <v>0</v>
      </c>
      <c r="K236" s="6" t="n">
        <v>0</v>
      </c>
      <c r="L236" s="6" t="inlineStr">
        <is>
          <t>nincs</t>
        </is>
      </c>
      <c r="M236" s="6">
        <f>IF(AND(J236&gt;0,K236&gt;0),"Rendben",IF(AND(J236=0,K236=0),"Nincs kép és adat",IF(J236=0,"Nincs kép","Nincs adat")))</f>
        <v/>
      </c>
      <c r="N236" s="6" t="inlineStr">
        <is>
          <t>Igen</t>
        </is>
      </c>
      <c r="O236" s="7" t="inlineStr">
        <is>
          <t>Ital Accessori teljes PDF katalógus (ital-accessori.sk); Takler termékoldalak (aláfutásgátló konzolok)</t>
        </is>
      </c>
      <c r="P236" s="7" t="inlineStr">
        <is>
          <t>Nem találtuk: Ital Accessori teljes PDF katalógus (ital-accessori.sk); Takler termékoldalak (aláfutásgátló konzolok)</t>
        </is>
      </c>
      <c r="Q236" s="6" t="inlineStr"/>
      <c r="R236" s="13" t="inlineStr">
        <is>
          <t>https://website-9ib.pages.dev/termek/302550-konzol-viztartalyhoz/</t>
        </is>
      </c>
      <c r="S236" s="6" t="inlineStr">
        <is>
          <t>302550-konzol-viztartalyhoz</t>
        </is>
      </c>
    </row>
    <row r="237">
      <c r="A237" s="6" t="inlineStr">
        <is>
          <t>Ital Accessori</t>
        </is>
      </c>
      <c r="B237" s="7" t="inlineStr">
        <is>
          <t>Víztartály 30L + szappantartó</t>
        </is>
      </c>
      <c r="C237" s="11" t="inlineStr"/>
      <c r="D237" s="12" t="inlineStr"/>
      <c r="E237" s="6" t="inlineStr">
        <is>
          <t>302515</t>
        </is>
      </c>
      <c r="F237" s="6" t="inlineStr"/>
      <c r="G237" s="6" t="inlineStr">
        <is>
          <t>Sárvédők, szerszámosládák</t>
        </is>
      </c>
      <c r="H237" s="6" t="inlineStr">
        <is>
          <t>Víztartály</t>
        </is>
      </c>
      <c r="I237" s="6" t="inlineStr">
        <is>
          <t>Quadris Excel</t>
        </is>
      </c>
      <c r="J237" s="6" t="n">
        <v>0</v>
      </c>
      <c r="K237" s="6" t="n">
        <v>0</v>
      </c>
      <c r="L237" s="6" t="inlineStr">
        <is>
          <t>nincs</t>
        </is>
      </c>
      <c r="M237" s="6">
        <f>IF(AND(J237&gt;0,K237&gt;0),"Rendben",IF(AND(J237=0,K237=0),"Nincs kép és adat",IF(J237=0,"Nincs kép","Nincs adat")))</f>
        <v/>
      </c>
      <c r="N237" s="6" t="inlineStr">
        <is>
          <t>Igen</t>
        </is>
      </c>
      <c r="O237" s="7" t="inlineStr">
        <is>
          <t>Ital Accessori teljes PDF katalógus (ital-accessori.sk); Takler termékoldalak (aláfutásgátló konzolok)</t>
        </is>
      </c>
      <c r="P237" s="7" t="inlineStr">
        <is>
          <t>Nem találtuk: Ital Accessori teljes PDF katalógus (ital-accessori.sk); Takler termékoldalak (aláfutásgátló konzolok)</t>
        </is>
      </c>
      <c r="Q237" s="6" t="inlineStr"/>
      <c r="R237" s="13" t="inlineStr">
        <is>
          <t>https://website-9ib.pages.dev/termek/302515-viztartaly-30l-szappantarto/</t>
        </is>
      </c>
      <c r="S237" s="6" t="inlineStr">
        <is>
          <t>302515-viztartaly-30l-szappantarto</t>
        </is>
      </c>
    </row>
    <row r="238">
      <c r="A238" s="6" t="inlineStr">
        <is>
          <t>JONESCO</t>
        </is>
      </c>
      <c r="B238" s="7" t="inlineStr">
        <is>
          <t>JF45106 450x1060 mm sárvédő lap</t>
        </is>
      </c>
      <c r="C238" s="11" t="inlineStr"/>
      <c r="D238" s="12" t="inlineStr"/>
      <c r="E238" s="6" t="inlineStr"/>
      <c r="F238" s="6" t="inlineStr"/>
      <c r="G238" s="6" t="inlineStr">
        <is>
          <t>Sárvédők, szerszámosládák</t>
        </is>
      </c>
      <c r="H238" s="6" t="inlineStr">
        <is>
          <t>Sárfogólapok</t>
        </is>
      </c>
      <c r="I238" s="6" t="inlineStr">
        <is>
          <t>Quadris Excel</t>
        </is>
      </c>
      <c r="J238" s="6" t="n">
        <v>0</v>
      </c>
      <c r="K238" s="6" t="n">
        <v>0</v>
      </c>
      <c r="L238" s="6" t="inlineStr">
        <is>
          <t>nincs</t>
        </is>
      </c>
      <c r="M238" s="6">
        <f>IF(AND(J238&gt;0,K238&gt;0),"Rendben",IF(AND(J238=0,K238=0),"Nincs kép és adat",IF(J238=0,"Nincs kép","Nincs adat")))</f>
        <v/>
      </c>
      <c r="N238" s="6" t="inlineStr">
        <is>
          <t>Igen</t>
        </is>
      </c>
      <c r="O238" s="7" t="inlineStr">
        <is>
          <t>jonesco-plastics.com termékoldalak</t>
        </is>
      </c>
      <c r="P238" s="7" t="inlineStr">
        <is>
          <t>Nem találtuk: jonesco-plastics.com termékoldalak</t>
        </is>
      </c>
      <c r="Q238" s="6" t="inlineStr"/>
      <c r="R238" s="13" t="inlineStr">
        <is>
          <t>https://website-9ib.pages.dev/termek/jf45106-450x1060-mm-sarvedo-lap/</t>
        </is>
      </c>
      <c r="S238" s="6" t="inlineStr">
        <is>
          <t>jf45106-450x1060-mm-sarvedo-lap</t>
        </is>
      </c>
    </row>
    <row r="239">
      <c r="A239" s="6" t="inlineStr">
        <is>
          <t>Kadia</t>
        </is>
      </c>
      <c r="B239" s="7" t="inlineStr">
        <is>
          <t>D60-as acél csődugótartó fészek</t>
        </is>
      </c>
      <c r="C239" s="11" t="inlineStr"/>
      <c r="D239" s="12" t="inlineStr"/>
      <c r="E239" s="6" t="inlineStr">
        <is>
          <t>106060</t>
        </is>
      </c>
      <c r="F239" s="6" t="inlineStr"/>
      <c r="G239" s="6" t="inlineStr">
        <is>
          <t>Ponyvarendszer kiegészítők</t>
        </is>
      </c>
      <c r="H239" s="6" t="inlineStr">
        <is>
          <t>Ponyvatartó alkatrészek</t>
        </is>
      </c>
      <c r="I239" s="6" t="inlineStr">
        <is>
          <t>Quadris Excel</t>
        </is>
      </c>
      <c r="J239" s="6" t="n">
        <v>0</v>
      </c>
      <c r="K239" s="6" t="n">
        <v>0</v>
      </c>
      <c r="L239" s="6" t="inlineStr">
        <is>
          <t>nincs</t>
        </is>
      </c>
      <c r="M239" s="6">
        <f>IF(AND(J239&gt;0,K239&gt;0),"Rendben",IF(AND(J239=0,K239=0),"Nincs kép és adat",IF(J239=0,"Nincs kép","Nincs adat")))</f>
        <v/>
      </c>
      <c r="N239" s="6" t="inlineStr">
        <is>
          <t>Nem</t>
        </is>
      </c>
      <c r="O239" s="7" t="inlineStr">
        <is>
          <t>–</t>
        </is>
      </c>
      <c r="P239" s="7" t="inlineStr">
        <is>
          <t>Nem kerestük – nincs ismert weboldal vagy katalógus</t>
        </is>
      </c>
      <c r="Q239" s="6" t="inlineStr"/>
      <c r="R239" s="13" t="inlineStr">
        <is>
          <t>https://website-9ib.pages.dev/termek/106060-d60-as-acel-csodugotarto-feszek/</t>
        </is>
      </c>
      <c r="S239" s="6" t="inlineStr">
        <is>
          <t>106060-d60-as-acel-csodugotarto-feszek</t>
        </is>
      </c>
    </row>
    <row r="240">
      <c r="A240" s="6" t="inlineStr">
        <is>
          <t>Load Look</t>
        </is>
      </c>
      <c r="B240" s="7" t="inlineStr">
        <is>
          <t>121018-SL Rakományrögzítő rúd ALU 1650-2050 mm</t>
        </is>
      </c>
      <c r="C240" s="11" t="inlineStr"/>
      <c r="D240" s="12" t="inlineStr"/>
      <c r="E240" s="6" t="inlineStr"/>
      <c r="F240" s="6" t="inlineStr">
        <is>
          <t>18AL-SL</t>
        </is>
      </c>
      <c r="G240" s="6" t="inlineStr">
        <is>
          <t>Rakományrögzítés</t>
        </is>
      </c>
      <c r="H240" s="6" t="inlineStr">
        <is>
          <t>Rakományrögzítés</t>
        </is>
      </c>
      <c r="I240" s="6" t="inlineStr">
        <is>
          <t>Quadris Excel</t>
        </is>
      </c>
      <c r="J240" s="6" t="n">
        <v>0</v>
      </c>
      <c r="K240" s="6" t="n">
        <v>0</v>
      </c>
      <c r="L240" s="6" t="inlineStr">
        <is>
          <t>nincs</t>
        </is>
      </c>
      <c r="M240" s="6">
        <f>IF(AND(J240&gt;0,K240&gt;0),"Rendben",IF(AND(J240=0,K240=0),"Nincs kép és adat",IF(J240=0,"Nincs kép","Nincs adat")))</f>
        <v/>
      </c>
      <c r="N240" s="6" t="inlineStr">
        <is>
          <t>Nem</t>
        </is>
      </c>
      <c r="O240" s="7" t="inlineStr">
        <is>
          <t>–</t>
        </is>
      </c>
      <c r="P240" s="7" t="inlineStr">
        <is>
          <t>Nem kerestük – nincs ismert weboldal vagy katalógus</t>
        </is>
      </c>
      <c r="Q240" s="6" t="inlineStr"/>
      <c r="R240" s="13" t="inlineStr">
        <is>
          <t>https://website-9ib.pages.dev/termek/121018-sl-rakomanyrogzito-rud-alu-1650-2050-mm/</t>
        </is>
      </c>
      <c r="S240" s="6" t="inlineStr">
        <is>
          <t>121018-sl-rakomanyrogzito-rud-alu-1650-2050-mm</t>
        </is>
      </c>
    </row>
    <row r="241">
      <c r="A241" s="6" t="inlineStr">
        <is>
          <t>Load Look</t>
        </is>
      </c>
      <c r="B241" s="7" t="inlineStr">
        <is>
          <t>Rakományrögzítő rúd ALU 2050-2450 mm</t>
        </is>
      </c>
      <c r="C241" s="11" t="inlineStr"/>
      <c r="D241" s="12" t="inlineStr"/>
      <c r="E241" s="6" t="inlineStr">
        <is>
          <t>121019</t>
        </is>
      </c>
      <c r="F241" s="6" t="inlineStr">
        <is>
          <t>18AL</t>
        </is>
      </c>
      <c r="G241" s="6" t="inlineStr">
        <is>
          <t>Rakományrögzítés</t>
        </is>
      </c>
      <c r="H241" s="6" t="inlineStr">
        <is>
          <t>Rakományrögzítés</t>
        </is>
      </c>
      <c r="I241" s="6" t="inlineStr">
        <is>
          <t>Quadris Excel</t>
        </is>
      </c>
      <c r="J241" s="6" t="n">
        <v>0</v>
      </c>
      <c r="K241" s="6" t="n">
        <v>0</v>
      </c>
      <c r="L241" s="6" t="inlineStr">
        <is>
          <t>nincs</t>
        </is>
      </c>
      <c r="M241" s="6">
        <f>IF(AND(J241&gt;0,K241&gt;0),"Rendben",IF(AND(J241=0,K241=0),"Nincs kép és adat",IF(J241=0,"Nincs kép","Nincs adat")))</f>
        <v/>
      </c>
      <c r="N241" s="6" t="inlineStr">
        <is>
          <t>Nem</t>
        </is>
      </c>
      <c r="O241" s="7" t="inlineStr">
        <is>
          <t>–</t>
        </is>
      </c>
      <c r="P241" s="7" t="inlineStr">
        <is>
          <t>Nem kerestük – nincs ismert weboldal vagy katalógus</t>
        </is>
      </c>
      <c r="Q241" s="6" t="inlineStr"/>
      <c r="R241" s="13" t="inlineStr">
        <is>
          <t>https://website-9ib.pages.dev/termek/121019-rakomanyrogzito-rud-alu-2050-2450-mm/</t>
        </is>
      </c>
      <c r="S241" s="6" t="inlineStr">
        <is>
          <t>121019-rakomanyrogzito-rud-alu-2050-2450-mm</t>
        </is>
      </c>
    </row>
    <row r="242">
      <c r="A242" s="6" t="inlineStr">
        <is>
          <t>MetalMec</t>
        </is>
      </c>
      <c r="B242" s="7" t="inlineStr">
        <is>
          <t>Rámpa 040x615x2500</t>
        </is>
      </c>
      <c r="C242" s="11" t="inlineStr"/>
      <c r="D242" s="12" t="inlineStr"/>
      <c r="E242" s="6" t="inlineStr"/>
      <c r="F242" s="6" t="inlineStr">
        <is>
          <t>MM045ST.60.25</t>
        </is>
      </c>
      <c r="G242" s="6" t="inlineStr">
        <is>
          <t>Hátsó ajtók és áthajtó rámpák</t>
        </is>
      </c>
      <c r="H242" s="6" t="inlineStr">
        <is>
          <t>Áthajtórámpa</t>
        </is>
      </c>
      <c r="I242" s="6" t="inlineStr">
        <is>
          <t>Quadris Excel</t>
        </is>
      </c>
      <c r="J242" s="6" t="n">
        <v>0</v>
      </c>
      <c r="K242" s="6" t="n">
        <v>0</v>
      </c>
      <c r="L242" s="6" t="inlineStr">
        <is>
          <t>nincs</t>
        </is>
      </c>
      <c r="M242" s="6">
        <f>IF(AND(J242&gt;0,K242&gt;0),"Rendben",IF(AND(J242=0,K242=0),"Nincs kép és adat",IF(J242=0,"Nincs kép","Nincs adat")))</f>
        <v/>
      </c>
      <c r="N242" s="6" t="inlineStr">
        <is>
          <t>Nem</t>
        </is>
      </c>
      <c r="O242" s="7" t="inlineStr">
        <is>
          <t>–</t>
        </is>
      </c>
      <c r="P242" s="7" t="inlineStr">
        <is>
          <t>Nem kerestük – nincs ismert weboldal vagy katalógus</t>
        </is>
      </c>
      <c r="Q242" s="6" t="inlineStr"/>
      <c r="R242" s="13" t="inlineStr">
        <is>
          <t>https://website-9ib.pages.dev/termek/rampa-040x615x2500/</t>
        </is>
      </c>
      <c r="S242" s="6" t="inlineStr">
        <is>
          <t>rampa-040x615x2500</t>
        </is>
      </c>
    </row>
    <row r="243">
      <c r="A243" s="6" t="inlineStr">
        <is>
          <t>MetalMec</t>
        </is>
      </c>
      <c r="B243" s="7" t="inlineStr">
        <is>
          <t>Áthajtó rámpa</t>
        </is>
      </c>
      <c r="C243" s="11" t="inlineStr"/>
      <c r="D243" s="12" t="inlineStr"/>
      <c r="E243" s="6" t="inlineStr"/>
      <c r="F243" s="6" t="inlineStr">
        <is>
          <t>MS030AC</t>
        </is>
      </c>
      <c r="G243" s="6" t="inlineStr">
        <is>
          <t>Hátsó ajtók és áthajtó rámpák</t>
        </is>
      </c>
      <c r="H243" s="6" t="inlineStr">
        <is>
          <t>Áthajtórámpa</t>
        </is>
      </c>
      <c r="I243" s="6" t="inlineStr">
        <is>
          <t>Quadris Excel</t>
        </is>
      </c>
      <c r="J243" s="6" t="n">
        <v>0</v>
      </c>
      <c r="K243" s="6" t="n">
        <v>0</v>
      </c>
      <c r="L243" s="6" t="inlineStr">
        <is>
          <t>nincs</t>
        </is>
      </c>
      <c r="M243" s="6">
        <f>IF(AND(J243&gt;0,K243&gt;0),"Rendben",IF(AND(J243=0,K243=0),"Nincs kép és adat",IF(J243=0,"Nincs kép","Nincs adat")))</f>
        <v/>
      </c>
      <c r="N243" s="6" t="inlineStr">
        <is>
          <t>Nem</t>
        </is>
      </c>
      <c r="O243" s="7" t="inlineStr">
        <is>
          <t>–</t>
        </is>
      </c>
      <c r="P243" s="7" t="inlineStr">
        <is>
          <t>Nem kerestük – nincs ismert weboldal vagy katalógus</t>
        </is>
      </c>
      <c r="Q243" s="6" t="inlineStr"/>
      <c r="R243" s="13" t="inlineStr">
        <is>
          <t>https://website-9ib.pages.dev/termek/athajto-rampa/</t>
        </is>
      </c>
      <c r="S243" s="6" t="inlineStr">
        <is>
          <t>athajto-rampa</t>
        </is>
      </c>
    </row>
    <row r="244">
      <c r="A244" s="6" t="inlineStr">
        <is>
          <t>OTO TRIM</t>
        </is>
      </c>
      <c r="B244" s="7" t="inlineStr">
        <is>
          <t>17310-1 Tetőablak 40/80 alu kerettel + kalapács</t>
        </is>
      </c>
      <c r="C244" s="11" t="inlineStr"/>
      <c r="D244" s="12" t="inlineStr"/>
      <c r="E244" s="6" t="inlineStr"/>
      <c r="F244" s="6" t="inlineStr">
        <is>
          <t>18-RH-17310-1</t>
        </is>
      </c>
      <c r="G244" s="6" t="inlineStr">
        <is>
          <t>Speciális felépítmény alkatrészek</t>
        </is>
      </c>
      <c r="H244" s="6" t="inlineStr">
        <is>
          <t>G&amp;C termékek</t>
        </is>
      </c>
      <c r="I244" s="6" t="inlineStr">
        <is>
          <t>Quadris Excel</t>
        </is>
      </c>
      <c r="J244" s="6" t="n">
        <v>0</v>
      </c>
      <c r="K244" s="6" t="n">
        <v>0</v>
      </c>
      <c r="L244" s="6" t="inlineStr">
        <is>
          <t>nincs</t>
        </is>
      </c>
      <c r="M244" s="6">
        <f>IF(AND(J244&gt;0,K244&gt;0),"Rendben",IF(AND(J244=0,K244=0),"Nincs kép és adat",IF(J244=0,"Nincs kép","Nincs adat")))</f>
        <v/>
      </c>
      <c r="N244" s="6" t="inlineStr">
        <is>
          <t>Nem</t>
        </is>
      </c>
      <c r="O244" s="7" t="inlineStr">
        <is>
          <t>–</t>
        </is>
      </c>
      <c r="P244" s="7" t="inlineStr">
        <is>
          <t>Nem kerestük – nincs ismert weboldal vagy katalógus</t>
        </is>
      </c>
      <c r="Q244" s="6" t="inlineStr"/>
      <c r="R244" s="13" t="inlineStr">
        <is>
          <t>https://website-9ib.pages.dev/termek/17310-1-tetoablak-40-80-alu-kerettel-kalapacs/</t>
        </is>
      </c>
      <c r="S244" s="6" t="inlineStr">
        <is>
          <t>17310-1-tetoablak-40-80-alu-kerettel-kalapacs</t>
        </is>
      </c>
    </row>
    <row r="245">
      <c r="A245" s="6" t="inlineStr">
        <is>
          <t>OTO TRIM</t>
        </is>
      </c>
      <c r="B245" s="7" t="inlineStr">
        <is>
          <t>18533-1 24V E-Tetőablak 945x518 +kapcsoló</t>
        </is>
      </c>
      <c r="C245" s="11" t="inlineStr"/>
      <c r="D245" s="12" t="inlineStr"/>
      <c r="E245" s="6" t="inlineStr"/>
      <c r="F245" s="6" t="inlineStr">
        <is>
          <t>18-ER-18533-1</t>
        </is>
      </c>
      <c r="G245" s="6" t="inlineStr">
        <is>
          <t>Speciális felépítmény alkatrészek</t>
        </is>
      </c>
      <c r="H245" s="6" t="inlineStr">
        <is>
          <t>G&amp;C termékek</t>
        </is>
      </c>
      <c r="I245" s="6" t="inlineStr">
        <is>
          <t>Quadris Excel</t>
        </is>
      </c>
      <c r="J245" s="6" t="n">
        <v>0</v>
      </c>
      <c r="K245" s="6" t="n">
        <v>0</v>
      </c>
      <c r="L245" s="6" t="inlineStr">
        <is>
          <t>nincs</t>
        </is>
      </c>
      <c r="M245" s="6">
        <f>IF(AND(J245&gt;0,K245&gt;0),"Rendben",IF(AND(J245=0,K245=0),"Nincs kép és adat",IF(J245=0,"Nincs kép","Nincs adat")))</f>
        <v/>
      </c>
      <c r="N245" s="6" t="inlineStr">
        <is>
          <t>Nem</t>
        </is>
      </c>
      <c r="O245" s="7" t="inlineStr">
        <is>
          <t>–</t>
        </is>
      </c>
      <c r="P245" s="7" t="inlineStr">
        <is>
          <t>Nem kerestük – nincs ismert weboldal vagy katalógus</t>
        </is>
      </c>
      <c r="Q245" s="6" t="inlineStr"/>
      <c r="R245" s="13" t="inlineStr">
        <is>
          <t>https://website-9ib.pages.dev/termek/18533-1-24v-e-tetoablak-945x518-kapcsolo/</t>
        </is>
      </c>
      <c r="S245" s="6" t="inlineStr">
        <is>
          <t>18533-1-24v-e-tetoablak-945x518-kapcsolo</t>
        </is>
      </c>
    </row>
    <row r="246">
      <c r="A246" s="6" t="inlineStr">
        <is>
          <t>Pastore</t>
        </is>
      </c>
      <c r="B246" s="7" t="inlineStr">
        <is>
          <t>63 mm Hűtős gumi 13M</t>
        </is>
      </c>
      <c r="C246" s="11" t="inlineStr"/>
      <c r="D246" s="12" t="inlineStr"/>
      <c r="E246" s="6" t="inlineStr">
        <is>
          <t>516913</t>
        </is>
      </c>
      <c r="F246" s="6" t="inlineStr"/>
      <c r="G246" s="6" t="inlineStr">
        <is>
          <t>Dobozos felépítmény alkatrészek</t>
        </is>
      </c>
      <c r="H246" s="6" t="inlineStr">
        <is>
          <t>Tömítések</t>
        </is>
      </c>
      <c r="I246" s="6" t="inlineStr">
        <is>
          <t>Quadris Excel</t>
        </is>
      </c>
      <c r="J246" s="6" t="n">
        <v>0</v>
      </c>
      <c r="K246" s="6" t="n">
        <v>0</v>
      </c>
      <c r="L246" s="6" t="inlineStr">
        <is>
          <t>nincs</t>
        </is>
      </c>
      <c r="M246" s="6">
        <f>IF(AND(J246&gt;0,K246&gt;0),"Rendben",IF(AND(J246=0,K246=0),"Nincs kép és adat",IF(J246=0,"Nincs kép","Nincs adat")))</f>
        <v/>
      </c>
      <c r="N246" s="6" t="inlineStr">
        <is>
          <t>Igen</t>
        </is>
      </c>
      <c r="O246" s="7" t="inlineStr">
        <is>
          <t>pastorelombardi.com kereső</t>
        </is>
      </c>
      <c r="P246" s="7" t="inlineStr">
        <is>
          <t>Nem találtuk: pastorelombardi.com kereső</t>
        </is>
      </c>
      <c r="Q246" s="6" t="inlineStr"/>
      <c r="R246" s="13" t="inlineStr">
        <is>
          <t>https://website-9ib.pages.dev/termek/516913-63-mm-hutos-gumi-13m/</t>
        </is>
      </c>
      <c r="S246" s="6" t="inlineStr">
        <is>
          <t>516913-63-mm-hutos-gumi-13m</t>
        </is>
      </c>
    </row>
    <row r="247">
      <c r="A247" s="6" t="inlineStr">
        <is>
          <t>Pastore</t>
        </is>
      </c>
      <c r="B247" s="7" t="inlineStr">
        <is>
          <t>83 mm Hűtős gumi 13M</t>
        </is>
      </c>
      <c r="C247" s="11" t="inlineStr"/>
      <c r="D247" s="12" t="inlineStr"/>
      <c r="E247" s="6" t="inlineStr">
        <is>
          <t>511813</t>
        </is>
      </c>
      <c r="F247" s="6" t="inlineStr"/>
      <c r="G247" s="6" t="inlineStr">
        <is>
          <t>Dobozos felépítmény alkatrészek</t>
        </is>
      </c>
      <c r="H247" s="6" t="inlineStr">
        <is>
          <t>Tömítések</t>
        </is>
      </c>
      <c r="I247" s="6" t="inlineStr">
        <is>
          <t>Quadris Excel</t>
        </is>
      </c>
      <c r="J247" s="6" t="n">
        <v>0</v>
      </c>
      <c r="K247" s="6" t="n">
        <v>0</v>
      </c>
      <c r="L247" s="6" t="inlineStr">
        <is>
          <t>nincs</t>
        </is>
      </c>
      <c r="M247" s="6">
        <f>IF(AND(J247&gt;0,K247&gt;0),"Rendben",IF(AND(J247=0,K247=0),"Nincs kép és adat",IF(J247=0,"Nincs kép","Nincs adat")))</f>
        <v/>
      </c>
      <c r="N247" s="6" t="inlineStr">
        <is>
          <t>Igen</t>
        </is>
      </c>
      <c r="O247" s="7" t="inlineStr">
        <is>
          <t>pastorelombardi.com kereső</t>
        </is>
      </c>
      <c r="P247" s="7" t="inlineStr">
        <is>
          <t>Nem találtuk: pastorelombardi.com kereső</t>
        </is>
      </c>
      <c r="Q247" s="6" t="inlineStr"/>
      <c r="R247" s="13" t="inlineStr">
        <is>
          <t>https://website-9ib.pages.dev/termek/511813-83-mm-hutos-gumi-13m/</t>
        </is>
      </c>
      <c r="S247" s="6" t="inlineStr">
        <is>
          <t>511813-83-mm-hutos-gumi-13m</t>
        </is>
      </c>
    </row>
    <row r="248">
      <c r="A248" s="6" t="inlineStr">
        <is>
          <t>Pastore</t>
        </is>
      </c>
      <c r="B248" s="7" t="inlineStr">
        <is>
          <t>Hátsó csővég rugós</t>
        </is>
      </c>
      <c r="C248" s="11" t="inlineStr"/>
      <c r="D248" s="12" t="inlineStr"/>
      <c r="E248" s="6" t="inlineStr">
        <is>
          <t>72706</t>
        </is>
      </c>
      <c r="F248" s="6" t="inlineStr">
        <is>
          <t>072621707</t>
        </is>
      </c>
      <c r="G248" s="6" t="inlineStr">
        <is>
          <t>Dobozos felépítmény alkatrészek</t>
        </is>
      </c>
      <c r="H248" s="6" t="inlineStr">
        <is>
          <t>Húspálya rendszer</t>
        </is>
      </c>
      <c r="I248" s="6" t="inlineStr">
        <is>
          <t>Quadris Excel</t>
        </is>
      </c>
      <c r="J248" s="6" t="n">
        <v>0</v>
      </c>
      <c r="K248" s="6" t="n">
        <v>0</v>
      </c>
      <c r="L248" s="6" t="inlineStr">
        <is>
          <t>nincs</t>
        </is>
      </c>
      <c r="M248" s="6">
        <f>IF(AND(J248&gt;0,K248&gt;0),"Rendben",IF(AND(J248=0,K248=0),"Nincs kép és adat",IF(J248=0,"Nincs kép","Nincs adat")))</f>
        <v/>
      </c>
      <c r="N248" s="6" t="inlineStr">
        <is>
          <t>Igen</t>
        </is>
      </c>
      <c r="O248" s="7" t="inlineStr">
        <is>
          <t>pastorelombardi.com kereső</t>
        </is>
      </c>
      <c r="P248" s="7" t="inlineStr">
        <is>
          <t>Nem találtuk: pastorelombardi.com kereső</t>
        </is>
      </c>
      <c r="Q248" s="6" t="inlineStr"/>
      <c r="R248" s="13" t="inlineStr">
        <is>
          <t>https://website-9ib.pages.dev/termek/72706-hatso-csoveg-rugos/</t>
        </is>
      </c>
      <c r="S248" s="6" t="inlineStr">
        <is>
          <t>72706-hatso-csoveg-rugos</t>
        </is>
      </c>
    </row>
    <row r="249">
      <c r="A249" s="6" t="inlineStr">
        <is>
          <t>Pastore</t>
        </is>
      </c>
      <c r="B249" s="7" t="inlineStr">
        <is>
          <t>Ütközőgumi 200x50x80</t>
        </is>
      </c>
      <c r="C249" s="11" t="inlineStr"/>
      <c r="D249" s="12" t="inlineStr"/>
      <c r="E249" s="6" t="inlineStr">
        <is>
          <t>552050</t>
        </is>
      </c>
      <c r="F249" s="6" t="inlineStr"/>
      <c r="G249" s="6" t="inlineStr">
        <is>
          <t>Dobozos felépítmény alkatrészek</t>
        </is>
      </c>
      <c r="H249" s="6" t="inlineStr">
        <is>
          <t>Gumiütközők</t>
        </is>
      </c>
      <c r="I249" s="6" t="inlineStr">
        <is>
          <t>Quadris Excel</t>
        </is>
      </c>
      <c r="J249" s="6" t="n">
        <v>0</v>
      </c>
      <c r="K249" s="6" t="n">
        <v>0</v>
      </c>
      <c r="L249" s="6" t="inlineStr">
        <is>
          <t>nincs</t>
        </is>
      </c>
      <c r="M249" s="6">
        <f>IF(AND(J249&gt;0,K249&gt;0),"Rendben",IF(AND(J249=0,K249=0),"Nincs kép és adat",IF(J249=0,"Nincs kép","Nincs adat")))</f>
        <v/>
      </c>
      <c r="N249" s="6" t="inlineStr">
        <is>
          <t>Igen</t>
        </is>
      </c>
      <c r="O249" s="7" t="inlineStr">
        <is>
          <t>pastorelombardi.com kereső</t>
        </is>
      </c>
      <c r="P249" s="7" t="inlineStr">
        <is>
          <t>Nem találtuk: pastorelombardi.com kereső</t>
        </is>
      </c>
      <c r="Q249" s="6" t="inlineStr"/>
      <c r="R249" s="13" t="inlineStr">
        <is>
          <t>https://website-9ib.pages.dev/termek/552050-utkozogumi-200x50x80/</t>
        </is>
      </c>
      <c r="S249" s="6" t="inlineStr">
        <is>
          <t>552050-utkozogumi-200x50x80</t>
        </is>
      </c>
    </row>
    <row r="250">
      <c r="A250" s="6" t="inlineStr">
        <is>
          <t>Pastore</t>
        </is>
      </c>
      <c r="B250" s="7" t="inlineStr">
        <is>
          <t>+ 719226/304 Rozsdamentes kartartó+csővezető</t>
        </is>
      </c>
      <c r="C250" s="11" t="inlineStr"/>
      <c r="D250" s="12" t="inlineStr"/>
      <c r="E250" s="6" t="inlineStr">
        <is>
          <t>719220/99A</t>
        </is>
      </c>
      <c r="F250" s="6" t="inlineStr"/>
      <c r="G250" s="6" t="inlineStr">
        <is>
          <t>Speciális felépítmény alkatrészek</t>
        </is>
      </c>
      <c r="H250" s="6" t="inlineStr">
        <is>
          <t>Zárak</t>
        </is>
      </c>
      <c r="I250" s="6" t="inlineStr">
        <is>
          <t>Quadris Excel</t>
        </is>
      </c>
      <c r="J250" s="6" t="n">
        <v>0</v>
      </c>
      <c r="K250" s="6" t="n">
        <v>0</v>
      </c>
      <c r="L250" s="6" t="inlineStr">
        <is>
          <t>nincs</t>
        </is>
      </c>
      <c r="M250" s="6">
        <f>IF(AND(J250&gt;0,K250&gt;0),"Rendben",IF(AND(J250=0,K250=0),"Nincs kép és adat",IF(J250=0,"Nincs kép","Nincs adat")))</f>
        <v/>
      </c>
      <c r="N250" s="6" t="inlineStr">
        <is>
          <t>Igen</t>
        </is>
      </c>
      <c r="O250" s="7" t="inlineStr">
        <is>
          <t>pastorelombardi.com kereső</t>
        </is>
      </c>
      <c r="P250" s="7" t="inlineStr">
        <is>
          <t>Nem találtuk: pastorelombardi.com kereső</t>
        </is>
      </c>
      <c r="Q250" s="6" t="inlineStr"/>
      <c r="R250" s="13" t="inlineStr">
        <is>
          <t>https://website-9ib.pages.dev/termek/719220-99a-719226-304-rozsdamentes-kartarto-csovezeto/</t>
        </is>
      </c>
      <c r="S250" s="6" t="inlineStr">
        <is>
          <t>719220-99a-719226-304-rozsdamentes-kartarto-csovezeto</t>
        </is>
      </c>
    </row>
    <row r="251">
      <c r="A251" s="6" t="inlineStr">
        <is>
          <t>Pastore</t>
        </is>
      </c>
      <c r="B251" s="7" t="inlineStr">
        <is>
          <t>Üzemanyag beöntő 245x190 zárható</t>
        </is>
      </c>
      <c r="C251" s="11" t="inlineStr"/>
      <c r="D251" s="12" t="inlineStr"/>
      <c r="E251" s="6" t="inlineStr">
        <is>
          <t>041225</t>
        </is>
      </c>
      <c r="F251" s="6" t="inlineStr">
        <is>
          <t>024120253G</t>
        </is>
      </c>
      <c r="G251" s="6" t="inlineStr">
        <is>
          <t>Speciális felépítmény alkatrészek</t>
        </is>
      </c>
      <c r="H251" s="6" t="inlineStr">
        <is>
          <t>Egyéb</t>
        </is>
      </c>
      <c r="I251" s="6" t="inlineStr">
        <is>
          <t>Quadris Excel</t>
        </is>
      </c>
      <c r="J251" s="6" t="n">
        <v>0</v>
      </c>
      <c r="K251" s="6" t="n">
        <v>0</v>
      </c>
      <c r="L251" s="6" t="inlineStr">
        <is>
          <t>nincs</t>
        </is>
      </c>
      <c r="M251" s="6">
        <f>IF(AND(J251&gt;0,K251&gt;0),"Rendben",IF(AND(J251=0,K251=0),"Nincs kép és adat",IF(J251=0,"Nincs kép","Nincs adat")))</f>
        <v/>
      </c>
      <c r="N251" s="6" t="inlineStr">
        <is>
          <t>Igen</t>
        </is>
      </c>
      <c r="O251" s="7" t="inlineStr">
        <is>
          <t>pastorelombardi.com kereső</t>
        </is>
      </c>
      <c r="P251" s="7" t="inlineStr">
        <is>
          <t>Nem találtuk: pastorelombardi.com kereső</t>
        </is>
      </c>
      <c r="Q251" s="6" t="inlineStr"/>
      <c r="R251" s="13" t="inlineStr">
        <is>
          <t>https://website-9ib.pages.dev/termek/041225-uzemanyag-beonto-245x190-zarhato/</t>
        </is>
      </c>
      <c r="S251" s="6" t="inlineStr">
        <is>
          <t>041225-uzemanyag-beonto-245x190-zarhato</t>
        </is>
      </c>
    </row>
    <row r="252">
      <c r="A252" s="6" t="inlineStr">
        <is>
          <t>Pastore</t>
        </is>
      </c>
      <c r="B252" s="7" t="inlineStr">
        <is>
          <t>Üzemanyag beöntő nagy</t>
        </is>
      </c>
      <c r="C252" s="11" t="inlineStr"/>
      <c r="D252" s="12" t="inlineStr"/>
      <c r="E252" s="6" t="inlineStr">
        <is>
          <t>041280</t>
        </is>
      </c>
      <c r="F252" s="6" t="inlineStr">
        <is>
          <t>024121322E</t>
        </is>
      </c>
      <c r="G252" s="6" t="inlineStr">
        <is>
          <t>Speciális felépítmény alkatrészek</t>
        </is>
      </c>
      <c r="H252" s="6" t="inlineStr">
        <is>
          <t>Egyéb</t>
        </is>
      </c>
      <c r="I252" s="6" t="inlineStr">
        <is>
          <t>Quadris Excel</t>
        </is>
      </c>
      <c r="J252" s="6" t="n">
        <v>0</v>
      </c>
      <c r="K252" s="6" t="n">
        <v>3</v>
      </c>
      <c r="L252" s="6" t="inlineStr">
        <is>
          <t>nincs</t>
        </is>
      </c>
      <c r="M252" s="6">
        <f>IF(AND(J252&gt;0,K252&gt;0),"Rendben",IF(AND(J252=0,K252=0),"Nincs kép és adat",IF(J252=0,"Nincs kép","Nincs adat")))</f>
        <v/>
      </c>
      <c r="N252" s="6" t="inlineStr">
        <is>
          <t>Igen</t>
        </is>
      </c>
      <c r="O252" s="7" t="inlineStr">
        <is>
          <t>pastorelombardi.com kereső</t>
        </is>
      </c>
      <c r="P252" s="7" t="inlineStr">
        <is>
          <t>Megtalálva: Galvanized steel sheet filler flap without key and with S.S. spring, 296x258 mm (kód: 024121322E)</t>
        </is>
      </c>
      <c r="Q252" s="13" t="inlineStr">
        <is>
          <t>https://www.pastorelombardi.com/eng/cerca?chiave=024121322E</t>
        </is>
      </c>
      <c r="R252" s="13" t="inlineStr">
        <is>
          <t>https://website-9ib.pages.dev/termek/041280-uzemanyag-beonto-nagy/</t>
        </is>
      </c>
      <c r="S252" s="6" t="inlineStr">
        <is>
          <t>041280-uzemanyag-beonto-nagy</t>
        </is>
      </c>
    </row>
    <row r="253">
      <c r="A253" s="6" t="inlineStr">
        <is>
          <t>PB planen</t>
        </is>
      </c>
      <c r="B253" s="7" t="inlineStr">
        <is>
          <t>3840-2900-SSTAVG 27 MM feszítő ALU cső</t>
        </is>
      </c>
      <c r="C253" s="11" t="inlineStr"/>
      <c r="D253" s="12" t="inlineStr"/>
      <c r="E253" s="6" t="inlineStr"/>
      <c r="F253" s="6" t="inlineStr">
        <is>
          <t>40-SSTAVG-2900</t>
        </is>
      </c>
      <c r="G253" s="6" t="inlineStr">
        <is>
          <t>Ponyvarendszer kiegészítők</t>
        </is>
      </c>
      <c r="H253" s="6" t="inlineStr">
        <is>
          <t>Ponyvafeszítő profilok és alkatrészei</t>
        </is>
      </c>
      <c r="I253" s="6" t="inlineStr">
        <is>
          <t>Quadris Excel</t>
        </is>
      </c>
      <c r="J253" s="6" t="n">
        <v>0</v>
      </c>
      <c r="K253" s="6" t="n">
        <v>0</v>
      </c>
      <c r="L253" s="6" t="inlineStr">
        <is>
          <t>nincs</t>
        </is>
      </c>
      <c r="M253" s="6">
        <f>IF(AND(J253&gt;0,K253&gt;0),"Rendben",IF(AND(J253=0,K253=0),"Nincs kép és adat",IF(J253=0,"Nincs kép","Nincs adat")))</f>
        <v/>
      </c>
      <c r="N253" s="6" t="inlineStr">
        <is>
          <t>Nem</t>
        </is>
      </c>
      <c r="O253" s="7" t="inlineStr">
        <is>
          <t>–</t>
        </is>
      </c>
      <c r="P253" s="7" t="inlineStr">
        <is>
          <t>Nem kerestük – nincs ismert weboldal vagy katalógus</t>
        </is>
      </c>
      <c r="Q253" s="6" t="inlineStr"/>
      <c r="R253" s="13" t="inlineStr">
        <is>
          <t>https://website-9ib.pages.dev/termek/3840-2900-sstavg-27-mm-feszito-alu-cso/</t>
        </is>
      </c>
      <c r="S253" s="6" t="inlineStr">
        <is>
          <t>3840-2900-sstavg-27-mm-feszito-alu-cso</t>
        </is>
      </c>
    </row>
    <row r="254">
      <c r="A254" s="6" t="inlineStr">
        <is>
          <t>PB planen</t>
        </is>
      </c>
      <c r="B254" s="7" t="inlineStr">
        <is>
          <t>38400-CB27-HSD kézi heveder szürke bilinccsel készlet</t>
        </is>
      </c>
      <c r="C254" s="11" t="inlineStr"/>
      <c r="D254" s="12" t="inlineStr"/>
      <c r="E254" s="6" t="inlineStr"/>
      <c r="F254" s="6" t="inlineStr">
        <is>
          <t>40-HSD-CB27</t>
        </is>
      </c>
      <c r="G254" s="6" t="inlineStr">
        <is>
          <t>Ponyvarendszer kiegészítők</t>
        </is>
      </c>
      <c r="H254" s="6" t="inlineStr">
        <is>
          <t>Ponyvafeszítő profilok és alkatrészei</t>
        </is>
      </c>
      <c r="I254" s="6" t="inlineStr">
        <is>
          <t>Quadris Excel</t>
        </is>
      </c>
      <c r="J254" s="6" t="n">
        <v>0</v>
      </c>
      <c r="K254" s="6" t="n">
        <v>0</v>
      </c>
      <c r="L254" s="6" t="inlineStr">
        <is>
          <t>nincs</t>
        </is>
      </c>
      <c r="M254" s="6">
        <f>IF(AND(J254&gt;0,K254&gt;0),"Rendben",IF(AND(J254=0,K254=0),"Nincs kép és adat",IF(J254=0,"Nincs kép","Nincs adat")))</f>
        <v/>
      </c>
      <c r="N254" s="6" t="inlineStr">
        <is>
          <t>Nem</t>
        </is>
      </c>
      <c r="O254" s="7" t="inlineStr">
        <is>
          <t>–</t>
        </is>
      </c>
      <c r="P254" s="7" t="inlineStr">
        <is>
          <t>Nem kerestük – nincs ismert weboldal vagy katalógus</t>
        </is>
      </c>
      <c r="Q254" s="6" t="inlineStr"/>
      <c r="R254" s="13" t="inlineStr">
        <is>
          <t>https://website-9ib.pages.dev/termek/38400-cb27-hsd-kezi-heveder-szurke-bilinccsel-keszlet/</t>
        </is>
      </c>
      <c r="S254" s="6" t="inlineStr">
        <is>
          <t>38400-cb27-hsd-kezi-heveder-szurke-bilinccsel-keszlet</t>
        </is>
      </c>
    </row>
    <row r="255">
      <c r="A255" s="6" t="inlineStr">
        <is>
          <t>POLSER</t>
        </is>
      </c>
      <c r="B255" s="7" t="inlineStr">
        <is>
          <t>POL/Panel 25 mm</t>
        </is>
      </c>
      <c r="C255" s="11" t="inlineStr"/>
      <c r="D255" s="12" t="inlineStr"/>
      <c r="E255" s="6" t="inlineStr"/>
      <c r="F255" s="6" t="inlineStr"/>
      <c r="G255" s="6" t="inlineStr">
        <is>
          <t>Üvegszálas poliészter</t>
        </is>
      </c>
      <c r="H255" s="6" t="inlineStr">
        <is>
          <t>Üvegszálas polyester</t>
        </is>
      </c>
      <c r="I255" s="6" t="inlineStr">
        <is>
          <t>Quadris Excel</t>
        </is>
      </c>
      <c r="J255" s="6" t="n">
        <v>0</v>
      </c>
      <c r="K255" s="6" t="n">
        <v>0</v>
      </c>
      <c r="L255" s="6" t="inlineStr">
        <is>
          <t>nincs</t>
        </is>
      </c>
      <c r="M255" s="6">
        <f>IF(AND(J255&gt;0,K255&gt;0),"Rendben",IF(AND(J255=0,K255=0),"Nincs kép és adat",IF(J255=0,"Nincs kép","Nincs adat")))</f>
        <v/>
      </c>
      <c r="N255" s="6" t="inlineStr">
        <is>
          <t>Igen</t>
        </is>
      </c>
      <c r="O255" s="7" t="inlineStr">
        <is>
          <t>polser.com Frigoser oldal és adatlap</t>
        </is>
      </c>
      <c r="P255" s="7" t="inlineStr">
        <is>
          <t>Nem találtuk: polser.com Frigoser oldal és adatlap</t>
        </is>
      </c>
      <c r="Q255" s="6" t="inlineStr"/>
      <c r="R255" s="13" t="inlineStr">
        <is>
          <t>https://website-9ib.pages.dev/termek/pol-panel-25-mm/</t>
        </is>
      </c>
      <c r="S255" s="6" t="inlineStr">
        <is>
          <t>pol-panel-25-mm</t>
        </is>
      </c>
    </row>
    <row r="256">
      <c r="A256" s="6" t="inlineStr">
        <is>
          <t>POLSER</t>
        </is>
      </c>
      <c r="B256" s="7" t="inlineStr">
        <is>
          <t>POL/Panel 25 mm szendvicspanel erősített</t>
        </is>
      </c>
      <c r="C256" s="11" t="inlineStr"/>
      <c r="D256" s="12" t="inlineStr"/>
      <c r="E256" s="6" t="inlineStr"/>
      <c r="F256" s="6" t="inlineStr"/>
      <c r="G256" s="6" t="inlineStr">
        <is>
          <t>Üvegszálas poliészter</t>
        </is>
      </c>
      <c r="H256" s="6" t="inlineStr">
        <is>
          <t>Üvegszálas polyester</t>
        </is>
      </c>
      <c r="I256" s="6" t="inlineStr">
        <is>
          <t>Quadris Excel</t>
        </is>
      </c>
      <c r="J256" s="6" t="n">
        <v>0</v>
      </c>
      <c r="K256" s="6" t="n">
        <v>0</v>
      </c>
      <c r="L256" s="6" t="inlineStr">
        <is>
          <t>nincs</t>
        </is>
      </c>
      <c r="M256" s="6">
        <f>IF(AND(J256&gt;0,K256&gt;0),"Rendben",IF(AND(J256=0,K256=0),"Nincs kép és adat",IF(J256=0,"Nincs kép","Nincs adat")))</f>
        <v/>
      </c>
      <c r="N256" s="6" t="inlineStr">
        <is>
          <t>Igen</t>
        </is>
      </c>
      <c r="O256" s="7" t="inlineStr">
        <is>
          <t>polser.com Frigoser oldal és adatlap</t>
        </is>
      </c>
      <c r="P256" s="7" t="inlineStr">
        <is>
          <t>Nem találtuk: polser.com Frigoser oldal és adatlap</t>
        </is>
      </c>
      <c r="Q256" s="6" t="inlineStr"/>
      <c r="R256" s="13" t="inlineStr">
        <is>
          <t>https://website-9ib.pages.dev/termek/pol-panel-25-mm-szendvicspanel-erositett/</t>
        </is>
      </c>
      <c r="S256" s="6" t="inlineStr">
        <is>
          <t>pol-panel-25-mm-szendvicspanel-erositett</t>
        </is>
      </c>
    </row>
    <row r="257">
      <c r="A257" s="6" t="inlineStr">
        <is>
          <t>Pommier</t>
        </is>
      </c>
      <c r="B257" s="7" t="inlineStr">
        <is>
          <t>Ütközőgumi 310x35x60 mm</t>
        </is>
      </c>
      <c r="C257" s="11" t="inlineStr"/>
      <c r="D257" s="12" t="inlineStr"/>
      <c r="E257" s="6" t="inlineStr">
        <is>
          <t>553150</t>
        </is>
      </c>
      <c r="F257" s="6" t="inlineStr">
        <is>
          <t>1703150</t>
        </is>
      </c>
      <c r="G257" s="6" t="inlineStr">
        <is>
          <t>Dobozos felépítmény alkatrészek</t>
        </is>
      </c>
      <c r="H257" s="6" t="inlineStr">
        <is>
          <t>Gumiütközők</t>
        </is>
      </c>
      <c r="I257" s="6" t="inlineStr">
        <is>
          <t>Quadris Excel</t>
        </is>
      </c>
      <c r="J257" s="6" t="n">
        <v>0</v>
      </c>
      <c r="K257" s="6" t="n">
        <v>0</v>
      </c>
      <c r="L257" s="6" t="inlineStr">
        <is>
          <t>nincs</t>
        </is>
      </c>
      <c r="M257" s="6">
        <f>IF(AND(J257&gt;0,K257&gt;0),"Rendben",IF(AND(J257=0,K257=0),"Nincs kép és adat",IF(J257=0,"Nincs kép","Nincs adat")))</f>
        <v/>
      </c>
      <c r="N257" s="6" t="inlineStr">
        <is>
          <t>Igen</t>
        </is>
      </c>
      <c r="O257" s="7" t="inlineStr">
        <is>
          <t>pommier.eu termékoldalak; Pommier 2023–24 katalógus (PDF)</t>
        </is>
      </c>
      <c r="P257" s="7" t="inlineStr">
        <is>
          <t>Nem találtuk: pommier.eu termékoldalak; Pommier 2023–24 katalógus (PDF)</t>
        </is>
      </c>
      <c r="Q257" s="6" t="inlineStr"/>
      <c r="R257" s="13" t="inlineStr">
        <is>
          <t>https://website-9ib.pages.dev/termek/553150-utkozogumi-310x35x60-mm/</t>
        </is>
      </c>
      <c r="S257" s="6" t="inlineStr">
        <is>
          <t>553150-utkozogumi-310x35x60-mm</t>
        </is>
      </c>
    </row>
    <row r="258">
      <c r="A258" s="6" t="inlineStr">
        <is>
          <t>Pommier Furgocar</t>
        </is>
      </c>
      <c r="B258" s="7" t="inlineStr">
        <is>
          <t>Alsó rámpa indító profil</t>
        </is>
      </c>
      <c r="C258" s="11" t="inlineStr"/>
      <c r="D258" s="12" t="inlineStr"/>
      <c r="E258" s="6" t="inlineStr">
        <is>
          <t>220192</t>
        </is>
      </c>
      <c r="F258" s="6" t="inlineStr">
        <is>
          <t>22.21.88168</t>
        </is>
      </c>
      <c r="G258" s="6" t="inlineStr">
        <is>
          <t>Alumínium padló profilok</t>
        </is>
      </c>
      <c r="H258" s="6" t="inlineStr">
        <is>
          <t>Rámpa profilok</t>
        </is>
      </c>
      <c r="I258" s="6" t="inlineStr">
        <is>
          <t>Quadris Excel</t>
        </is>
      </c>
      <c r="J258" s="6" t="n">
        <v>0</v>
      </c>
      <c r="K258" s="6" t="n">
        <v>0</v>
      </c>
      <c r="L258" s="6" t="inlineStr">
        <is>
          <t>nincs</t>
        </is>
      </c>
      <c r="M258" s="6">
        <f>IF(AND(J258&gt;0,K258&gt;0),"Rendben",IF(AND(J258=0,K258=0),"Nincs kép és adat",IF(J258=0,"Nincs kép","Nincs adat")))</f>
        <v/>
      </c>
      <c r="N258" s="6" t="inlineStr">
        <is>
          <t>Igen</t>
        </is>
      </c>
      <c r="O258" s="7" t="inlineStr">
        <is>
          <t>pommier.eu termékoldalak; Pommier 2023–24 katalógus (PDF)</t>
        </is>
      </c>
      <c r="P258" s="7" t="inlineStr">
        <is>
          <t>Nem találtuk: pommier.eu termékoldalak; Pommier 2023–24 katalógus (PDF)</t>
        </is>
      </c>
      <c r="Q258" s="6" t="inlineStr"/>
      <c r="R258" s="13" t="inlineStr">
        <is>
          <t>https://website-9ib.pages.dev/termek/220192-also-rampa-indito-profil/</t>
        </is>
      </c>
      <c r="S258" s="6" t="inlineStr">
        <is>
          <t>220192-also-rampa-indito-profil</t>
        </is>
      </c>
    </row>
    <row r="259">
      <c r="A259" s="6" t="inlineStr">
        <is>
          <t>Profilpol</t>
        </is>
      </c>
      <c r="B259" s="7" t="inlineStr">
        <is>
          <t>Alu hátsó 400 mm Rakonca L-R</t>
        </is>
      </c>
      <c r="C259" s="11" t="inlineStr"/>
      <c r="D259" s="12" t="inlineStr"/>
      <c r="E259" s="6" t="inlineStr">
        <is>
          <t>3562974</t>
        </is>
      </c>
      <c r="F259" s="6" t="inlineStr"/>
      <c r="G259" s="6" t="inlineStr">
        <is>
          <t>Acél és alu rakoncák és szegők</t>
        </is>
      </c>
      <c r="H259" s="6" t="inlineStr">
        <is>
          <t>Alumínium rakoncák</t>
        </is>
      </c>
      <c r="I259" s="6" t="inlineStr">
        <is>
          <t>Quadris Excel</t>
        </is>
      </c>
      <c r="J259" s="6" t="n">
        <v>0</v>
      </c>
      <c r="K259" s="6" t="n">
        <v>0</v>
      </c>
      <c r="L259" s="6" t="inlineStr">
        <is>
          <t>nincs</t>
        </is>
      </c>
      <c r="M259" s="6">
        <f>IF(AND(J259&gt;0,K259&gt;0),"Rendben",IF(AND(J259=0,K259=0),"Nincs kép és adat",IF(J259=0,"Nincs kép","Nincs adat")))</f>
        <v/>
      </c>
      <c r="N259" s="6" t="inlineStr">
        <is>
          <t>Igen</t>
        </is>
      </c>
      <c r="O259" s="7" t="inlineStr">
        <is>
          <t>profilpolsystem.pl oldaltérkép bejárása</t>
        </is>
      </c>
      <c r="P259" s="7" t="inlineStr">
        <is>
          <t>Nem találtuk: profilpolsystem.pl oldaltérkép bejárása</t>
        </is>
      </c>
      <c r="Q259" s="6" t="inlineStr"/>
      <c r="R259" s="13" t="inlineStr">
        <is>
          <t>https://website-9ib.pages.dev/termek/3562974-alu-hatso-400-mm-rakonca-l-r/</t>
        </is>
      </c>
      <c r="S259" s="6" t="inlineStr">
        <is>
          <t>3562974-alu-hatso-400-mm-rakonca-l-r</t>
        </is>
      </c>
    </row>
    <row r="260">
      <c r="A260" s="6" t="inlineStr">
        <is>
          <t>Profilpol</t>
        </is>
      </c>
      <c r="B260" s="7" t="inlineStr">
        <is>
          <t>Alumínium "C" tető sín 54,5x47/75 mm</t>
        </is>
      </c>
      <c r="C260" s="11" t="inlineStr"/>
      <c r="D260" s="12" t="inlineStr"/>
      <c r="E260" s="6" t="inlineStr">
        <is>
          <t>2221513</t>
        </is>
      </c>
      <c r="F260" s="6" t="inlineStr">
        <is>
          <t>22.21.513.1</t>
        </is>
      </c>
      <c r="G260" s="6" t="inlineStr">
        <is>
          <t>Elhúzható rolóponyvás rendszer</t>
        </is>
      </c>
      <c r="H260" s="6" t="inlineStr">
        <is>
          <t>ADAICO "C" sín acél</t>
        </is>
      </c>
      <c r="I260" s="6" t="inlineStr">
        <is>
          <t>Quadris Excel</t>
        </is>
      </c>
      <c r="J260" s="6" t="n">
        <v>0</v>
      </c>
      <c r="K260" s="6" t="n">
        <v>0</v>
      </c>
      <c r="L260" s="6" t="inlineStr">
        <is>
          <t>nincs</t>
        </is>
      </c>
      <c r="M260" s="6">
        <f>IF(AND(J260&gt;0,K260&gt;0),"Rendben",IF(AND(J260=0,K260=0),"Nincs kép és adat",IF(J260=0,"Nincs kép","Nincs adat")))</f>
        <v/>
      </c>
      <c r="N260" s="6" t="inlineStr">
        <is>
          <t>Igen</t>
        </is>
      </c>
      <c r="O260" s="7" t="inlineStr">
        <is>
          <t>profilpolsystem.pl oldaltérkép bejárása</t>
        </is>
      </c>
      <c r="P260" s="7" t="inlineStr">
        <is>
          <t>Nem találtuk: profilpolsystem.pl oldaltérkép bejárása</t>
        </is>
      </c>
      <c r="Q260" s="6" t="inlineStr"/>
      <c r="R260" s="13" t="inlineStr">
        <is>
          <t>https://website-9ib.pages.dev/termek/2221513-aluminium-c-teto-sin-54-5x47-75-mm/</t>
        </is>
      </c>
      <c r="S260" s="6" t="inlineStr">
        <is>
          <t>2221513-aluminium-c-teto-sin-54-5x47-75-mm</t>
        </is>
      </c>
    </row>
    <row r="261">
      <c r="A261" s="6" t="inlineStr">
        <is>
          <t>Profilpol</t>
        </is>
      </c>
      <c r="B261" s="7" t="inlineStr">
        <is>
          <t>27mm feszítő cső alu profil</t>
        </is>
      </c>
      <c r="C261" s="11" t="inlineStr"/>
      <c r="D261" s="12" t="inlineStr"/>
      <c r="E261" s="6" t="inlineStr">
        <is>
          <t>388008</t>
        </is>
      </c>
      <c r="F261" s="6" t="inlineStr">
        <is>
          <t>T1.8008.0</t>
        </is>
      </c>
      <c r="G261" s="6" t="inlineStr">
        <is>
          <t>Ponyvarendszer kiegészítők</t>
        </is>
      </c>
      <c r="H261" s="6" t="inlineStr">
        <is>
          <t>Ponyvafeszítő profilok és alkatrészei</t>
        </is>
      </c>
      <c r="I261" s="6" t="inlineStr">
        <is>
          <t>Quadris Excel</t>
        </is>
      </c>
      <c r="J261" s="6" t="n">
        <v>0</v>
      </c>
      <c r="K261" s="6" t="n">
        <v>0</v>
      </c>
      <c r="L261" s="6" t="inlineStr">
        <is>
          <t>nincs</t>
        </is>
      </c>
      <c r="M261" s="6">
        <f>IF(AND(J261&gt;0,K261&gt;0),"Rendben",IF(AND(J261=0,K261=0),"Nincs kép és adat",IF(J261=0,"Nincs kép","Nincs adat")))</f>
        <v/>
      </c>
      <c r="N261" s="6" t="inlineStr">
        <is>
          <t>Igen</t>
        </is>
      </c>
      <c r="O261" s="7" t="inlineStr">
        <is>
          <t>profilpolsystem.pl oldaltérkép bejárása</t>
        </is>
      </c>
      <c r="P261" s="7" t="inlineStr">
        <is>
          <t>Nem találtuk: profilpolsystem.pl oldaltérkép bejárása</t>
        </is>
      </c>
      <c r="Q261" s="6" t="inlineStr"/>
      <c r="R261" s="13" t="inlineStr">
        <is>
          <t>https://website-9ib.pages.dev/termek/388008-27mm-feszito-cso-alu-profil/</t>
        </is>
      </c>
      <c r="S261" s="6" t="inlineStr">
        <is>
          <t>388008-27mm-feszito-cso-alu-profil</t>
        </is>
      </c>
    </row>
    <row r="262">
      <c r="A262" s="6" t="inlineStr">
        <is>
          <t>Profilpol</t>
        </is>
      </c>
      <c r="B262" s="7" t="inlineStr">
        <is>
          <t>Térelválasztó falzár</t>
        </is>
      </c>
      <c r="C262" s="11" t="inlineStr"/>
      <c r="D262" s="12" t="inlineStr"/>
      <c r="E262" s="6" t="inlineStr">
        <is>
          <t>123250</t>
        </is>
      </c>
      <c r="F262" s="6" t="inlineStr">
        <is>
          <t>33PB0</t>
        </is>
      </c>
      <c r="G262" s="6" t="inlineStr">
        <is>
          <t>Rakományrögzítés</t>
        </is>
      </c>
      <c r="H262" s="6" t="inlineStr">
        <is>
          <t>Rakományrögzítés</t>
        </is>
      </c>
      <c r="I262" s="6" t="inlineStr">
        <is>
          <t>Quadris Excel</t>
        </is>
      </c>
      <c r="J262" s="6" t="n">
        <v>0</v>
      </c>
      <c r="K262" s="6" t="n">
        <v>0</v>
      </c>
      <c r="L262" s="6" t="inlineStr">
        <is>
          <t>nincs</t>
        </is>
      </c>
      <c r="M262" s="6">
        <f>IF(AND(J262&gt;0,K262&gt;0),"Rendben",IF(AND(J262=0,K262=0),"Nincs kép és adat",IF(J262=0,"Nincs kép","Nincs adat")))</f>
        <v/>
      </c>
      <c r="N262" s="6" t="inlineStr">
        <is>
          <t>Igen</t>
        </is>
      </c>
      <c r="O262" s="7" t="inlineStr">
        <is>
          <t>profilpolsystem.pl oldaltérkép bejárása</t>
        </is>
      </c>
      <c r="P262" s="7" t="inlineStr">
        <is>
          <t>Nem találtuk: profilpolsystem.pl oldaltérkép bejárása</t>
        </is>
      </c>
      <c r="Q262" s="6" t="inlineStr"/>
      <c r="R262" s="13" t="inlineStr">
        <is>
          <t>https://website-9ib.pages.dev/termek/123250-terelvalaszto-falzar/</t>
        </is>
      </c>
      <c r="S262" s="6" t="inlineStr">
        <is>
          <t>123250-terelvalaszto-falzar</t>
        </is>
      </c>
    </row>
    <row r="263">
      <c r="A263" s="6" t="inlineStr">
        <is>
          <t>profilpol boyritec</t>
        </is>
      </c>
      <c r="B263" s="7" t="inlineStr">
        <is>
          <t>Rámpa felső záró profil 225/30 mm</t>
        </is>
      </c>
      <c r="C263" s="11" t="inlineStr"/>
      <c r="D263" s="12" t="inlineStr"/>
      <c r="E263" s="6" t="inlineStr">
        <is>
          <t>220190</t>
        </is>
      </c>
      <c r="F263" s="6" t="inlineStr">
        <is>
          <t>22.21.0679</t>
        </is>
      </c>
      <c r="G263" s="6" t="inlineStr">
        <is>
          <t>Alumínium padló profilok</t>
        </is>
      </c>
      <c r="H263" s="6" t="inlineStr">
        <is>
          <t>Rámpa profilok</t>
        </is>
      </c>
      <c r="I263" s="6" t="inlineStr">
        <is>
          <t>Quadris Excel</t>
        </is>
      </c>
      <c r="J263" s="6" t="n">
        <v>0</v>
      </c>
      <c r="K263" s="6" t="n">
        <v>0</v>
      </c>
      <c r="L263" s="6" t="inlineStr">
        <is>
          <t>nincs</t>
        </is>
      </c>
      <c r="M263" s="6">
        <f>IF(AND(J263&gt;0,K263&gt;0),"Rendben",IF(AND(J263=0,K263=0),"Nincs kép és adat",IF(J263=0,"Nincs kép","Nincs adat")))</f>
        <v/>
      </c>
      <c r="N263" s="6" t="inlineStr">
        <is>
          <t>Nem</t>
        </is>
      </c>
      <c r="O263" s="7" t="inlineStr">
        <is>
          <t>–</t>
        </is>
      </c>
      <c r="P263" s="7" t="inlineStr">
        <is>
          <t>Nem kerestük – nincs ismert weboldal vagy katalógus</t>
        </is>
      </c>
      <c r="Q263" s="6" t="inlineStr"/>
      <c r="R263" s="13" t="inlineStr">
        <is>
          <t>https://website-9ib.pages.dev/termek/220190-rampa-felso-zaro-profil-225-30-mm/</t>
        </is>
      </c>
      <c r="S263" s="6" t="inlineStr">
        <is>
          <t>220190-rampa-felso-zaro-profil-225-30-mm</t>
        </is>
      </c>
    </row>
    <row r="264">
      <c r="A264" s="6" t="inlineStr">
        <is>
          <t>Sachermayer</t>
        </is>
      </c>
      <c r="B264" s="7" t="inlineStr">
        <is>
          <t>Retesz rúd D10 L:1300 mm</t>
        </is>
      </c>
      <c r="C264" s="11" t="inlineStr"/>
      <c r="D264" s="12" t="inlineStr"/>
      <c r="E264" s="6" t="inlineStr">
        <is>
          <t>615106</t>
        </is>
      </c>
      <c r="F264" s="6" t="inlineStr">
        <is>
          <t>102269188</t>
        </is>
      </c>
      <c r="G264" s="6" t="inlineStr">
        <is>
          <t>Speciális felépítmény alkatrészek</t>
        </is>
      </c>
      <c r="H264" s="6" t="inlineStr">
        <is>
          <t>Zárak</t>
        </is>
      </c>
      <c r="I264" s="6" t="inlineStr">
        <is>
          <t>Quadris Excel</t>
        </is>
      </c>
      <c r="J264" s="6" t="n">
        <v>0</v>
      </c>
      <c r="K264" s="6" t="n">
        <v>0</v>
      </c>
      <c r="L264" s="6" t="inlineStr">
        <is>
          <t>nincs</t>
        </is>
      </c>
      <c r="M264" s="6">
        <f>IF(AND(J264&gt;0,K264&gt;0),"Rendben",IF(AND(J264=0,K264=0),"Nincs kép és adat",IF(J264=0,"Nincs kép","Nincs adat")))</f>
        <v/>
      </c>
      <c r="N264" s="6" t="inlineStr">
        <is>
          <t>Nem</t>
        </is>
      </c>
      <c r="O264" s="7" t="inlineStr">
        <is>
          <t>–</t>
        </is>
      </c>
      <c r="P264" s="7" t="inlineStr">
        <is>
          <t>Nem kerestük – nincs ismert weboldal vagy katalógus</t>
        </is>
      </c>
      <c r="Q264" s="6" t="inlineStr"/>
      <c r="R264" s="13" t="inlineStr">
        <is>
          <t>https://website-9ib.pages.dev/termek/615106-retesz-rud-d10-l-1300-mm/</t>
        </is>
      </c>
      <c r="S264" s="6" t="inlineStr">
        <is>
          <t>615106-retesz-rud-d10-l-1300-mm</t>
        </is>
      </c>
    </row>
    <row r="265">
      <c r="A265" s="6" t="inlineStr">
        <is>
          <t>Sachermayer</t>
        </is>
      </c>
      <c r="B265" s="7" t="inlineStr">
        <is>
          <t>Süllyesztett dupla működésű retesz</t>
        </is>
      </c>
      <c r="C265" s="11" t="inlineStr"/>
      <c r="D265" s="12" t="inlineStr"/>
      <c r="E265" s="6" t="inlineStr">
        <is>
          <t>615105</t>
        </is>
      </c>
      <c r="F265" s="6" t="inlineStr">
        <is>
          <t>102269040</t>
        </is>
      </c>
      <c r="G265" s="6" t="inlineStr">
        <is>
          <t>Speciális felépítmény alkatrészek</t>
        </is>
      </c>
      <c r="H265" s="6" t="inlineStr">
        <is>
          <t>Zárak</t>
        </is>
      </c>
      <c r="I265" s="6" t="inlineStr">
        <is>
          <t>Quadris Excel</t>
        </is>
      </c>
      <c r="J265" s="6" t="n">
        <v>0</v>
      </c>
      <c r="K265" s="6" t="n">
        <v>0</v>
      </c>
      <c r="L265" s="6" t="inlineStr">
        <is>
          <t>nincs</t>
        </is>
      </c>
      <c r="M265" s="6">
        <f>IF(AND(J265&gt;0,K265&gt;0),"Rendben",IF(AND(J265=0,K265=0),"Nincs kép és adat",IF(J265=0,"Nincs kép","Nincs adat")))</f>
        <v/>
      </c>
      <c r="N265" s="6" t="inlineStr">
        <is>
          <t>Nem</t>
        </is>
      </c>
      <c r="O265" s="7" t="inlineStr">
        <is>
          <t>–</t>
        </is>
      </c>
      <c r="P265" s="7" t="inlineStr">
        <is>
          <t>Nem kerestük – nincs ismert weboldal vagy katalógus</t>
        </is>
      </c>
      <c r="Q265" s="6" t="inlineStr"/>
      <c r="R265" s="13" t="inlineStr">
        <is>
          <t>https://website-9ib.pages.dev/termek/615105-sullyesztett-dupla-mukodesu-retesz/</t>
        </is>
      </c>
      <c r="S265" s="6" t="inlineStr">
        <is>
          <t>615105-sullyesztett-dupla-mukodesu-retesz</t>
        </is>
      </c>
    </row>
    <row r="266">
      <c r="A266" s="6" t="inlineStr">
        <is>
          <t>Sand-Profile</t>
        </is>
      </c>
      <c r="B266" s="7" t="inlineStr">
        <is>
          <t>EPDM 1030 moosgumi</t>
        </is>
      </c>
      <c r="C266" s="11" t="inlineStr"/>
      <c r="D266" s="12" t="inlineStr"/>
      <c r="E266" s="6" t="inlineStr"/>
      <c r="F266" s="6" t="inlineStr"/>
      <c r="G266" s="6" t="inlineStr">
        <is>
          <t>Gumi- és kéderprofilok</t>
        </is>
      </c>
      <c r="H266" s="6" t="inlineStr">
        <is>
          <t>Egyéb kéder- és tömítőgumik</t>
        </is>
      </c>
      <c r="I266" s="6" t="inlineStr">
        <is>
          <t>Quadris Excel</t>
        </is>
      </c>
      <c r="J266" s="6" t="n">
        <v>0</v>
      </c>
      <c r="K266" s="6" t="n">
        <v>6</v>
      </c>
      <c r="L266" s="6" t="inlineStr">
        <is>
          <t>nincs</t>
        </is>
      </c>
      <c r="M266" s="6">
        <f>IF(AND(J266&gt;0,K266&gt;0),"Rendben",IF(AND(J266=0,K266=0),"Nincs kép és adat",IF(J266=0,"Nincs kép","Nincs adat")))</f>
        <v/>
      </c>
      <c r="N266" s="6" t="inlineStr">
        <is>
          <t>Igen</t>
        </is>
      </c>
      <c r="O266" s="7" t="inlineStr">
        <is>
          <t>SAND Profile teljes PDF katalógus</t>
        </is>
      </c>
      <c r="P266" s="7" t="inlineStr">
        <is>
          <t>Megtalálva: SAND Profile összkatalógus, 72. oldal (kód: 10x30)</t>
        </is>
      </c>
      <c r="Q266" s="13" t="inlineStr">
        <is>
          <t>https://www.sandprofile.com/media/gesamtkatalog_en.pdf#page=72</t>
        </is>
      </c>
      <c r="R266" s="13" t="inlineStr">
        <is>
          <t>https://website-9ib.pages.dev/termek/epdm-1030-moosgumi/</t>
        </is>
      </c>
      <c r="S266" s="6" t="inlineStr">
        <is>
          <t>epdm-1030-moosgumi</t>
        </is>
      </c>
    </row>
    <row r="267">
      <c r="A267" s="6" t="inlineStr">
        <is>
          <t>Sand-Profile</t>
        </is>
      </c>
      <c r="B267" s="7" t="inlineStr">
        <is>
          <t>EPDM 1530 moosgumi</t>
        </is>
      </c>
      <c r="C267" s="11" t="inlineStr"/>
      <c r="D267" s="12" t="inlineStr"/>
      <c r="E267" s="6" t="inlineStr"/>
      <c r="F267" s="6" t="inlineStr"/>
      <c r="G267" s="6" t="inlineStr">
        <is>
          <t>Gumi- és kéderprofilok</t>
        </is>
      </c>
      <c r="H267" s="6" t="inlineStr">
        <is>
          <t>Egyéb kéder- és tömítőgumik</t>
        </is>
      </c>
      <c r="I267" s="6" t="inlineStr">
        <is>
          <t>Quadris Excel</t>
        </is>
      </c>
      <c r="J267" s="6" t="n">
        <v>0</v>
      </c>
      <c r="K267" s="6" t="n">
        <v>6</v>
      </c>
      <c r="L267" s="6" t="inlineStr">
        <is>
          <t>nincs</t>
        </is>
      </c>
      <c r="M267" s="6">
        <f>IF(AND(J267&gt;0,K267&gt;0),"Rendben",IF(AND(J267=0,K267=0),"Nincs kép és adat",IF(J267=0,"Nincs kép","Nincs adat")))</f>
        <v/>
      </c>
      <c r="N267" s="6" t="inlineStr">
        <is>
          <t>Igen</t>
        </is>
      </c>
      <c r="O267" s="7" t="inlineStr">
        <is>
          <t>SAND Profile teljes PDF katalógus</t>
        </is>
      </c>
      <c r="P267" s="7" t="inlineStr">
        <is>
          <t>Megtalálva: SAND Profile összkatalógus, 73. oldal (kód: 15x30)</t>
        </is>
      </c>
      <c r="Q267" s="13" t="inlineStr">
        <is>
          <t>https://www.sandprofile.com/media/gesamtkatalog_en.pdf#page=73</t>
        </is>
      </c>
      <c r="R267" s="13" t="inlineStr">
        <is>
          <t>https://website-9ib.pages.dev/termek/epdm-1530-moosgumi/</t>
        </is>
      </c>
      <c r="S267" s="6" t="inlineStr">
        <is>
          <t>epdm-1530-moosgumi</t>
        </is>
      </c>
    </row>
    <row r="268">
      <c r="A268" s="6" t="inlineStr">
        <is>
          <t>Sand-Profile</t>
        </is>
      </c>
      <c r="B268" s="7" t="inlineStr">
        <is>
          <t>EPDM 3030 - AF moosgumi</t>
        </is>
      </c>
      <c r="C268" s="11" t="inlineStr"/>
      <c r="D268" s="12" t="inlineStr"/>
      <c r="E268" s="6" t="inlineStr"/>
      <c r="F268" s="6" t="inlineStr"/>
      <c r="G268" s="6" t="inlineStr">
        <is>
          <t>Gumi- és kéderprofilok</t>
        </is>
      </c>
      <c r="H268" s="6" t="inlineStr">
        <is>
          <t>Egyéb kéder- és tömítőgumik</t>
        </is>
      </c>
      <c r="I268" s="6" t="inlineStr">
        <is>
          <t>Quadris Excel</t>
        </is>
      </c>
      <c r="J268" s="6" t="n">
        <v>0</v>
      </c>
      <c r="K268" s="6" t="n">
        <v>6</v>
      </c>
      <c r="L268" s="6" t="inlineStr">
        <is>
          <t>nincs</t>
        </is>
      </c>
      <c r="M268" s="6">
        <f>IF(AND(J268&gt;0,K268&gt;0),"Rendben",IF(AND(J268=0,K268=0),"Nincs kép és adat",IF(J268=0,"Nincs kép","Nincs adat")))</f>
        <v/>
      </c>
      <c r="N268" s="6" t="inlineStr">
        <is>
          <t>Igen</t>
        </is>
      </c>
      <c r="O268" s="7" t="inlineStr">
        <is>
          <t>SAND Profile teljes PDF katalógus</t>
        </is>
      </c>
      <c r="P268" s="7" t="inlineStr">
        <is>
          <t>Megtalálva: SAND Profile összkatalógus, 73. oldal (kód: 30x30)</t>
        </is>
      </c>
      <c r="Q268" s="13" t="inlineStr">
        <is>
          <t>https://www.sandprofile.com/media/gesamtkatalog_en.pdf#page=73</t>
        </is>
      </c>
      <c r="R268" s="13" t="inlineStr">
        <is>
          <t>https://website-9ib.pages.dev/termek/epdm-3030-af-moosgumi/</t>
        </is>
      </c>
      <c r="S268" s="6" t="inlineStr">
        <is>
          <t>epdm-3030-af-moosgumi</t>
        </is>
      </c>
    </row>
    <row r="269">
      <c r="A269" s="6" t="inlineStr">
        <is>
          <t>Sand-Profile</t>
        </is>
      </c>
      <c r="B269" s="7" t="inlineStr">
        <is>
          <t>Kéderprofil B2 173</t>
        </is>
      </c>
      <c r="C269" s="11" t="inlineStr"/>
      <c r="D269" s="12" t="inlineStr"/>
      <c r="E269" s="6" t="inlineStr">
        <is>
          <t>B2 173</t>
        </is>
      </c>
      <c r="F269" s="6" t="inlineStr">
        <is>
          <t>B2 173</t>
        </is>
      </c>
      <c r="G269" s="6" t="inlineStr">
        <is>
          <t>Gumi- és kéderprofilok</t>
        </is>
      </c>
      <c r="H269" s="6" t="inlineStr">
        <is>
          <t>Kéder- és ablakgumi profilok (Gista)</t>
        </is>
      </c>
      <c r="I269" s="6" t="inlineStr">
        <is>
          <t>Teljes kínálat</t>
        </is>
      </c>
      <c r="J269" s="6" t="n">
        <v>0</v>
      </c>
      <c r="K269" s="6" t="n">
        <v>1</v>
      </c>
      <c r="L269" s="6" t="inlineStr">
        <is>
          <t>van</t>
        </is>
      </c>
      <c r="M269" s="6">
        <f>IF(AND(J269&gt;0,K269&gt;0),"Rendben",IF(AND(J269=0,K269=0),"Nincs kép és adat",IF(J269=0,"Nincs kép","Nincs adat")))</f>
        <v/>
      </c>
      <c r="N269" s="6" t="inlineStr">
        <is>
          <t>Igen</t>
        </is>
      </c>
      <c r="O269" s="7" t="inlineStr">
        <is>
          <t>Sand-Profile teljes kínálata (gyártói katalógus / weboldal)</t>
        </is>
      </c>
      <c r="P269" s="7" t="inlineStr">
        <is>
          <t>Megtalálva: a beszállító teljes kínálatából felvett termék</t>
        </is>
      </c>
      <c r="Q269" s="13" t="inlineStr">
        <is>
          <t>https://www.sandprofile.com/media/gesamtkatalog_en.pdf#page=52</t>
        </is>
      </c>
      <c r="R269" s="13" t="inlineStr">
        <is>
          <t>https://website-9ib.pages.dev/termek/sp-b2-173/</t>
        </is>
      </c>
      <c r="S269" s="6" t="inlineStr">
        <is>
          <t>sp-b2-173</t>
        </is>
      </c>
    </row>
    <row r="270">
      <c r="A270" s="6" t="inlineStr">
        <is>
          <t>Sand-Profile</t>
        </is>
      </c>
      <c r="B270" s="7" t="inlineStr">
        <is>
          <t>Lepkés gumi 76,8(80)/4,7 fekete</t>
        </is>
      </c>
      <c r="C270" s="11" t="inlineStr"/>
      <c r="D270" s="12" t="inlineStr"/>
      <c r="E270" s="6" t="inlineStr"/>
      <c r="F270" s="6" t="inlineStr">
        <is>
          <t>A4166</t>
        </is>
      </c>
      <c r="G270" s="6" t="inlineStr">
        <is>
          <t>Gumi- és kéderprofilok</t>
        </is>
      </c>
      <c r="H270" s="6" t="inlineStr">
        <is>
          <t>Egyéb kéder- és tömítőgumik</t>
        </is>
      </c>
      <c r="I270" s="6" t="inlineStr">
        <is>
          <t>Quadris Excel</t>
        </is>
      </c>
      <c r="J270" s="6" t="n">
        <v>0</v>
      </c>
      <c r="K270" s="6" t="n">
        <v>0</v>
      </c>
      <c r="L270" s="6" t="inlineStr">
        <is>
          <t>nincs</t>
        </is>
      </c>
      <c r="M270" s="6">
        <f>IF(AND(J270&gt;0,K270&gt;0),"Rendben",IF(AND(J270=0,K270=0),"Nincs kép és adat",IF(J270=0,"Nincs kép","Nincs adat")))</f>
        <v/>
      </c>
      <c r="N270" s="6" t="inlineStr">
        <is>
          <t>Igen</t>
        </is>
      </c>
      <c r="O270" s="7" t="inlineStr">
        <is>
          <t>SAND Profile teljes PDF katalógus</t>
        </is>
      </c>
      <c r="P270" s="7" t="inlineStr">
        <is>
          <t>Nem találtuk: SAND Profile teljes PDF katalógus</t>
        </is>
      </c>
      <c r="Q270" s="6" t="inlineStr"/>
      <c r="R270" s="13" t="inlineStr">
        <is>
          <t>https://website-9ib.pages.dev/termek/lepkes-gumi-76-8-80-4-7-fekete/</t>
        </is>
      </c>
      <c r="S270" s="6" t="inlineStr">
        <is>
          <t>lepkes-gumi-76-8-80-4-7-fekete</t>
        </is>
      </c>
    </row>
    <row r="271">
      <c r="A271" s="6" t="inlineStr">
        <is>
          <t>Takler</t>
        </is>
      </c>
      <c r="B271" s="7" t="inlineStr">
        <is>
          <t>1 fokos létra Thorg. 400 mm</t>
        </is>
      </c>
      <c r="C271" s="11" t="inlineStr"/>
      <c r="D271" s="12" t="inlineStr"/>
      <c r="E271" s="6" t="inlineStr">
        <is>
          <t>508650</t>
        </is>
      </c>
      <c r="F271" s="6" t="inlineStr">
        <is>
          <t>TK8650</t>
        </is>
      </c>
      <c r="G271" s="6" t="inlineStr">
        <is>
          <t>Dobozos felépítmény alkatrészek</t>
        </is>
      </c>
      <c r="H271" s="6" t="inlineStr">
        <is>
          <t>Létrák</t>
        </is>
      </c>
      <c r="I271" s="6" t="inlineStr">
        <is>
          <t>Quadris Excel</t>
        </is>
      </c>
      <c r="J271" s="6" t="n">
        <v>0</v>
      </c>
      <c r="K271" s="6" t="n">
        <v>0</v>
      </c>
      <c r="L271" s="6" t="inlineStr">
        <is>
          <t>nincs</t>
        </is>
      </c>
      <c r="M271" s="6">
        <f>IF(AND(J271&gt;0,K271&gt;0),"Rendben",IF(AND(J271=0,K271=0),"Nincs kép és adat",IF(J271=0,"Nincs kép","Nincs adat")))</f>
        <v/>
      </c>
      <c r="N271" s="6" t="inlineStr">
        <is>
          <t>Igen</t>
        </is>
      </c>
      <c r="O271" s="7" t="inlineStr">
        <is>
          <t>taklergroup.com oldaltérkép bejárása</t>
        </is>
      </c>
      <c r="P271" s="7" t="inlineStr">
        <is>
          <t>Nem találtuk: taklergroup.com oldaltérkép bejárása</t>
        </is>
      </c>
      <c r="Q271" s="6" t="inlineStr"/>
      <c r="R271" s="13" t="inlineStr">
        <is>
          <t>https://website-9ib.pages.dev/termek/508650-1-fokos-letra-thorg-400-mm/</t>
        </is>
      </c>
      <c r="S271" s="6" t="inlineStr">
        <is>
          <t>508650-1-fokos-letra-thorg-400-mm</t>
        </is>
      </c>
    </row>
    <row r="272">
      <c r="A272" s="6" t="inlineStr">
        <is>
          <t>Takler</t>
        </is>
      </c>
      <c r="B272" s="7" t="inlineStr">
        <is>
          <t>2 fokos létra Thorg. TK 570 mm</t>
        </is>
      </c>
      <c r="C272" s="11" t="inlineStr"/>
      <c r="D272" s="12" t="inlineStr"/>
      <c r="E272" s="6" t="inlineStr">
        <is>
          <t>502286</t>
        </is>
      </c>
      <c r="F272" s="6" t="inlineStr">
        <is>
          <t>TK8655</t>
        </is>
      </c>
      <c r="G272" s="6" t="inlineStr">
        <is>
          <t>Dobozos felépítmény alkatrészek</t>
        </is>
      </c>
      <c r="H272" s="6" t="inlineStr">
        <is>
          <t>Létrák</t>
        </is>
      </c>
      <c r="I272" s="6" t="inlineStr">
        <is>
          <t>Quadris Excel</t>
        </is>
      </c>
      <c r="J272" s="6" t="n">
        <v>0</v>
      </c>
      <c r="K272" s="6" t="n">
        <v>0</v>
      </c>
      <c r="L272" s="6" t="inlineStr">
        <is>
          <t>nincs</t>
        </is>
      </c>
      <c r="M272" s="6">
        <f>IF(AND(J272&gt;0,K272&gt;0),"Rendben",IF(AND(J272=0,K272=0),"Nincs kép és adat",IF(J272=0,"Nincs kép","Nincs adat")))</f>
        <v/>
      </c>
      <c r="N272" s="6" t="inlineStr">
        <is>
          <t>Igen</t>
        </is>
      </c>
      <c r="O272" s="7" t="inlineStr">
        <is>
          <t>taklergroup.com oldaltérkép bejárása</t>
        </is>
      </c>
      <c r="P272" s="7" t="inlineStr">
        <is>
          <t>Nem találtuk: taklergroup.com oldaltérkép bejárása</t>
        </is>
      </c>
      <c r="Q272" s="6" t="inlineStr"/>
      <c r="R272" s="13" t="inlineStr">
        <is>
          <t>https://website-9ib.pages.dev/termek/502286-2-fokos-letra-thorg-tk-570-mm/</t>
        </is>
      </c>
      <c r="S272" s="6" t="inlineStr">
        <is>
          <t>502286-2-fokos-letra-thorg-tk-570-mm</t>
        </is>
      </c>
    </row>
    <row r="273">
      <c r="A273" s="6" t="inlineStr">
        <is>
          <t>Takler</t>
        </is>
      </c>
      <c r="B273" s="7" t="inlineStr">
        <is>
          <t>"h" szegő 25 mm T</t>
        </is>
      </c>
      <c r="C273" s="11" t="inlineStr"/>
      <c r="D273" s="12" t="inlineStr"/>
      <c r="E273" s="6" t="inlineStr">
        <is>
          <t>223003/n</t>
        </is>
      </c>
      <c r="F273" s="6" t="inlineStr">
        <is>
          <t>T1.3003.0</t>
        </is>
      </c>
      <c r="G273" s="6" t="inlineStr">
        <is>
          <t>Platós és ponyvás oldalfal profilok és szegők</t>
        </is>
      </c>
      <c r="H273" s="6" t="inlineStr">
        <is>
          <t>Szegő profilok</t>
        </is>
      </c>
      <c r="I273" s="6" t="inlineStr">
        <is>
          <t>Quadris Excel</t>
        </is>
      </c>
      <c r="J273" s="6" t="n">
        <v>0</v>
      </c>
      <c r="K273" s="6" t="n">
        <v>0</v>
      </c>
      <c r="L273" s="6" t="inlineStr">
        <is>
          <t>nincs</t>
        </is>
      </c>
      <c r="M273" s="6">
        <f>IF(AND(J273&gt;0,K273&gt;0),"Rendben",IF(AND(J273=0,K273=0),"Nincs kép és adat",IF(J273=0,"Nincs kép","Nincs adat")))</f>
        <v/>
      </c>
      <c r="N273" s="6" t="inlineStr">
        <is>
          <t>Igen</t>
        </is>
      </c>
      <c r="O273" s="7" t="inlineStr">
        <is>
          <t>taklergroup.com oldaltérkép bejárása</t>
        </is>
      </c>
      <c r="P273" s="7" t="inlineStr">
        <is>
          <t>Nem találtuk: taklergroup.com oldaltérkép bejárása</t>
        </is>
      </c>
      <c r="Q273" s="6" t="inlineStr"/>
      <c r="R273" s="13" t="inlineStr">
        <is>
          <t>https://website-9ib.pages.dev/termek/223003-n-h-szego-25-mm-t/</t>
        </is>
      </c>
      <c r="S273" s="6" t="inlineStr">
        <is>
          <t>223003-n-h-szego-25-mm-t</t>
        </is>
      </c>
    </row>
    <row r="274">
      <c r="A274" s="6" t="inlineStr">
        <is>
          <t>Takler</t>
        </is>
      </c>
      <c r="B274" s="7" t="inlineStr">
        <is>
          <t>"h" szegő 25 mm elox T</t>
        </is>
      </c>
      <c r="C274" s="11" t="inlineStr"/>
      <c r="D274" s="12" t="inlineStr"/>
      <c r="E274" s="6" t="inlineStr">
        <is>
          <t>223003</t>
        </is>
      </c>
      <c r="F274" s="6" t="inlineStr">
        <is>
          <t>T1.3003.1</t>
        </is>
      </c>
      <c r="G274" s="6" t="inlineStr">
        <is>
          <t>Platós és ponyvás oldalfal profilok és szegők</t>
        </is>
      </c>
      <c r="H274" s="6" t="inlineStr">
        <is>
          <t>Szegő profilok</t>
        </is>
      </c>
      <c r="I274" s="6" t="inlineStr">
        <is>
          <t>Quadris Excel</t>
        </is>
      </c>
      <c r="J274" s="6" t="n">
        <v>0</v>
      </c>
      <c r="K274" s="6" t="n">
        <v>0</v>
      </c>
      <c r="L274" s="6" t="inlineStr">
        <is>
          <t>nincs</t>
        </is>
      </c>
      <c r="M274" s="6">
        <f>IF(AND(J274&gt;0,K274&gt;0),"Rendben",IF(AND(J274=0,K274=0),"Nincs kép és adat",IF(J274=0,"Nincs kép","Nincs adat")))</f>
        <v/>
      </c>
      <c r="N274" s="6" t="inlineStr">
        <is>
          <t>Igen</t>
        </is>
      </c>
      <c r="O274" s="7" t="inlineStr">
        <is>
          <t>taklergroup.com oldaltérkép bejárása</t>
        </is>
      </c>
      <c r="P274" s="7" t="inlineStr">
        <is>
          <t>Nem találtuk: taklergroup.com oldaltérkép bejárása</t>
        </is>
      </c>
      <c r="Q274" s="6" t="inlineStr"/>
      <c r="R274" s="13" t="inlineStr">
        <is>
          <t>https://website-9ib.pages.dev/termek/223003-h-szego-25-mm-elox-t/</t>
        </is>
      </c>
      <c r="S274" s="6" t="inlineStr">
        <is>
          <t>223003-h-szego-25-mm-elox-t</t>
        </is>
      </c>
    </row>
    <row r="275">
      <c r="A275" s="6" t="inlineStr">
        <is>
          <t>Takler</t>
        </is>
      </c>
      <c r="B275" s="7" t="inlineStr">
        <is>
          <t>"u" 25 mm szegő profil T</t>
        </is>
      </c>
      <c r="C275" s="11" t="inlineStr"/>
      <c r="D275" s="12" t="inlineStr"/>
      <c r="E275" s="6" t="inlineStr">
        <is>
          <t>223001/N</t>
        </is>
      </c>
      <c r="F275" s="6" t="inlineStr">
        <is>
          <t>T1.3001.0</t>
        </is>
      </c>
      <c r="G275" s="6" t="inlineStr">
        <is>
          <t>Platós és ponyvás oldalfal profilok és szegők</t>
        </is>
      </c>
      <c r="H275" s="6" t="inlineStr">
        <is>
          <t>Szegő profilok</t>
        </is>
      </c>
      <c r="I275" s="6" t="inlineStr">
        <is>
          <t>Quadris Excel</t>
        </is>
      </c>
      <c r="J275" s="6" t="n">
        <v>0</v>
      </c>
      <c r="K275" s="6" t="n">
        <v>0</v>
      </c>
      <c r="L275" s="6" t="inlineStr">
        <is>
          <t>nincs</t>
        </is>
      </c>
      <c r="M275" s="6">
        <f>IF(AND(J275&gt;0,K275&gt;0),"Rendben",IF(AND(J275=0,K275=0),"Nincs kép és adat",IF(J275=0,"Nincs kép","Nincs adat")))</f>
        <v/>
      </c>
      <c r="N275" s="6" t="inlineStr">
        <is>
          <t>Igen</t>
        </is>
      </c>
      <c r="O275" s="7" t="inlineStr">
        <is>
          <t>taklergroup.com oldaltérkép bejárása</t>
        </is>
      </c>
      <c r="P275" s="7" t="inlineStr">
        <is>
          <t>Nem találtuk: taklergroup.com oldaltérkép bejárása</t>
        </is>
      </c>
      <c r="Q275" s="6" t="inlineStr"/>
      <c r="R275" s="13" t="inlineStr">
        <is>
          <t>https://website-9ib.pages.dev/termek/223001-n-u-25-mm-szego-profil-t/</t>
        </is>
      </c>
      <c r="S275" s="6" t="inlineStr">
        <is>
          <t>223001-n-u-25-mm-szego-profil-t</t>
        </is>
      </c>
    </row>
    <row r="276">
      <c r="A276" s="6" t="inlineStr">
        <is>
          <t>Takler</t>
        </is>
      </c>
      <c r="B276" s="7" t="inlineStr">
        <is>
          <t>"u" 25 mm szegő profil elox T</t>
        </is>
      </c>
      <c r="C276" s="11" t="inlineStr"/>
      <c r="D276" s="12" t="inlineStr"/>
      <c r="E276" s="6" t="inlineStr">
        <is>
          <t>223001</t>
        </is>
      </c>
      <c r="F276" s="6" t="inlineStr">
        <is>
          <t>T1.3001.1</t>
        </is>
      </c>
      <c r="G276" s="6" t="inlineStr">
        <is>
          <t>Platós és ponyvás oldalfal profilok és szegők</t>
        </is>
      </c>
      <c r="H276" s="6" t="inlineStr">
        <is>
          <t>Szegő profilok</t>
        </is>
      </c>
      <c r="I276" s="6" t="inlineStr">
        <is>
          <t>Quadris Excel</t>
        </is>
      </c>
      <c r="J276" s="6" t="n">
        <v>0</v>
      </c>
      <c r="K276" s="6" t="n">
        <v>0</v>
      </c>
      <c r="L276" s="6" t="inlineStr">
        <is>
          <t>nincs</t>
        </is>
      </c>
      <c r="M276" s="6">
        <f>IF(AND(J276&gt;0,K276&gt;0),"Rendben",IF(AND(J276=0,K276=0),"Nincs kép és adat",IF(J276=0,"Nincs kép","Nincs adat")))</f>
        <v/>
      </c>
      <c r="N276" s="6" t="inlineStr">
        <is>
          <t>Igen</t>
        </is>
      </c>
      <c r="O276" s="7" t="inlineStr">
        <is>
          <t>taklergroup.com oldaltérkép bejárása</t>
        </is>
      </c>
      <c r="P276" s="7" t="inlineStr">
        <is>
          <t>Nem találtuk: taklergroup.com oldaltérkép bejárása</t>
        </is>
      </c>
      <c r="Q276" s="6" t="inlineStr"/>
      <c r="R276" s="13" t="inlineStr">
        <is>
          <t>https://website-9ib.pages.dev/termek/223001-u-25-mm-szego-profil-elox-t/</t>
        </is>
      </c>
      <c r="S276" s="6" t="inlineStr">
        <is>
          <t>223001-u-25-mm-szego-profil-elox-t</t>
        </is>
      </c>
    </row>
    <row r="277">
      <c r="A277" s="6" t="inlineStr">
        <is>
          <t>Takler</t>
        </is>
      </c>
      <c r="B277" s="7" t="inlineStr">
        <is>
          <t>224004/ 400 mm peremes oldalfal elox</t>
        </is>
      </c>
      <c r="C277" s="11" t="inlineStr"/>
      <c r="D277" s="12" t="inlineStr"/>
      <c r="E277" s="6" t="inlineStr"/>
      <c r="F277" s="6" t="inlineStr">
        <is>
          <t>4004 TK</t>
        </is>
      </c>
      <c r="G277" s="6" t="inlineStr">
        <is>
          <t>Platós és ponyvás oldalfal profilok és szegők</t>
        </is>
      </c>
      <c r="H277" s="6" t="inlineStr">
        <is>
          <t>25 mm monó profilok</t>
        </is>
      </c>
      <c r="I277" s="6" t="inlineStr">
        <is>
          <t>Quadris Excel</t>
        </is>
      </c>
      <c r="J277" s="6" t="n">
        <v>0</v>
      </c>
      <c r="K277" s="6" t="n">
        <v>0</v>
      </c>
      <c r="L277" s="6" t="inlineStr">
        <is>
          <t>nincs</t>
        </is>
      </c>
      <c r="M277" s="6">
        <f>IF(AND(J277&gt;0,K277&gt;0),"Rendben",IF(AND(J277=0,K277=0),"Nincs kép és adat",IF(J277=0,"Nincs kép","Nincs adat")))</f>
        <v/>
      </c>
      <c r="N277" s="6" t="inlineStr">
        <is>
          <t>Igen</t>
        </is>
      </c>
      <c r="O277" s="7" t="inlineStr">
        <is>
          <t>taklergroup.com oldaltérkép bejárása</t>
        </is>
      </c>
      <c r="P277" s="7" t="inlineStr">
        <is>
          <t>Nem találtuk: taklergroup.com oldaltérkép bejárása</t>
        </is>
      </c>
      <c r="Q277" s="6" t="inlineStr"/>
      <c r="R277" s="13" t="inlineStr">
        <is>
          <t>https://website-9ib.pages.dev/termek/224004-400-mm-peremes-oldalfal-elox-2/</t>
        </is>
      </c>
      <c r="S277" s="6" t="inlineStr">
        <is>
          <t>224004-400-mm-peremes-oldalfal-elox-2</t>
        </is>
      </c>
    </row>
    <row r="278">
      <c r="A278" s="6" t="inlineStr">
        <is>
          <t>Takler</t>
        </is>
      </c>
      <c r="B278" s="7" t="inlineStr">
        <is>
          <t>400 mm peremes oldalfal elox</t>
        </is>
      </c>
      <c r="C278" s="11" t="inlineStr"/>
      <c r="D278" s="12" t="inlineStr"/>
      <c r="E278" s="6" t="inlineStr">
        <is>
          <t>224004</t>
        </is>
      </c>
      <c r="F278" s="6" t="inlineStr">
        <is>
          <t>4004 TK</t>
        </is>
      </c>
      <c r="G278" s="6" t="inlineStr">
        <is>
          <t>Platós és ponyvás oldalfal profilok és szegők</t>
        </is>
      </c>
      <c r="H278" s="6" t="inlineStr">
        <is>
          <t>25 mm monó profilok</t>
        </is>
      </c>
      <c r="I278" s="6" t="inlineStr">
        <is>
          <t>Quadris Excel</t>
        </is>
      </c>
      <c r="J278" s="6" t="n">
        <v>0</v>
      </c>
      <c r="K278" s="6" t="n">
        <v>0</v>
      </c>
      <c r="L278" s="6" t="inlineStr">
        <is>
          <t>nincs</t>
        </is>
      </c>
      <c r="M278" s="6">
        <f>IF(AND(J278&gt;0,K278&gt;0),"Rendben",IF(AND(J278=0,K278=0),"Nincs kép és adat",IF(J278=0,"Nincs kép","Nincs adat")))</f>
        <v/>
      </c>
      <c r="N278" s="6" t="inlineStr">
        <is>
          <t>Igen</t>
        </is>
      </c>
      <c r="O278" s="7" t="inlineStr">
        <is>
          <t>taklergroup.com oldaltérkép bejárása</t>
        </is>
      </c>
      <c r="P278" s="7" t="inlineStr">
        <is>
          <t>Nem találtuk: taklergroup.com oldaltérkép bejárása</t>
        </is>
      </c>
      <c r="Q278" s="6" t="inlineStr"/>
      <c r="R278" s="13" t="inlineStr">
        <is>
          <t>https://website-9ib.pages.dev/termek/224004-400-mm-peremes-oldalfal-elox/</t>
        </is>
      </c>
      <c r="S278" s="6" t="inlineStr">
        <is>
          <t>224004-400-mm-peremes-oldalfal-elox</t>
        </is>
      </c>
    </row>
    <row r="279">
      <c r="A279" s="6" t="inlineStr">
        <is>
          <t>Takler</t>
        </is>
      </c>
      <c r="B279" s="7" t="inlineStr">
        <is>
          <t>Bill. 400/30 mm mono profil elox</t>
        </is>
      </c>
      <c r="C279" s="11" t="inlineStr"/>
      <c r="D279" s="12" t="inlineStr"/>
      <c r="E279" s="6" t="inlineStr">
        <is>
          <t>245005</t>
        </is>
      </c>
      <c r="F279" s="6" t="inlineStr">
        <is>
          <t>T1.5005.1</t>
        </is>
      </c>
      <c r="G279" s="6" t="inlineStr">
        <is>
          <t>Platós és ponyvás oldalfal profilok és szegők</t>
        </is>
      </c>
      <c r="H279" s="6" t="inlineStr">
        <is>
          <t>Alumínium billencs oldalfalak</t>
        </is>
      </c>
      <c r="I279" s="6" t="inlineStr">
        <is>
          <t>Quadris Excel</t>
        </is>
      </c>
      <c r="J279" s="6" t="n">
        <v>0</v>
      </c>
      <c r="K279" s="6" t="n">
        <v>0</v>
      </c>
      <c r="L279" s="6" t="inlineStr">
        <is>
          <t>nincs</t>
        </is>
      </c>
      <c r="M279" s="6">
        <f>IF(AND(J279&gt;0,K279&gt;0),"Rendben",IF(AND(J279=0,K279=0),"Nincs kép és adat",IF(J279=0,"Nincs kép","Nincs adat")))</f>
        <v/>
      </c>
      <c r="N279" s="6" t="inlineStr">
        <is>
          <t>Igen</t>
        </is>
      </c>
      <c r="O279" s="7" t="inlineStr">
        <is>
          <t>taklergroup.com oldaltérkép bejárása</t>
        </is>
      </c>
      <c r="P279" s="7" t="inlineStr">
        <is>
          <t>Nem találtuk: taklergroup.com oldaltérkép bejárása</t>
        </is>
      </c>
      <c r="Q279" s="6" t="inlineStr"/>
      <c r="R279" s="13" t="inlineStr">
        <is>
          <t>https://website-9ib.pages.dev/termek/245005-bill-400-30-mm-mono-profil-elox/</t>
        </is>
      </c>
      <c r="S279" s="6" t="inlineStr">
        <is>
          <t>245005-bill-400-30-mm-mono-profil-elox</t>
        </is>
      </c>
    </row>
    <row r="280">
      <c r="A280" s="6" t="inlineStr">
        <is>
          <t>takler vagy esal</t>
        </is>
      </c>
      <c r="B280" s="7" t="inlineStr">
        <is>
          <t>Zárt Padló profil 30/200 mm</t>
        </is>
      </c>
      <c r="C280" s="11" t="inlineStr"/>
      <c r="D280" s="12" t="inlineStr"/>
      <c r="E280" s="6" t="inlineStr">
        <is>
          <t>226001</t>
        </is>
      </c>
      <c r="F280" s="6" t="inlineStr">
        <is>
          <t>T1.6001.0</t>
        </is>
      </c>
      <c r="G280" s="6" t="inlineStr">
        <is>
          <t>Alumínium padló profilok</t>
        </is>
      </c>
      <c r="H280" s="6" t="inlineStr">
        <is>
          <t>Padló profilok</t>
        </is>
      </c>
      <c r="I280" s="6" t="inlineStr">
        <is>
          <t>Quadris Excel</t>
        </is>
      </c>
      <c r="J280" s="6" t="n">
        <v>0</v>
      </c>
      <c r="K280" s="6" t="n">
        <v>0</v>
      </c>
      <c r="L280" s="6" t="inlineStr">
        <is>
          <t>nincs</t>
        </is>
      </c>
      <c r="M280" s="6">
        <f>IF(AND(J280&gt;0,K280&gt;0),"Rendben",IF(AND(J280=0,K280=0),"Nincs kép és adat",IF(J280=0,"Nincs kép","Nincs adat")))</f>
        <v/>
      </c>
      <c r="N280" s="6" t="inlineStr">
        <is>
          <t>Nem</t>
        </is>
      </c>
      <c r="O280" s="7" t="inlineStr">
        <is>
          <t>–</t>
        </is>
      </c>
      <c r="P280" s="7" t="inlineStr">
        <is>
          <t>Nem kerestük – nincs ismert weboldal vagy katalógus</t>
        </is>
      </c>
      <c r="Q280" s="6" t="inlineStr"/>
      <c r="R280" s="13" t="inlineStr">
        <is>
          <t>https://website-9ib.pages.dev/termek/226001-zart-padlo-profil-30-200-mm/</t>
        </is>
      </c>
      <c r="S280" s="6" t="inlineStr">
        <is>
          <t>226001-zart-padlo-profil-30-200-mm</t>
        </is>
      </c>
    </row>
    <row r="281">
      <c r="A281" s="6" t="inlineStr">
        <is>
          <t>Titgemeyer</t>
        </is>
      </c>
      <c r="B281" s="7" t="inlineStr">
        <is>
          <t>TIT zárszerkezet</t>
        </is>
      </c>
      <c r="C281" s="11" t="inlineStr"/>
      <c r="D281" s="12" t="inlineStr"/>
      <c r="E281" s="6" t="inlineStr">
        <is>
          <t>612623</t>
        </is>
      </c>
      <c r="F281" s="6" t="inlineStr"/>
      <c r="G281" s="6" t="inlineStr">
        <is>
          <t>Speciális felépítmény alkatrészek</t>
        </is>
      </c>
      <c r="H281" s="6" t="inlineStr">
        <is>
          <t>Zárak</t>
        </is>
      </c>
      <c r="I281" s="6" t="inlineStr">
        <is>
          <t>Quadris Excel</t>
        </is>
      </c>
      <c r="J281" s="6" t="n">
        <v>0</v>
      </c>
      <c r="K281" s="6" t="n">
        <v>0</v>
      </c>
      <c r="L281" s="6" t="inlineStr">
        <is>
          <t>nincs</t>
        </is>
      </c>
      <c r="M281" s="6">
        <f>IF(AND(J281&gt;0,K281&gt;0),"Rendben",IF(AND(J281=0,K281=0),"Nincs kép és adat",IF(J281=0,"Nincs kép","Nincs adat")))</f>
        <v/>
      </c>
      <c r="N281" s="6" t="inlineStr">
        <is>
          <t>Nem</t>
        </is>
      </c>
      <c r="O281" s="7" t="inlineStr">
        <is>
          <t>–</t>
        </is>
      </c>
      <c r="P281" s="7" t="inlineStr">
        <is>
          <t>Nem kerestük – nincs ismert weboldal vagy katalógus</t>
        </is>
      </c>
      <c r="Q281" s="6" t="inlineStr"/>
      <c r="R281" s="13" t="inlineStr">
        <is>
          <t>https://website-9ib.pages.dev/termek/612623-tit-zarszerkezet/</t>
        </is>
      </c>
      <c r="S281" s="6" t="inlineStr">
        <is>
          <t>612623-tit-zarszerkezet</t>
        </is>
      </c>
    </row>
    <row r="282">
      <c r="A282" s="6" t="inlineStr">
        <is>
          <t>TT-Parts</t>
        </is>
      </c>
      <c r="B282" s="7" t="inlineStr">
        <is>
          <t>Haub-csatoszár ellendarabbal</t>
        </is>
      </c>
      <c r="C282" s="11" t="inlineStr"/>
      <c r="D282" s="12" t="inlineStr"/>
      <c r="E282" s="6" t="inlineStr">
        <is>
          <t>820384</t>
        </is>
      </c>
      <c r="F282" s="6" t="inlineStr">
        <is>
          <t>606001120009A</t>
        </is>
      </c>
      <c r="G282" s="6" t="inlineStr">
        <is>
          <t>Speciális felépítmény alkatrészek</t>
        </is>
      </c>
      <c r="H282" s="6" t="inlineStr">
        <is>
          <t>Zárak</t>
        </is>
      </c>
      <c r="I282" s="6" t="inlineStr">
        <is>
          <t>Quadris Excel</t>
        </is>
      </c>
      <c r="J282" s="6" t="n">
        <v>0</v>
      </c>
      <c r="K282" s="6" t="n">
        <v>0</v>
      </c>
      <c r="L282" s="6" t="inlineStr">
        <is>
          <t>nincs</t>
        </is>
      </c>
      <c r="M282" s="6">
        <f>IF(AND(J282&gt;0,K282&gt;0),"Rendben",IF(AND(J282=0,K282=0),"Nincs kép és adat",IF(J282=0,"Nincs kép","Nincs adat")))</f>
        <v/>
      </c>
      <c r="N282" s="6" t="inlineStr">
        <is>
          <t>Nem</t>
        </is>
      </c>
      <c r="O282" s="7" t="inlineStr">
        <is>
          <t>–</t>
        </is>
      </c>
      <c r="P282" s="7" t="inlineStr">
        <is>
          <t>Nem kerestük – nincs ismert weboldal vagy katalógus</t>
        </is>
      </c>
      <c r="Q282" s="6" t="inlineStr"/>
      <c r="R282" s="13" t="inlineStr">
        <is>
          <t>https://website-9ib.pages.dev/termek/820384-haub-csatoszar-ellendarabbal/</t>
        </is>
      </c>
      <c r="S282" s="6" t="inlineStr">
        <is>
          <t>820384-haub-csatoszar-ellendarabbal</t>
        </is>
      </c>
    </row>
    <row r="283">
      <c r="A283" s="6" t="inlineStr">
        <is>
          <t>Versus</t>
        </is>
      </c>
      <c r="B283" s="7" t="inlineStr">
        <is>
          <t>T-rakonca görgő</t>
        </is>
      </c>
      <c r="C283" s="11" t="inlineStr"/>
      <c r="D283" s="12" t="inlineStr"/>
      <c r="E283" s="6" t="inlineStr"/>
      <c r="F283" s="6" t="inlineStr">
        <is>
          <t>RTS-002</t>
        </is>
      </c>
      <c r="G283" s="6" t="inlineStr">
        <is>
          <t>Elhúzható rolóponyvás rendszer</t>
        </is>
      </c>
      <c r="H283" s="6" t="inlineStr">
        <is>
          <t>Versus</t>
        </is>
      </c>
      <c r="I283" s="6" t="inlineStr">
        <is>
          <t>Quadris Excel</t>
        </is>
      </c>
      <c r="J283" s="6" t="n">
        <v>0</v>
      </c>
      <c r="K283" s="6" t="n">
        <v>0</v>
      </c>
      <c r="L283" s="6" t="inlineStr">
        <is>
          <t>nincs</t>
        </is>
      </c>
      <c r="M283" s="6">
        <f>IF(AND(J283&gt;0,K283&gt;0),"Rendben",IF(AND(J283=0,K283=0),"Nincs kép és adat",IF(J283=0,"Nincs kép","Nincs adat")))</f>
        <v/>
      </c>
      <c r="N283" s="6" t="inlineStr">
        <is>
          <t>Igen</t>
        </is>
      </c>
      <c r="O283" s="7" t="inlineStr">
        <is>
          <t>versus-omega.com termékoldalak; Duo Trike Light alkatrész-PDF (Drive); Versus-Omega online katalógus 2026 (FlippingBook)</t>
        </is>
      </c>
      <c r="P283" s="7" t="inlineStr">
        <is>
          <t>Nem találtuk: versus-omega.com termékoldalak; Duo Trike Light alkatrész-PDF (Drive); Versus-Omega online katalógus 2026 (FlippingBook)</t>
        </is>
      </c>
      <c r="Q283" s="6" t="inlineStr"/>
      <c r="R283" s="13" t="inlineStr">
        <is>
          <t>https://website-9ib.pages.dev/termek/t-rakonca-gorgo/</t>
        </is>
      </c>
      <c r="S283" s="6" t="inlineStr">
        <is>
          <t>t-rakonca-gorgo</t>
        </is>
      </c>
    </row>
    <row r="284">
      <c r="A284" s="6" t="inlineStr">
        <is>
          <t>Versus</t>
        </is>
      </c>
      <c r="B284" s="7" t="inlineStr">
        <is>
          <t>V242-14116 Takaró gumi DTL</t>
        </is>
      </c>
      <c r="C284" s="11" t="inlineStr"/>
      <c r="D284" s="12" t="inlineStr"/>
      <c r="E284" s="6" t="inlineStr"/>
      <c r="F284" s="6" t="inlineStr">
        <is>
          <t>242-14116</t>
        </is>
      </c>
      <c r="G284" s="6" t="inlineStr">
        <is>
          <t>Elhúzható rolóponyvás rendszer</t>
        </is>
      </c>
      <c r="H284" s="6" t="inlineStr">
        <is>
          <t>Versus</t>
        </is>
      </c>
      <c r="I284" s="6" t="inlineStr">
        <is>
          <t>Quadris Excel</t>
        </is>
      </c>
      <c r="J284" s="6" t="n">
        <v>0</v>
      </c>
      <c r="K284" s="6" t="n">
        <v>0</v>
      </c>
      <c r="L284" s="6" t="inlineStr">
        <is>
          <t>nincs</t>
        </is>
      </c>
      <c r="M284" s="6">
        <f>IF(AND(J284&gt;0,K284&gt;0),"Rendben",IF(AND(J284=0,K284=0),"Nincs kép és adat",IF(J284=0,"Nincs kép","Nincs adat")))</f>
        <v/>
      </c>
      <c r="N284" s="6" t="inlineStr">
        <is>
          <t>Igen</t>
        </is>
      </c>
      <c r="O284" s="7" t="inlineStr">
        <is>
          <t>versus-omega.com termékoldalak; Duo Trike Light alkatrész-PDF (Drive); Versus-Omega online katalógus 2026 (FlippingBook)</t>
        </is>
      </c>
      <c r="P284" s="7" t="inlineStr">
        <is>
          <t>Nem találtuk: versus-omega.com termékoldalak; Duo Trike Light alkatrész-PDF (Drive); Versus-Omega online katalógus 2026 (FlippingBook)</t>
        </is>
      </c>
      <c r="Q284" s="6" t="inlineStr"/>
      <c r="R284" s="13" t="inlineStr">
        <is>
          <t>https://website-9ib.pages.dev/termek/v242-14116-takaro-gumi-dtl/</t>
        </is>
      </c>
      <c r="S284" s="6" t="inlineStr">
        <is>
          <t>v242-14116-takaro-gumi-dtl</t>
        </is>
      </c>
    </row>
    <row r="285">
      <c r="A285" s="6" t="inlineStr">
        <is>
          <t>Versus</t>
        </is>
      </c>
      <c r="B285" s="7" t="inlineStr">
        <is>
          <t>V242-14121 Takaró gumi DTL</t>
        </is>
      </c>
      <c r="C285" s="11" t="inlineStr"/>
      <c r="D285" s="12" t="inlineStr"/>
      <c r="E285" s="6" t="inlineStr"/>
      <c r="F285" s="6" t="inlineStr"/>
      <c r="G285" s="6" t="inlineStr">
        <is>
          <t>Elhúzható rolóponyvás rendszer</t>
        </is>
      </c>
      <c r="H285" s="6" t="inlineStr">
        <is>
          <t>Versus</t>
        </is>
      </c>
      <c r="I285" s="6" t="inlineStr">
        <is>
          <t>Quadris Excel</t>
        </is>
      </c>
      <c r="J285" s="6" t="n">
        <v>0</v>
      </c>
      <c r="K285" s="6" t="n">
        <v>0</v>
      </c>
      <c r="L285" s="6" t="inlineStr">
        <is>
          <t>nincs</t>
        </is>
      </c>
      <c r="M285" s="6">
        <f>IF(AND(J285&gt;0,K285&gt;0),"Rendben",IF(AND(J285=0,K285=0),"Nincs kép és adat",IF(J285=0,"Nincs kép","Nincs adat")))</f>
        <v/>
      </c>
      <c r="N285" s="6" t="inlineStr">
        <is>
          <t>Igen</t>
        </is>
      </c>
      <c r="O285" s="7" t="inlineStr">
        <is>
          <t>versus-omega.com termékoldalak; Duo Trike Light alkatrész-PDF (Drive); Versus-Omega online katalógus 2026 (FlippingBook)</t>
        </is>
      </c>
      <c r="P285" s="7" t="inlineStr">
        <is>
          <t>Nem találtuk: versus-omega.com termékoldalak; Duo Trike Light alkatrész-PDF (Drive); Versus-Omega online katalógus 2026 (FlippingBook)</t>
        </is>
      </c>
      <c r="Q285" s="6" t="inlineStr"/>
      <c r="R285" s="13" t="inlineStr">
        <is>
          <t>https://website-9ib.pages.dev/termek/v242-14121-takaro-gumi-dtl/</t>
        </is>
      </c>
      <c r="S285" s="6" t="inlineStr">
        <is>
          <t>v242-14121-takaro-gumi-dtl</t>
        </is>
      </c>
    </row>
    <row r="286">
      <c r="A286" s="6" t="inlineStr">
        <is>
          <t>Versus</t>
        </is>
      </c>
      <c r="B286" s="7" t="inlineStr">
        <is>
          <t>V242-14128 Tömítés DTL</t>
        </is>
      </c>
      <c r="C286" s="11" t="inlineStr"/>
      <c r="D286" s="12" t="inlineStr"/>
      <c r="E286" s="6" t="inlineStr"/>
      <c r="F286" s="6" t="inlineStr">
        <is>
          <t>242-14128</t>
        </is>
      </c>
      <c r="G286" s="6" t="inlineStr">
        <is>
          <t>Elhúzható rolóponyvás rendszer</t>
        </is>
      </c>
      <c r="H286" s="6" t="inlineStr">
        <is>
          <t>Versus</t>
        </is>
      </c>
      <c r="I286" s="6" t="inlineStr">
        <is>
          <t>Quadris Excel</t>
        </is>
      </c>
      <c r="J286" s="6" t="n">
        <v>0</v>
      </c>
      <c r="K286" s="6" t="n">
        <v>0</v>
      </c>
      <c r="L286" s="6" t="inlineStr">
        <is>
          <t>nincs</t>
        </is>
      </c>
      <c r="M286" s="6">
        <f>IF(AND(J286&gt;0,K286&gt;0),"Rendben",IF(AND(J286=0,K286=0),"Nincs kép és adat",IF(J286=0,"Nincs kép","Nincs adat")))</f>
        <v/>
      </c>
      <c r="N286" s="6" t="inlineStr">
        <is>
          <t>Igen</t>
        </is>
      </c>
      <c r="O286" s="7" t="inlineStr">
        <is>
          <t>versus-omega.com termékoldalak; Duo Trike Light alkatrész-PDF (Drive); Versus-Omega online katalógus 2026 (FlippingBook)</t>
        </is>
      </c>
      <c r="P286" s="7" t="inlineStr">
        <is>
          <t>Nem találtuk: versus-omega.com termékoldalak; Duo Trike Light alkatrész-PDF (Drive); Versus-Omega online katalógus 2026 (FlippingBook)</t>
        </is>
      </c>
      <c r="Q286" s="6" t="inlineStr"/>
      <c r="R286" s="13" t="inlineStr">
        <is>
          <t>https://website-9ib.pages.dev/termek/v242-14128-tomites-dtl/</t>
        </is>
      </c>
      <c r="S286" s="6" t="inlineStr">
        <is>
          <t>v242-14128-tomites-dtl</t>
        </is>
      </c>
    </row>
    <row r="287">
      <c r="A287" s="6" t="inlineStr">
        <is>
          <t>Westfalia</t>
        </is>
      </c>
      <c r="B287" s="7" t="inlineStr">
        <is>
          <t>3420766.00 Vonóhorog</t>
        </is>
      </c>
      <c r="C287" s="11" t="inlineStr"/>
      <c r="D287" s="12" t="inlineStr"/>
      <c r="E287" s="6" t="inlineStr"/>
      <c r="F287" s="6" t="inlineStr">
        <is>
          <t>329103600001</t>
        </is>
      </c>
      <c r="G287" s="6" t="inlineStr">
        <is>
          <t>Speciális felépítmény alkatrészek</t>
        </is>
      </c>
      <c r="H287" s="6" t="inlineStr">
        <is>
          <t>Egyéb</t>
        </is>
      </c>
      <c r="I287" s="6" t="inlineStr">
        <is>
          <t>Quadris Excel</t>
        </is>
      </c>
      <c r="J287" s="6" t="n">
        <v>0</v>
      </c>
      <c r="K287" s="6" t="n">
        <v>0</v>
      </c>
      <c r="L287" s="6" t="inlineStr">
        <is>
          <t>nincs</t>
        </is>
      </c>
      <c r="M287" s="6">
        <f>IF(AND(J287&gt;0,K287&gt;0),"Rendben",IF(AND(J287=0,K287=0),"Nincs kép és adat",IF(J287=0,"Nincs kép","Nincs adat")))</f>
        <v/>
      </c>
      <c r="N287" s="6" t="inlineStr">
        <is>
          <t>Nem</t>
        </is>
      </c>
      <c r="O287" s="7" t="inlineStr">
        <is>
          <t>–</t>
        </is>
      </c>
      <c r="P287" s="7" t="inlineStr">
        <is>
          <t>Nem kerestük – nincs ismert weboldal vagy katalógus</t>
        </is>
      </c>
      <c r="Q287" s="6" t="inlineStr"/>
      <c r="R287" s="13" t="inlineStr">
        <is>
          <t>https://website-9ib.pages.dev/termek/3420766-00-vonohorog/</t>
        </is>
      </c>
      <c r="S287" s="6" t="inlineStr">
        <is>
          <t>3420766-00-vonohorog</t>
        </is>
      </c>
    </row>
    <row r="288">
      <c r="A288" s="6" t="inlineStr">
        <is>
          <t>Westfalia</t>
        </is>
      </c>
      <c r="B288" s="7" t="inlineStr">
        <is>
          <t>Vonóhorog felfogatás</t>
        </is>
      </c>
      <c r="C288" s="11" t="inlineStr"/>
      <c r="D288" s="12" t="inlineStr"/>
      <c r="E288" s="6" t="inlineStr">
        <is>
          <t>3421796/1</t>
        </is>
      </c>
      <c r="F288" s="6" t="inlineStr">
        <is>
          <t>342179600001</t>
        </is>
      </c>
      <c r="G288" s="6" t="inlineStr">
        <is>
          <t>Speciális felépítmény alkatrészek</t>
        </is>
      </c>
      <c r="H288" s="6" t="inlineStr">
        <is>
          <t>Egyéb</t>
        </is>
      </c>
      <c r="I288" s="6" t="inlineStr">
        <is>
          <t>Quadris Excel</t>
        </is>
      </c>
      <c r="J288" s="6" t="n">
        <v>0</v>
      </c>
      <c r="K288" s="6" t="n">
        <v>0</v>
      </c>
      <c r="L288" s="6" t="inlineStr">
        <is>
          <t>nincs</t>
        </is>
      </c>
      <c r="M288" s="6">
        <f>IF(AND(J288&gt;0,K288&gt;0),"Rendben",IF(AND(J288=0,K288=0),"Nincs kép és adat",IF(J288=0,"Nincs kép","Nincs adat")))</f>
        <v/>
      </c>
      <c r="N288" s="6" t="inlineStr">
        <is>
          <t>Nem</t>
        </is>
      </c>
      <c r="O288" s="7" t="inlineStr">
        <is>
          <t>–</t>
        </is>
      </c>
      <c r="P288" s="7" t="inlineStr">
        <is>
          <t>Nem kerestük – nincs ismert weboldal vagy katalógus</t>
        </is>
      </c>
      <c r="Q288" s="6" t="inlineStr"/>
      <c r="R288" s="13" t="inlineStr">
        <is>
          <t>https://website-9ib.pages.dev/termek/3421796-1-vonohorog-felfogatas/</t>
        </is>
      </c>
      <c r="S288" s="6" t="inlineStr">
        <is>
          <t>3421796-1-vonohorog-felfogatas</t>
        </is>
      </c>
    </row>
  </sheetData>
  <autoFilter ref="A1:S288"/>
  <conditionalFormatting sqref="M2:M288">
    <cfRule type="expression" priority="1" dxfId="1">
      <formula>M2="Nincs kép és adat"</formula>
    </cfRule>
    <cfRule type="expression" priority="2" dxfId="0">
      <formula>OR(M2="Nincs kép",M2="Nincs adat")</formula>
    </cfRule>
    <cfRule type="expression" priority="3" dxfId="2">
      <formula>M2="Rendben"</formula>
    </cfRule>
  </conditionalFormatting>
  <conditionalFormatting sqref="A2:B288">
    <cfRule type="expression" priority="4" dxfId="3">
      <formula>$C2="IGEN"</formula>
    </cfRule>
  </conditionalFormatting>
  <conditionalFormatting sqref="E2:R288">
    <cfRule type="expression" priority="5" dxfId="3">
      <formula>$C2="IGEN"</formula>
    </cfRule>
  </conditionalFormatting>
  <dataValidations count="1">
    <dataValidation sqref="C2:C288" showDropDown="0" showInputMessage="0" showErrorMessage="0" allowBlank="1" errorTitle="TÖRÖLHETŐ" error="Csak „IGEN” vagy üres lehet." type="list">
      <formula1>"IGEN"</formula1>
    </dataValidation>
  </dataValidations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  <hyperlink xmlns:r="http://schemas.openxmlformats.org/officeDocument/2006/relationships" ref="R102" r:id="rId101"/>
    <hyperlink xmlns:r="http://schemas.openxmlformats.org/officeDocument/2006/relationships" ref="R103" r:id="rId102"/>
    <hyperlink xmlns:r="http://schemas.openxmlformats.org/officeDocument/2006/relationships" ref="R104" r:id="rId103"/>
    <hyperlink xmlns:r="http://schemas.openxmlformats.org/officeDocument/2006/relationships" ref="R105" r:id="rId104"/>
    <hyperlink xmlns:r="http://schemas.openxmlformats.org/officeDocument/2006/relationships" ref="R106" r:id="rId105"/>
    <hyperlink xmlns:r="http://schemas.openxmlformats.org/officeDocument/2006/relationships" ref="R107" r:id="rId106"/>
    <hyperlink xmlns:r="http://schemas.openxmlformats.org/officeDocument/2006/relationships" ref="R108" r:id="rId107"/>
    <hyperlink xmlns:r="http://schemas.openxmlformats.org/officeDocument/2006/relationships" ref="R109" r:id="rId108"/>
    <hyperlink xmlns:r="http://schemas.openxmlformats.org/officeDocument/2006/relationships" ref="R110" r:id="rId109"/>
    <hyperlink xmlns:r="http://schemas.openxmlformats.org/officeDocument/2006/relationships" ref="R111" r:id="rId110"/>
    <hyperlink xmlns:r="http://schemas.openxmlformats.org/officeDocument/2006/relationships" ref="R112" r:id="rId111"/>
    <hyperlink xmlns:r="http://schemas.openxmlformats.org/officeDocument/2006/relationships" ref="R113" r:id="rId112"/>
    <hyperlink xmlns:r="http://schemas.openxmlformats.org/officeDocument/2006/relationships" ref="R114" r:id="rId113"/>
    <hyperlink xmlns:r="http://schemas.openxmlformats.org/officeDocument/2006/relationships" ref="R115" r:id="rId114"/>
    <hyperlink xmlns:r="http://schemas.openxmlformats.org/officeDocument/2006/relationships" ref="R116" r:id="rId115"/>
    <hyperlink xmlns:r="http://schemas.openxmlformats.org/officeDocument/2006/relationships" ref="R117" r:id="rId116"/>
    <hyperlink xmlns:r="http://schemas.openxmlformats.org/officeDocument/2006/relationships" ref="R118" r:id="rId117"/>
    <hyperlink xmlns:r="http://schemas.openxmlformats.org/officeDocument/2006/relationships" ref="R119" r:id="rId118"/>
    <hyperlink xmlns:r="http://schemas.openxmlformats.org/officeDocument/2006/relationships" ref="R120" r:id="rId119"/>
    <hyperlink xmlns:r="http://schemas.openxmlformats.org/officeDocument/2006/relationships" ref="R121" r:id="rId120"/>
    <hyperlink xmlns:r="http://schemas.openxmlformats.org/officeDocument/2006/relationships" ref="R122" r:id="rId121"/>
    <hyperlink xmlns:r="http://schemas.openxmlformats.org/officeDocument/2006/relationships" ref="R123" r:id="rId122"/>
    <hyperlink xmlns:r="http://schemas.openxmlformats.org/officeDocument/2006/relationships" ref="R124" r:id="rId123"/>
    <hyperlink xmlns:r="http://schemas.openxmlformats.org/officeDocument/2006/relationships" ref="R125" r:id="rId124"/>
    <hyperlink xmlns:r="http://schemas.openxmlformats.org/officeDocument/2006/relationships" ref="R126" r:id="rId125"/>
    <hyperlink xmlns:r="http://schemas.openxmlformats.org/officeDocument/2006/relationships" ref="R127" r:id="rId126"/>
    <hyperlink xmlns:r="http://schemas.openxmlformats.org/officeDocument/2006/relationships" ref="R128" r:id="rId127"/>
    <hyperlink xmlns:r="http://schemas.openxmlformats.org/officeDocument/2006/relationships" ref="R129" r:id="rId128"/>
    <hyperlink xmlns:r="http://schemas.openxmlformats.org/officeDocument/2006/relationships" ref="R130" r:id="rId129"/>
    <hyperlink xmlns:r="http://schemas.openxmlformats.org/officeDocument/2006/relationships" ref="R131" r:id="rId130"/>
    <hyperlink xmlns:r="http://schemas.openxmlformats.org/officeDocument/2006/relationships" ref="R132" r:id="rId131"/>
    <hyperlink xmlns:r="http://schemas.openxmlformats.org/officeDocument/2006/relationships" ref="R133" r:id="rId132"/>
    <hyperlink xmlns:r="http://schemas.openxmlformats.org/officeDocument/2006/relationships" ref="R134" r:id="rId133"/>
    <hyperlink xmlns:r="http://schemas.openxmlformats.org/officeDocument/2006/relationships" ref="R135" r:id="rId134"/>
    <hyperlink xmlns:r="http://schemas.openxmlformats.org/officeDocument/2006/relationships" ref="R136" r:id="rId135"/>
    <hyperlink xmlns:r="http://schemas.openxmlformats.org/officeDocument/2006/relationships" ref="R137" r:id="rId136"/>
    <hyperlink xmlns:r="http://schemas.openxmlformats.org/officeDocument/2006/relationships" ref="R138" r:id="rId137"/>
    <hyperlink xmlns:r="http://schemas.openxmlformats.org/officeDocument/2006/relationships" ref="R139" r:id="rId138"/>
    <hyperlink xmlns:r="http://schemas.openxmlformats.org/officeDocument/2006/relationships" ref="R140" r:id="rId139"/>
    <hyperlink xmlns:r="http://schemas.openxmlformats.org/officeDocument/2006/relationships" ref="R141" r:id="rId140"/>
    <hyperlink xmlns:r="http://schemas.openxmlformats.org/officeDocument/2006/relationships" ref="R142" r:id="rId141"/>
    <hyperlink xmlns:r="http://schemas.openxmlformats.org/officeDocument/2006/relationships" ref="R143" r:id="rId142"/>
    <hyperlink xmlns:r="http://schemas.openxmlformats.org/officeDocument/2006/relationships" ref="R144" r:id="rId143"/>
    <hyperlink xmlns:r="http://schemas.openxmlformats.org/officeDocument/2006/relationships" ref="R145" r:id="rId144"/>
    <hyperlink xmlns:r="http://schemas.openxmlformats.org/officeDocument/2006/relationships" ref="R146" r:id="rId145"/>
    <hyperlink xmlns:r="http://schemas.openxmlformats.org/officeDocument/2006/relationships" ref="R147" r:id="rId146"/>
    <hyperlink xmlns:r="http://schemas.openxmlformats.org/officeDocument/2006/relationships" ref="R148" r:id="rId147"/>
    <hyperlink xmlns:r="http://schemas.openxmlformats.org/officeDocument/2006/relationships" ref="R149" r:id="rId148"/>
    <hyperlink xmlns:r="http://schemas.openxmlformats.org/officeDocument/2006/relationships" ref="R150" r:id="rId149"/>
    <hyperlink xmlns:r="http://schemas.openxmlformats.org/officeDocument/2006/relationships" ref="R151" r:id="rId150"/>
    <hyperlink xmlns:r="http://schemas.openxmlformats.org/officeDocument/2006/relationships" ref="R152" r:id="rId151"/>
    <hyperlink xmlns:r="http://schemas.openxmlformats.org/officeDocument/2006/relationships" ref="R153" r:id="rId152"/>
    <hyperlink xmlns:r="http://schemas.openxmlformats.org/officeDocument/2006/relationships" ref="R154" r:id="rId153"/>
    <hyperlink xmlns:r="http://schemas.openxmlformats.org/officeDocument/2006/relationships" ref="R155" r:id="rId154"/>
    <hyperlink xmlns:r="http://schemas.openxmlformats.org/officeDocument/2006/relationships" ref="R156" r:id="rId155"/>
    <hyperlink xmlns:r="http://schemas.openxmlformats.org/officeDocument/2006/relationships" ref="R157" r:id="rId156"/>
    <hyperlink xmlns:r="http://schemas.openxmlformats.org/officeDocument/2006/relationships" ref="R158" r:id="rId157"/>
    <hyperlink xmlns:r="http://schemas.openxmlformats.org/officeDocument/2006/relationships" ref="R159" r:id="rId158"/>
    <hyperlink xmlns:r="http://schemas.openxmlformats.org/officeDocument/2006/relationships" ref="R160" r:id="rId159"/>
    <hyperlink xmlns:r="http://schemas.openxmlformats.org/officeDocument/2006/relationships" ref="R161" r:id="rId160"/>
    <hyperlink xmlns:r="http://schemas.openxmlformats.org/officeDocument/2006/relationships" ref="R162" r:id="rId161"/>
    <hyperlink xmlns:r="http://schemas.openxmlformats.org/officeDocument/2006/relationships" ref="R163" r:id="rId162"/>
    <hyperlink xmlns:r="http://schemas.openxmlformats.org/officeDocument/2006/relationships" ref="R164" r:id="rId163"/>
    <hyperlink xmlns:r="http://schemas.openxmlformats.org/officeDocument/2006/relationships" ref="R165" r:id="rId164"/>
    <hyperlink xmlns:r="http://schemas.openxmlformats.org/officeDocument/2006/relationships" ref="R166" r:id="rId165"/>
    <hyperlink xmlns:r="http://schemas.openxmlformats.org/officeDocument/2006/relationships" ref="R167" r:id="rId166"/>
    <hyperlink xmlns:r="http://schemas.openxmlformats.org/officeDocument/2006/relationships" ref="R168" r:id="rId167"/>
    <hyperlink xmlns:r="http://schemas.openxmlformats.org/officeDocument/2006/relationships" ref="R169" r:id="rId168"/>
    <hyperlink xmlns:r="http://schemas.openxmlformats.org/officeDocument/2006/relationships" ref="R170" r:id="rId169"/>
    <hyperlink xmlns:r="http://schemas.openxmlformats.org/officeDocument/2006/relationships" ref="R171" r:id="rId170"/>
    <hyperlink xmlns:r="http://schemas.openxmlformats.org/officeDocument/2006/relationships" ref="R172" r:id="rId171"/>
    <hyperlink xmlns:r="http://schemas.openxmlformats.org/officeDocument/2006/relationships" ref="R173" r:id="rId172"/>
    <hyperlink xmlns:r="http://schemas.openxmlformats.org/officeDocument/2006/relationships" ref="R174" r:id="rId173"/>
    <hyperlink xmlns:r="http://schemas.openxmlformats.org/officeDocument/2006/relationships" ref="R175" r:id="rId174"/>
    <hyperlink xmlns:r="http://schemas.openxmlformats.org/officeDocument/2006/relationships" ref="R176" r:id="rId175"/>
    <hyperlink xmlns:r="http://schemas.openxmlformats.org/officeDocument/2006/relationships" ref="R177" r:id="rId176"/>
    <hyperlink xmlns:r="http://schemas.openxmlformats.org/officeDocument/2006/relationships" ref="R178" r:id="rId177"/>
    <hyperlink xmlns:r="http://schemas.openxmlformats.org/officeDocument/2006/relationships" ref="R179" r:id="rId178"/>
    <hyperlink xmlns:r="http://schemas.openxmlformats.org/officeDocument/2006/relationships" ref="R180" r:id="rId179"/>
    <hyperlink xmlns:r="http://schemas.openxmlformats.org/officeDocument/2006/relationships" ref="R181" r:id="rId180"/>
    <hyperlink xmlns:r="http://schemas.openxmlformats.org/officeDocument/2006/relationships" ref="R182" r:id="rId181"/>
    <hyperlink xmlns:r="http://schemas.openxmlformats.org/officeDocument/2006/relationships" ref="R183" r:id="rId182"/>
    <hyperlink xmlns:r="http://schemas.openxmlformats.org/officeDocument/2006/relationships" ref="R184" r:id="rId183"/>
    <hyperlink xmlns:r="http://schemas.openxmlformats.org/officeDocument/2006/relationships" ref="R185" r:id="rId184"/>
    <hyperlink xmlns:r="http://schemas.openxmlformats.org/officeDocument/2006/relationships" ref="R186" r:id="rId185"/>
    <hyperlink xmlns:r="http://schemas.openxmlformats.org/officeDocument/2006/relationships" ref="R187" r:id="rId186"/>
    <hyperlink xmlns:r="http://schemas.openxmlformats.org/officeDocument/2006/relationships" ref="R188" r:id="rId187"/>
    <hyperlink xmlns:r="http://schemas.openxmlformats.org/officeDocument/2006/relationships" ref="R189" r:id="rId188"/>
    <hyperlink xmlns:r="http://schemas.openxmlformats.org/officeDocument/2006/relationships" ref="R190" r:id="rId189"/>
    <hyperlink xmlns:r="http://schemas.openxmlformats.org/officeDocument/2006/relationships" ref="R191" r:id="rId190"/>
    <hyperlink xmlns:r="http://schemas.openxmlformats.org/officeDocument/2006/relationships" ref="Q192" r:id="rId191"/>
    <hyperlink xmlns:r="http://schemas.openxmlformats.org/officeDocument/2006/relationships" ref="R192" r:id="rId192"/>
    <hyperlink xmlns:r="http://schemas.openxmlformats.org/officeDocument/2006/relationships" ref="Q193" r:id="rId193"/>
    <hyperlink xmlns:r="http://schemas.openxmlformats.org/officeDocument/2006/relationships" ref="R193" r:id="rId194"/>
    <hyperlink xmlns:r="http://schemas.openxmlformats.org/officeDocument/2006/relationships" ref="R194" r:id="rId195"/>
    <hyperlink xmlns:r="http://schemas.openxmlformats.org/officeDocument/2006/relationships" ref="R195" r:id="rId196"/>
    <hyperlink xmlns:r="http://schemas.openxmlformats.org/officeDocument/2006/relationships" ref="R196" r:id="rId197"/>
    <hyperlink xmlns:r="http://schemas.openxmlformats.org/officeDocument/2006/relationships" ref="R197" r:id="rId198"/>
    <hyperlink xmlns:r="http://schemas.openxmlformats.org/officeDocument/2006/relationships" ref="R198" r:id="rId199"/>
    <hyperlink xmlns:r="http://schemas.openxmlformats.org/officeDocument/2006/relationships" ref="R199" r:id="rId200"/>
    <hyperlink xmlns:r="http://schemas.openxmlformats.org/officeDocument/2006/relationships" ref="R200" r:id="rId201"/>
    <hyperlink xmlns:r="http://schemas.openxmlformats.org/officeDocument/2006/relationships" ref="R201" r:id="rId202"/>
    <hyperlink xmlns:r="http://schemas.openxmlformats.org/officeDocument/2006/relationships" ref="R202" r:id="rId203"/>
    <hyperlink xmlns:r="http://schemas.openxmlformats.org/officeDocument/2006/relationships" ref="R203" r:id="rId204"/>
    <hyperlink xmlns:r="http://schemas.openxmlformats.org/officeDocument/2006/relationships" ref="R204" r:id="rId205"/>
    <hyperlink xmlns:r="http://schemas.openxmlformats.org/officeDocument/2006/relationships" ref="R205" r:id="rId206"/>
    <hyperlink xmlns:r="http://schemas.openxmlformats.org/officeDocument/2006/relationships" ref="R206" r:id="rId207"/>
    <hyperlink xmlns:r="http://schemas.openxmlformats.org/officeDocument/2006/relationships" ref="R207" r:id="rId208"/>
    <hyperlink xmlns:r="http://schemas.openxmlformats.org/officeDocument/2006/relationships" ref="R208" r:id="rId209"/>
    <hyperlink xmlns:r="http://schemas.openxmlformats.org/officeDocument/2006/relationships" ref="R209" r:id="rId210"/>
    <hyperlink xmlns:r="http://schemas.openxmlformats.org/officeDocument/2006/relationships" ref="R210" r:id="rId211"/>
    <hyperlink xmlns:r="http://schemas.openxmlformats.org/officeDocument/2006/relationships" ref="R211" r:id="rId212"/>
    <hyperlink xmlns:r="http://schemas.openxmlformats.org/officeDocument/2006/relationships" ref="R212" r:id="rId213"/>
    <hyperlink xmlns:r="http://schemas.openxmlformats.org/officeDocument/2006/relationships" ref="R213" r:id="rId214"/>
    <hyperlink xmlns:r="http://schemas.openxmlformats.org/officeDocument/2006/relationships" ref="R214" r:id="rId215"/>
    <hyperlink xmlns:r="http://schemas.openxmlformats.org/officeDocument/2006/relationships" ref="R215" r:id="rId216"/>
    <hyperlink xmlns:r="http://schemas.openxmlformats.org/officeDocument/2006/relationships" ref="R216" r:id="rId217"/>
    <hyperlink xmlns:r="http://schemas.openxmlformats.org/officeDocument/2006/relationships" ref="R217" r:id="rId218"/>
    <hyperlink xmlns:r="http://schemas.openxmlformats.org/officeDocument/2006/relationships" ref="R218" r:id="rId219"/>
    <hyperlink xmlns:r="http://schemas.openxmlformats.org/officeDocument/2006/relationships" ref="R219" r:id="rId220"/>
    <hyperlink xmlns:r="http://schemas.openxmlformats.org/officeDocument/2006/relationships" ref="R220" r:id="rId221"/>
    <hyperlink xmlns:r="http://schemas.openxmlformats.org/officeDocument/2006/relationships" ref="R221" r:id="rId222"/>
    <hyperlink xmlns:r="http://schemas.openxmlformats.org/officeDocument/2006/relationships" ref="R222" r:id="rId223"/>
    <hyperlink xmlns:r="http://schemas.openxmlformats.org/officeDocument/2006/relationships" ref="R223" r:id="rId224"/>
    <hyperlink xmlns:r="http://schemas.openxmlformats.org/officeDocument/2006/relationships" ref="R224" r:id="rId225"/>
    <hyperlink xmlns:r="http://schemas.openxmlformats.org/officeDocument/2006/relationships" ref="R225" r:id="rId226"/>
    <hyperlink xmlns:r="http://schemas.openxmlformats.org/officeDocument/2006/relationships" ref="R226" r:id="rId227"/>
    <hyperlink xmlns:r="http://schemas.openxmlformats.org/officeDocument/2006/relationships" ref="R227" r:id="rId228"/>
    <hyperlink xmlns:r="http://schemas.openxmlformats.org/officeDocument/2006/relationships" ref="R228" r:id="rId229"/>
    <hyperlink xmlns:r="http://schemas.openxmlformats.org/officeDocument/2006/relationships" ref="R229" r:id="rId230"/>
    <hyperlink xmlns:r="http://schemas.openxmlformats.org/officeDocument/2006/relationships" ref="R230" r:id="rId231"/>
    <hyperlink xmlns:r="http://schemas.openxmlformats.org/officeDocument/2006/relationships" ref="R231" r:id="rId232"/>
    <hyperlink xmlns:r="http://schemas.openxmlformats.org/officeDocument/2006/relationships" ref="R232" r:id="rId233"/>
    <hyperlink xmlns:r="http://schemas.openxmlformats.org/officeDocument/2006/relationships" ref="R233" r:id="rId234"/>
    <hyperlink xmlns:r="http://schemas.openxmlformats.org/officeDocument/2006/relationships" ref="R234" r:id="rId235"/>
    <hyperlink xmlns:r="http://schemas.openxmlformats.org/officeDocument/2006/relationships" ref="R235" r:id="rId236"/>
    <hyperlink xmlns:r="http://schemas.openxmlformats.org/officeDocument/2006/relationships" ref="R236" r:id="rId237"/>
    <hyperlink xmlns:r="http://schemas.openxmlformats.org/officeDocument/2006/relationships" ref="R237" r:id="rId238"/>
    <hyperlink xmlns:r="http://schemas.openxmlformats.org/officeDocument/2006/relationships" ref="R238" r:id="rId239"/>
    <hyperlink xmlns:r="http://schemas.openxmlformats.org/officeDocument/2006/relationships" ref="R239" r:id="rId240"/>
    <hyperlink xmlns:r="http://schemas.openxmlformats.org/officeDocument/2006/relationships" ref="R240" r:id="rId241"/>
    <hyperlink xmlns:r="http://schemas.openxmlformats.org/officeDocument/2006/relationships" ref="R241" r:id="rId242"/>
    <hyperlink xmlns:r="http://schemas.openxmlformats.org/officeDocument/2006/relationships" ref="R242" r:id="rId243"/>
    <hyperlink xmlns:r="http://schemas.openxmlformats.org/officeDocument/2006/relationships" ref="R243" r:id="rId244"/>
    <hyperlink xmlns:r="http://schemas.openxmlformats.org/officeDocument/2006/relationships" ref="R244" r:id="rId245"/>
    <hyperlink xmlns:r="http://schemas.openxmlformats.org/officeDocument/2006/relationships" ref="R245" r:id="rId246"/>
    <hyperlink xmlns:r="http://schemas.openxmlformats.org/officeDocument/2006/relationships" ref="R246" r:id="rId247"/>
    <hyperlink xmlns:r="http://schemas.openxmlformats.org/officeDocument/2006/relationships" ref="R247" r:id="rId248"/>
    <hyperlink xmlns:r="http://schemas.openxmlformats.org/officeDocument/2006/relationships" ref="R248" r:id="rId249"/>
    <hyperlink xmlns:r="http://schemas.openxmlformats.org/officeDocument/2006/relationships" ref="R249" r:id="rId250"/>
    <hyperlink xmlns:r="http://schemas.openxmlformats.org/officeDocument/2006/relationships" ref="R250" r:id="rId251"/>
    <hyperlink xmlns:r="http://schemas.openxmlformats.org/officeDocument/2006/relationships" ref="R251" r:id="rId252"/>
    <hyperlink xmlns:r="http://schemas.openxmlformats.org/officeDocument/2006/relationships" ref="Q252" r:id="rId253"/>
    <hyperlink xmlns:r="http://schemas.openxmlformats.org/officeDocument/2006/relationships" ref="R252" r:id="rId254"/>
    <hyperlink xmlns:r="http://schemas.openxmlformats.org/officeDocument/2006/relationships" ref="R253" r:id="rId255"/>
    <hyperlink xmlns:r="http://schemas.openxmlformats.org/officeDocument/2006/relationships" ref="R254" r:id="rId256"/>
    <hyperlink xmlns:r="http://schemas.openxmlformats.org/officeDocument/2006/relationships" ref="R255" r:id="rId257"/>
    <hyperlink xmlns:r="http://schemas.openxmlformats.org/officeDocument/2006/relationships" ref="R256" r:id="rId258"/>
    <hyperlink xmlns:r="http://schemas.openxmlformats.org/officeDocument/2006/relationships" ref="R257" r:id="rId259"/>
    <hyperlink xmlns:r="http://schemas.openxmlformats.org/officeDocument/2006/relationships" ref="R258" r:id="rId260"/>
    <hyperlink xmlns:r="http://schemas.openxmlformats.org/officeDocument/2006/relationships" ref="R259" r:id="rId261"/>
    <hyperlink xmlns:r="http://schemas.openxmlformats.org/officeDocument/2006/relationships" ref="R260" r:id="rId262"/>
    <hyperlink xmlns:r="http://schemas.openxmlformats.org/officeDocument/2006/relationships" ref="R261" r:id="rId263"/>
    <hyperlink xmlns:r="http://schemas.openxmlformats.org/officeDocument/2006/relationships" ref="R262" r:id="rId264"/>
    <hyperlink xmlns:r="http://schemas.openxmlformats.org/officeDocument/2006/relationships" ref="R263" r:id="rId265"/>
    <hyperlink xmlns:r="http://schemas.openxmlformats.org/officeDocument/2006/relationships" ref="R264" r:id="rId266"/>
    <hyperlink xmlns:r="http://schemas.openxmlformats.org/officeDocument/2006/relationships" ref="R265" r:id="rId267"/>
    <hyperlink xmlns:r="http://schemas.openxmlformats.org/officeDocument/2006/relationships" ref="Q266" r:id="rId268"/>
    <hyperlink xmlns:r="http://schemas.openxmlformats.org/officeDocument/2006/relationships" ref="R266" r:id="rId269"/>
    <hyperlink xmlns:r="http://schemas.openxmlformats.org/officeDocument/2006/relationships" ref="Q267" r:id="rId270"/>
    <hyperlink xmlns:r="http://schemas.openxmlformats.org/officeDocument/2006/relationships" ref="R267" r:id="rId271"/>
    <hyperlink xmlns:r="http://schemas.openxmlformats.org/officeDocument/2006/relationships" ref="Q268" r:id="rId272"/>
    <hyperlink xmlns:r="http://schemas.openxmlformats.org/officeDocument/2006/relationships" ref="R268" r:id="rId273"/>
    <hyperlink xmlns:r="http://schemas.openxmlformats.org/officeDocument/2006/relationships" ref="Q269" r:id="rId274"/>
    <hyperlink xmlns:r="http://schemas.openxmlformats.org/officeDocument/2006/relationships" ref="R269" r:id="rId275"/>
    <hyperlink xmlns:r="http://schemas.openxmlformats.org/officeDocument/2006/relationships" ref="R270" r:id="rId276"/>
    <hyperlink xmlns:r="http://schemas.openxmlformats.org/officeDocument/2006/relationships" ref="R271" r:id="rId277"/>
    <hyperlink xmlns:r="http://schemas.openxmlformats.org/officeDocument/2006/relationships" ref="R272" r:id="rId278"/>
    <hyperlink xmlns:r="http://schemas.openxmlformats.org/officeDocument/2006/relationships" ref="R273" r:id="rId279"/>
    <hyperlink xmlns:r="http://schemas.openxmlformats.org/officeDocument/2006/relationships" ref="R274" r:id="rId280"/>
    <hyperlink xmlns:r="http://schemas.openxmlformats.org/officeDocument/2006/relationships" ref="R275" r:id="rId281"/>
    <hyperlink xmlns:r="http://schemas.openxmlformats.org/officeDocument/2006/relationships" ref="R276" r:id="rId282"/>
    <hyperlink xmlns:r="http://schemas.openxmlformats.org/officeDocument/2006/relationships" ref="R277" r:id="rId283"/>
    <hyperlink xmlns:r="http://schemas.openxmlformats.org/officeDocument/2006/relationships" ref="R278" r:id="rId284"/>
    <hyperlink xmlns:r="http://schemas.openxmlformats.org/officeDocument/2006/relationships" ref="R279" r:id="rId285"/>
    <hyperlink xmlns:r="http://schemas.openxmlformats.org/officeDocument/2006/relationships" ref="R280" r:id="rId286"/>
    <hyperlink xmlns:r="http://schemas.openxmlformats.org/officeDocument/2006/relationships" ref="R281" r:id="rId287"/>
    <hyperlink xmlns:r="http://schemas.openxmlformats.org/officeDocument/2006/relationships" ref="R282" r:id="rId288"/>
    <hyperlink xmlns:r="http://schemas.openxmlformats.org/officeDocument/2006/relationships" ref="R283" r:id="rId289"/>
    <hyperlink xmlns:r="http://schemas.openxmlformats.org/officeDocument/2006/relationships" ref="R284" r:id="rId290"/>
    <hyperlink xmlns:r="http://schemas.openxmlformats.org/officeDocument/2006/relationships" ref="R285" r:id="rId291"/>
    <hyperlink xmlns:r="http://schemas.openxmlformats.org/officeDocument/2006/relationships" ref="R286" r:id="rId292"/>
    <hyperlink xmlns:r="http://schemas.openxmlformats.org/officeDocument/2006/relationships" ref="R287" r:id="rId293"/>
    <hyperlink xmlns:r="http://schemas.openxmlformats.org/officeDocument/2006/relationships" ref="R288" r:id="rId29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2026-09-28T17:56:18Z</dcterms:created>
  <dcterms:modified xsi:type="dcterms:W3CDTF">2026-09-28T17:56:18Z</dcterms:modified>
</cp:coreProperties>
</file>